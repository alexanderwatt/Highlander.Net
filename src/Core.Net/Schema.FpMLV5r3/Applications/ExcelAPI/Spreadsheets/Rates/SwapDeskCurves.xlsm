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Rates\"/>
    </mc:Choice>
  </mc:AlternateContent>
  <xr:revisionPtr revIDLastSave="0" documentId="13_ncr:1_{B8B1BDE3-F0AA-4E19-9A31-5D4D8A8BFD9A}" xr6:coauthVersionLast="43" xr6:coauthVersionMax="43" xr10:uidLastSave="{00000000-0000-0000-0000-000000000000}"/>
  <bookViews>
    <workbookView xWindow="780" yWindow="780" windowWidth="26370" windowHeight="14820" tabRatio="718" activeTab="1" xr2:uid="{00000000-000D-0000-FFFF-FFFF00000000}"/>
  </bookViews>
  <sheets>
    <sheet name="Spreads" sheetId="9" r:id="rId1"/>
    <sheet name="TraderMids" sheetId="15" r:id="rId2"/>
    <sheet name="SuperDerivatives" sheetId="21" r:id="rId3"/>
    <sheet name="Corporates" sheetId="19" r:id="rId4"/>
    <sheet name="Retail" sheetId="20" r:id="rId5"/>
    <sheet name="LPM" sheetId="10" r:id="rId6"/>
    <sheet name="3Y+10Y BF" sheetId="11" r:id="rId7"/>
    <sheet name="Swaption" sheetId="17" r:id="rId8"/>
    <sheet name="ICAP Swaption" sheetId="18" r:id="rId9"/>
    <sheet name="CapFloor" sheetId="16" r:id="rId10"/>
    <sheet name="MarketDataAUD" sheetId="14" r:id="rId11"/>
  </sheets>
  <functionGroups builtInGroupCount="19"/>
  <definedNames>
    <definedName name="AUD1v3names">TraderMids!$Q$38:$Q$58</definedName>
    <definedName name="AUD1v3rates">TraderMids!$R$38:$R$58</definedName>
    <definedName name="AUD3v6names">TraderMids!$M$38:$M$58</definedName>
    <definedName name="AUD3v6rates">TraderMids!$N$38:$N$58</definedName>
    <definedName name="AUDcurveNames">TraderMids!$M$7:$M$32</definedName>
    <definedName name="AUDcurveRates">TraderMids!$O$7:$O$32</definedName>
    <definedName name="BlackVols1">CapFloor!$G$14:$G$24</definedName>
    <definedName name="BlackVolSurface">Swaption!$B$52:$K$62</definedName>
    <definedName name="Expiries">CapFloor!$D$9:$D$13</definedName>
    <definedName name="Expiries1">CapFloor!$B$14:$B$24</definedName>
    <definedName name="Expiries2">CapFloor!$D$15:$D$24</definedName>
    <definedName name="FuturesNames">'3Y+10Y BF'!$B$6:$B$7</definedName>
    <definedName name="Names">LPM!$J$6:$J$30</definedName>
    <definedName name="PPDs">CapFloor!$E$9:$E$13</definedName>
    <definedName name="PPDs2">CapFloor!$E$15:$E$24</definedName>
    <definedName name="PPDsurface">Swaption!$B$66:$K$76</definedName>
    <definedName name="QtlyCapletVols">CapFloor!$S$16:$S$134</definedName>
    <definedName name="QtlyDates">CapFloor!$N$15:$N$134</definedName>
    <definedName name="Rates">LPM!$L$6:$L$30</definedName>
    <definedName name="SwapRates1">CapFloor!$H$14:$H$24</definedName>
    <definedName name="Today">TraderMids!$D$3</definedName>
    <definedName name="YTTpay">'3Y+10Y BF'!$C$6:$C$7</definedName>
    <definedName name="YTTrec">'3Y+10Y BF'!$F$6:$F$7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6" l="1"/>
  <c r="E10" i="16" l="1"/>
  <c r="P16" i="16" a="1"/>
  <c r="N16" i="16" a="1"/>
  <c r="N15" i="16"/>
  <c r="P16" i="16" l="1"/>
  <c r="P24" i="16"/>
  <c r="P32" i="16"/>
  <c r="P40" i="16"/>
  <c r="P48" i="16"/>
  <c r="P56" i="16"/>
  <c r="P64" i="16"/>
  <c r="P72" i="16"/>
  <c r="P80" i="16"/>
  <c r="P88" i="16"/>
  <c r="P96" i="16"/>
  <c r="P104" i="16"/>
  <c r="P112" i="16"/>
  <c r="P120" i="16"/>
  <c r="P128" i="16"/>
  <c r="P17" i="16"/>
  <c r="P25" i="16"/>
  <c r="P33" i="16"/>
  <c r="P41" i="16"/>
  <c r="P49" i="16"/>
  <c r="P57" i="16"/>
  <c r="P65" i="16"/>
  <c r="P73" i="16"/>
  <c r="P81" i="16"/>
  <c r="P89" i="16"/>
  <c r="P97" i="16"/>
  <c r="P105" i="16"/>
  <c r="P113" i="16"/>
  <c r="P121" i="16"/>
  <c r="P129" i="16"/>
  <c r="P18" i="16"/>
  <c r="P26" i="16"/>
  <c r="P34" i="16"/>
  <c r="P42" i="16"/>
  <c r="P50" i="16"/>
  <c r="P58" i="16"/>
  <c r="P66" i="16"/>
  <c r="P74" i="16"/>
  <c r="P82" i="16"/>
  <c r="P90" i="16"/>
  <c r="P98" i="16"/>
  <c r="P106" i="16"/>
  <c r="P114" i="16"/>
  <c r="P122" i="16"/>
  <c r="P130" i="16"/>
  <c r="P19" i="16"/>
  <c r="P27" i="16"/>
  <c r="P35" i="16"/>
  <c r="P43" i="16"/>
  <c r="P51" i="16"/>
  <c r="P59" i="16"/>
  <c r="P67" i="16"/>
  <c r="P75" i="16"/>
  <c r="P83" i="16"/>
  <c r="P91" i="16"/>
  <c r="P99" i="16"/>
  <c r="P107" i="16"/>
  <c r="P115" i="16"/>
  <c r="P123" i="16"/>
  <c r="P131" i="16"/>
  <c r="P20" i="16"/>
  <c r="P28" i="16"/>
  <c r="P36" i="16"/>
  <c r="P44" i="16"/>
  <c r="P52" i="16"/>
  <c r="P60" i="16"/>
  <c r="P68" i="16"/>
  <c r="P76" i="16"/>
  <c r="P84" i="16"/>
  <c r="P92" i="16"/>
  <c r="P100" i="16"/>
  <c r="P108" i="16"/>
  <c r="P116" i="16"/>
  <c r="P124" i="16"/>
  <c r="P132" i="16"/>
  <c r="P21" i="16"/>
  <c r="P29" i="16"/>
  <c r="P37" i="16"/>
  <c r="P45" i="16"/>
  <c r="P53" i="16"/>
  <c r="P61" i="16"/>
  <c r="P69" i="16"/>
  <c r="P77" i="16"/>
  <c r="P85" i="16"/>
  <c r="P93" i="16"/>
  <c r="P30" i="16"/>
  <c r="P62" i="16"/>
  <c r="P94" i="16"/>
  <c r="P117" i="16"/>
  <c r="P135" i="16"/>
  <c r="P31" i="16"/>
  <c r="P63" i="16"/>
  <c r="P95" i="16"/>
  <c r="P118" i="16"/>
  <c r="P38" i="16"/>
  <c r="P70" i="16"/>
  <c r="P101" i="16"/>
  <c r="P39" i="16"/>
  <c r="P71" i="16"/>
  <c r="P102" i="16"/>
  <c r="P125" i="16"/>
  <c r="P46" i="16"/>
  <c r="P78" i="16"/>
  <c r="P103" i="16"/>
  <c r="P126" i="16"/>
  <c r="P47" i="16"/>
  <c r="P79" i="16"/>
  <c r="P109" i="16"/>
  <c r="P127" i="16"/>
  <c r="P22" i="16"/>
  <c r="P54" i="16"/>
  <c r="P110" i="16"/>
  <c r="P133" i="16"/>
  <c r="P23" i="16"/>
  <c r="P55" i="16"/>
  <c r="P87" i="16"/>
  <c r="P111" i="16"/>
  <c r="P134" i="16"/>
  <c r="P119" i="16"/>
  <c r="P86" i="16"/>
  <c r="N17" i="16"/>
  <c r="N25" i="16"/>
  <c r="N33" i="16"/>
  <c r="N41" i="16"/>
  <c r="N49" i="16"/>
  <c r="N57" i="16"/>
  <c r="N65" i="16"/>
  <c r="N73" i="16"/>
  <c r="N81" i="16"/>
  <c r="N89" i="16"/>
  <c r="N97" i="16"/>
  <c r="N105" i="16"/>
  <c r="N113" i="16"/>
  <c r="N121" i="16"/>
  <c r="N129" i="16"/>
  <c r="N18" i="16"/>
  <c r="N26" i="16"/>
  <c r="N34" i="16"/>
  <c r="N42" i="16"/>
  <c r="N50" i="16"/>
  <c r="N58" i="16"/>
  <c r="N66" i="16"/>
  <c r="N74" i="16"/>
  <c r="N82" i="16"/>
  <c r="N90" i="16"/>
  <c r="N98" i="16"/>
  <c r="N106" i="16"/>
  <c r="N114" i="16"/>
  <c r="N122" i="16"/>
  <c r="N130" i="16"/>
  <c r="N19" i="16"/>
  <c r="N27" i="16"/>
  <c r="N35" i="16"/>
  <c r="N43" i="16"/>
  <c r="N51" i="16"/>
  <c r="N59" i="16"/>
  <c r="N67" i="16"/>
  <c r="N75" i="16"/>
  <c r="N83" i="16"/>
  <c r="N91" i="16"/>
  <c r="N99" i="16"/>
  <c r="N107" i="16"/>
  <c r="N115" i="16"/>
  <c r="N123" i="16"/>
  <c r="N131" i="16"/>
  <c r="N20" i="16"/>
  <c r="N28" i="16"/>
  <c r="N36" i="16"/>
  <c r="N44" i="16"/>
  <c r="N52" i="16"/>
  <c r="N60" i="16"/>
  <c r="N68" i="16"/>
  <c r="N76" i="16"/>
  <c r="N84" i="16"/>
  <c r="N92" i="16"/>
  <c r="N100" i="16"/>
  <c r="N116" i="16"/>
  <c r="N124" i="16"/>
  <c r="N132" i="16"/>
  <c r="N101" i="16"/>
  <c r="N117" i="16"/>
  <c r="N133" i="16"/>
  <c r="N22" i="16"/>
  <c r="N30" i="16"/>
  <c r="N54" i="16"/>
  <c r="N62" i="16"/>
  <c r="N86" i="16"/>
  <c r="N110" i="16"/>
  <c r="N23" i="16"/>
  <c r="N47" i="16"/>
  <c r="N87" i="16"/>
  <c r="N111" i="16"/>
  <c r="N135" i="16"/>
  <c r="N32" i="16"/>
  <c r="N64" i="16"/>
  <c r="N96" i="16"/>
  <c r="N134" i="16"/>
  <c r="N40" i="16"/>
  <c r="N80" i="16"/>
  <c r="N112" i="16"/>
  <c r="N108" i="16"/>
  <c r="N46" i="16"/>
  <c r="N78" i="16"/>
  <c r="N102" i="16"/>
  <c r="N118" i="16"/>
  <c r="N31" i="16"/>
  <c r="N55" i="16"/>
  <c r="N71" i="16"/>
  <c r="N95" i="16"/>
  <c r="N127" i="16"/>
  <c r="N16" i="16"/>
  <c r="N48" i="16"/>
  <c r="N72" i="16"/>
  <c r="N104" i="16"/>
  <c r="N128" i="16"/>
  <c r="N21" i="16"/>
  <c r="N29" i="16"/>
  <c r="N37" i="16"/>
  <c r="N45" i="16"/>
  <c r="N53" i="16"/>
  <c r="N61" i="16"/>
  <c r="N69" i="16"/>
  <c r="N77" i="16"/>
  <c r="N85" i="16"/>
  <c r="N93" i="16"/>
  <c r="N109" i="16"/>
  <c r="N125" i="16"/>
  <c r="N38" i="16"/>
  <c r="N70" i="16"/>
  <c r="N94" i="16"/>
  <c r="N126" i="16"/>
  <c r="N39" i="16"/>
  <c r="N63" i="16"/>
  <c r="N79" i="16"/>
  <c r="N103" i="16"/>
  <c r="N119" i="16"/>
  <c r="N24" i="16"/>
  <c r="N56" i="16"/>
  <c r="N88" i="16"/>
  <c r="N120" i="16"/>
  <c r="AE8" i="20"/>
  <c r="AE8" i="19"/>
  <c r="E4" i="16"/>
  <c r="D10" i="16" s="1"/>
  <c r="V51" i="15"/>
  <c r="V39" i="15"/>
  <c r="V27" i="15"/>
  <c r="V18" i="15"/>
  <c r="V8" i="15"/>
  <c r="AA11" i="15"/>
  <c r="K5" i="16" l="1"/>
  <c r="K6" i="16" s="1"/>
  <c r="D12" i="16"/>
  <c r="D13" i="16"/>
  <c r="D11" i="16"/>
  <c r="D9" i="16"/>
  <c r="AH10" i="20" l="1"/>
  <c r="AE10" i="20"/>
  <c r="AH8" i="20"/>
  <c r="AH10" i="19"/>
  <c r="AE10" i="19"/>
  <c r="AH8" i="19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V10" i="15"/>
  <c r="V21" i="15"/>
  <c r="AE16" i="19" l="1"/>
  <c r="AE16" i="20"/>
  <c r="B16" i="9"/>
  <c r="B15" i="9"/>
  <c r="B14" i="9"/>
  <c r="B13" i="9"/>
  <c r="B12" i="9"/>
  <c r="B11" i="9"/>
  <c r="B10" i="9"/>
  <c r="B9" i="9"/>
  <c r="V30" i="15"/>
  <c r="AH16" i="19" l="1"/>
  <c r="AE28" i="19"/>
  <c r="AH28" i="19" s="1"/>
  <c r="AH16" i="20"/>
  <c r="AE28" i="20"/>
  <c r="AH28" i="20" s="1"/>
  <c r="E23" i="16" l="1"/>
  <c r="E22" i="16"/>
  <c r="E9" i="16"/>
  <c r="E11" i="16"/>
  <c r="E12" i="16"/>
  <c r="B68" i="17" l="1"/>
  <c r="B69" i="17"/>
  <c r="B70" i="17"/>
  <c r="B71" i="17"/>
  <c r="B72" i="17"/>
  <c r="B73" i="17"/>
  <c r="B74" i="17"/>
  <c r="B75" i="17"/>
  <c r="B76" i="17"/>
  <c r="B67" i="17"/>
  <c r="D66" i="17"/>
  <c r="E66" i="17"/>
  <c r="F66" i="17"/>
  <c r="G66" i="17"/>
  <c r="H66" i="17"/>
  <c r="I66" i="17"/>
  <c r="J66" i="17"/>
  <c r="K66" i="17"/>
  <c r="C66" i="17"/>
  <c r="B54" i="17"/>
  <c r="B55" i="17"/>
  <c r="B56" i="17"/>
  <c r="B57" i="17"/>
  <c r="B58" i="17"/>
  <c r="B59" i="17"/>
  <c r="B60" i="17"/>
  <c r="B61" i="17"/>
  <c r="B62" i="17"/>
  <c r="B53" i="17"/>
  <c r="D52" i="17"/>
  <c r="E52" i="17"/>
  <c r="F52" i="17"/>
  <c r="G52" i="17"/>
  <c r="H52" i="17"/>
  <c r="I52" i="17"/>
  <c r="J52" i="17"/>
  <c r="K52" i="17"/>
  <c r="C52" i="17"/>
  <c r="B40" i="17"/>
  <c r="B41" i="17"/>
  <c r="B42" i="17"/>
  <c r="B43" i="17"/>
  <c r="B44" i="17"/>
  <c r="B45" i="17"/>
  <c r="B46" i="17"/>
  <c r="B47" i="17"/>
  <c r="B48" i="17"/>
  <c r="D38" i="17"/>
  <c r="E38" i="17"/>
  <c r="F38" i="17"/>
  <c r="G38" i="17"/>
  <c r="H38" i="17"/>
  <c r="I38" i="17"/>
  <c r="J38" i="17"/>
  <c r="K38" i="17"/>
  <c r="B39" i="17"/>
  <c r="C38" i="17"/>
  <c r="B25" i="17"/>
  <c r="B26" i="17"/>
  <c r="B27" i="17"/>
  <c r="B28" i="17"/>
  <c r="B29" i="17"/>
  <c r="B30" i="17"/>
  <c r="B31" i="17"/>
  <c r="B32" i="17"/>
  <c r="B33" i="17"/>
  <c r="D23" i="17"/>
  <c r="E23" i="17"/>
  <c r="F23" i="17"/>
  <c r="G23" i="17"/>
  <c r="H23" i="17"/>
  <c r="I23" i="17"/>
  <c r="J23" i="17"/>
  <c r="K23" i="17"/>
  <c r="C23" i="17"/>
  <c r="B24" i="17"/>
  <c r="V52" i="15" l="1"/>
  <c r="V40" i="15"/>
  <c r="V28" i="15"/>
  <c r="V19" i="15"/>
  <c r="L31" i="19" l="1"/>
  <c r="I31" i="19"/>
  <c r="H31" i="19"/>
  <c r="L30" i="19"/>
  <c r="I30" i="19"/>
  <c r="H30" i="19"/>
  <c r="L29" i="19"/>
  <c r="I29" i="19"/>
  <c r="H29" i="19"/>
  <c r="L28" i="19"/>
  <c r="I28" i="19"/>
  <c r="H28" i="19"/>
  <c r="L27" i="19"/>
  <c r="I27" i="19"/>
  <c r="H27" i="19"/>
  <c r="R26" i="19"/>
  <c r="O26" i="19"/>
  <c r="N26" i="19"/>
  <c r="L26" i="19"/>
  <c r="I26" i="19"/>
  <c r="H26" i="19"/>
  <c r="F26" i="19"/>
  <c r="C26" i="19"/>
  <c r="B26" i="19"/>
  <c r="R25" i="19"/>
  <c r="O25" i="19"/>
  <c r="N25" i="19"/>
  <c r="L25" i="19"/>
  <c r="I25" i="19"/>
  <c r="H25" i="19"/>
  <c r="F25" i="19"/>
  <c r="C25" i="19"/>
  <c r="B25" i="19"/>
  <c r="R24" i="19"/>
  <c r="O24" i="19"/>
  <c r="N24" i="19"/>
  <c r="L24" i="19"/>
  <c r="I24" i="19"/>
  <c r="H24" i="19"/>
  <c r="F24" i="19"/>
  <c r="C24" i="19"/>
  <c r="B24" i="19"/>
  <c r="R23" i="19"/>
  <c r="O23" i="19"/>
  <c r="N23" i="19"/>
  <c r="L23" i="19"/>
  <c r="I23" i="19"/>
  <c r="H23" i="19"/>
  <c r="F23" i="19"/>
  <c r="C23" i="19"/>
  <c r="B23" i="19"/>
  <c r="R22" i="19"/>
  <c r="O22" i="19"/>
  <c r="N22" i="19"/>
  <c r="L22" i="19"/>
  <c r="I22" i="19"/>
  <c r="H22" i="19"/>
  <c r="F22" i="19"/>
  <c r="C22" i="19"/>
  <c r="B22" i="19"/>
  <c r="R21" i="19"/>
  <c r="O21" i="19"/>
  <c r="N21" i="19"/>
  <c r="L21" i="19"/>
  <c r="I21" i="19"/>
  <c r="H21" i="19"/>
  <c r="F21" i="19"/>
  <c r="C21" i="19"/>
  <c r="B21" i="19"/>
  <c r="R20" i="19"/>
  <c r="O20" i="19"/>
  <c r="N20" i="19"/>
  <c r="L20" i="19"/>
  <c r="I20" i="19"/>
  <c r="H20" i="19"/>
  <c r="F20" i="19"/>
  <c r="C20" i="19"/>
  <c r="B20" i="19"/>
  <c r="R19" i="19"/>
  <c r="O19" i="19"/>
  <c r="N19" i="19"/>
  <c r="L19" i="19"/>
  <c r="I19" i="19"/>
  <c r="H19" i="19"/>
  <c r="F19" i="19"/>
  <c r="C19" i="19"/>
  <c r="B19" i="19"/>
  <c r="R18" i="19"/>
  <c r="O18" i="19"/>
  <c r="N18" i="19"/>
  <c r="L18" i="19"/>
  <c r="I18" i="19"/>
  <c r="H18" i="19"/>
  <c r="F18" i="19"/>
  <c r="C18" i="19"/>
  <c r="B18" i="19"/>
  <c r="R17" i="19"/>
  <c r="O17" i="19"/>
  <c r="N17" i="19"/>
  <c r="L17" i="19"/>
  <c r="I17" i="19"/>
  <c r="F17" i="19"/>
  <c r="C17" i="19"/>
  <c r="B17" i="19"/>
  <c r="R16" i="19"/>
  <c r="O16" i="19"/>
  <c r="N16" i="19"/>
  <c r="L16" i="19"/>
  <c r="I16" i="19"/>
  <c r="F16" i="19"/>
  <c r="C16" i="19"/>
  <c r="B16" i="19"/>
  <c r="R15" i="19"/>
  <c r="O15" i="19"/>
  <c r="N15" i="19"/>
  <c r="L15" i="19"/>
  <c r="I15" i="19"/>
  <c r="F15" i="19"/>
  <c r="C15" i="19"/>
  <c r="B15" i="19"/>
  <c r="R14" i="19"/>
  <c r="O14" i="19"/>
  <c r="N14" i="19"/>
  <c r="L14" i="19"/>
  <c r="I14" i="19"/>
  <c r="F14" i="19"/>
  <c r="C14" i="19"/>
  <c r="B14" i="19"/>
  <c r="R13" i="19"/>
  <c r="O13" i="19"/>
  <c r="N13" i="19"/>
  <c r="L13" i="19"/>
  <c r="I13" i="19"/>
  <c r="F13" i="19"/>
  <c r="C13" i="19"/>
  <c r="B13" i="19"/>
  <c r="R12" i="19"/>
  <c r="O12" i="19"/>
  <c r="N12" i="19"/>
  <c r="L12" i="19"/>
  <c r="I12" i="19"/>
  <c r="F12" i="19"/>
  <c r="C12" i="19"/>
  <c r="B12" i="19"/>
  <c r="R11" i="19"/>
  <c r="O11" i="19"/>
  <c r="N11" i="19"/>
  <c r="L11" i="19"/>
  <c r="I11" i="19"/>
  <c r="F11" i="19"/>
  <c r="C11" i="19"/>
  <c r="B11" i="19"/>
  <c r="R10" i="19"/>
  <c r="O10" i="19"/>
  <c r="N10" i="19"/>
  <c r="L10" i="19"/>
  <c r="I10" i="19"/>
  <c r="F10" i="19"/>
  <c r="C10" i="19"/>
  <c r="B10" i="19"/>
  <c r="R9" i="19"/>
  <c r="O9" i="19"/>
  <c r="N9" i="19"/>
  <c r="L9" i="19"/>
  <c r="I9" i="19"/>
  <c r="H9" i="19"/>
  <c r="F9" i="19"/>
  <c r="C9" i="19"/>
  <c r="B9" i="19"/>
  <c r="R8" i="19"/>
  <c r="O8" i="19"/>
  <c r="N8" i="19"/>
  <c r="L8" i="19"/>
  <c r="I8" i="19"/>
  <c r="H8" i="19"/>
  <c r="F8" i="19"/>
  <c r="C8" i="19"/>
  <c r="B8" i="19"/>
  <c r="R7" i="19"/>
  <c r="O7" i="19"/>
  <c r="N7" i="19"/>
  <c r="L7" i="19"/>
  <c r="I7" i="19"/>
  <c r="H7" i="19"/>
  <c r="F7" i="19"/>
  <c r="C7" i="19"/>
  <c r="B7" i="19"/>
  <c r="R6" i="19"/>
  <c r="O6" i="19"/>
  <c r="N6" i="19"/>
  <c r="L6" i="19"/>
  <c r="I6" i="19"/>
  <c r="H6" i="19"/>
  <c r="F6" i="19"/>
  <c r="C6" i="19"/>
  <c r="B6" i="19"/>
  <c r="L31" i="20"/>
  <c r="I31" i="20"/>
  <c r="H31" i="20"/>
  <c r="L30" i="20"/>
  <c r="I30" i="20"/>
  <c r="H30" i="20"/>
  <c r="L29" i="20"/>
  <c r="I29" i="20"/>
  <c r="H29" i="20"/>
  <c r="L28" i="20"/>
  <c r="I28" i="20"/>
  <c r="H28" i="20"/>
  <c r="L27" i="20"/>
  <c r="I27" i="20"/>
  <c r="H27" i="20"/>
  <c r="R26" i="20"/>
  <c r="O26" i="20"/>
  <c r="N26" i="20"/>
  <c r="L26" i="20"/>
  <c r="I26" i="20"/>
  <c r="H26" i="20"/>
  <c r="F26" i="20"/>
  <c r="C26" i="20"/>
  <c r="B26" i="20"/>
  <c r="R25" i="20"/>
  <c r="O25" i="20"/>
  <c r="N25" i="20"/>
  <c r="L25" i="20"/>
  <c r="I25" i="20"/>
  <c r="H25" i="20"/>
  <c r="F25" i="20"/>
  <c r="C25" i="20"/>
  <c r="B25" i="20"/>
  <c r="R24" i="20"/>
  <c r="O24" i="20"/>
  <c r="N24" i="20"/>
  <c r="L24" i="20"/>
  <c r="I24" i="20"/>
  <c r="H24" i="20"/>
  <c r="F24" i="20"/>
  <c r="C24" i="20"/>
  <c r="B24" i="20"/>
  <c r="R23" i="20"/>
  <c r="O23" i="20"/>
  <c r="N23" i="20"/>
  <c r="L23" i="20"/>
  <c r="I23" i="20"/>
  <c r="H23" i="20"/>
  <c r="F23" i="20"/>
  <c r="C23" i="20"/>
  <c r="B23" i="20"/>
  <c r="R22" i="20"/>
  <c r="O22" i="20"/>
  <c r="N22" i="20"/>
  <c r="L22" i="20"/>
  <c r="I22" i="20"/>
  <c r="H22" i="20"/>
  <c r="F22" i="20"/>
  <c r="C22" i="20"/>
  <c r="B22" i="20"/>
  <c r="R21" i="20"/>
  <c r="O21" i="20"/>
  <c r="N21" i="20"/>
  <c r="L21" i="20"/>
  <c r="I21" i="20"/>
  <c r="H21" i="20"/>
  <c r="F21" i="20"/>
  <c r="C21" i="20"/>
  <c r="B21" i="20"/>
  <c r="R20" i="20"/>
  <c r="O20" i="20"/>
  <c r="N20" i="20"/>
  <c r="L20" i="20"/>
  <c r="I20" i="20"/>
  <c r="H20" i="20"/>
  <c r="F20" i="20"/>
  <c r="C20" i="20"/>
  <c r="B20" i="20"/>
  <c r="R19" i="20"/>
  <c r="O19" i="20"/>
  <c r="N19" i="20"/>
  <c r="L19" i="20"/>
  <c r="I19" i="20"/>
  <c r="H19" i="20"/>
  <c r="F19" i="20"/>
  <c r="C19" i="20"/>
  <c r="B19" i="20"/>
  <c r="R18" i="20"/>
  <c r="O18" i="20"/>
  <c r="N18" i="20"/>
  <c r="L18" i="20"/>
  <c r="I18" i="20"/>
  <c r="H18" i="20"/>
  <c r="F18" i="20"/>
  <c r="C18" i="20"/>
  <c r="B18" i="20"/>
  <c r="R17" i="20"/>
  <c r="O17" i="20"/>
  <c r="N17" i="20"/>
  <c r="L17" i="20"/>
  <c r="I17" i="20"/>
  <c r="F17" i="20"/>
  <c r="C17" i="20"/>
  <c r="B17" i="20"/>
  <c r="R16" i="20"/>
  <c r="O16" i="20"/>
  <c r="N16" i="20"/>
  <c r="L16" i="20"/>
  <c r="I16" i="20"/>
  <c r="F16" i="20"/>
  <c r="C16" i="20"/>
  <c r="B16" i="20"/>
  <c r="R15" i="20"/>
  <c r="O15" i="20"/>
  <c r="N15" i="20"/>
  <c r="L15" i="20"/>
  <c r="I15" i="20"/>
  <c r="F15" i="20"/>
  <c r="C15" i="20"/>
  <c r="B15" i="20"/>
  <c r="R14" i="20"/>
  <c r="O14" i="20"/>
  <c r="N14" i="20"/>
  <c r="L14" i="20"/>
  <c r="I14" i="20"/>
  <c r="F14" i="20"/>
  <c r="C14" i="20"/>
  <c r="B14" i="20"/>
  <c r="R13" i="20"/>
  <c r="O13" i="20"/>
  <c r="N13" i="20"/>
  <c r="L13" i="20"/>
  <c r="I13" i="20"/>
  <c r="F13" i="20"/>
  <c r="C13" i="20"/>
  <c r="B13" i="20"/>
  <c r="R12" i="20"/>
  <c r="O12" i="20"/>
  <c r="N12" i="20"/>
  <c r="L12" i="20"/>
  <c r="I12" i="20"/>
  <c r="F12" i="20"/>
  <c r="C12" i="20"/>
  <c r="B12" i="20"/>
  <c r="R11" i="20"/>
  <c r="O11" i="20"/>
  <c r="N11" i="20"/>
  <c r="L11" i="20"/>
  <c r="I11" i="20"/>
  <c r="F11" i="20"/>
  <c r="C11" i="20"/>
  <c r="B11" i="20"/>
  <c r="R10" i="20"/>
  <c r="O10" i="20"/>
  <c r="N10" i="20"/>
  <c r="L10" i="20"/>
  <c r="I10" i="20"/>
  <c r="F10" i="20"/>
  <c r="C10" i="20"/>
  <c r="B10" i="20"/>
  <c r="R9" i="20"/>
  <c r="O9" i="20"/>
  <c r="N9" i="20"/>
  <c r="L9" i="20"/>
  <c r="I9" i="20"/>
  <c r="H9" i="20"/>
  <c r="F9" i="20"/>
  <c r="C9" i="20"/>
  <c r="B9" i="20"/>
  <c r="R8" i="20"/>
  <c r="O8" i="20"/>
  <c r="N8" i="20"/>
  <c r="L8" i="20"/>
  <c r="I8" i="20"/>
  <c r="H8" i="20"/>
  <c r="F8" i="20"/>
  <c r="C8" i="20"/>
  <c r="B8" i="20"/>
  <c r="R7" i="20"/>
  <c r="O7" i="20"/>
  <c r="N7" i="20"/>
  <c r="L7" i="20"/>
  <c r="I7" i="20"/>
  <c r="H7" i="20"/>
  <c r="F7" i="20"/>
  <c r="C7" i="20"/>
  <c r="B7" i="20"/>
  <c r="R6" i="20"/>
  <c r="O6" i="20"/>
  <c r="N6" i="20"/>
  <c r="L6" i="20"/>
  <c r="I6" i="20"/>
  <c r="H6" i="20"/>
  <c r="F6" i="20"/>
  <c r="C6" i="20"/>
  <c r="B6" i="20"/>
  <c r="AH35" i="20" l="1"/>
  <c r="AE35" i="20"/>
  <c r="AH33" i="20"/>
  <c r="AE33" i="20"/>
  <c r="AH23" i="20"/>
  <c r="AE23" i="20"/>
  <c r="AH21" i="20"/>
  <c r="AE21" i="20"/>
  <c r="AH35" i="19"/>
  <c r="AE35" i="19"/>
  <c r="AH33" i="19"/>
  <c r="AE33" i="19"/>
  <c r="AH23" i="19"/>
  <c r="AE23" i="19"/>
  <c r="AH21" i="19"/>
  <c r="AE21" i="19"/>
  <c r="H19" i="17" l="1"/>
  <c r="G19" i="17"/>
  <c r="I19" i="17"/>
  <c r="D19" i="17"/>
  <c r="E19" i="17"/>
  <c r="F19" i="17"/>
  <c r="C19" i="17"/>
  <c r="K19" i="17"/>
  <c r="J19" i="17"/>
  <c r="F38" i="15" l="1"/>
  <c r="D18" i="17"/>
  <c r="F18" i="17"/>
  <c r="H18" i="17"/>
  <c r="E18" i="17"/>
  <c r="G18" i="17"/>
  <c r="C18" i="17"/>
  <c r="I18" i="17"/>
  <c r="F37" i="15"/>
  <c r="F36" i="15"/>
  <c r="F39" i="15"/>
  <c r="J18" i="17"/>
  <c r="K18" i="17"/>
  <c r="C17" i="17" l="1"/>
  <c r="F17" i="17"/>
  <c r="H17" i="17"/>
  <c r="D17" i="17"/>
  <c r="E17" i="17"/>
  <c r="I17" i="17"/>
  <c r="G17" i="17"/>
  <c r="J17" i="17"/>
  <c r="K17" i="17"/>
  <c r="C8" i="18"/>
  <c r="D11" i="17" l="1"/>
  <c r="E11" i="17"/>
  <c r="H11" i="17"/>
  <c r="C11" i="17"/>
  <c r="F11" i="17"/>
  <c r="G11" i="17"/>
  <c r="I11" i="17"/>
  <c r="K11" i="17"/>
  <c r="J11" i="17"/>
  <c r="C9" i="18"/>
  <c r="F12" i="17" l="1"/>
  <c r="E12" i="17"/>
  <c r="H12" i="17"/>
  <c r="C12" i="17"/>
  <c r="J12" i="17"/>
  <c r="I12" i="17"/>
  <c r="K12" i="17"/>
  <c r="G12" i="17"/>
  <c r="D12" i="17"/>
  <c r="I10" i="17"/>
  <c r="F10" i="17"/>
  <c r="E10" i="17"/>
  <c r="H10" i="17"/>
  <c r="G10" i="17"/>
  <c r="D10" i="17"/>
  <c r="C10" i="17"/>
  <c r="J10" i="17"/>
  <c r="K10" i="17"/>
  <c r="C10" i="18"/>
  <c r="F13" i="17" l="1"/>
  <c r="I13" i="17"/>
  <c r="J13" i="17"/>
  <c r="K13" i="17"/>
  <c r="C13" i="17"/>
  <c r="E13" i="17"/>
  <c r="G13" i="17"/>
  <c r="D13" i="17"/>
  <c r="H13" i="17"/>
  <c r="C11" i="18"/>
  <c r="D14" i="17" l="1"/>
  <c r="C14" i="17"/>
  <c r="E14" i="17"/>
  <c r="G14" i="17"/>
  <c r="H14" i="17"/>
  <c r="K14" i="17"/>
  <c r="J14" i="17"/>
  <c r="I14" i="17"/>
  <c r="F14" i="17"/>
  <c r="C12" i="18"/>
  <c r="F15" i="17" l="1"/>
  <c r="C15" i="17"/>
  <c r="E15" i="17"/>
  <c r="G15" i="17"/>
  <c r="H15" i="17"/>
  <c r="I15" i="17"/>
  <c r="K15" i="17"/>
  <c r="J15" i="17"/>
  <c r="D15" i="17"/>
  <c r="A40" i="17"/>
  <c r="A39" i="17"/>
  <c r="V33" i="17"/>
  <c r="N19" i="17"/>
  <c r="K33" i="17"/>
  <c r="J33" i="17"/>
  <c r="I33" i="17"/>
  <c r="H33" i="17"/>
  <c r="G33" i="17"/>
  <c r="F33" i="17"/>
  <c r="E33" i="17"/>
  <c r="D33" i="17"/>
  <c r="C33" i="17"/>
  <c r="K32" i="17"/>
  <c r="J32" i="17"/>
  <c r="I32" i="17"/>
  <c r="H32" i="17"/>
  <c r="G32" i="17"/>
  <c r="F32" i="17"/>
  <c r="E32" i="17"/>
  <c r="D32" i="17"/>
  <c r="C32" i="17"/>
  <c r="BF17" i="17"/>
  <c r="BE17" i="17" s="1"/>
  <c r="AV17" i="17"/>
  <c r="AU17" i="17" s="1"/>
  <c r="AL17" i="17"/>
  <c r="AK17" i="17" s="1"/>
  <c r="AB17" i="17"/>
  <c r="N17" i="17"/>
  <c r="K31" i="17"/>
  <c r="J31" i="17"/>
  <c r="I31" i="17"/>
  <c r="H31" i="17"/>
  <c r="G31" i="17"/>
  <c r="F31" i="17"/>
  <c r="E31" i="17"/>
  <c r="D31" i="17"/>
  <c r="C31" i="17"/>
  <c r="AB18" i="17" l="1"/>
  <c r="AA17" i="17"/>
  <c r="V34" i="17"/>
  <c r="U33" i="17"/>
  <c r="E16" i="17"/>
  <c r="E30" i="17" s="1"/>
  <c r="D16" i="17"/>
  <c r="D30" i="17" s="1"/>
  <c r="G16" i="17"/>
  <c r="G30" i="17" s="1"/>
  <c r="C16" i="17"/>
  <c r="C30" i="17" s="1"/>
  <c r="I16" i="17"/>
  <c r="I30" i="17" s="1"/>
  <c r="J16" i="17"/>
  <c r="J30" i="17" s="1"/>
  <c r="K16" i="17"/>
  <c r="K30" i="17" s="1"/>
  <c r="F16" i="17"/>
  <c r="F30" i="17" s="1"/>
  <c r="H16" i="17"/>
  <c r="H30" i="17" s="1"/>
  <c r="AL18" i="17"/>
  <c r="BF18" i="17"/>
  <c r="AV18" i="17"/>
  <c r="V16" i="17"/>
  <c r="P16" i="17"/>
  <c r="O16" i="17" s="1"/>
  <c r="N16" i="17"/>
  <c r="AB19" i="17" l="1"/>
  <c r="AA18" i="17"/>
  <c r="V17" i="17"/>
  <c r="U16" i="17"/>
  <c r="V35" i="17"/>
  <c r="U34" i="17"/>
  <c r="AL19" i="17"/>
  <c r="AK18" i="17"/>
  <c r="BF19" i="17"/>
  <c r="BE18" i="17"/>
  <c r="AV19" i="17"/>
  <c r="AU18" i="17"/>
  <c r="P17" i="17"/>
  <c r="BF20" i="17" l="1"/>
  <c r="BE19" i="17"/>
  <c r="AB20" i="17"/>
  <c r="AA19" i="17"/>
  <c r="AV20" i="17"/>
  <c r="AU19" i="17"/>
  <c r="V18" i="17"/>
  <c r="U17" i="17"/>
  <c r="P18" i="17"/>
  <c r="O17" i="17"/>
  <c r="V36" i="17"/>
  <c r="U35" i="17"/>
  <c r="AL20" i="17"/>
  <c r="AK19" i="17"/>
  <c r="K29" i="17"/>
  <c r="J29" i="17"/>
  <c r="I29" i="17"/>
  <c r="H29" i="17"/>
  <c r="G29" i="17"/>
  <c r="F29" i="17"/>
  <c r="E29" i="17"/>
  <c r="D29" i="17"/>
  <c r="C29" i="17"/>
  <c r="K28" i="17"/>
  <c r="J28" i="17"/>
  <c r="I28" i="17"/>
  <c r="H28" i="17"/>
  <c r="G28" i="17"/>
  <c r="F28" i="17"/>
  <c r="E28" i="17"/>
  <c r="D28" i="17"/>
  <c r="C28" i="17"/>
  <c r="K27" i="17"/>
  <c r="J27" i="17"/>
  <c r="I27" i="17"/>
  <c r="H27" i="17"/>
  <c r="G27" i="17"/>
  <c r="F27" i="17"/>
  <c r="E27" i="17"/>
  <c r="D27" i="17"/>
  <c r="C27" i="17"/>
  <c r="K26" i="17"/>
  <c r="J26" i="17"/>
  <c r="I26" i="17"/>
  <c r="H26" i="17"/>
  <c r="G26" i="17"/>
  <c r="F26" i="17"/>
  <c r="E26" i="17"/>
  <c r="D26" i="17"/>
  <c r="C26" i="17"/>
  <c r="K25" i="17"/>
  <c r="J25" i="17"/>
  <c r="I25" i="17"/>
  <c r="H25" i="17"/>
  <c r="G25" i="17"/>
  <c r="F25" i="17"/>
  <c r="E25" i="17"/>
  <c r="D25" i="17"/>
  <c r="C25" i="17"/>
  <c r="K24" i="17"/>
  <c r="J24" i="17"/>
  <c r="I24" i="17"/>
  <c r="H24" i="17"/>
  <c r="G24" i="17"/>
  <c r="F24" i="17"/>
  <c r="E24" i="17"/>
  <c r="D24" i="17"/>
  <c r="C24" i="17"/>
  <c r="V37" i="17" l="1"/>
  <c r="U36" i="17"/>
  <c r="P19" i="17"/>
  <c r="O18" i="17"/>
  <c r="BF21" i="17"/>
  <c r="BE20" i="17"/>
  <c r="AB21" i="17"/>
  <c r="AA20" i="17"/>
  <c r="AL21" i="17"/>
  <c r="AK20" i="17"/>
  <c r="AV21" i="17"/>
  <c r="AU20" i="17"/>
  <c r="V19" i="17"/>
  <c r="U18" i="17"/>
  <c r="E24" i="16"/>
  <c r="B24" i="16"/>
  <c r="D24" i="16" s="1"/>
  <c r="B23" i="16"/>
  <c r="D23" i="16" s="1"/>
  <c r="B22" i="16"/>
  <c r="D22" i="16" s="1"/>
  <c r="E21" i="16"/>
  <c r="B21" i="16"/>
  <c r="D21" i="16" s="1"/>
  <c r="E20" i="16"/>
  <c r="B20" i="16"/>
  <c r="D20" i="16" s="1"/>
  <c r="E19" i="16"/>
  <c r="B19" i="16"/>
  <c r="D19" i="16" s="1"/>
  <c r="E18" i="16"/>
  <c r="B18" i="16"/>
  <c r="D18" i="16" s="1"/>
  <c r="M16" i="16"/>
  <c r="L16" i="16" s="1"/>
  <c r="E17" i="16"/>
  <c r="B17" i="16"/>
  <c r="D17" i="16" s="1"/>
  <c r="V38" i="17" l="1"/>
  <c r="U37" i="17"/>
  <c r="P20" i="17"/>
  <c r="O19" i="17"/>
  <c r="AL22" i="17"/>
  <c r="AK21" i="17"/>
  <c r="AV22" i="17"/>
  <c r="AU21" i="17"/>
  <c r="V20" i="17"/>
  <c r="U19" i="17"/>
  <c r="BF22" i="17"/>
  <c r="BE21" i="17"/>
  <c r="AB22" i="17"/>
  <c r="AA21" i="17"/>
  <c r="M17" i="16"/>
  <c r="L17" i="16" s="1"/>
  <c r="E16" i="16"/>
  <c r="B16" i="16"/>
  <c r="D16" i="16" s="1"/>
  <c r="E15" i="16"/>
  <c r="B15" i="16"/>
  <c r="D15" i="16" s="1"/>
  <c r="K14" i="16"/>
  <c r="E14" i="16"/>
  <c r="B14" i="16"/>
  <c r="D14" i="16" s="1"/>
  <c r="S16" i="16" a="1"/>
  <c r="S23" i="16" l="1"/>
  <c r="S87" i="16"/>
  <c r="S72" i="16"/>
  <c r="S57" i="16"/>
  <c r="S18" i="16"/>
  <c r="S82" i="16"/>
  <c r="S43" i="16"/>
  <c r="S107" i="16"/>
  <c r="S68" i="16"/>
  <c r="S37" i="16"/>
  <c r="S101" i="16"/>
  <c r="S70" i="16"/>
  <c r="S56" i="16"/>
  <c r="S31" i="16"/>
  <c r="S65" i="16"/>
  <c r="S26" i="16"/>
  <c r="S90" i="16"/>
  <c r="S51" i="16"/>
  <c r="S76" i="16"/>
  <c r="S45" i="16"/>
  <c r="S78" i="16"/>
  <c r="S103" i="16"/>
  <c r="S104" i="16"/>
  <c r="S34" i="16"/>
  <c r="S98" i="16"/>
  <c r="S20" i="16"/>
  <c r="S53" i="16"/>
  <c r="S86" i="16"/>
  <c r="S47" i="16"/>
  <c r="S67" i="16"/>
  <c r="S94" i="16"/>
  <c r="S95" i="16"/>
  <c r="S17" i="16"/>
  <c r="S92" i="16"/>
  <c r="S55" i="16"/>
  <c r="S16" i="16"/>
  <c r="S25" i="16"/>
  <c r="S89" i="16"/>
  <c r="S50" i="16"/>
  <c r="S114" i="16"/>
  <c r="S75" i="16"/>
  <c r="S36" i="16"/>
  <c r="S100" i="16"/>
  <c r="S69" i="16"/>
  <c r="S38" i="16"/>
  <c r="S102" i="16"/>
  <c r="S63" i="16"/>
  <c r="S33" i="16"/>
  <c r="S97" i="16"/>
  <c r="S58" i="16"/>
  <c r="S19" i="16"/>
  <c r="S83" i="16"/>
  <c r="S44" i="16"/>
  <c r="S108" i="16"/>
  <c r="S77" i="16"/>
  <c r="S46" i="16"/>
  <c r="S110" i="16"/>
  <c r="S48" i="16"/>
  <c r="S41" i="16"/>
  <c r="S105" i="16"/>
  <c r="S66" i="16"/>
  <c r="S91" i="16"/>
  <c r="S52" i="16"/>
  <c r="S85" i="16"/>
  <c r="S24" i="16"/>
  <c r="S106" i="16"/>
  <c r="S32" i="16"/>
  <c r="S81" i="16"/>
  <c r="S71" i="16"/>
  <c r="S27" i="16"/>
  <c r="S21" i="16"/>
  <c r="S54" i="16"/>
  <c r="S61" i="16"/>
  <c r="S79" i="16"/>
  <c r="S64" i="16"/>
  <c r="S49" i="16"/>
  <c r="S113" i="16"/>
  <c r="S74" i="16"/>
  <c r="S35" i="16"/>
  <c r="S99" i="16"/>
  <c r="S60" i="16"/>
  <c r="S29" i="16"/>
  <c r="S93" i="16"/>
  <c r="S62" i="16"/>
  <c r="S40" i="16"/>
  <c r="S88" i="16"/>
  <c r="S115" i="16"/>
  <c r="S109" i="16"/>
  <c r="S80" i="16"/>
  <c r="S39" i="16"/>
  <c r="S73" i="16"/>
  <c r="S59" i="16"/>
  <c r="S84" i="16"/>
  <c r="S22" i="16"/>
  <c r="S96" i="16"/>
  <c r="S111" i="16"/>
  <c r="S42" i="16"/>
  <c r="S28" i="16"/>
  <c r="S30" i="16"/>
  <c r="S112" i="16"/>
  <c r="V21" i="17"/>
  <c r="U20" i="17"/>
  <c r="V39" i="17"/>
  <c r="U38" i="17"/>
  <c r="BF23" i="17"/>
  <c r="BE22" i="17"/>
  <c r="P21" i="17"/>
  <c r="O20" i="17"/>
  <c r="AB23" i="17"/>
  <c r="AA22" i="17"/>
  <c r="AL23" i="17"/>
  <c r="AK22" i="17"/>
  <c r="AV23" i="17"/>
  <c r="AU22" i="17"/>
  <c r="M18" i="16"/>
  <c r="L18" i="16" s="1"/>
  <c r="E13" i="16"/>
  <c r="AB24" i="17" l="1"/>
  <c r="AA23" i="17"/>
  <c r="V22" i="17"/>
  <c r="U21" i="17"/>
  <c r="AL24" i="17"/>
  <c r="AK23" i="17"/>
  <c r="V40" i="17"/>
  <c r="U39" i="17"/>
  <c r="AV24" i="17"/>
  <c r="AU23" i="17"/>
  <c r="BF24" i="17"/>
  <c r="BE23" i="17"/>
  <c r="P22" i="17"/>
  <c r="O21" i="17"/>
  <c r="M19" i="16"/>
  <c r="L19" i="16" s="1"/>
  <c r="AV25" i="17" l="1"/>
  <c r="AU24" i="17"/>
  <c r="AB25" i="17"/>
  <c r="AA24" i="17"/>
  <c r="BF25" i="17"/>
  <c r="BE24" i="17"/>
  <c r="V23" i="17"/>
  <c r="U22" i="17"/>
  <c r="P23" i="17"/>
  <c r="O22" i="17"/>
  <c r="AL25" i="17"/>
  <c r="AK24" i="17"/>
  <c r="V41" i="17"/>
  <c r="U40" i="17"/>
  <c r="M20" i="16"/>
  <c r="L20" i="16" s="1"/>
  <c r="P24" i="17" l="1"/>
  <c r="O23" i="17"/>
  <c r="AV26" i="17"/>
  <c r="AU25" i="17"/>
  <c r="AL26" i="17"/>
  <c r="AK25" i="17"/>
  <c r="AB26" i="17"/>
  <c r="AA25" i="17"/>
  <c r="V42" i="17"/>
  <c r="U41" i="17"/>
  <c r="BF26" i="17"/>
  <c r="BE25" i="17"/>
  <c r="V24" i="17"/>
  <c r="U23" i="17"/>
  <c r="M21" i="16"/>
  <c r="L21" i="16" s="1"/>
  <c r="V43" i="17" l="1"/>
  <c r="U42" i="17"/>
  <c r="P25" i="17"/>
  <c r="O24" i="17"/>
  <c r="BF27" i="17"/>
  <c r="BE26" i="17"/>
  <c r="AV27" i="17"/>
  <c r="AU26" i="17"/>
  <c r="V25" i="17"/>
  <c r="U24" i="17"/>
  <c r="AL27" i="17"/>
  <c r="AK26" i="17"/>
  <c r="AB27" i="17"/>
  <c r="AA26" i="17"/>
  <c r="M22" i="16"/>
  <c r="L22" i="16" s="1"/>
  <c r="V58" i="15"/>
  <c r="V56" i="15"/>
  <c r="V26" i="17" l="1"/>
  <c r="U25" i="17"/>
  <c r="V44" i="17"/>
  <c r="U44" i="17" s="1"/>
  <c r="U43" i="17"/>
  <c r="AL28" i="17"/>
  <c r="AK27" i="17"/>
  <c r="P26" i="17"/>
  <c r="O25" i="17"/>
  <c r="AB28" i="17"/>
  <c r="AA27" i="17"/>
  <c r="BF28" i="17"/>
  <c r="BE27" i="17"/>
  <c r="AV28" i="17"/>
  <c r="AU27" i="17"/>
  <c r="M23" i="16"/>
  <c r="L23" i="16" s="1"/>
  <c r="V46" i="15"/>
  <c r="V44" i="15"/>
  <c r="G39" i="15"/>
  <c r="C22" i="21" s="1"/>
  <c r="D22" i="21" s="1"/>
  <c r="G38" i="15"/>
  <c r="C21" i="21" s="1"/>
  <c r="D21" i="21" s="1"/>
  <c r="BF29" i="17" l="1"/>
  <c r="BE28" i="17"/>
  <c r="AB29" i="17"/>
  <c r="AA28" i="17"/>
  <c r="V27" i="17"/>
  <c r="U27" i="17" s="1"/>
  <c r="U26" i="17"/>
  <c r="AV29" i="17"/>
  <c r="AU28" i="17"/>
  <c r="AL29" i="17"/>
  <c r="AK28" i="17"/>
  <c r="P27" i="17"/>
  <c r="O26" i="17"/>
  <c r="N56" i="15"/>
  <c r="O56" i="15"/>
  <c r="M24" i="16"/>
  <c r="L24" i="16" s="1"/>
  <c r="N57" i="15"/>
  <c r="O57" i="15"/>
  <c r="G37" i="15"/>
  <c r="C20" i="21" s="1"/>
  <c r="D20" i="21" s="1"/>
  <c r="G36" i="15"/>
  <c r="C19" i="21" s="1"/>
  <c r="D19" i="21" s="1"/>
  <c r="AL30" i="17" l="1"/>
  <c r="AK29" i="17"/>
  <c r="BF30" i="17"/>
  <c r="BE29" i="17"/>
  <c r="P28" i="17"/>
  <c r="O27" i="17"/>
  <c r="AB30" i="17"/>
  <c r="AA29" i="17"/>
  <c r="AV30" i="17"/>
  <c r="AU29" i="17"/>
  <c r="P24" i="19"/>
  <c r="Q24" i="19"/>
  <c r="P24" i="20"/>
  <c r="Q24" i="20"/>
  <c r="Q25" i="20"/>
  <c r="P25" i="19"/>
  <c r="P25" i="20"/>
  <c r="Q25" i="19"/>
  <c r="N55" i="15"/>
  <c r="O55" i="15"/>
  <c r="N54" i="15"/>
  <c r="O54" i="15"/>
  <c r="M25" i="16"/>
  <c r="L25" i="16" s="1"/>
  <c r="AV31" i="17" l="1"/>
  <c r="AU30" i="17"/>
  <c r="AL31" i="17"/>
  <c r="AK30" i="17"/>
  <c r="BF31" i="17"/>
  <c r="BE30" i="17"/>
  <c r="P29" i="17"/>
  <c r="O28" i="17"/>
  <c r="AB31" i="17"/>
  <c r="AA30" i="17"/>
  <c r="P22" i="20"/>
  <c r="Q22" i="20"/>
  <c r="Q22" i="19"/>
  <c r="P22" i="19"/>
  <c r="Q23" i="19"/>
  <c r="Q23" i="20"/>
  <c r="P23" i="19"/>
  <c r="P23" i="20"/>
  <c r="M26" i="16"/>
  <c r="L26" i="16" s="1"/>
  <c r="AB32" i="17" l="1"/>
  <c r="AA31" i="17"/>
  <c r="AV32" i="17"/>
  <c r="AU31" i="17"/>
  <c r="AL32" i="17"/>
  <c r="AK31" i="17"/>
  <c r="BF32" i="17"/>
  <c r="BE31" i="17"/>
  <c r="P30" i="17"/>
  <c r="O29" i="17"/>
  <c r="M27" i="16"/>
  <c r="L27" i="16" s="1"/>
  <c r="P31" i="17" l="1"/>
  <c r="O30" i="17"/>
  <c r="AB33" i="17"/>
  <c r="AA32" i="17"/>
  <c r="AV33" i="17"/>
  <c r="AU32" i="17"/>
  <c r="AL33" i="17"/>
  <c r="AK32" i="17"/>
  <c r="BF33" i="17"/>
  <c r="BE32" i="17"/>
  <c r="M28" i="16"/>
  <c r="L28" i="16" s="1"/>
  <c r="R31" i="15"/>
  <c r="BF34" i="17" l="1"/>
  <c r="BE33" i="17"/>
  <c r="P32" i="17"/>
  <c r="O31" i="17"/>
  <c r="AB34" i="17"/>
  <c r="AA33" i="17"/>
  <c r="AV34" i="17"/>
  <c r="AU33" i="17"/>
  <c r="AL34" i="17"/>
  <c r="AK33" i="17"/>
  <c r="M29" i="16"/>
  <c r="L29" i="16" s="1"/>
  <c r="R30" i="15"/>
  <c r="AL35" i="17" l="1"/>
  <c r="AK34" i="17"/>
  <c r="BF35" i="17"/>
  <c r="BE34" i="17"/>
  <c r="P33" i="17"/>
  <c r="O32" i="17"/>
  <c r="AB35" i="17"/>
  <c r="AA34" i="17"/>
  <c r="AV35" i="17"/>
  <c r="AU34" i="17"/>
  <c r="M30" i="16"/>
  <c r="L30" i="16" s="1"/>
  <c r="R29" i="15"/>
  <c r="AV36" i="17" l="1"/>
  <c r="AU35" i="17"/>
  <c r="AL36" i="17"/>
  <c r="AK35" i="17"/>
  <c r="BF36" i="17"/>
  <c r="BE35" i="17"/>
  <c r="P34" i="17"/>
  <c r="O33" i="17"/>
  <c r="AB36" i="17"/>
  <c r="AA35" i="17"/>
  <c r="M31" i="16"/>
  <c r="L31" i="16" s="1"/>
  <c r="AB37" i="17" l="1"/>
  <c r="AA36" i="17"/>
  <c r="AV37" i="17"/>
  <c r="AU36" i="17"/>
  <c r="AL37" i="17"/>
  <c r="AK36" i="17"/>
  <c r="BF37" i="17"/>
  <c r="BE36" i="17"/>
  <c r="P35" i="17"/>
  <c r="O34" i="17"/>
  <c r="M32" i="16"/>
  <c r="L32" i="16" s="1"/>
  <c r="P36" i="17" l="1"/>
  <c r="O35" i="17"/>
  <c r="AB38" i="17"/>
  <c r="AA37" i="17"/>
  <c r="AV38" i="17"/>
  <c r="AU37" i="17"/>
  <c r="AL38" i="17"/>
  <c r="AK37" i="17"/>
  <c r="BF38" i="17"/>
  <c r="BE37" i="17"/>
  <c r="M33" i="16"/>
  <c r="L33" i="16" s="1"/>
  <c r="R28" i="15"/>
  <c r="BF39" i="17" l="1"/>
  <c r="BE38" i="17"/>
  <c r="P37" i="17"/>
  <c r="O36" i="17"/>
  <c r="AB39" i="17"/>
  <c r="AA38" i="17"/>
  <c r="AV39" i="17"/>
  <c r="AU38" i="17"/>
  <c r="AL39" i="17"/>
  <c r="AK38" i="17"/>
  <c r="M34" i="16"/>
  <c r="L34" i="16" s="1"/>
  <c r="AL40" i="17" l="1"/>
  <c r="AK39" i="17"/>
  <c r="BF40" i="17"/>
  <c r="BE39" i="17"/>
  <c r="P38" i="17"/>
  <c r="O37" i="17"/>
  <c r="AB40" i="17"/>
  <c r="AA39" i="17"/>
  <c r="AV40" i="17"/>
  <c r="AU39" i="17"/>
  <c r="M35" i="16"/>
  <c r="L35" i="16" s="1"/>
  <c r="AV41" i="17" l="1"/>
  <c r="AU40" i="17"/>
  <c r="AL41" i="17"/>
  <c r="AK40" i="17"/>
  <c r="BF41" i="17"/>
  <c r="BE40" i="17"/>
  <c r="P39" i="17"/>
  <c r="O38" i="17"/>
  <c r="AB41" i="17"/>
  <c r="AA40" i="17"/>
  <c r="M36" i="16"/>
  <c r="L36" i="16" s="1"/>
  <c r="AB42" i="17" l="1"/>
  <c r="AA41" i="17"/>
  <c r="AV42" i="17"/>
  <c r="AU41" i="17"/>
  <c r="AL42" i="17"/>
  <c r="AK41" i="17"/>
  <c r="BF42" i="17"/>
  <c r="BE41" i="17"/>
  <c r="P40" i="17"/>
  <c r="O39" i="17"/>
  <c r="M37" i="16"/>
  <c r="L37" i="16" s="1"/>
  <c r="P41" i="17" l="1"/>
  <c r="O40" i="17"/>
  <c r="AB43" i="17"/>
  <c r="AA42" i="17"/>
  <c r="BF43" i="17"/>
  <c r="BE42" i="17"/>
  <c r="AV43" i="17"/>
  <c r="AU42" i="17"/>
  <c r="AL43" i="17"/>
  <c r="AK42" i="17"/>
  <c r="M38" i="16"/>
  <c r="L38" i="16" s="1"/>
  <c r="AB44" i="17" l="1"/>
  <c r="AA43" i="17"/>
  <c r="BF44" i="17"/>
  <c r="BE43" i="17"/>
  <c r="AL44" i="17"/>
  <c r="AK43" i="17"/>
  <c r="P42" i="17"/>
  <c r="O41" i="17"/>
  <c r="AV44" i="17"/>
  <c r="AU43" i="17"/>
  <c r="M39" i="16"/>
  <c r="L39" i="16" s="1"/>
  <c r="AV45" i="17" l="1"/>
  <c r="AU44" i="17"/>
  <c r="AB45" i="17"/>
  <c r="AA44" i="17"/>
  <c r="BF45" i="17"/>
  <c r="BE44" i="17"/>
  <c r="AL45" i="17"/>
  <c r="AK44" i="17"/>
  <c r="P43" i="17"/>
  <c r="O42" i="17"/>
  <c r="M40" i="16"/>
  <c r="L40" i="16" s="1"/>
  <c r="AB46" i="17" l="1"/>
  <c r="AA45" i="17"/>
  <c r="BF46" i="17"/>
  <c r="BE45" i="17"/>
  <c r="P44" i="17"/>
  <c r="O43" i="17"/>
  <c r="AV46" i="17"/>
  <c r="AU45" i="17"/>
  <c r="AL46" i="17"/>
  <c r="AK45" i="17"/>
  <c r="M41" i="16"/>
  <c r="L41" i="16" s="1"/>
  <c r="AV47" i="17" l="1"/>
  <c r="AU46" i="17"/>
  <c r="AL47" i="17"/>
  <c r="AK46" i="17"/>
  <c r="AB47" i="17"/>
  <c r="AA46" i="17"/>
  <c r="BF47" i="17"/>
  <c r="BE46" i="17"/>
  <c r="P45" i="17"/>
  <c r="O44" i="17"/>
  <c r="M42" i="16"/>
  <c r="L42" i="16" s="1"/>
  <c r="AV48" i="17" l="1"/>
  <c r="AU47" i="17"/>
  <c r="AB48" i="17"/>
  <c r="AA47" i="17"/>
  <c r="BF48" i="17"/>
  <c r="BE47" i="17"/>
  <c r="P46" i="17"/>
  <c r="O45" i="17"/>
  <c r="AL48" i="17"/>
  <c r="AK47" i="17"/>
  <c r="M43" i="16"/>
  <c r="L43" i="16" s="1"/>
  <c r="AL49" i="17" l="1"/>
  <c r="AK48" i="17"/>
  <c r="AV49" i="17"/>
  <c r="AU48" i="17"/>
  <c r="AB49" i="17"/>
  <c r="AA48" i="17"/>
  <c r="BF49" i="17"/>
  <c r="BE48" i="17"/>
  <c r="P47" i="17"/>
  <c r="O46" i="17"/>
  <c r="M44" i="16"/>
  <c r="L44" i="16" s="1"/>
  <c r="P48" i="17" l="1"/>
  <c r="O47" i="17"/>
  <c r="AL50" i="17"/>
  <c r="AK49" i="17"/>
  <c r="AV50" i="17"/>
  <c r="AU49" i="17"/>
  <c r="AB50" i="17"/>
  <c r="AA49" i="17"/>
  <c r="BF50" i="17"/>
  <c r="BE49" i="17"/>
  <c r="M45" i="16"/>
  <c r="L45" i="16" s="1"/>
  <c r="BF51" i="17" l="1"/>
  <c r="BE50" i="17"/>
  <c r="P49" i="17"/>
  <c r="O48" i="17"/>
  <c r="AL51" i="17"/>
  <c r="AK50" i="17"/>
  <c r="AV51" i="17"/>
  <c r="AU50" i="17"/>
  <c r="AB51" i="17"/>
  <c r="AA50" i="17"/>
  <c r="M46" i="16"/>
  <c r="L46" i="16" s="1"/>
  <c r="AB52" i="17" l="1"/>
  <c r="AA51" i="17"/>
  <c r="BF52" i="17"/>
  <c r="BE51" i="17"/>
  <c r="P50" i="17"/>
  <c r="O49" i="17"/>
  <c r="AL52" i="17"/>
  <c r="AK51" i="17"/>
  <c r="AV52" i="17"/>
  <c r="AU51" i="17"/>
  <c r="M47" i="16"/>
  <c r="L47" i="16" s="1"/>
  <c r="AV53" i="17" l="1"/>
  <c r="AU52" i="17"/>
  <c r="AB53" i="17"/>
  <c r="AA52" i="17"/>
  <c r="BF53" i="17"/>
  <c r="BE52" i="17"/>
  <c r="P51" i="17"/>
  <c r="O50" i="17"/>
  <c r="AL53" i="17"/>
  <c r="AK52" i="17"/>
  <c r="M48" i="16"/>
  <c r="L48" i="16" s="1"/>
  <c r="AL54" i="17" l="1"/>
  <c r="AK53" i="17"/>
  <c r="AV54" i="17"/>
  <c r="AU53" i="17"/>
  <c r="AB54" i="17"/>
  <c r="AA53" i="17"/>
  <c r="BF54" i="17"/>
  <c r="BE53" i="17"/>
  <c r="P52" i="17"/>
  <c r="O51" i="17"/>
  <c r="M49" i="16"/>
  <c r="L49" i="16" s="1"/>
  <c r="P53" i="17" l="1"/>
  <c r="O52" i="17"/>
  <c r="AL55" i="17"/>
  <c r="AK54" i="17"/>
  <c r="AV55" i="17"/>
  <c r="AU54" i="17"/>
  <c r="AB55" i="17"/>
  <c r="AA54" i="17"/>
  <c r="BF55" i="17"/>
  <c r="BE54" i="17"/>
  <c r="M50" i="16"/>
  <c r="L50" i="16" s="1"/>
  <c r="BF56" i="17" l="1"/>
  <c r="BE55" i="17"/>
  <c r="P54" i="17"/>
  <c r="O53" i="17"/>
  <c r="AL56" i="17"/>
  <c r="AK55" i="17"/>
  <c r="AV56" i="17"/>
  <c r="AU55" i="17"/>
  <c r="AB56" i="17"/>
  <c r="AA55" i="17"/>
  <c r="M51" i="16"/>
  <c r="L51" i="16" s="1"/>
  <c r="AB57" i="17" l="1"/>
  <c r="AA56" i="17"/>
  <c r="BF57" i="17"/>
  <c r="BE56" i="17"/>
  <c r="P55" i="17"/>
  <c r="O54" i="17"/>
  <c r="AL57" i="17"/>
  <c r="AK56" i="17"/>
  <c r="AV57" i="17"/>
  <c r="AU56" i="17"/>
  <c r="M52" i="16"/>
  <c r="L52" i="16" s="1"/>
  <c r="AV58" i="17" l="1"/>
  <c r="AU57" i="17"/>
  <c r="AB58" i="17"/>
  <c r="AA57" i="17"/>
  <c r="BF58" i="17"/>
  <c r="BE57" i="17"/>
  <c r="P56" i="17"/>
  <c r="O55" i="17"/>
  <c r="AL58" i="17"/>
  <c r="AK57" i="17"/>
  <c r="M53" i="16"/>
  <c r="L53" i="16" s="1"/>
  <c r="AB59" i="17" l="1"/>
  <c r="AA58" i="17"/>
  <c r="AL59" i="17"/>
  <c r="AK58" i="17"/>
  <c r="AV59" i="17"/>
  <c r="AU58" i="17"/>
  <c r="BF59" i="17"/>
  <c r="BE58" i="17"/>
  <c r="P57" i="17"/>
  <c r="O56" i="17"/>
  <c r="M54" i="16"/>
  <c r="L54" i="16" s="1"/>
  <c r="AL60" i="17" l="1"/>
  <c r="AK59" i="17"/>
  <c r="AV60" i="17"/>
  <c r="AU59" i="17"/>
  <c r="AB60" i="17"/>
  <c r="AA59" i="17"/>
  <c r="P58" i="17"/>
  <c r="O57" i="17"/>
  <c r="BF60" i="17"/>
  <c r="BE59" i="17"/>
  <c r="M55" i="16"/>
  <c r="L55" i="16" s="1"/>
  <c r="AV61" i="17" l="1"/>
  <c r="AU60" i="17"/>
  <c r="AL61" i="17"/>
  <c r="AK60" i="17"/>
  <c r="BF61" i="17"/>
  <c r="BE60" i="17"/>
  <c r="P59" i="17"/>
  <c r="O58" i="17"/>
  <c r="AB61" i="17"/>
  <c r="AA60" i="17"/>
  <c r="M56" i="16"/>
  <c r="L56" i="16" s="1"/>
  <c r="AL62" i="17" l="1"/>
  <c r="AK61" i="17"/>
  <c r="AV62" i="17"/>
  <c r="AU61" i="17"/>
  <c r="P60" i="17"/>
  <c r="O59" i="17"/>
  <c r="AB62" i="17"/>
  <c r="AA61" i="17"/>
  <c r="BF62" i="17"/>
  <c r="BE61" i="17"/>
  <c r="M57" i="16"/>
  <c r="L57" i="16" s="1"/>
  <c r="AV63" i="17" l="1"/>
  <c r="AU62" i="17"/>
  <c r="BF63" i="17"/>
  <c r="BE62" i="17"/>
  <c r="P61" i="17"/>
  <c r="O60" i="17"/>
  <c r="AB63" i="17"/>
  <c r="AA62" i="17"/>
  <c r="AL63" i="17"/>
  <c r="AK62" i="17"/>
  <c r="M58" i="16"/>
  <c r="L58" i="16" s="1"/>
  <c r="AK20" i="15"/>
  <c r="AJ20" i="15" s="1"/>
  <c r="AE20" i="15"/>
  <c r="Y20" i="15"/>
  <c r="AV64" i="17" l="1"/>
  <c r="AU63" i="17"/>
  <c r="BF64" i="17"/>
  <c r="BE63" i="17"/>
  <c r="AL64" i="17"/>
  <c r="AK63" i="17"/>
  <c r="P62" i="17"/>
  <c r="O61" i="17"/>
  <c r="AB64" i="17"/>
  <c r="AA63" i="17"/>
  <c r="AD20" i="15"/>
  <c r="X20" i="15"/>
  <c r="AE21" i="15"/>
  <c r="AK21" i="15"/>
  <c r="Y21" i="15"/>
  <c r="M59" i="16"/>
  <c r="L59" i="16" s="1"/>
  <c r="BF65" i="17" l="1"/>
  <c r="BE64" i="17"/>
  <c r="AV65" i="17"/>
  <c r="AU64" i="17"/>
  <c r="AB65" i="17"/>
  <c r="AA64" i="17"/>
  <c r="AL65" i="17"/>
  <c r="AK64" i="17"/>
  <c r="P63" i="17"/>
  <c r="O62" i="17"/>
  <c r="AK22" i="15"/>
  <c r="AJ21" i="15"/>
  <c r="AE22" i="15"/>
  <c r="AD21" i="15"/>
  <c r="Y22" i="15"/>
  <c r="X21" i="15"/>
  <c r="M60" i="16"/>
  <c r="L60" i="16" s="1"/>
  <c r="AB66" i="17" l="1"/>
  <c r="AA65" i="17"/>
  <c r="P64" i="17"/>
  <c r="O63" i="17"/>
  <c r="BF66" i="17"/>
  <c r="BE65" i="17"/>
  <c r="AV66" i="17"/>
  <c r="AU65" i="17"/>
  <c r="AL66" i="17"/>
  <c r="AK65" i="17"/>
  <c r="AK23" i="15"/>
  <c r="AJ22" i="15"/>
  <c r="AE23" i="15"/>
  <c r="AD22" i="15"/>
  <c r="Y23" i="15"/>
  <c r="X22" i="15"/>
  <c r="M61" i="16"/>
  <c r="L61" i="16" s="1"/>
  <c r="P65" i="17" l="1"/>
  <c r="O64" i="17"/>
  <c r="AB67" i="17"/>
  <c r="AA66" i="17"/>
  <c r="BF67" i="17"/>
  <c r="BE66" i="17"/>
  <c r="AV67" i="17"/>
  <c r="AU66" i="17"/>
  <c r="AL67" i="17"/>
  <c r="AK66" i="17"/>
  <c r="AK24" i="15"/>
  <c r="AJ23" i="15"/>
  <c r="AE24" i="15"/>
  <c r="AD23" i="15"/>
  <c r="Y24" i="15"/>
  <c r="X23" i="15"/>
  <c r="M62" i="16"/>
  <c r="L62" i="16" s="1"/>
  <c r="AB68" i="17" l="1"/>
  <c r="AA67" i="17"/>
  <c r="AL68" i="17"/>
  <c r="AK67" i="17"/>
  <c r="AV68" i="17"/>
  <c r="AU67" i="17"/>
  <c r="P66" i="17"/>
  <c r="O65" i="17"/>
  <c r="BF68" i="17"/>
  <c r="BE67" i="17"/>
  <c r="AK25" i="15"/>
  <c r="AJ24" i="15"/>
  <c r="AE25" i="15"/>
  <c r="AD24" i="15"/>
  <c r="Y25" i="15"/>
  <c r="X24" i="15"/>
  <c r="M63" i="16"/>
  <c r="L63" i="16" s="1"/>
  <c r="AL69" i="17" l="1"/>
  <c r="AK68" i="17"/>
  <c r="BF69" i="17"/>
  <c r="BE68" i="17"/>
  <c r="P67" i="17"/>
  <c r="O66" i="17"/>
  <c r="AB69" i="17"/>
  <c r="AA68" i="17"/>
  <c r="AV69" i="17"/>
  <c r="AU68" i="17"/>
  <c r="AK26" i="15"/>
  <c r="AJ25" i="15"/>
  <c r="AE26" i="15"/>
  <c r="AD25" i="15"/>
  <c r="Y26" i="15"/>
  <c r="X25" i="15"/>
  <c r="M64" i="16"/>
  <c r="L64" i="16" s="1"/>
  <c r="AL70" i="17" l="1"/>
  <c r="AK69" i="17"/>
  <c r="P68" i="17"/>
  <c r="O67" i="17"/>
  <c r="AV70" i="17"/>
  <c r="AU69" i="17"/>
  <c r="BF70" i="17"/>
  <c r="BE69" i="17"/>
  <c r="AB70" i="17"/>
  <c r="AA69" i="17"/>
  <c r="AK27" i="15"/>
  <c r="AJ26" i="15"/>
  <c r="AE27" i="15"/>
  <c r="AD26" i="15"/>
  <c r="Y27" i="15"/>
  <c r="X26" i="15"/>
  <c r="M65" i="16"/>
  <c r="L65" i="16" s="1"/>
  <c r="P69" i="17" l="1"/>
  <c r="O69" i="17" s="1"/>
  <c r="O68" i="17"/>
  <c r="AB71" i="17"/>
  <c r="AA70" i="17"/>
  <c r="BF71" i="17"/>
  <c r="BE70" i="17"/>
  <c r="AL71" i="17"/>
  <c r="AK70" i="17"/>
  <c r="AV71" i="17"/>
  <c r="AU70" i="17"/>
  <c r="AK28" i="15"/>
  <c r="AJ27" i="15"/>
  <c r="AE28" i="15"/>
  <c r="AD27" i="15"/>
  <c r="Y28" i="15"/>
  <c r="X27" i="15"/>
  <c r="M66" i="16"/>
  <c r="L66" i="16" s="1"/>
  <c r="BF72" i="17" l="1"/>
  <c r="BE71" i="17"/>
  <c r="AV72" i="17"/>
  <c r="AU71" i="17"/>
  <c r="AB72" i="17"/>
  <c r="AA71" i="17"/>
  <c r="AL72" i="17"/>
  <c r="AK71" i="17"/>
  <c r="AK29" i="15"/>
  <c r="AJ28" i="15"/>
  <c r="AE29" i="15"/>
  <c r="AD28" i="15"/>
  <c r="Y29" i="15"/>
  <c r="X28" i="15"/>
  <c r="M67" i="16"/>
  <c r="L67" i="16" s="1"/>
  <c r="AV73" i="17" l="1"/>
  <c r="AU72" i="17"/>
  <c r="BF73" i="17"/>
  <c r="BE72" i="17"/>
  <c r="AL73" i="17"/>
  <c r="AK72" i="17"/>
  <c r="AB73" i="17"/>
  <c r="AA72" i="17"/>
  <c r="AK30" i="15"/>
  <c r="AJ29" i="15"/>
  <c r="AE30" i="15"/>
  <c r="AD29" i="15"/>
  <c r="Y30" i="15"/>
  <c r="X29" i="15"/>
  <c r="M68" i="16"/>
  <c r="L68" i="16" s="1"/>
  <c r="AL74" i="17" l="1"/>
  <c r="AK73" i="17"/>
  <c r="AV74" i="17"/>
  <c r="AU73" i="17"/>
  <c r="BF74" i="17"/>
  <c r="BE73" i="17"/>
  <c r="AB74" i="17"/>
  <c r="AA73" i="17"/>
  <c r="AK31" i="15"/>
  <c r="AJ30" i="15"/>
  <c r="AE31" i="15"/>
  <c r="AD30" i="15"/>
  <c r="Y31" i="15"/>
  <c r="X30" i="15"/>
  <c r="M69" i="16"/>
  <c r="L69" i="16" s="1"/>
  <c r="AV75" i="17" l="1"/>
  <c r="AU74" i="17"/>
  <c r="BF75" i="17"/>
  <c r="BE74" i="17"/>
  <c r="AB75" i="17"/>
  <c r="AA74" i="17"/>
  <c r="AL75" i="17"/>
  <c r="AK74" i="17"/>
  <c r="AK32" i="15"/>
  <c r="AJ31" i="15"/>
  <c r="AE32" i="15"/>
  <c r="AD31" i="15"/>
  <c r="Y32" i="15"/>
  <c r="X31" i="15"/>
  <c r="M70" i="16"/>
  <c r="L70" i="16" s="1"/>
  <c r="AV76" i="17" l="1"/>
  <c r="AU76" i="17" s="1"/>
  <c r="AU75" i="17"/>
  <c r="BF76" i="17"/>
  <c r="BE76" i="17" s="1"/>
  <c r="BE75" i="17"/>
  <c r="AB76" i="17"/>
  <c r="AA76" i="17" s="1"/>
  <c r="AA75" i="17"/>
  <c r="AL76" i="17"/>
  <c r="AK76" i="17" s="1"/>
  <c r="AK75" i="17"/>
  <c r="AK33" i="15"/>
  <c r="AJ32" i="15"/>
  <c r="AE33" i="15"/>
  <c r="AD32" i="15"/>
  <c r="Y33" i="15"/>
  <c r="X32" i="15"/>
  <c r="M71" i="16"/>
  <c r="L71" i="16" s="1"/>
  <c r="AK34" i="15" l="1"/>
  <c r="AJ33" i="15"/>
  <c r="AE34" i="15"/>
  <c r="AD33" i="15"/>
  <c r="Y34" i="15"/>
  <c r="X33" i="15"/>
  <c r="M72" i="16"/>
  <c r="L72" i="16" s="1"/>
  <c r="AK35" i="15" l="1"/>
  <c r="AJ34" i="15"/>
  <c r="AE35" i="15"/>
  <c r="AD34" i="15"/>
  <c r="Y35" i="15"/>
  <c r="X34" i="15"/>
  <c r="M73" i="16"/>
  <c r="L73" i="16" s="1"/>
  <c r="AK36" i="15" l="1"/>
  <c r="AJ35" i="15"/>
  <c r="AE36" i="15"/>
  <c r="AD35" i="15"/>
  <c r="Y36" i="15"/>
  <c r="X35" i="15"/>
  <c r="M74" i="16"/>
  <c r="L74" i="16" s="1"/>
  <c r="AK37" i="15" l="1"/>
  <c r="AJ36" i="15"/>
  <c r="AE37" i="15"/>
  <c r="AD36" i="15"/>
  <c r="Y37" i="15"/>
  <c r="X36" i="15"/>
  <c r="M75" i="16"/>
  <c r="L75" i="16" s="1"/>
  <c r="AK38" i="15" l="1"/>
  <c r="AJ37" i="15"/>
  <c r="AE38" i="15"/>
  <c r="AD37" i="15"/>
  <c r="Y38" i="15"/>
  <c r="X37" i="15"/>
  <c r="M76" i="16"/>
  <c r="L76" i="16" s="1"/>
  <c r="AK39" i="15" l="1"/>
  <c r="AJ38" i="15"/>
  <c r="AE39" i="15"/>
  <c r="AD38" i="15"/>
  <c r="Y39" i="15"/>
  <c r="X38" i="15"/>
  <c r="M77" i="16"/>
  <c r="L77" i="16" s="1"/>
  <c r="AK40" i="15" l="1"/>
  <c r="AJ39" i="15"/>
  <c r="AE40" i="15"/>
  <c r="AD39" i="15"/>
  <c r="Y40" i="15"/>
  <c r="X39" i="15"/>
  <c r="M78" i="16"/>
  <c r="L78" i="16" s="1"/>
  <c r="AK41" i="15" l="1"/>
  <c r="AJ40" i="15"/>
  <c r="AE41" i="15"/>
  <c r="AD40" i="15"/>
  <c r="Y41" i="15"/>
  <c r="X40" i="15"/>
  <c r="M79" i="16"/>
  <c r="L79" i="16" s="1"/>
  <c r="AK42" i="15" l="1"/>
  <c r="AJ41" i="15"/>
  <c r="AE42" i="15"/>
  <c r="AD41" i="15"/>
  <c r="Y42" i="15"/>
  <c r="X41" i="15"/>
  <c r="M80" i="16"/>
  <c r="L80" i="16" s="1"/>
  <c r="AK43" i="15" l="1"/>
  <c r="AJ42" i="15"/>
  <c r="AE43" i="15"/>
  <c r="AD42" i="15"/>
  <c r="Y43" i="15"/>
  <c r="X42" i="15"/>
  <c r="M81" i="16"/>
  <c r="L81" i="16" s="1"/>
  <c r="AK44" i="15" l="1"/>
  <c r="AJ43" i="15"/>
  <c r="AE44" i="15"/>
  <c r="AD43" i="15"/>
  <c r="Y44" i="15"/>
  <c r="X43" i="15"/>
  <c r="M82" i="16"/>
  <c r="L82" i="16" s="1"/>
  <c r="AK45" i="15" l="1"/>
  <c r="AJ44" i="15"/>
  <c r="AE45" i="15"/>
  <c r="AD44" i="15"/>
  <c r="Y45" i="15"/>
  <c r="X44" i="15"/>
  <c r="M83" i="16"/>
  <c r="L83" i="16" s="1"/>
  <c r="AK46" i="15" l="1"/>
  <c r="AJ45" i="15"/>
  <c r="AE46" i="15"/>
  <c r="AD45" i="15"/>
  <c r="Y46" i="15"/>
  <c r="X45" i="15"/>
  <c r="M84" i="16"/>
  <c r="L84" i="16" s="1"/>
  <c r="AK47" i="15" l="1"/>
  <c r="AJ46" i="15"/>
  <c r="AE47" i="15"/>
  <c r="AD46" i="15"/>
  <c r="Y47" i="15"/>
  <c r="X46" i="15"/>
  <c r="M85" i="16"/>
  <c r="L85" i="16" s="1"/>
  <c r="AK48" i="15" l="1"/>
  <c r="AJ47" i="15"/>
  <c r="AE48" i="15"/>
  <c r="AD47" i="15"/>
  <c r="Y48" i="15"/>
  <c r="X47" i="15"/>
  <c r="M86" i="16"/>
  <c r="L86" i="16" s="1"/>
  <c r="AK49" i="15" l="1"/>
  <c r="AJ48" i="15"/>
  <c r="AE49" i="15"/>
  <c r="AD48" i="15"/>
  <c r="Y49" i="15"/>
  <c r="X48" i="15"/>
  <c r="M87" i="16"/>
  <c r="L87" i="16" s="1"/>
  <c r="AK50" i="15" l="1"/>
  <c r="AJ49" i="15"/>
  <c r="AE50" i="15"/>
  <c r="AD49" i="15"/>
  <c r="Y50" i="15"/>
  <c r="X49" i="15"/>
  <c r="M88" i="16"/>
  <c r="L88" i="16" s="1"/>
  <c r="AK51" i="15" l="1"/>
  <c r="AJ50" i="15"/>
  <c r="AE51" i="15"/>
  <c r="AD50" i="15"/>
  <c r="Y51" i="15"/>
  <c r="X50" i="15"/>
  <c r="M89" i="16"/>
  <c r="L89" i="16" s="1"/>
  <c r="AK52" i="15" l="1"/>
  <c r="AJ51" i="15"/>
  <c r="AE52" i="15"/>
  <c r="AD51" i="15"/>
  <c r="Y52" i="15"/>
  <c r="X51" i="15"/>
  <c r="M90" i="16"/>
  <c r="L90" i="16" s="1"/>
  <c r="AK53" i="15" l="1"/>
  <c r="AJ52" i="15"/>
  <c r="AE53" i="15"/>
  <c r="AD52" i="15"/>
  <c r="Y53" i="15"/>
  <c r="X52" i="15"/>
  <c r="M91" i="16"/>
  <c r="L91" i="16" s="1"/>
  <c r="AK54" i="15" l="1"/>
  <c r="AJ53" i="15"/>
  <c r="AE54" i="15"/>
  <c r="AD53" i="15"/>
  <c r="Y54" i="15"/>
  <c r="X53" i="15"/>
  <c r="M92" i="16"/>
  <c r="L92" i="16" s="1"/>
  <c r="AK55" i="15" l="1"/>
  <c r="AJ54" i="15"/>
  <c r="AE55" i="15"/>
  <c r="AD54" i="15"/>
  <c r="Y55" i="15"/>
  <c r="X54" i="15"/>
  <c r="M93" i="16"/>
  <c r="L93" i="16" s="1"/>
  <c r="AK56" i="15" l="1"/>
  <c r="AJ55" i="15"/>
  <c r="AE56" i="15"/>
  <c r="AD55" i="15"/>
  <c r="Y56" i="15"/>
  <c r="X55" i="15"/>
  <c r="M94" i="16"/>
  <c r="L94" i="16" s="1"/>
  <c r="AK57" i="15" l="1"/>
  <c r="AJ56" i="15"/>
  <c r="AE57" i="15"/>
  <c r="AD56" i="15"/>
  <c r="Y57" i="15"/>
  <c r="X56" i="15"/>
  <c r="M95" i="16"/>
  <c r="L95" i="16" s="1"/>
  <c r="AK58" i="15" l="1"/>
  <c r="AJ57" i="15"/>
  <c r="AE58" i="15"/>
  <c r="AD57" i="15"/>
  <c r="Y58" i="15"/>
  <c r="X57" i="15"/>
  <c r="M96" i="16"/>
  <c r="L96" i="16" s="1"/>
  <c r="AK59" i="15" l="1"/>
  <c r="AJ58" i="15"/>
  <c r="AE59" i="15"/>
  <c r="AD58" i="15"/>
  <c r="Y59" i="15"/>
  <c r="X58" i="15"/>
  <c r="M97" i="16"/>
  <c r="L97" i="16" s="1"/>
  <c r="AK60" i="15" l="1"/>
  <c r="AJ59" i="15"/>
  <c r="AE60" i="15"/>
  <c r="AD59" i="15"/>
  <c r="Y60" i="15"/>
  <c r="X59" i="15"/>
  <c r="M98" i="16"/>
  <c r="L98" i="16" s="1"/>
  <c r="AK61" i="15" l="1"/>
  <c r="AJ60" i="15"/>
  <c r="AE61" i="15"/>
  <c r="AD60" i="15"/>
  <c r="Y61" i="15"/>
  <c r="X60" i="15"/>
  <c r="M99" i="16"/>
  <c r="L99" i="16" s="1"/>
  <c r="AK62" i="15" l="1"/>
  <c r="AJ61" i="15"/>
  <c r="AE62" i="15"/>
  <c r="AD61" i="15"/>
  <c r="Y62" i="15"/>
  <c r="X61" i="15"/>
  <c r="M100" i="16"/>
  <c r="L100" i="16" s="1"/>
  <c r="AK63" i="15" l="1"/>
  <c r="AJ62" i="15"/>
  <c r="AE63" i="15"/>
  <c r="AD62" i="15"/>
  <c r="Y63" i="15"/>
  <c r="X62" i="15"/>
  <c r="M101" i="16"/>
  <c r="L101" i="16" s="1"/>
  <c r="AK64" i="15" l="1"/>
  <c r="AJ63" i="15"/>
  <c r="AE64" i="15"/>
  <c r="AD63" i="15"/>
  <c r="Y64" i="15"/>
  <c r="X63" i="15"/>
  <c r="M102" i="16"/>
  <c r="L102" i="16" s="1"/>
  <c r="AK65" i="15" l="1"/>
  <c r="AJ64" i="15"/>
  <c r="AE65" i="15"/>
  <c r="AD64" i="15"/>
  <c r="Y65" i="15"/>
  <c r="X64" i="15"/>
  <c r="M103" i="16"/>
  <c r="L103" i="16" s="1"/>
  <c r="AK66" i="15" l="1"/>
  <c r="AJ65" i="15"/>
  <c r="AE66" i="15"/>
  <c r="AD65" i="15"/>
  <c r="Y66" i="15"/>
  <c r="X65" i="15"/>
  <c r="M104" i="16"/>
  <c r="L104" i="16" s="1"/>
  <c r="AK67" i="15" l="1"/>
  <c r="AJ66" i="15"/>
  <c r="AE67" i="15"/>
  <c r="AD66" i="15"/>
  <c r="Y67" i="15"/>
  <c r="X66" i="15"/>
  <c r="M105" i="16"/>
  <c r="L105" i="16" s="1"/>
  <c r="AK68" i="15" l="1"/>
  <c r="AJ67" i="15"/>
  <c r="AE68" i="15"/>
  <c r="AD67" i="15"/>
  <c r="Y68" i="15"/>
  <c r="X67" i="15"/>
  <c r="Z19" i="15"/>
  <c r="N11" i="17"/>
  <c r="M106" i="16"/>
  <c r="L106" i="16" s="1"/>
  <c r="BG16" i="17"/>
  <c r="W15" i="17"/>
  <c r="AC16" i="17"/>
  <c r="AW16" i="17"/>
  <c r="Q15" i="17"/>
  <c r="W32" i="17"/>
  <c r="AM16" i="17"/>
  <c r="AM17" i="17" a="1"/>
  <c r="AC17" i="17" a="1"/>
  <c r="BG17" i="17" a="1"/>
  <c r="AW17" i="17" a="1"/>
  <c r="Q16" i="17" a="1"/>
  <c r="W16" i="17" a="1"/>
  <c r="W33" i="17" a="1"/>
  <c r="W41" i="17" l="1"/>
  <c r="W34" i="17"/>
  <c r="W44" i="17"/>
  <c r="W38" i="17"/>
  <c r="W33" i="17"/>
  <c r="W39" i="17"/>
  <c r="W42" i="17"/>
  <c r="W40" i="17"/>
  <c r="W36" i="17"/>
  <c r="W35" i="17"/>
  <c r="W43" i="17"/>
  <c r="W37" i="17"/>
  <c r="W21" i="17"/>
  <c r="W26" i="17"/>
  <c r="W23" i="17"/>
  <c r="W25" i="17"/>
  <c r="W22" i="17"/>
  <c r="W18" i="17"/>
  <c r="W17" i="17"/>
  <c r="W19" i="17"/>
  <c r="W20" i="17"/>
  <c r="W27" i="17"/>
  <c r="W24" i="17"/>
  <c r="W16" i="17"/>
  <c r="Q41" i="17"/>
  <c r="Q59" i="17"/>
  <c r="Q62" i="17"/>
  <c r="Q50" i="17"/>
  <c r="Q45" i="17"/>
  <c r="Q23" i="17"/>
  <c r="Q55" i="17"/>
  <c r="Q49" i="17"/>
  <c r="Q44" i="17"/>
  <c r="Q48" i="17"/>
  <c r="Q67" i="17"/>
  <c r="Q40" i="17"/>
  <c r="Q30" i="17"/>
  <c r="Q65" i="17"/>
  <c r="Q29" i="17"/>
  <c r="Q26" i="17"/>
  <c r="Q36" i="17"/>
  <c r="Q46" i="17"/>
  <c r="Q16" i="17"/>
  <c r="Q57" i="17"/>
  <c r="Q69" i="17"/>
  <c r="Q27" i="17"/>
  <c r="Q52" i="17"/>
  <c r="Q58" i="17"/>
  <c r="Q38" i="17"/>
  <c r="Q51" i="17"/>
  <c r="Q63" i="17"/>
  <c r="Q19" i="17"/>
  <c r="Q39" i="17"/>
  <c r="Q28" i="17"/>
  <c r="Q32" i="17"/>
  <c r="Q35" i="17"/>
  <c r="Q24" i="17"/>
  <c r="Q60" i="17"/>
  <c r="Q64" i="17"/>
  <c r="Q43" i="17"/>
  <c r="Q18" i="17"/>
  <c r="Q61" i="17"/>
  <c r="Q21" i="17"/>
  <c r="Q17" i="17"/>
  <c r="Q20" i="17"/>
  <c r="Q34" i="17"/>
  <c r="Q22" i="17"/>
  <c r="Q37" i="17"/>
  <c r="Q25" i="17"/>
  <c r="Q68" i="17"/>
  <c r="Q42" i="17"/>
  <c r="Q54" i="17"/>
  <c r="Q31" i="17"/>
  <c r="Q53" i="17"/>
  <c r="Q47" i="17"/>
  <c r="Q56" i="17"/>
  <c r="Q33" i="17"/>
  <c r="Q66" i="17"/>
  <c r="AW58" i="17"/>
  <c r="AW67" i="17"/>
  <c r="AW38" i="17"/>
  <c r="AW68" i="17"/>
  <c r="AW54" i="17"/>
  <c r="AW24" i="17"/>
  <c r="AW25" i="17"/>
  <c r="AW66" i="17"/>
  <c r="AW75" i="17"/>
  <c r="AW70" i="17"/>
  <c r="AW76" i="17"/>
  <c r="AW23" i="17"/>
  <c r="AW32" i="17"/>
  <c r="AW33" i="17"/>
  <c r="AW74" i="17"/>
  <c r="AW37" i="17"/>
  <c r="AW20" i="17"/>
  <c r="AW21" i="17"/>
  <c r="AW31" i="17"/>
  <c r="AW40" i="17"/>
  <c r="AW41" i="17"/>
  <c r="AW18" i="17"/>
  <c r="AW43" i="17"/>
  <c r="AW36" i="17"/>
  <c r="AW30" i="17"/>
  <c r="AW64" i="17"/>
  <c r="AW34" i="17"/>
  <c r="AW61" i="17"/>
  <c r="AW52" i="17"/>
  <c r="AW47" i="17"/>
  <c r="AW17" i="17"/>
  <c r="AW26" i="17"/>
  <c r="AW46" i="17"/>
  <c r="AW53" i="17"/>
  <c r="AW72" i="17"/>
  <c r="AW50" i="17"/>
  <c r="AW51" i="17"/>
  <c r="AW39" i="17"/>
  <c r="AW57" i="17"/>
  <c r="AW19" i="17"/>
  <c r="AW28" i="17"/>
  <c r="AW55" i="17"/>
  <c r="AW65" i="17"/>
  <c r="AW27" i="17"/>
  <c r="AW44" i="17"/>
  <c r="AW63" i="17"/>
  <c r="AW73" i="17"/>
  <c r="AW22" i="17"/>
  <c r="AW45" i="17"/>
  <c r="AW56" i="17"/>
  <c r="AW71" i="17"/>
  <c r="AW42" i="17"/>
  <c r="AW48" i="17"/>
  <c r="AW35" i="17"/>
  <c r="AW49" i="17"/>
  <c r="AW59" i="17"/>
  <c r="AW62" i="17"/>
  <c r="AW60" i="17"/>
  <c r="AW29" i="17"/>
  <c r="AW69" i="17"/>
  <c r="BG26" i="17"/>
  <c r="BG27" i="17"/>
  <c r="BG62" i="17"/>
  <c r="BG28" i="17"/>
  <c r="BG29" i="17"/>
  <c r="BG54" i="17"/>
  <c r="BG55" i="17"/>
  <c r="BG64" i="17"/>
  <c r="BG74" i="17"/>
  <c r="BG46" i="17"/>
  <c r="BG36" i="17"/>
  <c r="BG45" i="17"/>
  <c r="BG73" i="17"/>
  <c r="BG32" i="17"/>
  <c r="BG19" i="17"/>
  <c r="BG72" i="17"/>
  <c r="BG44" i="17"/>
  <c r="BG53" i="17"/>
  <c r="BG23" i="17"/>
  <c r="BG40" i="17"/>
  <c r="BG18" i="17"/>
  <c r="BG35" i="17"/>
  <c r="BG25" i="17"/>
  <c r="BG52" i="17"/>
  <c r="BG61" i="17"/>
  <c r="BG31" i="17"/>
  <c r="BG48" i="17"/>
  <c r="BG66" i="17"/>
  <c r="BG75" i="17"/>
  <c r="BG69" i="17"/>
  <c r="BG71" i="17"/>
  <c r="BG51" i="17"/>
  <c r="BG20" i="17"/>
  <c r="BG38" i="17"/>
  <c r="BG56" i="17"/>
  <c r="BG59" i="17"/>
  <c r="BG60" i="17"/>
  <c r="BG70" i="17"/>
  <c r="BG17" i="17"/>
  <c r="BG34" i="17"/>
  <c r="BG67" i="17"/>
  <c r="BG68" i="17"/>
  <c r="BG41" i="17"/>
  <c r="BG49" i="17"/>
  <c r="BG58" i="17"/>
  <c r="BG37" i="17"/>
  <c r="BG30" i="17"/>
  <c r="BG39" i="17"/>
  <c r="BG33" i="17"/>
  <c r="BG47" i="17"/>
  <c r="BG65" i="17"/>
  <c r="BG63" i="17"/>
  <c r="BG50" i="17"/>
  <c r="BG21" i="17"/>
  <c r="BG42" i="17"/>
  <c r="BG43" i="17"/>
  <c r="BG57" i="17"/>
  <c r="BG76" i="17"/>
  <c r="BG22" i="17"/>
  <c r="BG24" i="17"/>
  <c r="AC72" i="17"/>
  <c r="AC50" i="17"/>
  <c r="AC51" i="17"/>
  <c r="AC52" i="17"/>
  <c r="AC69" i="17"/>
  <c r="AC38" i="17"/>
  <c r="AC31" i="17"/>
  <c r="AC24" i="17"/>
  <c r="AC57" i="17"/>
  <c r="AC19" i="17"/>
  <c r="AC28" i="17"/>
  <c r="AC45" i="17"/>
  <c r="AC53" i="17"/>
  <c r="AC39" i="17"/>
  <c r="AC40" i="17"/>
  <c r="AC26" i="17"/>
  <c r="AC35" i="17"/>
  <c r="AC44" i="17"/>
  <c r="AC22" i="17"/>
  <c r="AC73" i="17"/>
  <c r="AC55" i="17"/>
  <c r="AC48" i="17"/>
  <c r="AC34" i="17"/>
  <c r="AC43" i="17"/>
  <c r="AC60" i="17"/>
  <c r="AC30" i="17"/>
  <c r="AC21" i="17"/>
  <c r="AC63" i="17"/>
  <c r="AC56" i="17"/>
  <c r="AC42" i="17"/>
  <c r="AC59" i="17"/>
  <c r="AC68" i="17"/>
  <c r="AC46" i="17"/>
  <c r="AC70" i="17"/>
  <c r="AC71" i="17"/>
  <c r="AC41" i="17"/>
  <c r="AC74" i="17"/>
  <c r="AC20" i="17"/>
  <c r="AC37" i="17"/>
  <c r="AC25" i="17"/>
  <c r="AC23" i="17"/>
  <c r="AC17" i="17"/>
  <c r="AC76" i="17"/>
  <c r="AC47" i="17"/>
  <c r="AC18" i="17"/>
  <c r="AC29" i="17"/>
  <c r="AC58" i="17"/>
  <c r="AC61" i="17"/>
  <c r="AC66" i="17"/>
  <c r="AC54" i="17"/>
  <c r="AC27" i="17"/>
  <c r="AC62" i="17"/>
  <c r="AC67" i="17"/>
  <c r="AC33" i="17"/>
  <c r="AC32" i="17"/>
  <c r="AC75" i="17"/>
  <c r="AC49" i="17"/>
  <c r="AC64" i="17"/>
  <c r="AC36" i="17"/>
  <c r="AC65" i="17"/>
  <c r="AM42" i="17"/>
  <c r="AM68" i="17"/>
  <c r="AM71" i="17"/>
  <c r="AM57" i="17"/>
  <c r="AM67" i="17"/>
  <c r="AM69" i="17"/>
  <c r="AM41" i="17"/>
  <c r="AM55" i="17"/>
  <c r="AM18" i="17"/>
  <c r="AM36" i="17"/>
  <c r="AM47" i="17"/>
  <c r="AM73" i="17"/>
  <c r="AM28" i="17"/>
  <c r="AM63" i="17"/>
  <c r="AM38" i="17"/>
  <c r="AM34" i="17"/>
  <c r="AM21" i="17"/>
  <c r="AM40" i="17"/>
  <c r="AM27" i="17"/>
  <c r="AM60" i="17"/>
  <c r="AM48" i="17"/>
  <c r="AM62" i="17"/>
  <c r="AM74" i="17"/>
  <c r="AM32" i="17"/>
  <c r="AM43" i="17"/>
  <c r="AM70" i="17"/>
  <c r="AM46" i="17"/>
  <c r="AM52" i="17"/>
  <c r="AM72" i="17"/>
  <c r="AM59" i="17"/>
  <c r="AM24" i="17"/>
  <c r="AM37" i="17"/>
  <c r="AM17" i="17"/>
  <c r="AM75" i="17"/>
  <c r="AM64" i="17"/>
  <c r="AM26" i="17"/>
  <c r="AM45" i="17"/>
  <c r="AM33" i="17"/>
  <c r="AM44" i="17"/>
  <c r="AM25" i="17"/>
  <c r="AM66" i="17"/>
  <c r="AM23" i="17"/>
  <c r="AM35" i="17"/>
  <c r="AM53" i="17"/>
  <c r="AM30" i="17"/>
  <c r="AM49" i="17"/>
  <c r="AM31" i="17"/>
  <c r="AM19" i="17"/>
  <c r="AM50" i="17"/>
  <c r="AM51" i="17"/>
  <c r="AM58" i="17"/>
  <c r="AM76" i="17"/>
  <c r="AM20" i="17"/>
  <c r="AM29" i="17"/>
  <c r="AM61" i="17"/>
  <c r="AM39" i="17"/>
  <c r="AM54" i="17"/>
  <c r="AM65" i="17"/>
  <c r="AM56" i="17"/>
  <c r="AM22" i="17"/>
  <c r="AK69" i="15"/>
  <c r="AJ68" i="15"/>
  <c r="AE69" i="15"/>
  <c r="AD68" i="15"/>
  <c r="Y69" i="15"/>
  <c r="X68" i="15"/>
  <c r="AL19" i="15"/>
  <c r="AF19" i="15"/>
  <c r="N12" i="17"/>
  <c r="N25" i="17"/>
  <c r="K22" i="16"/>
  <c r="M107" i="16"/>
  <c r="L107" i="16" s="1"/>
  <c r="Y33" i="17" a="1"/>
  <c r="BJ17" i="17" a="1"/>
  <c r="S16" i="17" a="1"/>
  <c r="Y16" i="17" a="1"/>
  <c r="AP17" i="17" a="1"/>
  <c r="AZ17" i="17" a="1"/>
  <c r="AF17" i="17" a="1"/>
  <c r="AF49" i="17" l="1"/>
  <c r="AF50" i="17"/>
  <c r="AF75" i="17"/>
  <c r="AF24" i="17"/>
  <c r="AF22" i="17"/>
  <c r="AF60" i="17"/>
  <c r="AF64" i="17"/>
  <c r="AF65" i="17"/>
  <c r="AF66" i="17"/>
  <c r="AF37" i="17"/>
  <c r="AF56" i="17"/>
  <c r="AF48" i="17"/>
  <c r="AF76" i="17"/>
  <c r="AF31" i="17"/>
  <c r="AF18" i="17"/>
  <c r="AF43" i="17"/>
  <c r="AF40" i="17"/>
  <c r="AF28" i="17"/>
  <c r="AF54" i="17"/>
  <c r="AF17" i="17"/>
  <c r="AF34" i="17"/>
  <c r="AF21" i="17"/>
  <c r="AF19" i="17"/>
  <c r="AF44" i="17"/>
  <c r="AF23" i="17"/>
  <c r="AF25" i="17"/>
  <c r="AF42" i="17"/>
  <c r="AF53" i="17"/>
  <c r="AF51" i="17"/>
  <c r="AF52" i="17"/>
  <c r="AF39" i="17"/>
  <c r="AF33" i="17"/>
  <c r="AF58" i="17"/>
  <c r="AF69" i="17"/>
  <c r="AF67" i="17"/>
  <c r="AF68" i="17"/>
  <c r="AF47" i="17"/>
  <c r="AF73" i="17"/>
  <c r="AF35" i="17"/>
  <c r="AF70" i="17"/>
  <c r="AF20" i="17"/>
  <c r="AF38" i="17"/>
  <c r="AF71" i="17"/>
  <c r="AF46" i="17"/>
  <c r="AF55" i="17"/>
  <c r="AF41" i="17"/>
  <c r="AF72" i="17"/>
  <c r="AF63" i="17"/>
  <c r="AF57" i="17"/>
  <c r="AF45" i="17"/>
  <c r="AF26" i="17"/>
  <c r="AF62" i="17"/>
  <c r="AF74" i="17"/>
  <c r="AF36" i="17"/>
  <c r="AF27" i="17"/>
  <c r="AF29" i="17"/>
  <c r="AF59" i="17"/>
  <c r="AF61" i="17"/>
  <c r="AF30" i="17"/>
  <c r="AF32" i="17"/>
  <c r="AZ58" i="17"/>
  <c r="AZ52" i="17"/>
  <c r="AZ38" i="17"/>
  <c r="AZ57" i="17"/>
  <c r="AZ76" i="17"/>
  <c r="AZ24" i="17"/>
  <c r="AZ73" i="17"/>
  <c r="AZ34" i="17"/>
  <c r="AZ28" i="17"/>
  <c r="AZ22" i="17"/>
  <c r="AZ19" i="17"/>
  <c r="AZ53" i="17"/>
  <c r="AZ65" i="17"/>
  <c r="AZ32" i="17"/>
  <c r="AZ42" i="17"/>
  <c r="AZ44" i="17"/>
  <c r="AZ46" i="17"/>
  <c r="AZ27" i="17"/>
  <c r="AZ69" i="17"/>
  <c r="AZ54" i="17"/>
  <c r="AZ17" i="17"/>
  <c r="AZ50" i="17"/>
  <c r="AZ60" i="17"/>
  <c r="AZ70" i="17"/>
  <c r="AZ35" i="17"/>
  <c r="AZ30" i="17"/>
  <c r="AZ48" i="17"/>
  <c r="AZ49" i="17"/>
  <c r="AZ74" i="17"/>
  <c r="AZ61" i="17"/>
  <c r="AZ75" i="17"/>
  <c r="AZ72" i="17"/>
  <c r="AZ67" i="17"/>
  <c r="AZ55" i="17"/>
  <c r="AZ37" i="17"/>
  <c r="AZ23" i="17"/>
  <c r="AZ20" i="17"/>
  <c r="AZ40" i="17"/>
  <c r="AZ62" i="17"/>
  <c r="AZ39" i="17"/>
  <c r="AZ68" i="17"/>
  <c r="AZ56" i="17"/>
  <c r="AZ47" i="17"/>
  <c r="AZ63" i="17"/>
  <c r="AZ66" i="17"/>
  <c r="AZ59" i="17"/>
  <c r="AZ21" i="17"/>
  <c r="AZ71" i="17"/>
  <c r="AZ29" i="17"/>
  <c r="AZ64" i="17"/>
  <c r="AZ45" i="17"/>
  <c r="AZ33" i="17"/>
  <c r="AZ26" i="17"/>
  <c r="AZ43" i="17"/>
  <c r="AZ18" i="17"/>
  <c r="AZ51" i="17"/>
  <c r="AZ31" i="17"/>
  <c r="AZ25" i="17"/>
  <c r="AZ36" i="17"/>
  <c r="AZ41" i="17"/>
  <c r="AP26" i="17"/>
  <c r="AP36" i="17"/>
  <c r="AP40" i="17"/>
  <c r="AP51" i="17"/>
  <c r="AP29" i="17"/>
  <c r="AP73" i="17"/>
  <c r="AP70" i="17"/>
  <c r="AP33" i="17"/>
  <c r="AP34" i="17"/>
  <c r="AP52" i="17"/>
  <c r="AP72" i="17"/>
  <c r="AP59" i="17"/>
  <c r="AP45" i="17"/>
  <c r="AP56" i="17"/>
  <c r="AP23" i="17"/>
  <c r="AP49" i="17"/>
  <c r="AP42" i="17"/>
  <c r="AP68" i="17"/>
  <c r="AP25" i="17"/>
  <c r="AP67" i="17"/>
  <c r="AP61" i="17"/>
  <c r="AP22" i="17"/>
  <c r="AP31" i="17"/>
  <c r="AP65" i="17"/>
  <c r="AP50" i="17"/>
  <c r="AP69" i="17"/>
  <c r="AP28" i="17"/>
  <c r="AP41" i="17"/>
  <c r="AP55" i="17"/>
  <c r="AP66" i="17"/>
  <c r="AP57" i="17"/>
  <c r="AP60" i="17"/>
  <c r="AP38" i="17"/>
  <c r="AP64" i="17"/>
  <c r="AP20" i="17"/>
  <c r="AP43" i="17"/>
  <c r="AP30" i="17"/>
  <c r="AP37" i="17"/>
  <c r="AP44" i="17"/>
  <c r="AP54" i="17"/>
  <c r="AP53" i="17"/>
  <c r="AP76" i="17"/>
  <c r="AP62" i="17"/>
  <c r="AP71" i="17"/>
  <c r="AP63" i="17"/>
  <c r="AP39" i="17"/>
  <c r="AP74" i="17"/>
  <c r="AP35" i="17"/>
  <c r="AP17" i="17"/>
  <c r="AP75" i="17"/>
  <c r="AP32" i="17"/>
  <c r="AP48" i="17"/>
  <c r="AP18" i="17"/>
  <c r="AP46" i="17"/>
  <c r="AP58" i="17"/>
  <c r="AP47" i="17"/>
  <c r="AP21" i="17"/>
  <c r="AP24" i="17"/>
  <c r="AP19" i="17"/>
  <c r="AP27" i="17"/>
  <c r="Y20" i="17"/>
  <c r="Y26" i="17"/>
  <c r="Y21" i="17"/>
  <c r="Y19" i="17"/>
  <c r="Y18" i="17"/>
  <c r="Y24" i="17"/>
  <c r="Y22" i="17"/>
  <c r="Y23" i="17"/>
  <c r="Y16" i="17"/>
  <c r="Y17" i="17"/>
  <c r="Y25" i="17"/>
  <c r="Y27" i="17"/>
  <c r="S16" i="17"/>
  <c r="S42" i="17"/>
  <c r="S29" i="17"/>
  <c r="S33" i="17"/>
  <c r="S58" i="17"/>
  <c r="S45" i="17"/>
  <c r="S61" i="17"/>
  <c r="S40" i="17"/>
  <c r="S67" i="17"/>
  <c r="S55" i="17"/>
  <c r="S34" i="17"/>
  <c r="S21" i="17"/>
  <c r="S22" i="17"/>
  <c r="S56" i="17"/>
  <c r="S36" i="17"/>
  <c r="S25" i="17"/>
  <c r="S27" i="17"/>
  <c r="S38" i="17"/>
  <c r="S23" i="17"/>
  <c r="S26" i="17"/>
  <c r="S53" i="17"/>
  <c r="S49" i="17"/>
  <c r="S59" i="17"/>
  <c r="S39" i="17"/>
  <c r="S63" i="17"/>
  <c r="S32" i="17"/>
  <c r="S43" i="17"/>
  <c r="S31" i="17"/>
  <c r="S18" i="17"/>
  <c r="S68" i="17"/>
  <c r="S64" i="17"/>
  <c r="S41" i="17"/>
  <c r="S62" i="17"/>
  <c r="S66" i="17"/>
  <c r="S57" i="17"/>
  <c r="S51" i="17"/>
  <c r="S19" i="17"/>
  <c r="S65" i="17"/>
  <c r="S52" i="17"/>
  <c r="S28" i="17"/>
  <c r="S50" i="17"/>
  <c r="S37" i="17"/>
  <c r="S60" i="17"/>
  <c r="S35" i="17"/>
  <c r="S46" i="17"/>
  <c r="S30" i="17"/>
  <c r="S20" i="17"/>
  <c r="S47" i="17"/>
  <c r="S24" i="17"/>
  <c r="S54" i="17"/>
  <c r="S44" i="17"/>
  <c r="S48" i="17"/>
  <c r="S69" i="17"/>
  <c r="S17" i="17"/>
  <c r="BJ74" i="17"/>
  <c r="BJ47" i="17"/>
  <c r="BJ35" i="17"/>
  <c r="BJ60" i="17"/>
  <c r="BJ25" i="17"/>
  <c r="BJ46" i="17"/>
  <c r="BJ32" i="17"/>
  <c r="BJ18" i="17"/>
  <c r="BJ20" i="17"/>
  <c r="BJ55" i="17"/>
  <c r="BJ43" i="17"/>
  <c r="BJ26" i="17"/>
  <c r="BJ36" i="17"/>
  <c r="BJ24" i="17"/>
  <c r="BJ51" i="17"/>
  <c r="BJ21" i="17"/>
  <c r="BJ61" i="17"/>
  <c r="BJ62" i="17"/>
  <c r="BJ17" i="17"/>
  <c r="BJ34" i="17"/>
  <c r="BJ37" i="17"/>
  <c r="BJ67" i="17"/>
  <c r="BJ40" i="17"/>
  <c r="BJ54" i="17"/>
  <c r="BJ65" i="17"/>
  <c r="BJ42" i="17"/>
  <c r="BJ53" i="17"/>
  <c r="BJ75" i="17"/>
  <c r="BJ64" i="17"/>
  <c r="BJ70" i="17"/>
  <c r="BJ50" i="17"/>
  <c r="BJ48" i="17"/>
  <c r="BJ28" i="17"/>
  <c r="BJ57" i="17"/>
  <c r="BJ23" i="17"/>
  <c r="BJ66" i="17"/>
  <c r="BJ59" i="17"/>
  <c r="BJ22" i="17"/>
  <c r="BJ68" i="17"/>
  <c r="BJ76" i="17"/>
  <c r="BJ38" i="17"/>
  <c r="BJ29" i="17"/>
  <c r="BJ45" i="17"/>
  <c r="BJ31" i="17"/>
  <c r="BJ33" i="17"/>
  <c r="BJ69" i="17"/>
  <c r="BJ39" i="17"/>
  <c r="BJ27" i="17"/>
  <c r="BJ41" i="17"/>
  <c r="BJ63" i="17"/>
  <c r="BJ72" i="17"/>
  <c r="BJ58" i="17"/>
  <c r="BJ49" i="17"/>
  <c r="BJ19" i="17"/>
  <c r="BJ56" i="17"/>
  <c r="BJ52" i="17"/>
  <c r="BJ73" i="17"/>
  <c r="BJ44" i="17"/>
  <c r="BJ30" i="17"/>
  <c r="BJ71" i="17"/>
  <c r="Y36" i="17"/>
  <c r="Y33" i="17"/>
  <c r="Y37" i="17"/>
  <c r="Y35" i="17"/>
  <c r="Y43" i="17"/>
  <c r="Y39" i="17"/>
  <c r="Y44" i="17"/>
  <c r="Y34" i="17"/>
  <c r="Y42" i="17"/>
  <c r="Y38" i="17"/>
  <c r="Y40" i="17"/>
  <c r="Y41" i="17"/>
  <c r="AK70" i="15"/>
  <c r="AJ69" i="15"/>
  <c r="AE70" i="15"/>
  <c r="AD69" i="15"/>
  <c r="Y70" i="15"/>
  <c r="X69" i="15"/>
  <c r="M108" i="16"/>
  <c r="L108" i="16" s="1"/>
  <c r="AK71" i="15" l="1"/>
  <c r="AJ70" i="15"/>
  <c r="AE71" i="15"/>
  <c r="AD70" i="15"/>
  <c r="Y71" i="15"/>
  <c r="X70" i="15"/>
  <c r="M109" i="16"/>
  <c r="L109" i="16" s="1"/>
  <c r="AK72" i="15" l="1"/>
  <c r="AJ71" i="15"/>
  <c r="AE72" i="15"/>
  <c r="AD71" i="15"/>
  <c r="Y72" i="15"/>
  <c r="X71" i="15"/>
  <c r="M110" i="16"/>
  <c r="L110" i="16" s="1"/>
  <c r="AK73" i="15" l="1"/>
  <c r="AJ72" i="15"/>
  <c r="AE73" i="15"/>
  <c r="AD72" i="15"/>
  <c r="Y73" i="15"/>
  <c r="X72" i="15"/>
  <c r="M111" i="16"/>
  <c r="L111" i="16" s="1"/>
  <c r="AK74" i="15" l="1"/>
  <c r="AJ73" i="15"/>
  <c r="AE74" i="15"/>
  <c r="AD73" i="15"/>
  <c r="Y74" i="15"/>
  <c r="X73" i="15"/>
  <c r="M112" i="16"/>
  <c r="L112" i="16" s="1"/>
  <c r="AK75" i="15" l="1"/>
  <c r="AJ74" i="15"/>
  <c r="AE75" i="15"/>
  <c r="AD74" i="15"/>
  <c r="Y75" i="15"/>
  <c r="X74" i="15"/>
  <c r="M113" i="16"/>
  <c r="L113" i="16" s="1"/>
  <c r="AK76" i="15" l="1"/>
  <c r="AJ75" i="15"/>
  <c r="AE76" i="15"/>
  <c r="AD75" i="15"/>
  <c r="Y76" i="15"/>
  <c r="X75" i="15"/>
  <c r="M114" i="16"/>
  <c r="L114" i="16" s="1"/>
  <c r="AK77" i="15" l="1"/>
  <c r="AJ76" i="15"/>
  <c r="AE77" i="15"/>
  <c r="AD76" i="15"/>
  <c r="Y77" i="15"/>
  <c r="X76" i="15"/>
  <c r="M115" i="16"/>
  <c r="L115" i="16" s="1"/>
  <c r="AK78" i="15" l="1"/>
  <c r="AJ77" i="15"/>
  <c r="AE78" i="15"/>
  <c r="AD77" i="15"/>
  <c r="Y78" i="15"/>
  <c r="X77" i="15"/>
  <c r="M116" i="16"/>
  <c r="L116" i="16" s="1"/>
  <c r="AK79" i="15" l="1"/>
  <c r="AJ78" i="15"/>
  <c r="AE79" i="15"/>
  <c r="AD78" i="15"/>
  <c r="Y79" i="15"/>
  <c r="X78" i="15"/>
  <c r="M117" i="16"/>
  <c r="L117" i="16" s="1"/>
  <c r="AK80" i="15" l="1"/>
  <c r="AJ79" i="15"/>
  <c r="AE80" i="15"/>
  <c r="AD79" i="15"/>
  <c r="Y80" i="15"/>
  <c r="X79" i="15"/>
  <c r="M118" i="16"/>
  <c r="L118" i="16" s="1"/>
  <c r="AK81" i="15" l="1"/>
  <c r="AJ80" i="15"/>
  <c r="AE81" i="15"/>
  <c r="AD80" i="15"/>
  <c r="Y81" i="15"/>
  <c r="X80" i="15"/>
  <c r="M119" i="16"/>
  <c r="L119" i="16" s="1"/>
  <c r="AK82" i="15" l="1"/>
  <c r="AJ81" i="15"/>
  <c r="AE82" i="15"/>
  <c r="AD81" i="15"/>
  <c r="Y82" i="15"/>
  <c r="X81" i="15"/>
  <c r="M120" i="16"/>
  <c r="L120" i="16" s="1"/>
  <c r="AK83" i="15" l="1"/>
  <c r="AJ82" i="15"/>
  <c r="AE83" i="15"/>
  <c r="AD82" i="15"/>
  <c r="Y83" i="15"/>
  <c r="X82" i="15"/>
  <c r="M121" i="16"/>
  <c r="L121" i="16" s="1"/>
  <c r="AK84" i="15" l="1"/>
  <c r="AJ83" i="15"/>
  <c r="AE84" i="15"/>
  <c r="AD83" i="15"/>
  <c r="Y84" i="15"/>
  <c r="X83" i="15"/>
  <c r="M122" i="16"/>
  <c r="L122" i="16" s="1"/>
  <c r="AK85" i="15" l="1"/>
  <c r="AJ84" i="15"/>
  <c r="AE85" i="15"/>
  <c r="AD84" i="15"/>
  <c r="Y85" i="15"/>
  <c r="X84" i="15"/>
  <c r="M123" i="16"/>
  <c r="L123" i="16" s="1"/>
  <c r="AK86" i="15" l="1"/>
  <c r="AJ85" i="15"/>
  <c r="AE86" i="15"/>
  <c r="AD85" i="15"/>
  <c r="Y86" i="15"/>
  <c r="X85" i="15"/>
  <c r="M124" i="16"/>
  <c r="L124" i="16" s="1"/>
  <c r="AK87" i="15" l="1"/>
  <c r="AJ86" i="15"/>
  <c r="AE87" i="15"/>
  <c r="AD86" i="15"/>
  <c r="Y87" i="15"/>
  <c r="X86" i="15"/>
  <c r="M125" i="16"/>
  <c r="L125" i="16" s="1"/>
  <c r="AK88" i="15" l="1"/>
  <c r="AJ87" i="15"/>
  <c r="AE88" i="15"/>
  <c r="AD87" i="15"/>
  <c r="Y88" i="15"/>
  <c r="X87" i="15"/>
  <c r="M17" i="15"/>
  <c r="M16" i="15"/>
  <c r="M13" i="15"/>
  <c r="M15" i="15"/>
  <c r="M11" i="15"/>
  <c r="M18" i="15"/>
  <c r="M14" i="15"/>
  <c r="M12" i="15"/>
  <c r="M126" i="16"/>
  <c r="L126" i="16" s="1"/>
  <c r="AK89" i="15" l="1"/>
  <c r="AJ88" i="15"/>
  <c r="AE89" i="15"/>
  <c r="AD88" i="15"/>
  <c r="Y89" i="15"/>
  <c r="X88" i="15"/>
  <c r="H10" i="20"/>
  <c r="H14" i="20"/>
  <c r="H13" i="20"/>
  <c r="H15" i="20"/>
  <c r="H17" i="19"/>
  <c r="H15" i="19"/>
  <c r="H16" i="19"/>
  <c r="H12" i="19"/>
  <c r="H13" i="19"/>
  <c r="H16" i="20"/>
  <c r="H11" i="20"/>
  <c r="H14" i="19"/>
  <c r="H10" i="19"/>
  <c r="H17" i="20"/>
  <c r="H12" i="20"/>
  <c r="H11" i="19"/>
  <c r="C8" i="15"/>
  <c r="D8" i="15" s="1"/>
  <c r="M127" i="16"/>
  <c r="L127" i="16" s="1"/>
  <c r="AK90" i="15" l="1"/>
  <c r="AJ89" i="15"/>
  <c r="AE90" i="15"/>
  <c r="AD89" i="15"/>
  <c r="Y90" i="15"/>
  <c r="X89" i="15"/>
  <c r="G3" i="21"/>
  <c r="N7" i="15"/>
  <c r="I3" i="21" s="1"/>
  <c r="C17" i="15"/>
  <c r="G5" i="21" s="1"/>
  <c r="M128" i="16"/>
  <c r="L128" i="16" s="1"/>
  <c r="D6" i="10"/>
  <c r="L6" i="10"/>
  <c r="H6" i="10"/>
  <c r="AK91" i="15" l="1"/>
  <c r="AJ90" i="15"/>
  <c r="AE91" i="15"/>
  <c r="AD90" i="15"/>
  <c r="Y91" i="15"/>
  <c r="X90" i="15"/>
  <c r="E6" i="20"/>
  <c r="D6" i="19"/>
  <c r="D6" i="20"/>
  <c r="E6" i="19"/>
  <c r="C18" i="15"/>
  <c r="C19" i="15"/>
  <c r="G7" i="21" s="1"/>
  <c r="O7" i="15"/>
  <c r="P7" i="15"/>
  <c r="D17" i="15"/>
  <c r="M129" i="16"/>
  <c r="L129" i="16" s="1"/>
  <c r="C11" i="15"/>
  <c r="D11" i="15" s="1"/>
  <c r="C9" i="15"/>
  <c r="D9" i="15" s="1"/>
  <c r="C10" i="15"/>
  <c r="D10" i="15" s="1"/>
  <c r="F29" i="15"/>
  <c r="G29" i="15" s="1"/>
  <c r="C12" i="21" s="1"/>
  <c r="D12" i="21" s="1"/>
  <c r="AK92" i="15" l="1"/>
  <c r="AJ91" i="15"/>
  <c r="AE92" i="15"/>
  <c r="AD91" i="15"/>
  <c r="Y92" i="15"/>
  <c r="X91" i="15"/>
  <c r="R40" i="15"/>
  <c r="H5" i="21"/>
  <c r="G6" i="21"/>
  <c r="G4" i="21"/>
  <c r="K6" i="19"/>
  <c r="J6" i="20"/>
  <c r="J6" i="19"/>
  <c r="K6" i="20"/>
  <c r="D18" i="15"/>
  <c r="S41" i="15" s="1"/>
  <c r="I26" i="15"/>
  <c r="J26" i="15" s="1"/>
  <c r="I27" i="15"/>
  <c r="J27" i="15" s="1"/>
  <c r="I31" i="15"/>
  <c r="J31" i="15" s="1"/>
  <c r="I28" i="15"/>
  <c r="J28" i="15" s="1"/>
  <c r="I25" i="15"/>
  <c r="J25" i="15" s="1"/>
  <c r="F26" i="15"/>
  <c r="G26" i="15" s="1"/>
  <c r="C9" i="21" s="1"/>
  <c r="D9" i="21" s="1"/>
  <c r="N47" i="15"/>
  <c r="O47" i="15"/>
  <c r="R21" i="15"/>
  <c r="I29" i="15"/>
  <c r="J29" i="15" s="1"/>
  <c r="F25" i="15"/>
  <c r="G25" i="15" s="1"/>
  <c r="C8" i="21" s="1"/>
  <c r="D8" i="21" s="1"/>
  <c r="F27" i="15"/>
  <c r="G27" i="15" s="1"/>
  <c r="C10" i="21" s="1"/>
  <c r="D10" i="21" s="1"/>
  <c r="F31" i="15"/>
  <c r="G31" i="15" s="1"/>
  <c r="F28" i="15"/>
  <c r="G28" i="15" s="1"/>
  <c r="C11" i="21" s="1"/>
  <c r="D11" i="21" s="1"/>
  <c r="S40" i="15"/>
  <c r="N9" i="15"/>
  <c r="D19" i="15"/>
  <c r="N10" i="15"/>
  <c r="N8" i="15"/>
  <c r="I4" i="21" s="1"/>
  <c r="M130" i="16"/>
  <c r="L130" i="16" s="1"/>
  <c r="I9" i="15"/>
  <c r="H9" i="10"/>
  <c r="L9" i="10"/>
  <c r="H7" i="10"/>
  <c r="L7" i="10"/>
  <c r="D7" i="10"/>
  <c r="L8" i="10"/>
  <c r="D8" i="10"/>
  <c r="H8" i="10"/>
  <c r="C12" i="15"/>
  <c r="D12" i="15" s="1"/>
  <c r="K9" i="15"/>
  <c r="AK93" i="15" l="1"/>
  <c r="AJ92" i="15"/>
  <c r="AE93" i="15"/>
  <c r="AD92" i="15"/>
  <c r="Y93" i="15"/>
  <c r="X92" i="15"/>
  <c r="D8" i="19"/>
  <c r="I5" i="21"/>
  <c r="E8" i="19"/>
  <c r="D8" i="20"/>
  <c r="E8" i="20"/>
  <c r="R41" i="15"/>
  <c r="G11" i="21"/>
  <c r="H11" i="21"/>
  <c r="H6" i="21"/>
  <c r="G30" i="15"/>
  <c r="C13" i="21" s="1"/>
  <c r="D13" i="21" s="1"/>
  <c r="C14" i="21"/>
  <c r="D14" i="21" s="1"/>
  <c r="H8" i="21"/>
  <c r="G8" i="21"/>
  <c r="H9" i="21"/>
  <c r="G9" i="21"/>
  <c r="H12" i="21"/>
  <c r="G12" i="21"/>
  <c r="H10" i="21"/>
  <c r="G10" i="21"/>
  <c r="C7" i="21"/>
  <c r="H14" i="21"/>
  <c r="G14" i="21"/>
  <c r="Q15" i="20"/>
  <c r="Q15" i="19"/>
  <c r="P15" i="20"/>
  <c r="P15" i="19"/>
  <c r="D7" i="19"/>
  <c r="E7" i="19"/>
  <c r="D7" i="20"/>
  <c r="E7" i="20"/>
  <c r="F34" i="15"/>
  <c r="G34" i="15" s="1"/>
  <c r="O46" i="15"/>
  <c r="N46" i="15"/>
  <c r="R20" i="15"/>
  <c r="O45" i="15"/>
  <c r="N45" i="15"/>
  <c r="R47" i="15"/>
  <c r="J30" i="15"/>
  <c r="S47" i="15"/>
  <c r="T47" i="15" s="1"/>
  <c r="R43" i="15"/>
  <c r="S43" i="15"/>
  <c r="T43" i="15" s="1"/>
  <c r="R49" i="15"/>
  <c r="S49" i="15"/>
  <c r="T49" i="15" s="1"/>
  <c r="R44" i="15"/>
  <c r="S44" i="15"/>
  <c r="T44" i="15" s="1"/>
  <c r="I34" i="15"/>
  <c r="J34" i="15" s="1"/>
  <c r="O49" i="15"/>
  <c r="N49" i="15"/>
  <c r="R23" i="15"/>
  <c r="N44" i="15"/>
  <c r="O44" i="15"/>
  <c r="S46" i="15"/>
  <c r="T46" i="15" s="1"/>
  <c r="R46" i="15"/>
  <c r="R45" i="15"/>
  <c r="S45" i="15"/>
  <c r="T45" i="15" s="1"/>
  <c r="Q11" i="15"/>
  <c r="P10" i="15"/>
  <c r="O10" i="15"/>
  <c r="P9" i="15"/>
  <c r="O9" i="15"/>
  <c r="J9" i="15"/>
  <c r="N11" i="15" s="1"/>
  <c r="O11" i="15" s="1"/>
  <c r="P11" i="15"/>
  <c r="O8" i="15"/>
  <c r="P8" i="15"/>
  <c r="M131" i="16"/>
  <c r="L131" i="16" s="1"/>
  <c r="O43" i="15"/>
  <c r="N43" i="15"/>
  <c r="L10" i="10"/>
  <c r="I10" i="15"/>
  <c r="K10" i="15"/>
  <c r="AK94" i="15" l="1"/>
  <c r="AJ93" i="15"/>
  <c r="AE94" i="15"/>
  <c r="AD93" i="15"/>
  <c r="Y94" i="15"/>
  <c r="X93" i="15"/>
  <c r="R22" i="15"/>
  <c r="I6" i="21"/>
  <c r="O48" i="15"/>
  <c r="N48" i="15"/>
  <c r="Q16" i="20" s="1"/>
  <c r="E9" i="20"/>
  <c r="D9" i="20"/>
  <c r="E9" i="19"/>
  <c r="D9" i="19"/>
  <c r="J32" i="15"/>
  <c r="R50" i="15" s="1"/>
  <c r="H17" i="21"/>
  <c r="G17" i="21"/>
  <c r="H13" i="21"/>
  <c r="G13" i="21"/>
  <c r="G32" i="15"/>
  <c r="C15" i="21" s="1"/>
  <c r="D15" i="21" s="1"/>
  <c r="C17" i="21"/>
  <c r="D17" i="21" s="1"/>
  <c r="Q14" i="20"/>
  <c r="P14" i="20"/>
  <c r="P14" i="19"/>
  <c r="Q14" i="19"/>
  <c r="Q17" i="20"/>
  <c r="Q17" i="19"/>
  <c r="P17" i="19"/>
  <c r="P17" i="20"/>
  <c r="D17" i="19"/>
  <c r="E17" i="19"/>
  <c r="E17" i="20"/>
  <c r="D17" i="20"/>
  <c r="P11" i="20"/>
  <c r="Q11" i="20"/>
  <c r="P11" i="19"/>
  <c r="Q11" i="19"/>
  <c r="D15" i="19"/>
  <c r="E15" i="19"/>
  <c r="E15" i="20"/>
  <c r="D15" i="20"/>
  <c r="K10" i="20"/>
  <c r="J10" i="19"/>
  <c r="K10" i="19"/>
  <c r="J10" i="20"/>
  <c r="E14" i="20"/>
  <c r="E14" i="19"/>
  <c r="D14" i="19"/>
  <c r="D14" i="20"/>
  <c r="D13" i="20"/>
  <c r="E13" i="19"/>
  <c r="E13" i="20"/>
  <c r="D13" i="19"/>
  <c r="Q12" i="19"/>
  <c r="Q12" i="20"/>
  <c r="P12" i="19"/>
  <c r="P12" i="20"/>
  <c r="E12" i="19"/>
  <c r="E12" i="20"/>
  <c r="D12" i="19"/>
  <c r="D12" i="20"/>
  <c r="D11" i="19"/>
  <c r="E11" i="19"/>
  <c r="D11" i="20"/>
  <c r="E11" i="20"/>
  <c r="P13" i="19"/>
  <c r="P13" i="20"/>
  <c r="Q13" i="19"/>
  <c r="Q13" i="20"/>
  <c r="G33" i="15"/>
  <c r="J9" i="19"/>
  <c r="K9" i="19"/>
  <c r="J9" i="20"/>
  <c r="K9" i="20"/>
  <c r="J7" i="19"/>
  <c r="K7" i="19"/>
  <c r="J7" i="20"/>
  <c r="K7" i="20"/>
  <c r="J8" i="19"/>
  <c r="K8" i="19"/>
  <c r="J8" i="20"/>
  <c r="K8" i="20"/>
  <c r="J33" i="15"/>
  <c r="R48" i="15"/>
  <c r="S48" i="15"/>
  <c r="T48" i="15" s="1"/>
  <c r="G35" i="15"/>
  <c r="C18" i="21" s="1"/>
  <c r="D18" i="21" s="1"/>
  <c r="N52" i="15"/>
  <c r="O52" i="15"/>
  <c r="R26" i="15"/>
  <c r="R52" i="15"/>
  <c r="S52" i="15"/>
  <c r="T52" i="15" s="1"/>
  <c r="Q12" i="15"/>
  <c r="J10" i="15"/>
  <c r="N12" i="15" s="1"/>
  <c r="O12" i="15" s="1"/>
  <c r="P12" i="15"/>
  <c r="M132" i="16"/>
  <c r="L132" i="16" s="1"/>
  <c r="H10" i="10"/>
  <c r="D10" i="10"/>
  <c r="AK95" i="15" l="1"/>
  <c r="AJ94" i="15"/>
  <c r="AE95" i="15"/>
  <c r="AD94" i="15"/>
  <c r="Y95" i="15"/>
  <c r="X94" i="15"/>
  <c r="Q16" i="19"/>
  <c r="P16" i="19"/>
  <c r="O50" i="15"/>
  <c r="P16" i="20"/>
  <c r="S50" i="15"/>
  <c r="T50" i="15" s="1"/>
  <c r="N50" i="15"/>
  <c r="R24" i="15"/>
  <c r="S51" i="15"/>
  <c r="T51" i="15" s="1"/>
  <c r="H16" i="21"/>
  <c r="G16" i="21"/>
  <c r="G15" i="21"/>
  <c r="H15" i="21"/>
  <c r="N51" i="15"/>
  <c r="C16" i="21"/>
  <c r="D16" i="21" s="1"/>
  <c r="R25" i="15"/>
  <c r="O51" i="15"/>
  <c r="E16" i="19"/>
  <c r="D16" i="19"/>
  <c r="E16" i="20"/>
  <c r="D16" i="20"/>
  <c r="K11" i="19"/>
  <c r="K11" i="20"/>
  <c r="J11" i="20"/>
  <c r="J11" i="19"/>
  <c r="E20" i="19"/>
  <c r="D20" i="20"/>
  <c r="D20" i="19"/>
  <c r="E20" i="20"/>
  <c r="P20" i="19"/>
  <c r="Q20" i="19"/>
  <c r="P20" i="20"/>
  <c r="Q20" i="20"/>
  <c r="E18" i="19"/>
  <c r="D18" i="20"/>
  <c r="E18" i="20"/>
  <c r="D18" i="19"/>
  <c r="R51" i="15"/>
  <c r="N53" i="15"/>
  <c r="O53" i="15"/>
  <c r="R27" i="15"/>
  <c r="M133" i="16"/>
  <c r="L133" i="16" s="1"/>
  <c r="I11" i="15"/>
  <c r="L11" i="10"/>
  <c r="D11" i="10"/>
  <c r="H11" i="10"/>
  <c r="K11" i="15"/>
  <c r="AK96" i="15" l="1"/>
  <c r="AJ95" i="15"/>
  <c r="AE96" i="15"/>
  <c r="AD95" i="15"/>
  <c r="Y96" i="15"/>
  <c r="X95" i="15"/>
  <c r="P18" i="20"/>
  <c r="Q19" i="20"/>
  <c r="P19" i="20"/>
  <c r="P18" i="19"/>
  <c r="Q18" i="20"/>
  <c r="Q18" i="19"/>
  <c r="P19" i="19"/>
  <c r="Q19" i="19"/>
  <c r="Q21" i="20"/>
  <c r="Q21" i="19"/>
  <c r="P21" i="20"/>
  <c r="P21" i="19"/>
  <c r="E19" i="20"/>
  <c r="D19" i="19"/>
  <c r="E19" i="19"/>
  <c r="D19" i="20"/>
  <c r="Q13" i="15"/>
  <c r="J11" i="15"/>
  <c r="N13" i="15" s="1"/>
  <c r="O13" i="15" s="1"/>
  <c r="P13" i="15"/>
  <c r="M134" i="16"/>
  <c r="L134" i="16" s="1"/>
  <c r="I12" i="15"/>
  <c r="K12" i="15"/>
  <c r="AK97" i="15" l="1"/>
  <c r="AJ96" i="15"/>
  <c r="AE97" i="15"/>
  <c r="AD96" i="15"/>
  <c r="Y97" i="15"/>
  <c r="X96" i="15"/>
  <c r="K12" i="19"/>
  <c r="J12" i="19"/>
  <c r="J12" i="20"/>
  <c r="K12" i="20"/>
  <c r="Q14" i="15"/>
  <c r="P14" i="15"/>
  <c r="J12" i="15"/>
  <c r="N14" i="15" s="1"/>
  <c r="O14" i="15" s="1"/>
  <c r="M135" i="16"/>
  <c r="L135" i="16" s="1"/>
  <c r="H13" i="10"/>
  <c r="L12" i="10"/>
  <c r="D12" i="10"/>
  <c r="H12" i="10"/>
  <c r="I13" i="15"/>
  <c r="K13" i="15"/>
  <c r="AK98" i="15" l="1"/>
  <c r="AJ97" i="15"/>
  <c r="AE98" i="15"/>
  <c r="AD97" i="15"/>
  <c r="Y98" i="15"/>
  <c r="X97" i="15"/>
  <c r="J13" i="19"/>
  <c r="K13" i="19"/>
  <c r="J13" i="20"/>
  <c r="K13" i="20"/>
  <c r="Q15" i="15"/>
  <c r="P15" i="15"/>
  <c r="J13" i="15"/>
  <c r="N15" i="15" s="1"/>
  <c r="O15" i="15" s="1"/>
  <c r="D14" i="10"/>
  <c r="I14" i="15"/>
  <c r="L13" i="10"/>
  <c r="D13" i="10"/>
  <c r="K14" i="15"/>
  <c r="AK99" i="15" l="1"/>
  <c r="AJ99" i="15" s="1"/>
  <c r="AJ98" i="15"/>
  <c r="AE99" i="15"/>
  <c r="AD98" i="15"/>
  <c r="Y99" i="15"/>
  <c r="X98" i="15"/>
  <c r="J14" i="19"/>
  <c r="K14" i="19"/>
  <c r="J14" i="20"/>
  <c r="K14" i="20"/>
  <c r="Q16" i="15"/>
  <c r="P16" i="15"/>
  <c r="J14" i="15"/>
  <c r="N16" i="15" s="1"/>
  <c r="O16" i="15" s="1"/>
  <c r="L15" i="10"/>
  <c r="I15" i="15"/>
  <c r="H14" i="10"/>
  <c r="L14" i="10"/>
  <c r="K15" i="15"/>
  <c r="AL20" i="15" a="1"/>
  <c r="AL61" i="15" l="1"/>
  <c r="AL87" i="15"/>
  <c r="AL76" i="15"/>
  <c r="AL70" i="15"/>
  <c r="AL32" i="15"/>
  <c r="AL79" i="15"/>
  <c r="AL34" i="15"/>
  <c r="AL98" i="15"/>
  <c r="AL83" i="15"/>
  <c r="AL60" i="15"/>
  <c r="AL37" i="15"/>
  <c r="AL47" i="15"/>
  <c r="AL89" i="15"/>
  <c r="AL78" i="15"/>
  <c r="AL80" i="15"/>
  <c r="AL96" i="15"/>
  <c r="AL66" i="15"/>
  <c r="AL59" i="15"/>
  <c r="AL44" i="15"/>
  <c r="AL53" i="15"/>
  <c r="AL24" i="15"/>
  <c r="AL22" i="15"/>
  <c r="AL94" i="15"/>
  <c r="AL49" i="15"/>
  <c r="AL57" i="15"/>
  <c r="AL82" i="15"/>
  <c r="AL75" i="15"/>
  <c r="AL68" i="15"/>
  <c r="AL69" i="15"/>
  <c r="AL40" i="15"/>
  <c r="AL30" i="15"/>
  <c r="AL39" i="15"/>
  <c r="AL73" i="15"/>
  <c r="AL81" i="15"/>
  <c r="AL90" i="15"/>
  <c r="AL91" i="15"/>
  <c r="AL84" i="15"/>
  <c r="AL77" i="15"/>
  <c r="AL64" i="15"/>
  <c r="AL38" i="15"/>
  <c r="AL55" i="15"/>
  <c r="AL97" i="15"/>
  <c r="AL26" i="15"/>
  <c r="AL27" i="15"/>
  <c r="AL99" i="15"/>
  <c r="AL29" i="15"/>
  <c r="AL31" i="15"/>
  <c r="AL65" i="15"/>
  <c r="AL62" i="15"/>
  <c r="AL56" i="15"/>
  <c r="AL72" i="15"/>
  <c r="AL58" i="15"/>
  <c r="AL51" i="15"/>
  <c r="AL36" i="15"/>
  <c r="AL63" i="15"/>
  <c r="AL95" i="15"/>
  <c r="AL35" i="15"/>
  <c r="AL25" i="15"/>
  <c r="AL43" i="15"/>
  <c r="AL88" i="15"/>
  <c r="AL41" i="15"/>
  <c r="AL23" i="15"/>
  <c r="AL67" i="15"/>
  <c r="AL92" i="15"/>
  <c r="AL48" i="15"/>
  <c r="AL20" i="15"/>
  <c r="AL21" i="15"/>
  <c r="AL46" i="15"/>
  <c r="AL33" i="15"/>
  <c r="AL28" i="15"/>
  <c r="AL45" i="15"/>
  <c r="AL54" i="15"/>
  <c r="AL42" i="15"/>
  <c r="AL52" i="15"/>
  <c r="AL85" i="15"/>
  <c r="AL86" i="15"/>
  <c r="AL50" i="15"/>
  <c r="AL93" i="15"/>
  <c r="AL71" i="15"/>
  <c r="AL74" i="15"/>
  <c r="AE100" i="15"/>
  <c r="AD99" i="15"/>
  <c r="Y100" i="15"/>
  <c r="X99" i="15"/>
  <c r="J15" i="19"/>
  <c r="K15" i="19"/>
  <c r="J15" i="20"/>
  <c r="K15" i="20"/>
  <c r="Q17" i="15"/>
  <c r="P17" i="15"/>
  <c r="J15" i="15"/>
  <c r="N17" i="15" s="1"/>
  <c r="O17" i="15" s="1"/>
  <c r="D15" i="10"/>
  <c r="H15" i="10"/>
  <c r="I16" i="15"/>
  <c r="K16" i="15"/>
  <c r="AN20" i="15" a="1"/>
  <c r="AN36" i="15" l="1"/>
  <c r="AN21" i="15"/>
  <c r="AN29" i="15"/>
  <c r="AN37" i="15"/>
  <c r="AN45" i="15"/>
  <c r="AN53" i="15"/>
  <c r="AN61" i="15"/>
  <c r="AN69" i="15"/>
  <c r="AN77" i="15"/>
  <c r="AN85" i="15"/>
  <c r="AN93" i="15"/>
  <c r="AN22" i="15"/>
  <c r="AN30" i="15"/>
  <c r="AN38" i="15"/>
  <c r="AN46" i="15"/>
  <c r="AN54" i="15"/>
  <c r="AN62" i="15"/>
  <c r="AN70" i="15"/>
  <c r="AN78" i="15"/>
  <c r="AN86" i="15"/>
  <c r="AN94" i="15"/>
  <c r="AN72" i="15"/>
  <c r="AN88" i="15"/>
  <c r="AN33" i="15"/>
  <c r="AN49" i="15"/>
  <c r="AN65" i="15"/>
  <c r="AN81" i="15"/>
  <c r="AN97" i="15"/>
  <c r="AN27" i="15"/>
  <c r="AN43" i="15"/>
  <c r="AN59" i="15"/>
  <c r="AN75" i="15"/>
  <c r="AN91" i="15"/>
  <c r="AN99" i="15"/>
  <c r="AN20" i="15"/>
  <c r="AN44" i="15"/>
  <c r="AN60" i="15"/>
  <c r="AN68" i="15"/>
  <c r="AN84" i="15"/>
  <c r="AN92" i="15"/>
  <c r="AN23" i="15"/>
  <c r="AN31" i="15"/>
  <c r="AN39" i="15"/>
  <c r="AN47" i="15"/>
  <c r="AN55" i="15"/>
  <c r="AN63" i="15"/>
  <c r="AN71" i="15"/>
  <c r="AN79" i="15"/>
  <c r="AN87" i="15"/>
  <c r="AN95" i="15"/>
  <c r="AN24" i="15"/>
  <c r="AN32" i="15"/>
  <c r="AN40" i="15"/>
  <c r="AN48" i="15"/>
  <c r="AN56" i="15"/>
  <c r="AN64" i="15"/>
  <c r="AN80" i="15"/>
  <c r="AN96" i="15"/>
  <c r="AN25" i="15"/>
  <c r="AN41" i="15"/>
  <c r="AN57" i="15"/>
  <c r="AN73" i="15"/>
  <c r="AN89" i="15"/>
  <c r="AN35" i="15"/>
  <c r="AN51" i="15"/>
  <c r="AN67" i="15"/>
  <c r="AN83" i="15"/>
  <c r="AN28" i="15"/>
  <c r="AN52" i="15"/>
  <c r="AN76" i="15"/>
  <c r="AN26" i="15"/>
  <c r="AN34" i="15"/>
  <c r="AN42" i="15"/>
  <c r="AN50" i="15"/>
  <c r="AN58" i="15"/>
  <c r="AN66" i="15"/>
  <c r="AN74" i="15"/>
  <c r="AN82" i="15"/>
  <c r="AN90" i="15"/>
  <c r="AN98" i="15"/>
  <c r="AE101" i="15"/>
  <c r="AD100" i="15"/>
  <c r="Y101" i="15"/>
  <c r="X100" i="15"/>
  <c r="J16" i="19"/>
  <c r="K16" i="19"/>
  <c r="J16" i="20"/>
  <c r="K16" i="20"/>
  <c r="Q18" i="15"/>
  <c r="P18" i="15"/>
  <c r="J16" i="15"/>
  <c r="N18" i="15" s="1"/>
  <c r="O18" i="15" s="1"/>
  <c r="D16" i="10"/>
  <c r="H16" i="10"/>
  <c r="L16" i="10"/>
  <c r="AE102" i="15" l="1"/>
  <c r="AD101" i="15"/>
  <c r="Y102" i="15"/>
  <c r="X101" i="15"/>
  <c r="J17" i="19"/>
  <c r="K17" i="19"/>
  <c r="J17" i="20"/>
  <c r="K17" i="20"/>
  <c r="D17" i="10"/>
  <c r="H17" i="10"/>
  <c r="L17" i="10"/>
  <c r="AE103" i="15" l="1"/>
  <c r="AD102" i="15"/>
  <c r="Y103" i="15"/>
  <c r="X102" i="15"/>
  <c r="F7" i="11"/>
  <c r="AE104" i="15" l="1"/>
  <c r="AD103" i="15"/>
  <c r="Y104" i="15"/>
  <c r="X103" i="15"/>
  <c r="F6" i="11"/>
  <c r="AE105" i="15" l="1"/>
  <c r="AD104" i="15"/>
  <c r="Y105" i="15"/>
  <c r="X104" i="15"/>
  <c r="K14" i="9"/>
  <c r="P14" i="9"/>
  <c r="C32" i="15"/>
  <c r="D32" i="15" s="1"/>
  <c r="N24" i="15" s="1"/>
  <c r="P17" i="9"/>
  <c r="C30" i="15"/>
  <c r="D30" i="15" s="1"/>
  <c r="N22" i="15" s="1"/>
  <c r="C36" i="15"/>
  <c r="D36" i="15" s="1"/>
  <c r="N28" i="15" s="1"/>
  <c r="C34" i="15"/>
  <c r="D34" i="15" s="1"/>
  <c r="N26" i="15" s="1"/>
  <c r="P23" i="9"/>
  <c r="P18" i="9"/>
  <c r="P26" i="9"/>
  <c r="P19" i="9"/>
  <c r="P22" i="9"/>
  <c r="C35" i="15"/>
  <c r="D35" i="15" s="1"/>
  <c r="N27" i="15" s="1"/>
  <c r="P15" i="9"/>
  <c r="P24" i="9"/>
  <c r="P25" i="9"/>
  <c r="P20" i="9"/>
  <c r="P16" i="9"/>
  <c r="C37" i="15"/>
  <c r="D37" i="15" s="1"/>
  <c r="N29" i="15" s="1"/>
  <c r="P21" i="9"/>
  <c r="C33" i="15"/>
  <c r="D33" i="15" s="1"/>
  <c r="N25" i="15" s="1"/>
  <c r="AE106" i="15" l="1"/>
  <c r="AD105" i="15"/>
  <c r="Y106" i="15"/>
  <c r="X105" i="15"/>
  <c r="L19" i="10"/>
  <c r="C28" i="15"/>
  <c r="D28" i="15" s="1"/>
  <c r="P25" i="15"/>
  <c r="O25" i="15"/>
  <c r="O29" i="15"/>
  <c r="P29" i="15"/>
  <c r="L25" i="10"/>
  <c r="C38" i="15"/>
  <c r="D38" i="15" s="1"/>
  <c r="N30" i="15" s="1"/>
  <c r="P27" i="15"/>
  <c r="O27" i="15"/>
  <c r="P22" i="15"/>
  <c r="O22" i="15"/>
  <c r="L20" i="10"/>
  <c r="C29" i="15"/>
  <c r="D29" i="15" s="1"/>
  <c r="N21" i="15" s="1"/>
  <c r="L21" i="10"/>
  <c r="C31" i="15"/>
  <c r="D31" i="15" s="1"/>
  <c r="N23" i="15" s="1"/>
  <c r="P28" i="15"/>
  <c r="O28" i="15"/>
  <c r="L30" i="10"/>
  <c r="C39" i="15"/>
  <c r="D39" i="15" s="1"/>
  <c r="N31" i="15" s="1"/>
  <c r="O26" i="15"/>
  <c r="P26" i="15"/>
  <c r="O24" i="15"/>
  <c r="P24" i="15"/>
  <c r="L24" i="10"/>
  <c r="D22" i="10"/>
  <c r="L22" i="10"/>
  <c r="D23" i="10"/>
  <c r="L23" i="10"/>
  <c r="H19" i="10"/>
  <c r="D19" i="10"/>
  <c r="C27" i="15"/>
  <c r="D27" i="15" s="1"/>
  <c r="N19" i="15" s="1"/>
  <c r="H22" i="10"/>
  <c r="H23" i="10"/>
  <c r="H21" i="10"/>
  <c r="D21" i="10"/>
  <c r="D25" i="10"/>
  <c r="H25" i="10"/>
  <c r="D24" i="10"/>
  <c r="H24" i="10"/>
  <c r="H26" i="10"/>
  <c r="D26" i="10"/>
  <c r="H20" i="10"/>
  <c r="D20" i="10"/>
  <c r="AE107" i="15" l="1"/>
  <c r="AD106" i="15"/>
  <c r="Y107" i="15"/>
  <c r="X106" i="15"/>
  <c r="L28" i="10"/>
  <c r="N20" i="15"/>
  <c r="V14" i="20"/>
  <c r="V14" i="19"/>
  <c r="J25" i="19"/>
  <c r="K25" i="19"/>
  <c r="J25" i="20"/>
  <c r="K25" i="20"/>
  <c r="J28" i="19"/>
  <c r="K28" i="19"/>
  <c r="J28" i="20"/>
  <c r="K28" i="20"/>
  <c r="J27" i="19"/>
  <c r="K27" i="19"/>
  <c r="J27" i="20"/>
  <c r="K27" i="20"/>
  <c r="K26" i="19"/>
  <c r="J26" i="19"/>
  <c r="K26" i="20"/>
  <c r="J26" i="20"/>
  <c r="J23" i="19"/>
  <c r="K23" i="19"/>
  <c r="J23" i="20"/>
  <c r="K23" i="20"/>
  <c r="J21" i="19"/>
  <c r="K21" i="19"/>
  <c r="J21" i="20"/>
  <c r="K21" i="20"/>
  <c r="J24" i="19"/>
  <c r="K24" i="19"/>
  <c r="J24" i="20"/>
  <c r="K24" i="20"/>
  <c r="L27" i="10"/>
  <c r="L29" i="10"/>
  <c r="L26" i="10"/>
  <c r="O31" i="15"/>
  <c r="P31" i="15"/>
  <c r="O23" i="15"/>
  <c r="P23" i="15"/>
  <c r="O30" i="15"/>
  <c r="P30" i="15"/>
  <c r="P19" i="15"/>
  <c r="O19" i="15"/>
  <c r="O21" i="15"/>
  <c r="P21" i="15"/>
  <c r="L18" i="10"/>
  <c r="D18" i="10"/>
  <c r="H18" i="10"/>
  <c r="V16" i="15"/>
  <c r="AM19" i="15" s="1" a="1"/>
  <c r="AM22" i="15" l="1"/>
  <c r="AM30" i="15"/>
  <c r="AM38" i="15"/>
  <c r="AM46" i="15"/>
  <c r="AM54" i="15"/>
  <c r="AM62" i="15"/>
  <c r="AM70" i="15"/>
  <c r="AM78" i="15"/>
  <c r="AM32" i="15"/>
  <c r="AM56" i="15"/>
  <c r="AM34" i="15"/>
  <c r="AM58" i="15"/>
  <c r="AM27" i="15"/>
  <c r="AM51" i="15"/>
  <c r="AM67" i="15"/>
  <c r="AM28" i="15"/>
  <c r="AM44" i="15"/>
  <c r="AM60" i="15"/>
  <c r="AM29" i="15"/>
  <c r="AM45" i="15"/>
  <c r="AM61" i="15"/>
  <c r="AM77" i="15"/>
  <c r="AM23" i="15"/>
  <c r="AM31" i="15"/>
  <c r="AM39" i="15"/>
  <c r="AM47" i="15"/>
  <c r="AM55" i="15"/>
  <c r="AM63" i="15"/>
  <c r="AM71" i="15"/>
  <c r="AM79" i="15"/>
  <c r="AM24" i="15"/>
  <c r="AM40" i="15"/>
  <c r="AM48" i="15"/>
  <c r="AM64" i="15"/>
  <c r="AM72" i="15"/>
  <c r="AM26" i="15"/>
  <c r="AM42" i="15"/>
  <c r="AM50" i="15"/>
  <c r="AM66" i="15"/>
  <c r="AM74" i="15"/>
  <c r="AM19" i="15"/>
  <c r="AM35" i="15"/>
  <c r="AM43" i="15"/>
  <c r="AM59" i="15"/>
  <c r="AM75" i="15"/>
  <c r="AM20" i="15"/>
  <c r="AM36" i="15"/>
  <c r="AM52" i="15"/>
  <c r="AM68" i="15"/>
  <c r="AM76" i="15"/>
  <c r="AM21" i="15"/>
  <c r="AM37" i="15"/>
  <c r="AM53" i="15"/>
  <c r="AM69" i="15"/>
  <c r="AM25" i="15"/>
  <c r="AM33" i="15"/>
  <c r="AM41" i="15"/>
  <c r="AM49" i="15"/>
  <c r="AM57" i="15"/>
  <c r="AM65" i="15"/>
  <c r="AM73" i="15"/>
  <c r="AE108" i="15"/>
  <c r="AD107" i="15"/>
  <c r="Y108" i="15"/>
  <c r="X107" i="15"/>
  <c r="O20" i="15"/>
  <c r="K19" i="20" s="1"/>
  <c r="P20" i="15"/>
  <c r="K18" i="19"/>
  <c r="V8" i="20"/>
  <c r="K18" i="20"/>
  <c r="J18" i="19"/>
  <c r="V8" i="19"/>
  <c r="J18" i="20"/>
  <c r="K20" i="20"/>
  <c r="K20" i="19"/>
  <c r="J20" i="19"/>
  <c r="J20" i="20"/>
  <c r="K29" i="19"/>
  <c r="J29" i="19"/>
  <c r="K29" i="20"/>
  <c r="J29" i="20"/>
  <c r="J30" i="19"/>
  <c r="K30" i="19"/>
  <c r="J30" i="20"/>
  <c r="K30" i="20"/>
  <c r="K22" i="19"/>
  <c r="J22" i="19"/>
  <c r="K22" i="20"/>
  <c r="J22" i="20"/>
  <c r="J19" i="19" l="1"/>
  <c r="K19" i="19"/>
  <c r="J19" i="20"/>
  <c r="V15" i="20"/>
  <c r="V16" i="20" s="1"/>
  <c r="V15" i="19"/>
  <c r="V16" i="19" s="1"/>
  <c r="AE109" i="15"/>
  <c r="AD108" i="15"/>
  <c r="Y109" i="15"/>
  <c r="X108" i="15"/>
  <c r="AO20" i="15"/>
  <c r="W15" i="19"/>
  <c r="U8" i="19"/>
  <c r="U15" i="19"/>
  <c r="V9" i="19"/>
  <c r="V7" i="19"/>
  <c r="W8" i="19"/>
  <c r="W15" i="20"/>
  <c r="U15" i="20"/>
  <c r="U8" i="20"/>
  <c r="V9" i="20"/>
  <c r="V7" i="20"/>
  <c r="W8" i="20"/>
  <c r="J9" i="10"/>
  <c r="B11" i="10"/>
  <c r="B12" i="10"/>
  <c r="F12" i="10" s="1"/>
  <c r="B13" i="10"/>
  <c r="B14" i="10"/>
  <c r="B15" i="10"/>
  <c r="B16" i="10"/>
  <c r="F16" i="10" s="1"/>
  <c r="B17" i="10"/>
  <c r="B18" i="10"/>
  <c r="B19" i="10"/>
  <c r="B20" i="10"/>
  <c r="F20" i="10" s="1"/>
  <c r="B21" i="10"/>
  <c r="B22" i="10"/>
  <c r="B23" i="10"/>
  <c r="B24" i="10"/>
  <c r="B25" i="10"/>
  <c r="B26" i="10"/>
  <c r="B10" i="10"/>
  <c r="F7" i="10"/>
  <c r="F8" i="10"/>
  <c r="F6" i="10"/>
  <c r="Y15" i="19" l="1"/>
  <c r="AE110" i="15"/>
  <c r="AD109" i="15"/>
  <c r="Y110" i="15"/>
  <c r="X109" i="15"/>
  <c r="AK7" i="15"/>
  <c r="AO21" i="15"/>
  <c r="AO22" i="15" s="1"/>
  <c r="AO23" i="15" s="1"/>
  <c r="AO24" i="15" s="1"/>
  <c r="AO25" i="15" s="1"/>
  <c r="AO26" i="15" s="1"/>
  <c r="AO27" i="15" s="1"/>
  <c r="AO28" i="15" s="1"/>
  <c r="AO29" i="15" s="1"/>
  <c r="AO30" i="15" s="1"/>
  <c r="AO31" i="15" s="1"/>
  <c r="AO32" i="15" s="1"/>
  <c r="AO33" i="15" s="1"/>
  <c r="AO34" i="15" s="1"/>
  <c r="AO35" i="15" s="1"/>
  <c r="AO36" i="15" s="1"/>
  <c r="AO37" i="15" s="1"/>
  <c r="AO38" i="15" s="1"/>
  <c r="AO39" i="15" s="1"/>
  <c r="AO40" i="15" s="1"/>
  <c r="AO41" i="15" s="1"/>
  <c r="AO42" i="15" s="1"/>
  <c r="AO43" i="15" s="1"/>
  <c r="AO44" i="15" s="1"/>
  <c r="AO45" i="15" s="1"/>
  <c r="AO46" i="15" s="1"/>
  <c r="AO47" i="15" s="1"/>
  <c r="AO48" i="15" s="1"/>
  <c r="AO49" i="15" s="1"/>
  <c r="AO50" i="15" s="1"/>
  <c r="AO51" i="15" s="1"/>
  <c r="AO52" i="15" s="1"/>
  <c r="AO53" i="15" s="1"/>
  <c r="AO54" i="15" s="1"/>
  <c r="AO55" i="15" s="1"/>
  <c r="AO56" i="15" s="1"/>
  <c r="AO57" i="15" s="1"/>
  <c r="AO58" i="15" s="1"/>
  <c r="AO59" i="15" s="1"/>
  <c r="AO60" i="15" s="1"/>
  <c r="AO61" i="15" s="1"/>
  <c r="AO62" i="15" s="1"/>
  <c r="AO63" i="15" s="1"/>
  <c r="AO64" i="15" s="1"/>
  <c r="AO65" i="15" s="1"/>
  <c r="AO66" i="15" s="1"/>
  <c r="AO67" i="15" s="1"/>
  <c r="AO68" i="15" s="1"/>
  <c r="AO69" i="15" s="1"/>
  <c r="AO70" i="15" s="1"/>
  <c r="AO71" i="15" s="1"/>
  <c r="AO72" i="15" s="1"/>
  <c r="AO73" i="15" s="1"/>
  <c r="AO74" i="15" s="1"/>
  <c r="AO75" i="15" s="1"/>
  <c r="AO76" i="15" s="1"/>
  <c r="AO77" i="15" s="1"/>
  <c r="AO78" i="15" s="1"/>
  <c r="AO79" i="15" s="1"/>
  <c r="AK8" i="15"/>
  <c r="AD7" i="15"/>
  <c r="R42" i="15" s="1"/>
  <c r="U16" i="20"/>
  <c r="X16" i="20" s="1"/>
  <c r="U14" i="20"/>
  <c r="X14" i="20" s="1"/>
  <c r="X15" i="20"/>
  <c r="W7" i="19"/>
  <c r="Y7" i="19" s="1"/>
  <c r="W9" i="19"/>
  <c r="Y9" i="19" s="1"/>
  <c r="W9" i="20"/>
  <c r="Y9" i="20" s="1"/>
  <c r="W7" i="20"/>
  <c r="Y7" i="20" s="1"/>
  <c r="X15" i="19"/>
  <c r="Z15" i="19" s="1"/>
  <c r="U14" i="19"/>
  <c r="X14" i="19" s="1"/>
  <c r="U16" i="19"/>
  <c r="X16" i="19" s="1"/>
  <c r="W14" i="19"/>
  <c r="Y14" i="19" s="1"/>
  <c r="W16" i="19"/>
  <c r="Y16" i="19" s="1"/>
  <c r="Y8" i="20"/>
  <c r="U7" i="20"/>
  <c r="X7" i="20" s="1"/>
  <c r="X8" i="20"/>
  <c r="U9" i="20"/>
  <c r="X9" i="20" s="1"/>
  <c r="W16" i="20"/>
  <c r="Y16" i="20" s="1"/>
  <c r="W14" i="20"/>
  <c r="Y14" i="20" s="1"/>
  <c r="Y8" i="19"/>
  <c r="U9" i="19"/>
  <c r="X9" i="19" s="1"/>
  <c r="X8" i="19"/>
  <c r="U7" i="19"/>
  <c r="X7" i="19" s="1"/>
  <c r="Y15" i="20"/>
  <c r="F14" i="10"/>
  <c r="J14" i="10" s="1"/>
  <c r="F25" i="10"/>
  <c r="J25" i="10" s="1"/>
  <c r="F17" i="10"/>
  <c r="F18" i="10"/>
  <c r="J18" i="10" s="1"/>
  <c r="F24" i="10"/>
  <c r="J6" i="10"/>
  <c r="J7" i="10"/>
  <c r="F21" i="10"/>
  <c r="F13" i="10"/>
  <c r="J16" i="10"/>
  <c r="J8" i="10"/>
  <c r="J12" i="10"/>
  <c r="F26" i="10"/>
  <c r="F22" i="10"/>
  <c r="J20" i="10"/>
  <c r="F10" i="10"/>
  <c r="F23" i="10"/>
  <c r="F19" i="10"/>
  <c r="F15" i="10"/>
  <c r="F11" i="10"/>
  <c r="AE111" i="15" l="1"/>
  <c r="AD110" i="15"/>
  <c r="Y111" i="15"/>
  <c r="X110" i="15"/>
  <c r="Z16" i="20"/>
  <c r="AK9" i="15"/>
  <c r="AM80" i="15" s="1"/>
  <c r="AM81" i="15" s="1"/>
  <c r="AM82" i="15" s="1"/>
  <c r="AM83" i="15" s="1"/>
  <c r="AM84" i="15" s="1"/>
  <c r="AM85" i="15" s="1"/>
  <c r="AM86" i="15" s="1"/>
  <c r="AM87" i="15" s="1"/>
  <c r="AM88" i="15" s="1"/>
  <c r="AM89" i="15" s="1"/>
  <c r="AM90" i="15" s="1"/>
  <c r="AM91" i="15" s="1"/>
  <c r="AM92" i="15" s="1"/>
  <c r="AM93" i="15" s="1"/>
  <c r="AM94" i="15" s="1"/>
  <c r="AM95" i="15" s="1"/>
  <c r="AM96" i="15" s="1"/>
  <c r="AM97" i="15" s="1"/>
  <c r="AM98" i="15" s="1"/>
  <c r="AM99" i="15" s="1"/>
  <c r="O42" i="15"/>
  <c r="O39" i="15" s="1"/>
  <c r="N39" i="15" s="1"/>
  <c r="D10" i="19"/>
  <c r="E10" i="20"/>
  <c r="D10" i="20"/>
  <c r="E10" i="19"/>
  <c r="S42" i="15"/>
  <c r="H7" i="21"/>
  <c r="D7" i="21"/>
  <c r="Z9" i="19"/>
  <c r="Z8" i="19"/>
  <c r="Z7" i="19"/>
  <c r="Z16" i="19"/>
  <c r="Z8" i="20"/>
  <c r="Z14" i="19"/>
  <c r="Z7" i="20"/>
  <c r="Z9" i="20"/>
  <c r="Z14" i="20"/>
  <c r="Z15" i="20"/>
  <c r="J17" i="10"/>
  <c r="J24" i="10"/>
  <c r="J19" i="10"/>
  <c r="J11" i="10"/>
  <c r="J13" i="10"/>
  <c r="J15" i="10"/>
  <c r="J23" i="10"/>
  <c r="J21" i="10"/>
  <c r="J10" i="10"/>
  <c r="J22" i="10"/>
  <c r="AE112" i="15" l="1"/>
  <c r="AD111" i="15"/>
  <c r="Y112" i="15"/>
  <c r="X111" i="15"/>
  <c r="AO80" i="15"/>
  <c r="AO81" i="15" s="1"/>
  <c r="AO82" i="15" s="1"/>
  <c r="AO83" i="15" s="1"/>
  <c r="AO84" i="15" s="1"/>
  <c r="AO85" i="15" s="1"/>
  <c r="AO86" i="15" s="1"/>
  <c r="AO87" i="15" s="1"/>
  <c r="AO88" i="15" s="1"/>
  <c r="AO89" i="15" s="1"/>
  <c r="AO90" i="15" s="1"/>
  <c r="AO91" i="15" s="1"/>
  <c r="AO92" i="15" s="1"/>
  <c r="AO93" i="15" s="1"/>
  <c r="AO94" i="15" s="1"/>
  <c r="AO95" i="15" s="1"/>
  <c r="AO96" i="15" s="1"/>
  <c r="AO97" i="15" s="1"/>
  <c r="AO98" i="15" s="1"/>
  <c r="AO99" i="15" s="1"/>
  <c r="AD10" i="15" s="1"/>
  <c r="D40" i="15" s="1"/>
  <c r="N32" i="15" s="1"/>
  <c r="O38" i="15"/>
  <c r="N38" i="15" s="1"/>
  <c r="O41" i="15"/>
  <c r="N41" i="15" s="1"/>
  <c r="O40" i="15"/>
  <c r="N40" i="15" s="1"/>
  <c r="N42" i="15"/>
  <c r="E4" i="21"/>
  <c r="D4" i="21"/>
  <c r="C4" i="21" s="1"/>
  <c r="D3" i="21"/>
  <c r="C3" i="21" s="1"/>
  <c r="D6" i="21"/>
  <c r="C6" i="21" s="1"/>
  <c r="D5" i="21"/>
  <c r="C5" i="21" s="1"/>
  <c r="P7" i="19"/>
  <c r="Q7" i="19"/>
  <c r="P7" i="20"/>
  <c r="Q7" i="20"/>
  <c r="E10" i="9"/>
  <c r="E11" i="9"/>
  <c r="E12" i="9"/>
  <c r="E13" i="9"/>
  <c r="E14" i="9"/>
  <c r="E15" i="9"/>
  <c r="E16" i="9"/>
  <c r="E9" i="9"/>
  <c r="U10" i="9"/>
  <c r="U11" i="9"/>
  <c r="U12" i="9"/>
  <c r="U13" i="9"/>
  <c r="U14" i="9"/>
  <c r="U15" i="9"/>
  <c r="U16" i="9"/>
  <c r="U9" i="9"/>
  <c r="V25" i="15"/>
  <c r="AE113" i="15" l="1"/>
  <c r="AD112" i="15"/>
  <c r="Y113" i="15"/>
  <c r="X112" i="15"/>
  <c r="P32" i="15"/>
  <c r="Q8" i="20"/>
  <c r="P8" i="19"/>
  <c r="P6" i="20"/>
  <c r="Q9" i="20"/>
  <c r="Q6" i="19"/>
  <c r="P6" i="19"/>
  <c r="E3" i="21"/>
  <c r="Q6" i="20"/>
  <c r="Q10" i="19"/>
  <c r="P10" i="19"/>
  <c r="Q9" i="19"/>
  <c r="P10" i="20"/>
  <c r="P9" i="19"/>
  <c r="Q8" i="19"/>
  <c r="E6" i="21"/>
  <c r="E5" i="21"/>
  <c r="P8" i="20"/>
  <c r="P9" i="20"/>
  <c r="Q10" i="20"/>
  <c r="AE114" i="15" l="1"/>
  <c r="AD113" i="15"/>
  <c r="Y114" i="15"/>
  <c r="X113" i="15"/>
  <c r="AE115" i="15" l="1"/>
  <c r="AD114" i="15"/>
  <c r="Y115" i="15"/>
  <c r="X114" i="15"/>
  <c r="AE116" i="15" l="1"/>
  <c r="AD115" i="15"/>
  <c r="Y116" i="15"/>
  <c r="X115" i="15"/>
  <c r="O14" i="9"/>
  <c r="O16" i="9"/>
  <c r="O18" i="9"/>
  <c r="O20" i="9"/>
  <c r="O22" i="9"/>
  <c r="O24" i="9"/>
  <c r="O26" i="9"/>
  <c r="O15" i="9"/>
  <c r="O17" i="9"/>
  <c r="O19" i="9"/>
  <c r="O21" i="9"/>
  <c r="O23" i="9"/>
  <c r="O25" i="9"/>
  <c r="AE117" i="15" l="1"/>
  <c r="AD116" i="15"/>
  <c r="Y117" i="15"/>
  <c r="X116" i="15"/>
  <c r="AE118" i="15" l="1"/>
  <c r="AD117" i="15"/>
  <c r="Y118" i="15"/>
  <c r="X117" i="15"/>
  <c r="AE119" i="15" l="1"/>
  <c r="AD118" i="15"/>
  <c r="Y119" i="15"/>
  <c r="X118" i="15"/>
  <c r="AE120" i="15" l="1"/>
  <c r="AD119" i="15"/>
  <c r="Y120" i="15"/>
  <c r="X119" i="15"/>
  <c r="AE121" i="15" l="1"/>
  <c r="AD120" i="15"/>
  <c r="Y121" i="15"/>
  <c r="X120" i="15"/>
  <c r="AE122" i="15" l="1"/>
  <c r="AD121" i="15"/>
  <c r="Y122" i="15"/>
  <c r="X121" i="15"/>
  <c r="AE123" i="15" l="1"/>
  <c r="AD122" i="15"/>
  <c r="Y123" i="15"/>
  <c r="X122" i="15"/>
  <c r="K30" i="9"/>
  <c r="K31" i="9"/>
  <c r="AE124" i="15" l="1"/>
  <c r="AD123" i="15"/>
  <c r="Y124" i="15"/>
  <c r="X123" i="15"/>
  <c r="C7" i="11"/>
  <c r="K18" i="9"/>
  <c r="C6" i="11"/>
  <c r="K15" i="9"/>
  <c r="K26" i="9"/>
  <c r="R23" i="9"/>
  <c r="S23" i="9" s="1"/>
  <c r="Q23" i="9" s="1"/>
  <c r="K23" i="9"/>
  <c r="K20" i="9"/>
  <c r="K16" i="9"/>
  <c r="K19" i="9"/>
  <c r="AE125" i="15" l="1"/>
  <c r="AD124" i="15"/>
  <c r="Y125" i="15"/>
  <c r="X124" i="15"/>
  <c r="K37" i="9"/>
  <c r="K35" i="9"/>
  <c r="R24" i="9"/>
  <c r="S24" i="9" s="1"/>
  <c r="Q24" i="9" s="1"/>
  <c r="R26" i="9"/>
  <c r="S26" i="9" s="1"/>
  <c r="Q26" i="9" s="1"/>
  <c r="K17" i="9"/>
  <c r="K21" i="9"/>
  <c r="K22" i="9"/>
  <c r="K24" i="9"/>
  <c r="R17" i="9"/>
  <c r="S17" i="9" s="1"/>
  <c r="Q17" i="9" s="1"/>
  <c r="R18" i="9"/>
  <c r="S18" i="9" s="1"/>
  <c r="Q18" i="9" s="1"/>
  <c r="R19" i="9"/>
  <c r="S19" i="9" s="1"/>
  <c r="Q19" i="9" s="1"/>
  <c r="R20" i="9"/>
  <c r="S20" i="9" s="1"/>
  <c r="Q20" i="9" s="1"/>
  <c r="K25" i="9"/>
  <c r="R25" i="9"/>
  <c r="S25" i="9" s="1"/>
  <c r="Q25" i="9" s="1"/>
  <c r="R21" i="9"/>
  <c r="S21" i="9" s="1"/>
  <c r="Q21" i="9" s="1"/>
  <c r="R22" i="9"/>
  <c r="S22" i="9" s="1"/>
  <c r="Q22" i="9" s="1"/>
  <c r="AE126" i="15" l="1"/>
  <c r="AD125" i="15"/>
  <c r="Y126" i="15"/>
  <c r="X125" i="15"/>
  <c r="K36" i="9"/>
  <c r="R16" i="9"/>
  <c r="S16" i="9" s="1"/>
  <c r="Q16" i="9" s="1"/>
  <c r="R15" i="9"/>
  <c r="S15" i="9" s="1"/>
  <c r="Q15" i="9" s="1"/>
  <c r="R14" i="9"/>
  <c r="S14" i="9" s="1"/>
  <c r="Q14" i="9" s="1"/>
  <c r="AE127" i="15" l="1"/>
  <c r="AD126" i="15"/>
  <c r="Y127" i="15"/>
  <c r="X126" i="15"/>
  <c r="AE128" i="15" l="1"/>
  <c r="AD127" i="15"/>
  <c r="Y128" i="15"/>
  <c r="X127" i="15"/>
  <c r="AE129" i="15" l="1"/>
  <c r="AD128" i="15"/>
  <c r="Y129" i="15"/>
  <c r="X128" i="15"/>
  <c r="AE130" i="15" l="1"/>
  <c r="AD129" i="15"/>
  <c r="Y130" i="15"/>
  <c r="X129" i="15"/>
  <c r="AE131" i="15" l="1"/>
  <c r="AD130" i="15"/>
  <c r="Y131" i="15"/>
  <c r="X130" i="15"/>
  <c r="AE132" i="15" l="1"/>
  <c r="AD131" i="15"/>
  <c r="Y132" i="15"/>
  <c r="X131" i="15"/>
  <c r="AE133" i="15" l="1"/>
  <c r="AD132" i="15"/>
  <c r="Y133" i="15"/>
  <c r="X132" i="15"/>
  <c r="AE134" i="15" l="1"/>
  <c r="AD133" i="15"/>
  <c r="Y134" i="15"/>
  <c r="X133" i="15"/>
  <c r="AE135" i="15" l="1"/>
  <c r="AD134" i="15"/>
  <c r="Y135" i="15"/>
  <c r="X134" i="15"/>
  <c r="AE136" i="15" l="1"/>
  <c r="AD135" i="15"/>
  <c r="Y136" i="15"/>
  <c r="X135" i="15"/>
  <c r="AE137" i="15" l="1"/>
  <c r="AD136" i="15"/>
  <c r="Y137" i="15"/>
  <c r="X136" i="15"/>
  <c r="AE138" i="15" l="1"/>
  <c r="AD137" i="15"/>
  <c r="Y138" i="15"/>
  <c r="X137" i="15"/>
  <c r="AE139" i="15" l="1"/>
  <c r="AD138" i="15"/>
  <c r="Y139" i="15"/>
  <c r="X138" i="15"/>
  <c r="AE140" i="15" l="1"/>
  <c r="AD139" i="15"/>
  <c r="Y140" i="15"/>
  <c r="X139" i="15"/>
  <c r="AE141" i="15" l="1"/>
  <c r="AD140" i="15"/>
  <c r="Y141" i="15"/>
  <c r="X140" i="15"/>
  <c r="AE142" i="15" l="1"/>
  <c r="AD141" i="15"/>
  <c r="Y142" i="15"/>
  <c r="X141" i="15"/>
  <c r="AE143" i="15" l="1"/>
  <c r="AD142" i="15"/>
  <c r="Y143" i="15"/>
  <c r="X142" i="15"/>
  <c r="AE144" i="15" l="1"/>
  <c r="AD143" i="15"/>
  <c r="Y144" i="15"/>
  <c r="X143" i="15"/>
  <c r="AE145" i="15" l="1"/>
  <c r="AD144" i="15"/>
  <c r="Y145" i="15"/>
  <c r="X144" i="15"/>
  <c r="AE146" i="15" l="1"/>
  <c r="AD145" i="15"/>
  <c r="Y146" i="15"/>
  <c r="X145" i="15"/>
  <c r="AE147" i="15" l="1"/>
  <c r="AD146" i="15"/>
  <c r="Y147" i="15"/>
  <c r="X146" i="15"/>
  <c r="AE148" i="15" l="1"/>
  <c r="AD147" i="15"/>
  <c r="Y148" i="15"/>
  <c r="X147" i="15"/>
  <c r="AE149" i="15" l="1"/>
  <c r="AD148" i="15"/>
  <c r="Y149" i="15"/>
  <c r="X148" i="15"/>
  <c r="AE150" i="15" l="1"/>
  <c r="AD149" i="15"/>
  <c r="Y150" i="15"/>
  <c r="X149" i="15"/>
  <c r="AE151" i="15" l="1"/>
  <c r="AD150" i="15"/>
  <c r="Y151" i="15"/>
  <c r="X150" i="15"/>
  <c r="AE152" i="15" l="1"/>
  <c r="AD151" i="15"/>
  <c r="Y152" i="15"/>
  <c r="X151" i="15"/>
  <c r="AE153" i="15" l="1"/>
  <c r="AD152" i="15"/>
  <c r="Y153" i="15"/>
  <c r="X152" i="15"/>
  <c r="AE154" i="15" l="1"/>
  <c r="AD153" i="15"/>
  <c r="Y154" i="15"/>
  <c r="X153" i="15"/>
  <c r="AE155" i="15" l="1"/>
  <c r="AD154" i="15"/>
  <c r="Y155" i="15"/>
  <c r="X154" i="15"/>
  <c r="AE156" i="15" l="1"/>
  <c r="AD155" i="15"/>
  <c r="Y156" i="15"/>
  <c r="X155" i="15"/>
  <c r="AE157" i="15" l="1"/>
  <c r="AD156" i="15"/>
  <c r="Y157" i="15"/>
  <c r="X156" i="15"/>
  <c r="AE158" i="15" l="1"/>
  <c r="AD157" i="15"/>
  <c r="Y158" i="15"/>
  <c r="X157" i="15"/>
  <c r="AE159" i="15" l="1"/>
  <c r="AD158" i="15"/>
  <c r="Y159" i="15"/>
  <c r="X158" i="15"/>
  <c r="AE160" i="15" l="1"/>
  <c r="AD159" i="15"/>
  <c r="Y160" i="15"/>
  <c r="X159" i="15"/>
  <c r="AE161" i="15" l="1"/>
  <c r="AD160" i="15"/>
  <c r="Y161" i="15"/>
  <c r="X160" i="15"/>
  <c r="AE162" i="15" l="1"/>
  <c r="AD161" i="15"/>
  <c r="Y162" i="15"/>
  <c r="X161" i="15"/>
  <c r="AE163" i="15" l="1"/>
  <c r="AD162" i="15"/>
  <c r="Y163" i="15"/>
  <c r="X162" i="15"/>
  <c r="AE164" i="15" l="1"/>
  <c r="AD163" i="15"/>
  <c r="Y164" i="15"/>
  <c r="X163" i="15"/>
  <c r="AE165" i="15" l="1"/>
  <c r="AD164" i="15"/>
  <c r="Y165" i="15"/>
  <c r="X164" i="15"/>
  <c r="AE166" i="15" l="1"/>
  <c r="AD165" i="15"/>
  <c r="Y166" i="15"/>
  <c r="X165" i="15"/>
  <c r="AE167" i="15" l="1"/>
  <c r="AD166" i="15"/>
  <c r="Y167" i="15"/>
  <c r="X166" i="15"/>
  <c r="AE168" i="15" l="1"/>
  <c r="AD167" i="15"/>
  <c r="Y168" i="15"/>
  <c r="X167" i="15"/>
  <c r="AE169" i="15" l="1"/>
  <c r="AD168" i="15"/>
  <c r="Y169" i="15"/>
  <c r="X168" i="15"/>
  <c r="AE170" i="15" l="1"/>
  <c r="AD169" i="15"/>
  <c r="Y170" i="15"/>
  <c r="X169" i="15"/>
  <c r="AE171" i="15" l="1"/>
  <c r="AD170" i="15"/>
  <c r="Y171" i="15"/>
  <c r="X170" i="15"/>
  <c r="AE172" i="15" l="1"/>
  <c r="AD171" i="15"/>
  <c r="Y172" i="15"/>
  <c r="X171" i="15"/>
  <c r="AE173" i="15" l="1"/>
  <c r="AD172" i="15"/>
  <c r="Y173" i="15"/>
  <c r="X172" i="15"/>
  <c r="AE174" i="15" l="1"/>
  <c r="AD173" i="15"/>
  <c r="Y174" i="15"/>
  <c r="X173" i="15"/>
  <c r="AE175" i="15" l="1"/>
  <c r="AD174" i="15"/>
  <c r="Y175" i="15"/>
  <c r="X174" i="15"/>
  <c r="AE176" i="15" l="1"/>
  <c r="AD175" i="15"/>
  <c r="Y176" i="15"/>
  <c r="X175" i="15"/>
  <c r="AE177" i="15" l="1"/>
  <c r="AD176" i="15"/>
  <c r="Y177" i="15"/>
  <c r="X176" i="15"/>
  <c r="AE178" i="15" l="1"/>
  <c r="AD177" i="15"/>
  <c r="Y178" i="15"/>
  <c r="X177" i="15"/>
  <c r="AE179" i="15" l="1"/>
  <c r="AD178" i="15"/>
  <c r="Y179" i="15"/>
  <c r="X178" i="15"/>
  <c r="AD179" i="15" l="1"/>
  <c r="Y180" i="15"/>
  <c r="X179" i="15"/>
  <c r="AF20" i="15" a="1"/>
  <c r="AF61" i="15" l="1"/>
  <c r="AF125" i="15"/>
  <c r="AF63" i="15"/>
  <c r="AF80" i="15"/>
  <c r="AF65" i="15"/>
  <c r="AF46" i="15"/>
  <c r="AF110" i="15"/>
  <c r="AF174" i="15"/>
  <c r="AF175" i="15"/>
  <c r="AF144" i="15"/>
  <c r="AF53" i="15"/>
  <c r="AF133" i="15"/>
  <c r="AF111" i="15"/>
  <c r="AF136" i="15"/>
  <c r="AF148" i="15"/>
  <c r="AF86" i="15"/>
  <c r="AF158" i="15"/>
  <c r="AF159" i="15"/>
  <c r="AF160" i="15"/>
  <c r="AF113" i="15"/>
  <c r="AF79" i="15"/>
  <c r="AF172" i="15"/>
  <c r="AF82" i="15"/>
  <c r="AF146" i="15"/>
  <c r="AF51" i="15"/>
  <c r="AF115" i="15"/>
  <c r="AF179" i="15"/>
  <c r="AF76" i="15"/>
  <c r="AF140" i="15"/>
  <c r="AF77" i="15"/>
  <c r="AF149" i="15"/>
  <c r="AF151" i="15"/>
  <c r="AF168" i="15"/>
  <c r="AF30" i="15"/>
  <c r="AF102" i="15"/>
  <c r="AF31" i="15"/>
  <c r="AF48" i="15"/>
  <c r="AF33" i="15"/>
  <c r="AF129" i="15"/>
  <c r="AF143" i="15"/>
  <c r="AF34" i="15"/>
  <c r="AF98" i="15"/>
  <c r="AF162" i="15"/>
  <c r="AF67" i="15"/>
  <c r="AF131" i="15"/>
  <c r="AF28" i="15"/>
  <c r="AF85" i="15"/>
  <c r="AF157" i="15"/>
  <c r="AF45" i="15"/>
  <c r="AF117" i="15"/>
  <c r="AF87" i="15"/>
  <c r="AF120" i="15"/>
  <c r="AF145" i="15"/>
  <c r="AF78" i="15"/>
  <c r="AF150" i="15"/>
  <c r="AF135" i="15"/>
  <c r="AF128" i="15"/>
  <c r="AF105" i="15"/>
  <c r="AF47" i="15"/>
  <c r="AF177" i="15"/>
  <c r="AF74" i="15"/>
  <c r="AF138" i="15"/>
  <c r="AF43" i="15"/>
  <c r="AF107" i="15"/>
  <c r="AF171" i="15"/>
  <c r="AF68" i="15"/>
  <c r="AF37" i="15"/>
  <c r="AF39" i="15"/>
  <c r="AF41" i="15"/>
  <c r="AF94" i="15"/>
  <c r="AF95" i="15"/>
  <c r="AF49" i="15"/>
  <c r="AF23" i="15"/>
  <c r="AF50" i="15"/>
  <c r="AF154" i="15"/>
  <c r="AF91" i="15"/>
  <c r="AF36" i="15"/>
  <c r="AF116" i="15"/>
  <c r="AF127" i="15"/>
  <c r="AF81" i="15"/>
  <c r="AF118" i="15"/>
  <c r="AF119" i="15"/>
  <c r="AF103" i="15"/>
  <c r="AF58" i="15"/>
  <c r="AF170" i="15"/>
  <c r="AF99" i="15"/>
  <c r="AF44" i="15"/>
  <c r="AF69" i="15"/>
  <c r="AF57" i="15"/>
  <c r="AF124" i="15"/>
  <c r="AF93" i="15"/>
  <c r="AF167" i="15"/>
  <c r="AF97" i="15"/>
  <c r="AF126" i="15"/>
  <c r="AF32" i="15"/>
  <c r="AF73" i="15"/>
  <c r="AF40" i="15"/>
  <c r="AF66" i="15"/>
  <c r="AF178" i="15"/>
  <c r="AF123" i="15"/>
  <c r="AF52" i="15"/>
  <c r="AF132" i="15"/>
  <c r="AF101" i="15"/>
  <c r="AF24" i="15"/>
  <c r="AF22" i="15"/>
  <c r="AF134" i="15"/>
  <c r="AF72" i="15"/>
  <c r="AF89" i="15"/>
  <c r="AF64" i="15"/>
  <c r="AF90" i="15"/>
  <c r="AF27" i="15"/>
  <c r="AF139" i="15"/>
  <c r="AF60" i="15"/>
  <c r="AF156" i="15"/>
  <c r="AF109" i="15"/>
  <c r="AF56" i="15"/>
  <c r="AF38" i="15"/>
  <c r="AF142" i="15"/>
  <c r="AF88" i="15"/>
  <c r="AF121" i="15"/>
  <c r="AF137" i="15"/>
  <c r="AF106" i="15"/>
  <c r="AF35" i="15"/>
  <c r="AF147" i="15"/>
  <c r="AF84" i="15"/>
  <c r="AF141" i="15"/>
  <c r="AF104" i="15"/>
  <c r="AF54" i="15"/>
  <c r="AF166" i="15"/>
  <c r="AF96" i="15"/>
  <c r="AF153" i="15"/>
  <c r="AF161" i="15"/>
  <c r="AF114" i="15"/>
  <c r="AF59" i="15"/>
  <c r="AF155" i="15"/>
  <c r="AF92" i="15"/>
  <c r="AF21" i="15"/>
  <c r="AF165" i="15"/>
  <c r="AF152" i="15"/>
  <c r="AF62" i="15"/>
  <c r="AF55" i="15"/>
  <c r="AF112" i="15"/>
  <c r="AF169" i="15"/>
  <c r="AF26" i="15"/>
  <c r="AF122" i="15"/>
  <c r="AF75" i="15"/>
  <c r="AF163" i="15"/>
  <c r="AF100" i="15"/>
  <c r="AF29" i="15"/>
  <c r="AF173" i="15"/>
  <c r="AF25" i="15"/>
  <c r="AF70" i="15"/>
  <c r="AF71" i="15"/>
  <c r="AF176" i="15"/>
  <c r="AF164" i="15"/>
  <c r="AF42" i="15"/>
  <c r="AF130" i="15"/>
  <c r="AF83" i="15"/>
  <c r="AF20" i="15"/>
  <c r="AF108" i="15"/>
  <c r="Y181" i="15"/>
  <c r="X180" i="15"/>
  <c r="AG19" i="15" a="1"/>
  <c r="AH20" i="15" a="1"/>
  <c r="AH20" i="15" l="1"/>
  <c r="AH28" i="15"/>
  <c r="AH36" i="15"/>
  <c r="AH44" i="15"/>
  <c r="AH52" i="15"/>
  <c r="AH60" i="15"/>
  <c r="AH68" i="15"/>
  <c r="AH76" i="15"/>
  <c r="AH84" i="15"/>
  <c r="AH92" i="15"/>
  <c r="AH100" i="15"/>
  <c r="AH108" i="15"/>
  <c r="AH116" i="15"/>
  <c r="AH124" i="15"/>
  <c r="AH132" i="15"/>
  <c r="AH140" i="15"/>
  <c r="AH148" i="15"/>
  <c r="AH156" i="15"/>
  <c r="AH164" i="15"/>
  <c r="AH172" i="15"/>
  <c r="AH21" i="15"/>
  <c r="AH29" i="15"/>
  <c r="AH37" i="15"/>
  <c r="AH45" i="15"/>
  <c r="AH53" i="15"/>
  <c r="AH61" i="15"/>
  <c r="AH69" i="15"/>
  <c r="AH77" i="15"/>
  <c r="AH85" i="15"/>
  <c r="AH93" i="15"/>
  <c r="AH101" i="15"/>
  <c r="AH109" i="15"/>
  <c r="AH117" i="15"/>
  <c r="AH125" i="15"/>
  <c r="AH133" i="15"/>
  <c r="AH141" i="15"/>
  <c r="AH149" i="15"/>
  <c r="AH157" i="15"/>
  <c r="AH165" i="15"/>
  <c r="AH173" i="15"/>
  <c r="AH153" i="15"/>
  <c r="AH122" i="15"/>
  <c r="AH170" i="15"/>
  <c r="AH43" i="15"/>
  <c r="AH91" i="15"/>
  <c r="AH115" i="15"/>
  <c r="AH155" i="15"/>
  <c r="AH22" i="15"/>
  <c r="AH30" i="15"/>
  <c r="AH38" i="15"/>
  <c r="AH46" i="15"/>
  <c r="AH54" i="15"/>
  <c r="AH62" i="15"/>
  <c r="AH70" i="15"/>
  <c r="AH78" i="15"/>
  <c r="AH86" i="15"/>
  <c r="AH94" i="15"/>
  <c r="AH102" i="15"/>
  <c r="AH110" i="15"/>
  <c r="AH118" i="15"/>
  <c r="AH126" i="15"/>
  <c r="AH134" i="15"/>
  <c r="AH142" i="15"/>
  <c r="AH150" i="15"/>
  <c r="AH158" i="15"/>
  <c r="AH166" i="15"/>
  <c r="AH174" i="15"/>
  <c r="AH41" i="15"/>
  <c r="AH65" i="15"/>
  <c r="AH81" i="15"/>
  <c r="AH105" i="15"/>
  <c r="AH129" i="15"/>
  <c r="AH161" i="15"/>
  <c r="AH162" i="15"/>
  <c r="AH35" i="15"/>
  <c r="AH67" i="15"/>
  <c r="AH99" i="15"/>
  <c r="AH139" i="15"/>
  <c r="AH179" i="15"/>
  <c r="AH23" i="15"/>
  <c r="AH31" i="15"/>
  <c r="AH39" i="15"/>
  <c r="AH47" i="15"/>
  <c r="AH55" i="15"/>
  <c r="AH63" i="15"/>
  <c r="AH71" i="15"/>
  <c r="AH79" i="15"/>
  <c r="AH87" i="15"/>
  <c r="AH95" i="15"/>
  <c r="AH103" i="15"/>
  <c r="AH111" i="15"/>
  <c r="AH119" i="15"/>
  <c r="AH127" i="15"/>
  <c r="AH135" i="15"/>
  <c r="AH143" i="15"/>
  <c r="AH151" i="15"/>
  <c r="AH159" i="15"/>
  <c r="AH167" i="15"/>
  <c r="AH175" i="15"/>
  <c r="AH33" i="15"/>
  <c r="AH49" i="15"/>
  <c r="AH89" i="15"/>
  <c r="AH121" i="15"/>
  <c r="AH145" i="15"/>
  <c r="AH169" i="15"/>
  <c r="AH138" i="15"/>
  <c r="AH178" i="15"/>
  <c r="AH27" i="15"/>
  <c r="AH59" i="15"/>
  <c r="AH75" i="15"/>
  <c r="AH107" i="15"/>
  <c r="AH131" i="15"/>
  <c r="AH163" i="15"/>
  <c r="AH24" i="15"/>
  <c r="AH32" i="15"/>
  <c r="AH40" i="15"/>
  <c r="AH48" i="15"/>
  <c r="AH56" i="15"/>
  <c r="AH64" i="15"/>
  <c r="AH72" i="15"/>
  <c r="AH80" i="15"/>
  <c r="AH88" i="15"/>
  <c r="AH96" i="15"/>
  <c r="AH104" i="15"/>
  <c r="AH112" i="15"/>
  <c r="AH120" i="15"/>
  <c r="AH128" i="15"/>
  <c r="AH136" i="15"/>
  <c r="AH144" i="15"/>
  <c r="AH152" i="15"/>
  <c r="AH160" i="15"/>
  <c r="AH168" i="15"/>
  <c r="AH176" i="15"/>
  <c r="AH25" i="15"/>
  <c r="AH57" i="15"/>
  <c r="AH73" i="15"/>
  <c r="AH97" i="15"/>
  <c r="AH113" i="15"/>
  <c r="AH137" i="15"/>
  <c r="AH177" i="15"/>
  <c r="AH130" i="15"/>
  <c r="AH154" i="15"/>
  <c r="AH26" i="15"/>
  <c r="AH34" i="15"/>
  <c r="AH42" i="15"/>
  <c r="AH50" i="15"/>
  <c r="AH58" i="15"/>
  <c r="AH66" i="15"/>
  <c r="AH74" i="15"/>
  <c r="AH82" i="15"/>
  <c r="AH90" i="15"/>
  <c r="AH98" i="15"/>
  <c r="AH106" i="15"/>
  <c r="AH114" i="15"/>
  <c r="AH146" i="15"/>
  <c r="AH51" i="15"/>
  <c r="AH83" i="15"/>
  <c r="AH123" i="15"/>
  <c r="AH147" i="15"/>
  <c r="AH171" i="15"/>
  <c r="AG20" i="15"/>
  <c r="AG28" i="15"/>
  <c r="AG36" i="15"/>
  <c r="AG44" i="15"/>
  <c r="AG52" i="15"/>
  <c r="AG60" i="15"/>
  <c r="AG68" i="15"/>
  <c r="AG76" i="15"/>
  <c r="AG84" i="15"/>
  <c r="AG92" i="15"/>
  <c r="AG100" i="15"/>
  <c r="AG108" i="15"/>
  <c r="AG116" i="15"/>
  <c r="AG124" i="15"/>
  <c r="AG132" i="15"/>
  <c r="AG140" i="15"/>
  <c r="AG148" i="15"/>
  <c r="AG156" i="15"/>
  <c r="AG164" i="15"/>
  <c r="AG172" i="15"/>
  <c r="AG30" i="15"/>
  <c r="AG38" i="15"/>
  <c r="AG54" i="15"/>
  <c r="AG70" i="15"/>
  <c r="AG86" i="15"/>
  <c r="AG102" i="15"/>
  <c r="AG118" i="15"/>
  <c r="AG134" i="15"/>
  <c r="AG150" i="15"/>
  <c r="AG166" i="15"/>
  <c r="AG23" i="15"/>
  <c r="AG39" i="15"/>
  <c r="AG55" i="15"/>
  <c r="AG71" i="15"/>
  <c r="AG87" i="15"/>
  <c r="AG103" i="15"/>
  <c r="AG119" i="15"/>
  <c r="AG135" i="15"/>
  <c r="AG151" i="15"/>
  <c r="AG167" i="15"/>
  <c r="AG175" i="15"/>
  <c r="AG24" i="15"/>
  <c r="AG40" i="15"/>
  <c r="AG56" i="15"/>
  <c r="AG72" i="15"/>
  <c r="AG80" i="15"/>
  <c r="AG96" i="15"/>
  <c r="AG112" i="15"/>
  <c r="AG128" i="15"/>
  <c r="AG144" i="15"/>
  <c r="AG160" i="15"/>
  <c r="AG176" i="15"/>
  <c r="AG26" i="15"/>
  <c r="AG42" i="15"/>
  <c r="AG50" i="15"/>
  <c r="AG66" i="15"/>
  <c r="AG82" i="15"/>
  <c r="AG98" i="15"/>
  <c r="AG106" i="15"/>
  <c r="AG122" i="15"/>
  <c r="AG138" i="15"/>
  <c r="AG154" i="15"/>
  <c r="AG170" i="15"/>
  <c r="AG19" i="15"/>
  <c r="AG35" i="15"/>
  <c r="AG51" i="15"/>
  <c r="AG67" i="15"/>
  <c r="AG83" i="15"/>
  <c r="AG99" i="15"/>
  <c r="AG115" i="15"/>
  <c r="AG123" i="15"/>
  <c r="AG139" i="15"/>
  <c r="AG155" i="15"/>
  <c r="AG171" i="15"/>
  <c r="AG21" i="15"/>
  <c r="AG29" i="15"/>
  <c r="AG37" i="15"/>
  <c r="AG45" i="15"/>
  <c r="AG53" i="15"/>
  <c r="AG61" i="15"/>
  <c r="AG69" i="15"/>
  <c r="AG77" i="15"/>
  <c r="AG85" i="15"/>
  <c r="AG93" i="15"/>
  <c r="AG101" i="15"/>
  <c r="AG109" i="15"/>
  <c r="AG117" i="15"/>
  <c r="AG125" i="15"/>
  <c r="AG133" i="15"/>
  <c r="AG141" i="15"/>
  <c r="AG149" i="15"/>
  <c r="AG157" i="15"/>
  <c r="AG165" i="15"/>
  <c r="AG173" i="15"/>
  <c r="AG22" i="15"/>
  <c r="AG46" i="15"/>
  <c r="AG62" i="15"/>
  <c r="AG78" i="15"/>
  <c r="AG94" i="15"/>
  <c r="AG110" i="15"/>
  <c r="AG126" i="15"/>
  <c r="AG142" i="15"/>
  <c r="AG158" i="15"/>
  <c r="AG174" i="15"/>
  <c r="AG31" i="15"/>
  <c r="AG47" i="15"/>
  <c r="AG63" i="15"/>
  <c r="AG79" i="15"/>
  <c r="AG95" i="15"/>
  <c r="AG111" i="15"/>
  <c r="AG127" i="15"/>
  <c r="AG143" i="15"/>
  <c r="AG159" i="15"/>
  <c r="AG32" i="15"/>
  <c r="AG48" i="15"/>
  <c r="AG64" i="15"/>
  <c r="AG88" i="15"/>
  <c r="AG104" i="15"/>
  <c r="AG120" i="15"/>
  <c r="AG136" i="15"/>
  <c r="AG152" i="15"/>
  <c r="AG168" i="15"/>
  <c r="AG34" i="15"/>
  <c r="AG58" i="15"/>
  <c r="AG74" i="15"/>
  <c r="AG90" i="15"/>
  <c r="AG114" i="15"/>
  <c r="AG130" i="15"/>
  <c r="AG146" i="15"/>
  <c r="AG162" i="15"/>
  <c r="AG178" i="15"/>
  <c r="AG27" i="15"/>
  <c r="AG43" i="15"/>
  <c r="AG59" i="15"/>
  <c r="AG75" i="15"/>
  <c r="AG91" i="15"/>
  <c r="AG107" i="15"/>
  <c r="AG131" i="15"/>
  <c r="AG147" i="15"/>
  <c r="AG163" i="15"/>
  <c r="AG179" i="15"/>
  <c r="AG25" i="15"/>
  <c r="AG33" i="15"/>
  <c r="AG41" i="15"/>
  <c r="AG49" i="15"/>
  <c r="AG57" i="15"/>
  <c r="AG65" i="15"/>
  <c r="AG73" i="15"/>
  <c r="AG81" i="15"/>
  <c r="AG89" i="15"/>
  <c r="AG97" i="15"/>
  <c r="AG105" i="15"/>
  <c r="AG113" i="15"/>
  <c r="AG121" i="15"/>
  <c r="AG129" i="15"/>
  <c r="AG137" i="15"/>
  <c r="AG145" i="15"/>
  <c r="AG153" i="15"/>
  <c r="AG161" i="15"/>
  <c r="AG169" i="15"/>
  <c r="AG177" i="15"/>
  <c r="Y182" i="15"/>
  <c r="X181" i="15"/>
  <c r="AI20" i="15" l="1"/>
  <c r="AI21" i="15" s="1"/>
  <c r="AI22" i="15" s="1"/>
  <c r="AI23" i="15" s="1"/>
  <c r="AI24" i="15" s="1"/>
  <c r="AI25" i="15" s="1"/>
  <c r="AI26" i="15" s="1"/>
  <c r="AI27" i="15" s="1"/>
  <c r="Y183" i="15"/>
  <c r="X182" i="15"/>
  <c r="AD8" i="15" l="1"/>
  <c r="D25" i="15" s="1"/>
  <c r="AD9" i="15"/>
  <c r="D26" i="15" s="1"/>
  <c r="AI28" i="15"/>
  <c r="AI29" i="15" s="1"/>
  <c r="AI30" i="15" s="1"/>
  <c r="AI31" i="15" s="1"/>
  <c r="AI32" i="15" s="1"/>
  <c r="AI33" i="15" s="1"/>
  <c r="AI34" i="15" s="1"/>
  <c r="AI35" i="15" s="1"/>
  <c r="AI36" i="15" s="1"/>
  <c r="AI37" i="15" s="1"/>
  <c r="AI38" i="15" s="1"/>
  <c r="AI39" i="15" s="1"/>
  <c r="AI40" i="15" s="1"/>
  <c r="AI41" i="15" s="1"/>
  <c r="AI42" i="15" s="1"/>
  <c r="AI43" i="15" s="1"/>
  <c r="AI44" i="15" s="1"/>
  <c r="AI45" i="15" s="1"/>
  <c r="AI46" i="15" s="1"/>
  <c r="AI47" i="15" s="1"/>
  <c r="AI48" i="15" s="1"/>
  <c r="AI49" i="15" s="1"/>
  <c r="AI50" i="15" s="1"/>
  <c r="AI51" i="15" s="1"/>
  <c r="AI52" i="15" s="1"/>
  <c r="AI53" i="15" s="1"/>
  <c r="AI54" i="15" s="1"/>
  <c r="AI55" i="15" s="1"/>
  <c r="AI56" i="15" s="1"/>
  <c r="AI57" i="15" s="1"/>
  <c r="AI58" i="15" s="1"/>
  <c r="AI59" i="15" s="1"/>
  <c r="Y184" i="15"/>
  <c r="X183" i="15"/>
  <c r="AI60" i="15" l="1"/>
  <c r="AI61" i="15" s="1"/>
  <c r="AI62" i="15" s="1"/>
  <c r="AI63" i="15" s="1"/>
  <c r="AI64" i="15" s="1"/>
  <c r="AI65" i="15" s="1"/>
  <c r="AI66" i="15" s="1"/>
  <c r="AI67" i="15" s="1"/>
  <c r="AH7" i="15"/>
  <c r="Y185" i="15"/>
  <c r="X184" i="15"/>
  <c r="AH8" i="15" l="1"/>
  <c r="AI68" i="15"/>
  <c r="AI69" i="15" s="1"/>
  <c r="AI70" i="15" s="1"/>
  <c r="AI71" i="15" s="1"/>
  <c r="AI72" i="15" s="1"/>
  <c r="AI73" i="15" s="1"/>
  <c r="AI74" i="15" s="1"/>
  <c r="AI75" i="15" s="1"/>
  <c r="AI76" i="15" s="1"/>
  <c r="AI77" i="15" s="1"/>
  <c r="AI78" i="15" s="1"/>
  <c r="AI79" i="15" s="1"/>
  <c r="Y186" i="15"/>
  <c r="X185" i="15"/>
  <c r="AI80" i="15" l="1"/>
  <c r="AI81" i="15" s="1"/>
  <c r="AI82" i="15" s="1"/>
  <c r="AI83" i="15" s="1"/>
  <c r="AI84" i="15" s="1"/>
  <c r="AI85" i="15" s="1"/>
  <c r="AI86" i="15" s="1"/>
  <c r="AI87" i="15" s="1"/>
  <c r="AI88" i="15" s="1"/>
  <c r="AI89" i="15" s="1"/>
  <c r="AI90" i="15" s="1"/>
  <c r="AI91" i="15" s="1"/>
  <c r="AI92" i="15" s="1"/>
  <c r="AI93" i="15" s="1"/>
  <c r="AI94" i="15" s="1"/>
  <c r="AI95" i="15" s="1"/>
  <c r="AI96" i="15" s="1"/>
  <c r="AI97" i="15" s="1"/>
  <c r="AI98" i="15" s="1"/>
  <c r="AI99" i="15" s="1"/>
  <c r="AH9" i="15"/>
  <c r="Y187" i="15"/>
  <c r="X186" i="15"/>
  <c r="AH10" i="15" l="1"/>
  <c r="AI100" i="15"/>
  <c r="AI101" i="15" s="1"/>
  <c r="AI102" i="15" s="1"/>
  <c r="AI103" i="15" s="1"/>
  <c r="AI104" i="15" s="1"/>
  <c r="AI105" i="15" s="1"/>
  <c r="AI106" i="15" s="1"/>
  <c r="AI107" i="15" s="1"/>
  <c r="AI108" i="15" s="1"/>
  <c r="AI109" i="15" s="1"/>
  <c r="AI110" i="15" s="1"/>
  <c r="AI111" i="15" s="1"/>
  <c r="AI112" i="15" s="1"/>
  <c r="AI113" i="15" s="1"/>
  <c r="AI114" i="15" s="1"/>
  <c r="AI115" i="15" s="1"/>
  <c r="AI116" i="15" s="1"/>
  <c r="AI117" i="15" s="1"/>
  <c r="AI118" i="15" s="1"/>
  <c r="AI119" i="15" s="1"/>
  <c r="Y188" i="15"/>
  <c r="X187" i="15"/>
  <c r="AH11" i="15" l="1"/>
  <c r="AI120" i="15"/>
  <c r="AI121" i="15" s="1"/>
  <c r="AI122" i="15" s="1"/>
  <c r="AI123" i="15" s="1"/>
  <c r="AI124" i="15" s="1"/>
  <c r="AI125" i="15" s="1"/>
  <c r="AI126" i="15" s="1"/>
  <c r="AI127" i="15" s="1"/>
  <c r="AI128" i="15" s="1"/>
  <c r="AI129" i="15" s="1"/>
  <c r="AI130" i="15" s="1"/>
  <c r="AI131" i="15" s="1"/>
  <c r="AI132" i="15" s="1"/>
  <c r="AI133" i="15" s="1"/>
  <c r="AI134" i="15" s="1"/>
  <c r="AI135" i="15" s="1"/>
  <c r="AI136" i="15" s="1"/>
  <c r="AI137" i="15" s="1"/>
  <c r="AI138" i="15" s="1"/>
  <c r="AI139" i="15" s="1"/>
  <c r="Y189" i="15"/>
  <c r="X188" i="15"/>
  <c r="AI140" i="15" l="1"/>
  <c r="AI141" i="15" s="1"/>
  <c r="AI142" i="15" s="1"/>
  <c r="AI143" i="15" s="1"/>
  <c r="AI144" i="15" s="1"/>
  <c r="AI145" i="15" s="1"/>
  <c r="AI146" i="15" s="1"/>
  <c r="AI147" i="15" s="1"/>
  <c r="AI148" i="15" s="1"/>
  <c r="AI149" i="15" s="1"/>
  <c r="AI150" i="15" s="1"/>
  <c r="AI151" i="15" s="1"/>
  <c r="AI152" i="15" s="1"/>
  <c r="AI153" i="15" s="1"/>
  <c r="AI154" i="15" s="1"/>
  <c r="AI155" i="15" s="1"/>
  <c r="AI156" i="15" s="1"/>
  <c r="AI157" i="15" s="1"/>
  <c r="AI158" i="15" s="1"/>
  <c r="AI159" i="15" s="1"/>
  <c r="AI160" i="15" s="1"/>
  <c r="AI161" i="15" s="1"/>
  <c r="AI162" i="15" s="1"/>
  <c r="AI163" i="15" s="1"/>
  <c r="AI164" i="15" s="1"/>
  <c r="AI165" i="15" s="1"/>
  <c r="AI166" i="15" s="1"/>
  <c r="AI167" i="15" s="1"/>
  <c r="AI168" i="15" s="1"/>
  <c r="AI169" i="15" s="1"/>
  <c r="AI170" i="15" s="1"/>
  <c r="AI171" i="15" s="1"/>
  <c r="AI172" i="15" s="1"/>
  <c r="AI173" i="15" s="1"/>
  <c r="AI174" i="15" s="1"/>
  <c r="AI175" i="15" s="1"/>
  <c r="AI176" i="15" s="1"/>
  <c r="AI177" i="15" s="1"/>
  <c r="AI178" i="15" s="1"/>
  <c r="AI179" i="15" s="1"/>
  <c r="AH13" i="15" s="1"/>
  <c r="G40" i="15" s="1"/>
  <c r="AH12" i="15"/>
  <c r="Y190" i="15"/>
  <c r="X189" i="15"/>
  <c r="C23" i="21" l="1"/>
  <c r="D23" i="21" s="1"/>
  <c r="N58" i="15"/>
  <c r="O58" i="15"/>
  <c r="R32" i="15"/>
  <c r="O32" i="15"/>
  <c r="Y191" i="15"/>
  <c r="X190" i="15"/>
  <c r="V6" i="15"/>
  <c r="X38" i="20" a="1"/>
  <c r="X38" i="19" a="1"/>
  <c r="X59" i="19" l="1"/>
  <c r="Y63" i="19"/>
  <c r="Y40" i="19"/>
  <c r="Y45" i="19"/>
  <c r="X46" i="19"/>
  <c r="Y50" i="19"/>
  <c r="X57" i="19"/>
  <c r="X55" i="19"/>
  <c r="X40" i="19"/>
  <c r="Y48" i="19"/>
  <c r="Y57" i="19"/>
  <c r="X62" i="19"/>
  <c r="X45" i="19"/>
  <c r="Y39" i="19"/>
  <c r="X48" i="19"/>
  <c r="Y56" i="19"/>
  <c r="Y65" i="19"/>
  <c r="Y42" i="19"/>
  <c r="X53" i="19"/>
  <c r="Y43" i="19"/>
  <c r="X52" i="19"/>
  <c r="Y60" i="19"/>
  <c r="X38" i="19"/>
  <c r="Y46" i="19"/>
  <c r="X61" i="19"/>
  <c r="X39" i="19"/>
  <c r="Y47" i="19"/>
  <c r="X56" i="19"/>
  <c r="Y64" i="19"/>
  <c r="X42" i="19"/>
  <c r="Y54" i="19"/>
  <c r="X65" i="19"/>
  <c r="X51" i="19"/>
  <c r="Y59" i="19"/>
  <c r="Y44" i="19"/>
  <c r="Y53" i="19"/>
  <c r="X58" i="19"/>
  <c r="X41" i="19"/>
  <c r="X47" i="19"/>
  <c r="Y41" i="19"/>
  <c r="X49" i="19"/>
  <c r="X63" i="19"/>
  <c r="Y49" i="19"/>
  <c r="Y51" i="19"/>
  <c r="Y61" i="19"/>
  <c r="Y55" i="19"/>
  <c r="X50" i="19"/>
  <c r="X44" i="19"/>
  <c r="X54" i="19"/>
  <c r="X60" i="19"/>
  <c r="Y38" i="19"/>
  <c r="X64" i="19"/>
  <c r="Y58" i="19"/>
  <c r="X43" i="19"/>
  <c r="Y52" i="19"/>
  <c r="Y62" i="19"/>
  <c r="Y54" i="20"/>
  <c r="X64" i="20"/>
  <c r="Y61" i="20"/>
  <c r="X59" i="20"/>
  <c r="X56" i="20"/>
  <c r="X61" i="20"/>
  <c r="Y44" i="20"/>
  <c r="Y38" i="20"/>
  <c r="Y59" i="20"/>
  <c r="X65" i="20"/>
  <c r="X55" i="20"/>
  <c r="X60" i="20"/>
  <c r="Y45" i="20"/>
  <c r="X58" i="20"/>
  <c r="Y42" i="20"/>
  <c r="X40" i="20"/>
  <c r="Y49" i="20"/>
  <c r="X63" i="20"/>
  <c r="Y40" i="20"/>
  <c r="Y57" i="20"/>
  <c r="Y46" i="20"/>
  <c r="X52" i="20"/>
  <c r="X38" i="20"/>
  <c r="Y39" i="20"/>
  <c r="Y48" i="20"/>
  <c r="Y65" i="20"/>
  <c r="Y43" i="20"/>
  <c r="X49" i="20"/>
  <c r="X47" i="20"/>
  <c r="X44" i="20"/>
  <c r="X53" i="20"/>
  <c r="Y53" i="20"/>
  <c r="Y60" i="20"/>
  <c r="Y55" i="20"/>
  <c r="X50" i="20"/>
  <c r="X57" i="20"/>
  <c r="X48" i="20"/>
  <c r="X46" i="20"/>
  <c r="Y50" i="20"/>
  <c r="X54" i="20"/>
  <c r="Y56" i="20"/>
  <c r="Y58" i="20"/>
  <c r="X39" i="20"/>
  <c r="Y64" i="20"/>
  <c r="Y51" i="20"/>
  <c r="X51" i="20"/>
  <c r="Y41" i="20"/>
  <c r="Y52" i="20"/>
  <c r="Y47" i="20"/>
  <c r="X42" i="20"/>
  <c r="Y63" i="20"/>
  <c r="X45" i="20"/>
  <c r="X62" i="20"/>
  <c r="Y62" i="20"/>
  <c r="X41" i="20"/>
  <c r="X43" i="20"/>
  <c r="Q6" i="16"/>
  <c r="V6" i="17"/>
  <c r="Q26" i="20"/>
  <c r="P26" i="20"/>
  <c r="Q26" i="19"/>
  <c r="P26" i="19"/>
  <c r="K31" i="19"/>
  <c r="J31" i="19"/>
  <c r="K31" i="20"/>
  <c r="J31" i="20"/>
  <c r="V53" i="15"/>
  <c r="V41" i="15"/>
  <c r="Y192" i="15"/>
  <c r="X191" i="15"/>
  <c r="O15" i="16" a="1"/>
  <c r="H13" i="16"/>
  <c r="H11" i="16"/>
  <c r="H9" i="16"/>
  <c r="H12" i="16"/>
  <c r="H10" i="16"/>
  <c r="AH6" i="20"/>
  <c r="Z38" i="20" s="1" a="1"/>
  <c r="AD16" i="17" a="1"/>
  <c r="AX16" i="17" a="1"/>
  <c r="AN16" i="17" a="1"/>
  <c r="X15" i="17" a="1"/>
  <c r="R15" i="17" a="1"/>
  <c r="BH16" i="17" a="1"/>
  <c r="X32" i="17" a="1"/>
  <c r="AE6" i="20"/>
  <c r="V38" i="20" s="1" a="1"/>
  <c r="AE6" i="19"/>
  <c r="AH6" i="19"/>
  <c r="Z38" i="19" s="1" a="1"/>
  <c r="V37" i="15"/>
  <c r="V38" i="19" a="1"/>
  <c r="X67" i="19" a="1"/>
  <c r="X67" i="20" a="1"/>
  <c r="X84" i="20" l="1"/>
  <c r="X69" i="20"/>
  <c r="Y81" i="20"/>
  <c r="X71" i="20"/>
  <c r="Y79" i="20"/>
  <c r="Y72" i="20"/>
  <c r="X85" i="20"/>
  <c r="Y82" i="20"/>
  <c r="Y71" i="20"/>
  <c r="X86" i="20"/>
  <c r="Y76" i="20"/>
  <c r="Y69" i="20"/>
  <c r="Y86" i="20"/>
  <c r="Y75" i="20"/>
  <c r="X68" i="20"/>
  <c r="Y80" i="20"/>
  <c r="Y73" i="20"/>
  <c r="X67" i="20"/>
  <c r="Y83" i="20"/>
  <c r="X76" i="20"/>
  <c r="Y88" i="20"/>
  <c r="Y85" i="20"/>
  <c r="X79" i="20"/>
  <c r="X70" i="20"/>
  <c r="X88" i="20"/>
  <c r="X77" i="20"/>
  <c r="Y74" i="20"/>
  <c r="X87" i="20"/>
  <c r="X78" i="20"/>
  <c r="Y70" i="20"/>
  <c r="X80" i="20"/>
  <c r="X75" i="20"/>
  <c r="Y68" i="20"/>
  <c r="X83" i="20"/>
  <c r="Y84" i="20"/>
  <c r="Y67" i="20"/>
  <c r="X81" i="20"/>
  <c r="X74" i="20"/>
  <c r="Y77" i="20"/>
  <c r="X82" i="20"/>
  <c r="X72" i="20"/>
  <c r="X73" i="20"/>
  <c r="Y78" i="20"/>
  <c r="Y87" i="20"/>
  <c r="X87" i="19"/>
  <c r="Y69" i="19"/>
  <c r="X84" i="19"/>
  <c r="X69" i="19"/>
  <c r="X70" i="19"/>
  <c r="X71" i="19"/>
  <c r="Y83" i="19"/>
  <c r="X76" i="19"/>
  <c r="Y88" i="19"/>
  <c r="X74" i="19"/>
  <c r="X79" i="19"/>
  <c r="X81" i="19"/>
  <c r="X88" i="19"/>
  <c r="X77" i="19"/>
  <c r="X82" i="19"/>
  <c r="X83" i="19"/>
  <c r="Y81" i="19"/>
  <c r="Y68" i="19"/>
  <c r="X85" i="19"/>
  <c r="X86" i="19"/>
  <c r="Y67" i="19"/>
  <c r="Y74" i="19"/>
  <c r="Y72" i="19"/>
  <c r="Y77" i="19"/>
  <c r="Y70" i="19"/>
  <c r="X67" i="19"/>
  <c r="Y79" i="19"/>
  <c r="X72" i="19"/>
  <c r="Y84" i="19"/>
  <c r="Y73" i="19"/>
  <c r="X68" i="19"/>
  <c r="Y78" i="19"/>
  <c r="X80" i="19"/>
  <c r="Y76" i="19"/>
  <c r="X75" i="19"/>
  <c r="Y80" i="19"/>
  <c r="Y71" i="19"/>
  <c r="X73" i="19"/>
  <c r="Y75" i="19"/>
  <c r="Y85" i="19"/>
  <c r="Y87" i="19"/>
  <c r="Y82" i="19"/>
  <c r="Y86" i="19"/>
  <c r="X78" i="19"/>
  <c r="V59" i="19"/>
  <c r="W63" i="19"/>
  <c r="W40" i="19"/>
  <c r="W45" i="19"/>
  <c r="V46" i="19"/>
  <c r="W50" i="19"/>
  <c r="V57" i="19"/>
  <c r="V51" i="19"/>
  <c r="W59" i="19"/>
  <c r="W44" i="19"/>
  <c r="W53" i="19"/>
  <c r="V58" i="19"/>
  <c r="V41" i="19"/>
  <c r="V63" i="19"/>
  <c r="V44" i="19"/>
  <c r="W52" i="19"/>
  <c r="W61" i="19"/>
  <c r="W38" i="19"/>
  <c r="V49" i="19"/>
  <c r="W39" i="19"/>
  <c r="V48" i="19"/>
  <c r="W56" i="19"/>
  <c r="W65" i="19"/>
  <c r="W42" i="19"/>
  <c r="V53" i="19"/>
  <c r="W43" i="19"/>
  <c r="V52" i="19"/>
  <c r="W60" i="19"/>
  <c r="V38" i="19"/>
  <c r="W46" i="19"/>
  <c r="V61" i="19"/>
  <c r="V47" i="19"/>
  <c r="W55" i="19"/>
  <c r="V64" i="19"/>
  <c r="W49" i="19"/>
  <c r="V54" i="19"/>
  <c r="W62" i="19"/>
  <c r="V60" i="19"/>
  <c r="W54" i="19"/>
  <c r="W48" i="19"/>
  <c r="V39" i="19"/>
  <c r="W58" i="19"/>
  <c r="V43" i="19"/>
  <c r="W64" i="19"/>
  <c r="V45" i="19"/>
  <c r="V55" i="19"/>
  <c r="W41" i="19"/>
  <c r="V65" i="19"/>
  <c r="W47" i="19"/>
  <c r="W57" i="19"/>
  <c r="W51" i="19"/>
  <c r="V42" i="19"/>
  <c r="V40" i="19"/>
  <c r="V50" i="19"/>
  <c r="V56" i="19"/>
  <c r="V62" i="19"/>
  <c r="K12" i="16"/>
  <c r="K11" i="16"/>
  <c r="W54" i="20"/>
  <c r="V48" i="20"/>
  <c r="V49" i="20"/>
  <c r="V59" i="20"/>
  <c r="W44" i="20"/>
  <c r="W49" i="20"/>
  <c r="V54" i="20"/>
  <c r="W47" i="20"/>
  <c r="W56" i="20"/>
  <c r="V51" i="20"/>
  <c r="V60" i="20"/>
  <c r="W53" i="20"/>
  <c r="V62" i="20"/>
  <c r="W38" i="20"/>
  <c r="W55" i="20"/>
  <c r="W64" i="20"/>
  <c r="V55" i="20"/>
  <c r="W52" i="20"/>
  <c r="W57" i="20"/>
  <c r="V46" i="20"/>
  <c r="W42" i="20"/>
  <c r="W63" i="20"/>
  <c r="V41" i="20"/>
  <c r="V63" i="20"/>
  <c r="W60" i="20"/>
  <c r="W61" i="20"/>
  <c r="W62" i="20"/>
  <c r="W40" i="20"/>
  <c r="V43" i="20"/>
  <c r="V40" i="20"/>
  <c r="W41" i="20"/>
  <c r="V56" i="20"/>
  <c r="W51" i="20"/>
  <c r="V38" i="20"/>
  <c r="W48" i="20"/>
  <c r="V52" i="20"/>
  <c r="V50" i="20"/>
  <c r="W46" i="20"/>
  <c r="V53" i="20"/>
  <c r="V45" i="20"/>
  <c r="V58" i="20"/>
  <c r="W50" i="20"/>
  <c r="V61" i="20"/>
  <c r="V57" i="20"/>
  <c r="W39" i="20"/>
  <c r="V47" i="20"/>
  <c r="W45" i="20"/>
  <c r="V44" i="20"/>
  <c r="W43" i="20"/>
  <c r="W65" i="20"/>
  <c r="V42" i="20"/>
  <c r="W58" i="20"/>
  <c r="V64" i="20"/>
  <c r="V39" i="20"/>
  <c r="W59" i="20"/>
  <c r="V65" i="20"/>
  <c r="X39" i="17"/>
  <c r="X41" i="17"/>
  <c r="X42" i="17"/>
  <c r="X36" i="17"/>
  <c r="X44" i="17"/>
  <c r="X37" i="17"/>
  <c r="X38" i="17"/>
  <c r="X33" i="17"/>
  <c r="X34" i="17"/>
  <c r="X40" i="17"/>
  <c r="X35" i="17"/>
  <c r="X43" i="17"/>
  <c r="X32" i="17"/>
  <c r="BH25" i="17"/>
  <c r="BH26" i="17"/>
  <c r="BH20" i="17"/>
  <c r="BH69" i="17"/>
  <c r="BH19" i="17"/>
  <c r="BH60" i="17"/>
  <c r="BH22" i="17"/>
  <c r="BH23" i="17"/>
  <c r="BH41" i="17"/>
  <c r="BH42" i="17"/>
  <c r="BH39" i="17"/>
  <c r="BH73" i="17"/>
  <c r="BH28" i="17"/>
  <c r="BH16" i="17"/>
  <c r="BH43" i="17"/>
  <c r="BH47" i="17"/>
  <c r="BH62" i="17"/>
  <c r="BH40" i="17"/>
  <c r="BH18" i="17"/>
  <c r="BH36" i="17"/>
  <c r="BH56" i="17"/>
  <c r="BH51" i="17"/>
  <c r="BH71" i="17"/>
  <c r="BH70" i="17"/>
  <c r="BH72" i="17"/>
  <c r="BH34" i="17"/>
  <c r="BH52" i="17"/>
  <c r="BH53" i="17"/>
  <c r="BH59" i="17"/>
  <c r="BH32" i="17"/>
  <c r="BH49" i="17"/>
  <c r="BH68" i="17"/>
  <c r="BH27" i="17"/>
  <c r="BH30" i="17"/>
  <c r="BH65" i="17"/>
  <c r="BH29" i="17"/>
  <c r="BH67" i="17"/>
  <c r="BH46" i="17"/>
  <c r="BH50" i="17"/>
  <c r="BH45" i="17"/>
  <c r="BH44" i="17"/>
  <c r="BH54" i="17"/>
  <c r="BH58" i="17"/>
  <c r="BH55" i="17"/>
  <c r="BH76" i="17"/>
  <c r="BH33" i="17"/>
  <c r="BH48" i="17"/>
  <c r="BH66" i="17"/>
  <c r="BH37" i="17"/>
  <c r="BH74" i="17"/>
  <c r="BH61" i="17"/>
  <c r="BH75" i="17"/>
  <c r="BH64" i="17"/>
  <c r="BH17" i="17"/>
  <c r="BH24" i="17"/>
  <c r="BH35" i="17"/>
  <c r="BH38" i="17"/>
  <c r="BH31" i="17"/>
  <c r="BH57" i="17"/>
  <c r="BH21" i="17"/>
  <c r="BH63" i="17"/>
  <c r="R32" i="17"/>
  <c r="R41" i="17"/>
  <c r="R18" i="17"/>
  <c r="R27" i="17"/>
  <c r="R68" i="17"/>
  <c r="R29" i="17"/>
  <c r="R15" i="17"/>
  <c r="R48" i="17"/>
  <c r="R65" i="17"/>
  <c r="R50" i="17"/>
  <c r="R28" i="17"/>
  <c r="R47" i="17"/>
  <c r="R62" i="17"/>
  <c r="R64" i="17"/>
  <c r="R20" i="17"/>
  <c r="R66" i="17"/>
  <c r="R52" i="17"/>
  <c r="R37" i="17"/>
  <c r="R39" i="17"/>
  <c r="R25" i="17"/>
  <c r="R60" i="17"/>
  <c r="R35" i="17"/>
  <c r="R22" i="17"/>
  <c r="R53" i="17"/>
  <c r="R40" i="17"/>
  <c r="R26" i="17"/>
  <c r="R36" i="17"/>
  <c r="R30" i="17"/>
  <c r="R56" i="17"/>
  <c r="R34" i="17"/>
  <c r="R69" i="17"/>
  <c r="R46" i="17"/>
  <c r="R17" i="17"/>
  <c r="R42" i="17"/>
  <c r="R38" i="17"/>
  <c r="R23" i="17"/>
  <c r="R33" i="17"/>
  <c r="R58" i="17"/>
  <c r="R54" i="17"/>
  <c r="R55" i="17"/>
  <c r="R49" i="17"/>
  <c r="R19" i="17"/>
  <c r="R31" i="17"/>
  <c r="R63" i="17"/>
  <c r="R57" i="17"/>
  <c r="R43" i="17"/>
  <c r="R21" i="17"/>
  <c r="R16" i="17"/>
  <c r="R67" i="17"/>
  <c r="R51" i="17"/>
  <c r="R45" i="17"/>
  <c r="R24" i="17"/>
  <c r="R44" i="17"/>
  <c r="R61" i="17"/>
  <c r="R59" i="17"/>
  <c r="X24" i="17"/>
  <c r="X21" i="17"/>
  <c r="X16" i="17"/>
  <c r="X22" i="17"/>
  <c r="X25" i="17"/>
  <c r="X15" i="17"/>
  <c r="X26" i="17"/>
  <c r="X20" i="17"/>
  <c r="X17" i="17"/>
  <c r="X18" i="17"/>
  <c r="X19" i="17"/>
  <c r="X27" i="17"/>
  <c r="X23" i="17"/>
  <c r="AN17" i="17"/>
  <c r="AT17" i="17" s="1"/>
  <c r="AN18" i="17"/>
  <c r="AN45" i="17"/>
  <c r="AN19" i="17"/>
  <c r="AN20" i="17"/>
  <c r="AN61" i="17"/>
  <c r="AN29" i="17"/>
  <c r="AN38" i="17"/>
  <c r="AN65" i="17"/>
  <c r="AN74" i="17"/>
  <c r="AN27" i="17"/>
  <c r="AN44" i="17"/>
  <c r="AN71" i="17"/>
  <c r="AN32" i="17"/>
  <c r="AN26" i="17"/>
  <c r="AN39" i="17"/>
  <c r="AN43" i="17"/>
  <c r="AN60" i="17"/>
  <c r="AN56" i="17"/>
  <c r="AN22" i="17"/>
  <c r="AN73" i="17"/>
  <c r="AN16" i="17"/>
  <c r="AN75" i="17"/>
  <c r="AN40" i="17"/>
  <c r="AN46" i="17"/>
  <c r="AN42" i="17"/>
  <c r="AN48" i="17"/>
  <c r="AN52" i="17"/>
  <c r="AN76" i="17"/>
  <c r="AN62" i="17"/>
  <c r="AN25" i="17"/>
  <c r="AN50" i="17"/>
  <c r="AN72" i="17"/>
  <c r="AN68" i="17"/>
  <c r="AN53" i="17"/>
  <c r="AN70" i="17"/>
  <c r="AN33" i="17"/>
  <c r="AN58" i="17"/>
  <c r="AN35" i="17"/>
  <c r="AN21" i="17"/>
  <c r="AN31" i="17"/>
  <c r="AN57" i="17"/>
  <c r="AN55" i="17"/>
  <c r="AN67" i="17"/>
  <c r="AN47" i="17"/>
  <c r="AN30" i="17"/>
  <c r="AN24" i="17"/>
  <c r="AN64" i="17"/>
  <c r="AN51" i="17"/>
  <c r="AN54" i="17"/>
  <c r="AN59" i="17"/>
  <c r="AN41" i="17"/>
  <c r="AN36" i="17"/>
  <c r="AN49" i="17"/>
  <c r="AN37" i="17"/>
  <c r="AN34" i="17"/>
  <c r="AN23" i="17"/>
  <c r="AN66" i="17"/>
  <c r="AN28" i="17"/>
  <c r="AN69" i="17"/>
  <c r="AN63" i="17"/>
  <c r="AX33" i="17"/>
  <c r="AX42" i="17"/>
  <c r="AX44" i="17"/>
  <c r="AX69" i="17"/>
  <c r="AX50" i="17"/>
  <c r="AX51" i="17"/>
  <c r="AX70" i="17"/>
  <c r="AX31" i="17"/>
  <c r="AX41" i="17"/>
  <c r="AX58" i="17"/>
  <c r="AX52" i="17"/>
  <c r="AX30" i="17"/>
  <c r="AX66" i="17"/>
  <c r="AX67" i="17"/>
  <c r="AX23" i="17"/>
  <c r="AX71" i="17"/>
  <c r="AX49" i="17"/>
  <c r="AX74" i="17"/>
  <c r="AX68" i="17"/>
  <c r="AX46" i="17"/>
  <c r="AX43" i="17"/>
  <c r="AX28" i="17"/>
  <c r="AX47" i="17"/>
  <c r="AX48" i="17"/>
  <c r="AX26" i="17"/>
  <c r="AX21" i="17"/>
  <c r="AX18" i="17"/>
  <c r="AX53" i="17"/>
  <c r="AX35" i="17"/>
  <c r="AX45" i="17"/>
  <c r="AX32" i="17"/>
  <c r="AX54" i="17"/>
  <c r="AX17" i="17"/>
  <c r="AX59" i="17"/>
  <c r="AX61" i="17"/>
  <c r="AX65" i="17"/>
  <c r="AX39" i="17"/>
  <c r="AX60" i="17"/>
  <c r="AX34" i="17"/>
  <c r="AX24" i="17"/>
  <c r="AX38" i="17"/>
  <c r="AX75" i="17"/>
  <c r="AX56" i="17"/>
  <c r="AX16" i="17"/>
  <c r="AX20" i="17"/>
  <c r="AX63" i="17"/>
  <c r="AX40" i="17"/>
  <c r="AX57" i="17"/>
  <c r="AX37" i="17"/>
  <c r="AX27" i="17"/>
  <c r="AX62" i="17"/>
  <c r="AX73" i="17"/>
  <c r="AX22" i="17"/>
  <c r="AX36" i="17"/>
  <c r="AX76" i="17"/>
  <c r="AX55" i="17"/>
  <c r="AX64" i="17"/>
  <c r="AX19" i="17"/>
  <c r="AX29" i="17"/>
  <c r="AX25" i="17"/>
  <c r="AX72" i="17"/>
  <c r="AD47" i="17"/>
  <c r="AD57" i="17"/>
  <c r="AD66" i="17"/>
  <c r="AD75" i="17"/>
  <c r="AD76" i="17"/>
  <c r="AD72" i="17"/>
  <c r="AD64" i="17"/>
  <c r="AD62" i="17"/>
  <c r="AD63" i="17"/>
  <c r="AD18" i="17"/>
  <c r="AD55" i="17"/>
  <c r="AD34" i="17"/>
  <c r="AD43" i="17"/>
  <c r="AD60" i="17"/>
  <c r="AD48" i="17"/>
  <c r="AD17" i="17"/>
  <c r="AD16" i="17"/>
  <c r="AD50" i="17"/>
  <c r="AD67" i="17"/>
  <c r="AD21" i="17"/>
  <c r="AD41" i="17"/>
  <c r="AD22" i="17"/>
  <c r="AD40" i="17"/>
  <c r="AD58" i="17"/>
  <c r="AD20" i="17"/>
  <c r="AD29" i="17"/>
  <c r="AD65" i="17"/>
  <c r="AD30" i="17"/>
  <c r="AD56" i="17"/>
  <c r="AD74" i="17"/>
  <c r="AD28" i="17"/>
  <c r="AD45" i="17"/>
  <c r="AD51" i="17"/>
  <c r="AD38" i="17"/>
  <c r="AD39" i="17"/>
  <c r="AD26" i="17"/>
  <c r="AD35" i="17"/>
  <c r="AD52" i="17"/>
  <c r="AD24" i="17"/>
  <c r="AD32" i="17"/>
  <c r="AD70" i="17"/>
  <c r="AD19" i="17"/>
  <c r="AD25" i="17"/>
  <c r="AD27" i="17"/>
  <c r="AD37" i="17"/>
  <c r="AD23" i="17"/>
  <c r="AD59" i="17"/>
  <c r="AD61" i="17"/>
  <c r="AD31" i="17"/>
  <c r="AD36" i="17"/>
  <c r="AD49" i="17"/>
  <c r="AD71" i="17"/>
  <c r="AD44" i="17"/>
  <c r="AD46" i="17"/>
  <c r="AD33" i="17"/>
  <c r="AD68" i="17"/>
  <c r="AD54" i="17"/>
  <c r="AD73" i="17"/>
  <c r="AD53" i="17"/>
  <c r="AD42" i="17"/>
  <c r="AD69" i="17"/>
  <c r="Z55" i="20"/>
  <c r="AA56" i="20"/>
  <c r="Z50" i="20"/>
  <c r="AA55" i="20"/>
  <c r="AA52" i="20"/>
  <c r="AA38" i="20"/>
  <c r="Z38" i="20"/>
  <c r="Z43" i="20"/>
  <c r="AA40" i="20"/>
  <c r="Z42" i="20"/>
  <c r="AA59" i="20"/>
  <c r="Z53" i="20"/>
  <c r="Z41" i="20"/>
  <c r="Z47" i="20"/>
  <c r="AA48" i="20"/>
  <c r="Z62" i="20"/>
  <c r="AA63" i="20"/>
  <c r="Z65" i="20"/>
  <c r="Z45" i="20"/>
  <c r="Z51" i="20"/>
  <c r="AA64" i="20"/>
  <c r="AA46" i="20"/>
  <c r="Z40" i="20"/>
  <c r="AA45" i="20"/>
  <c r="Z61" i="20"/>
  <c r="Z63" i="20"/>
  <c r="Z57" i="20"/>
  <c r="AA39" i="20"/>
  <c r="Z56" i="20"/>
  <c r="Z52" i="20"/>
  <c r="AA53" i="20"/>
  <c r="AA47" i="20"/>
  <c r="AA44" i="20"/>
  <c r="AA50" i="20"/>
  <c r="AA42" i="20"/>
  <c r="Z44" i="20"/>
  <c r="Z48" i="20"/>
  <c r="AA61" i="20"/>
  <c r="Z49" i="20"/>
  <c r="AA60" i="20"/>
  <c r="AA54" i="20"/>
  <c r="AA41" i="20"/>
  <c r="AA57" i="20"/>
  <c r="AA65" i="20"/>
  <c r="Z46" i="20"/>
  <c r="Z39" i="20"/>
  <c r="AA43" i="20"/>
  <c r="AA62" i="20"/>
  <c r="Z59" i="20"/>
  <c r="AA51" i="20"/>
  <c r="AA49" i="20"/>
  <c r="Z60" i="20"/>
  <c r="AA58" i="20"/>
  <c r="Z64" i="20"/>
  <c r="Z54" i="20"/>
  <c r="Z58" i="20"/>
  <c r="G10" i="16"/>
  <c r="O16" i="16"/>
  <c r="O80" i="16"/>
  <c r="O25" i="16"/>
  <c r="O89" i="16"/>
  <c r="O60" i="16"/>
  <c r="O127" i="16"/>
  <c r="O58" i="16"/>
  <c r="O122" i="16"/>
  <c r="O67" i="16"/>
  <c r="O20" i="16"/>
  <c r="O103" i="16"/>
  <c r="O111" i="16"/>
  <c r="O77" i="16"/>
  <c r="O22" i="16"/>
  <c r="O86" i="16"/>
  <c r="O119" i="16"/>
  <c r="O24" i="16"/>
  <c r="O88" i="16"/>
  <c r="O33" i="16"/>
  <c r="O97" i="16"/>
  <c r="O84" i="16"/>
  <c r="O105" i="16"/>
  <c r="O66" i="16"/>
  <c r="O130" i="16"/>
  <c r="O75" i="16"/>
  <c r="O52" i="16"/>
  <c r="O135" i="16"/>
  <c r="O21" i="16"/>
  <c r="O85" i="16"/>
  <c r="O30" i="16"/>
  <c r="O94" i="16"/>
  <c r="O32" i="16"/>
  <c r="O96" i="16"/>
  <c r="O41" i="16"/>
  <c r="O113" i="16"/>
  <c r="O116" i="16"/>
  <c r="O92" i="16"/>
  <c r="O74" i="16"/>
  <c r="O19" i="16"/>
  <c r="O83" i="16"/>
  <c r="O68" i="16"/>
  <c r="O36" i="16"/>
  <c r="O29" i="16"/>
  <c r="O93" i="16"/>
  <c r="O38" i="16"/>
  <c r="O102" i="16"/>
  <c r="O40" i="16"/>
  <c r="O104" i="16"/>
  <c r="O49" i="16"/>
  <c r="O121" i="16"/>
  <c r="O126" i="16"/>
  <c r="O18" i="16"/>
  <c r="O82" i="16"/>
  <c r="O27" i="16"/>
  <c r="O91" i="16"/>
  <c r="O100" i="16"/>
  <c r="O76" i="16"/>
  <c r="O37" i="16"/>
  <c r="O101" i="16"/>
  <c r="O46" i="16"/>
  <c r="O110" i="16"/>
  <c r="O48" i="16"/>
  <c r="O57" i="16"/>
  <c r="O134" i="16"/>
  <c r="O90" i="16"/>
  <c r="O99" i="16"/>
  <c r="O108" i="16"/>
  <c r="O109" i="16"/>
  <c r="O118" i="16"/>
  <c r="O56" i="16"/>
  <c r="O65" i="16"/>
  <c r="O31" i="16"/>
  <c r="O98" i="16"/>
  <c r="O107" i="16"/>
  <c r="O132" i="16"/>
  <c r="O117" i="16"/>
  <c r="O39" i="16"/>
  <c r="O64" i="16"/>
  <c r="O73" i="16"/>
  <c r="O55" i="16"/>
  <c r="O106" i="16"/>
  <c r="O115" i="16"/>
  <c r="O23" i="16"/>
  <c r="O125" i="16"/>
  <c r="O63" i="16"/>
  <c r="O72" i="16"/>
  <c r="O81" i="16"/>
  <c r="O87" i="16"/>
  <c r="O114" i="16"/>
  <c r="O123" i="16"/>
  <c r="O112" i="16"/>
  <c r="O44" i="16"/>
  <c r="O59" i="16"/>
  <c r="O61" i="16"/>
  <c r="O120" i="16"/>
  <c r="O34" i="16"/>
  <c r="O15" i="16"/>
  <c r="O133" i="16"/>
  <c r="O128" i="16"/>
  <c r="O42" i="16"/>
  <c r="O47" i="16"/>
  <c r="O54" i="16"/>
  <c r="O17" i="16"/>
  <c r="O50" i="16"/>
  <c r="O79" i="16"/>
  <c r="O62" i="16"/>
  <c r="O131" i="16"/>
  <c r="O43" i="16"/>
  <c r="O45" i="16"/>
  <c r="O78" i="16"/>
  <c r="O28" i="16"/>
  <c r="O70" i="16"/>
  <c r="O35" i="16"/>
  <c r="O51" i="16"/>
  <c r="O124" i="16"/>
  <c r="O53" i="16"/>
  <c r="O129" i="16"/>
  <c r="O69" i="16"/>
  <c r="O26" i="16"/>
  <c r="O71" i="16"/>
  <c r="O95" i="16"/>
  <c r="AA38" i="19"/>
  <c r="AA42" i="19"/>
  <c r="AA46" i="19"/>
  <c r="AA50" i="19"/>
  <c r="AA54" i="19"/>
  <c r="AA58" i="19"/>
  <c r="AA62" i="19"/>
  <c r="AA39" i="19"/>
  <c r="AA47" i="19"/>
  <c r="AA59" i="19"/>
  <c r="Z40" i="19"/>
  <c r="Z48" i="19"/>
  <c r="Z56" i="19"/>
  <c r="Z64" i="19"/>
  <c r="AA40" i="19"/>
  <c r="AA48" i="19"/>
  <c r="AA56" i="19"/>
  <c r="AA64" i="19"/>
  <c r="Z41" i="19"/>
  <c r="Z49" i="19"/>
  <c r="Z57" i="19"/>
  <c r="Z65" i="19"/>
  <c r="Z39" i="19"/>
  <c r="Z43" i="19"/>
  <c r="Z47" i="19"/>
  <c r="Z51" i="19"/>
  <c r="Z55" i="19"/>
  <c r="Z59" i="19"/>
  <c r="Z63" i="19"/>
  <c r="AA43" i="19"/>
  <c r="AA51" i="19"/>
  <c r="AA55" i="19"/>
  <c r="AA63" i="19"/>
  <c r="Z44" i="19"/>
  <c r="Z52" i="19"/>
  <c r="Z60" i="19"/>
  <c r="AA44" i="19"/>
  <c r="AA52" i="19"/>
  <c r="AA60" i="19"/>
  <c r="Z45" i="19"/>
  <c r="Z53" i="19"/>
  <c r="Z61" i="19"/>
  <c r="AA41" i="19"/>
  <c r="AA45" i="19"/>
  <c r="AA49" i="19"/>
  <c r="AA57" i="19"/>
  <c r="AA61" i="19"/>
  <c r="AA65" i="19"/>
  <c r="Z38" i="19"/>
  <c r="Z42" i="19"/>
  <c r="Z46" i="19"/>
  <c r="Z54" i="19"/>
  <c r="Z62" i="19"/>
  <c r="AA53" i="19"/>
  <c r="Z50" i="19"/>
  <c r="Z58" i="19"/>
  <c r="G12" i="16"/>
  <c r="G13" i="16"/>
  <c r="G11" i="16"/>
  <c r="G9" i="16"/>
  <c r="Q16" i="16"/>
  <c r="AH18" i="20"/>
  <c r="AH30" i="20"/>
  <c r="Z33" i="17"/>
  <c r="BD17" i="17"/>
  <c r="AJ17" i="17"/>
  <c r="BN17" i="17"/>
  <c r="Z16" i="17"/>
  <c r="AE30" i="20"/>
  <c r="AE18" i="20"/>
  <c r="V7" i="17"/>
  <c r="AH30" i="19"/>
  <c r="AH18" i="19"/>
  <c r="AE30" i="19"/>
  <c r="AE18" i="19"/>
  <c r="Y193" i="15"/>
  <c r="X192" i="15"/>
  <c r="AE16" i="17" a="1"/>
  <c r="AY16" i="17" a="1"/>
  <c r="AO16" i="17" a="1"/>
  <c r="BI16" i="17" a="1"/>
  <c r="AE14" i="19"/>
  <c r="V67" i="19" s="1" a="1"/>
  <c r="AH14" i="20"/>
  <c r="Z67" i="20" s="1" a="1"/>
  <c r="AE14" i="20"/>
  <c r="V67" i="20" s="1" a="1"/>
  <c r="AH14" i="19"/>
  <c r="Z67" i="19" s="1" a="1"/>
  <c r="Z72" i="19" l="1"/>
  <c r="AA81" i="19"/>
  <c r="AA68" i="19"/>
  <c r="Z81" i="19"/>
  <c r="Z75" i="19"/>
  <c r="Z78" i="19"/>
  <c r="Z80" i="19"/>
  <c r="AA73" i="19"/>
  <c r="AA72" i="19"/>
  <c r="AA77" i="19"/>
  <c r="AA75" i="19"/>
  <c r="Z68" i="19"/>
  <c r="AA82" i="19"/>
  <c r="AA80" i="19"/>
  <c r="AA74" i="19"/>
  <c r="AA87" i="19"/>
  <c r="Z76" i="19"/>
  <c r="Z71" i="19"/>
  <c r="AA84" i="19"/>
  <c r="AA78" i="19"/>
  <c r="Z70" i="19"/>
  <c r="Z84" i="19"/>
  <c r="Z79" i="19"/>
  <c r="AA88" i="19"/>
  <c r="AA86" i="19"/>
  <c r="Z74" i="19"/>
  <c r="Z85" i="19"/>
  <c r="AA83" i="19"/>
  <c r="AA69" i="19"/>
  <c r="AA67" i="19"/>
  <c r="Z87" i="19"/>
  <c r="AA79" i="19"/>
  <c r="AA71" i="19"/>
  <c r="Z82" i="19"/>
  <c r="AA76" i="19"/>
  <c r="Z86" i="19"/>
  <c r="Z69" i="19"/>
  <c r="Z77" i="19"/>
  <c r="Z88" i="19"/>
  <c r="AA85" i="19"/>
  <c r="Z73" i="19"/>
  <c r="Z67" i="19"/>
  <c r="AA70" i="19"/>
  <c r="Z83" i="19"/>
  <c r="W67" i="20"/>
  <c r="V76" i="20"/>
  <c r="V85" i="20"/>
  <c r="V77" i="20"/>
  <c r="V70" i="20"/>
  <c r="V67" i="20"/>
  <c r="V80" i="20"/>
  <c r="W81" i="20"/>
  <c r="W85" i="20"/>
  <c r="V86" i="20"/>
  <c r="W71" i="20"/>
  <c r="V84" i="20"/>
  <c r="W68" i="20"/>
  <c r="W74" i="20"/>
  <c r="W70" i="20"/>
  <c r="W75" i="20"/>
  <c r="V88" i="20"/>
  <c r="W72" i="20"/>
  <c r="W82" i="20"/>
  <c r="W78" i="20"/>
  <c r="W83" i="20"/>
  <c r="V69" i="20"/>
  <c r="W80" i="20"/>
  <c r="V83" i="20"/>
  <c r="V75" i="20"/>
  <c r="V68" i="20"/>
  <c r="V81" i="20"/>
  <c r="W69" i="20"/>
  <c r="V78" i="20"/>
  <c r="V87" i="20"/>
  <c r="W79" i="20"/>
  <c r="W77" i="20"/>
  <c r="V72" i="20"/>
  <c r="V74" i="20"/>
  <c r="W88" i="20"/>
  <c r="V82" i="20"/>
  <c r="V73" i="20"/>
  <c r="W86" i="20"/>
  <c r="W76" i="20"/>
  <c r="W84" i="20"/>
  <c r="W87" i="20"/>
  <c r="W73" i="20"/>
  <c r="V71" i="20"/>
  <c r="V79" i="20"/>
  <c r="Z68" i="20"/>
  <c r="AA76" i="20"/>
  <c r="Z85" i="20"/>
  <c r="AA78" i="20"/>
  <c r="Z87" i="20"/>
  <c r="Z74" i="20"/>
  <c r="Z88" i="20"/>
  <c r="Z77" i="20"/>
  <c r="AA74" i="20"/>
  <c r="AA67" i="20"/>
  <c r="Z82" i="20"/>
  <c r="AA68" i="20"/>
  <c r="Z81" i="20"/>
  <c r="AA82" i="20"/>
  <c r="AA71" i="20"/>
  <c r="Z86" i="20"/>
  <c r="AA72" i="20"/>
  <c r="AA69" i="20"/>
  <c r="AA86" i="20"/>
  <c r="AA75" i="20"/>
  <c r="Z72" i="20"/>
  <c r="AA84" i="20"/>
  <c r="AA77" i="20"/>
  <c r="Z71" i="20"/>
  <c r="AA83" i="20"/>
  <c r="Z76" i="20"/>
  <c r="AA88" i="20"/>
  <c r="AA81" i="20"/>
  <c r="Z75" i="20"/>
  <c r="AA87" i="20"/>
  <c r="Z80" i="20"/>
  <c r="Z69" i="20"/>
  <c r="AA85" i="20"/>
  <c r="Z79" i="20"/>
  <c r="Z70" i="20"/>
  <c r="Z84" i="20"/>
  <c r="Z78" i="20"/>
  <c r="Z73" i="20"/>
  <c r="AA73" i="20"/>
  <c r="AA70" i="20"/>
  <c r="Z83" i="20"/>
  <c r="AA79" i="20"/>
  <c r="AA80" i="20"/>
  <c r="Z67" i="20"/>
  <c r="V72" i="19"/>
  <c r="W80" i="19"/>
  <c r="W69" i="19"/>
  <c r="W82" i="19"/>
  <c r="W67" i="19"/>
  <c r="V78" i="19"/>
  <c r="V80" i="19"/>
  <c r="V69" i="19"/>
  <c r="W85" i="19"/>
  <c r="V79" i="19"/>
  <c r="V70" i="19"/>
  <c r="V88" i="19"/>
  <c r="V77" i="19"/>
  <c r="W74" i="19"/>
  <c r="V87" i="19"/>
  <c r="V82" i="19"/>
  <c r="W68" i="19"/>
  <c r="V81" i="19"/>
  <c r="W78" i="19"/>
  <c r="W71" i="19"/>
  <c r="V86" i="19"/>
  <c r="W72" i="19"/>
  <c r="V85" i="19"/>
  <c r="W86" i="19"/>
  <c r="W75" i="19"/>
  <c r="V76" i="19"/>
  <c r="W88" i="19"/>
  <c r="W81" i="19"/>
  <c r="V75" i="19"/>
  <c r="W87" i="19"/>
  <c r="W70" i="19"/>
  <c r="V68" i="19"/>
  <c r="V67" i="19"/>
  <c r="V84" i="19"/>
  <c r="V71" i="19"/>
  <c r="W76" i="19"/>
  <c r="V83" i="19"/>
  <c r="W84" i="19"/>
  <c r="W79" i="19"/>
  <c r="V73" i="19"/>
  <c r="W83" i="19"/>
  <c r="W73" i="19"/>
  <c r="V74" i="19"/>
  <c r="W77" i="19"/>
  <c r="BI41" i="17"/>
  <c r="BI26" i="17"/>
  <c r="BI52" i="17"/>
  <c r="BI35" i="17"/>
  <c r="BI44" i="17"/>
  <c r="BI46" i="17"/>
  <c r="BI55" i="17"/>
  <c r="BI56" i="17"/>
  <c r="BI57" i="17"/>
  <c r="BI42" i="17"/>
  <c r="BI29" i="17"/>
  <c r="BI51" i="17"/>
  <c r="BI68" i="17"/>
  <c r="BI62" i="17"/>
  <c r="BI71" i="17"/>
  <c r="BI69" i="17"/>
  <c r="BI76" i="17"/>
  <c r="BI67" i="17"/>
  <c r="BI30" i="17"/>
  <c r="BI63" i="17"/>
  <c r="BI17" i="17"/>
  <c r="BI18" i="17"/>
  <c r="BI45" i="17"/>
  <c r="BI75" i="17"/>
  <c r="BI38" i="17"/>
  <c r="BI16" i="17"/>
  <c r="BI25" i="17"/>
  <c r="BI34" i="17"/>
  <c r="BI61" i="17"/>
  <c r="BI20" i="17"/>
  <c r="BI54" i="17"/>
  <c r="BI24" i="17"/>
  <c r="BI33" i="17"/>
  <c r="BI74" i="17"/>
  <c r="BI60" i="17"/>
  <c r="BI47" i="17"/>
  <c r="BI65" i="17"/>
  <c r="BI72" i="17"/>
  <c r="BI53" i="17"/>
  <c r="BI40" i="17"/>
  <c r="BI73" i="17"/>
  <c r="BI19" i="17"/>
  <c r="BI22" i="17"/>
  <c r="BI48" i="17"/>
  <c r="BI37" i="17"/>
  <c r="BI27" i="17"/>
  <c r="BI70" i="17"/>
  <c r="BI64" i="17"/>
  <c r="BI28" i="17"/>
  <c r="BI50" i="17"/>
  <c r="BI23" i="17"/>
  <c r="BI58" i="17"/>
  <c r="BI31" i="17"/>
  <c r="BI66" i="17"/>
  <c r="BI39" i="17"/>
  <c r="BI59" i="17"/>
  <c r="BI36" i="17"/>
  <c r="BI43" i="17"/>
  <c r="BI21" i="17"/>
  <c r="BI32" i="17"/>
  <c r="BI49" i="17"/>
  <c r="AO57" i="17"/>
  <c r="AO58" i="17"/>
  <c r="AO59" i="17"/>
  <c r="AO68" i="17"/>
  <c r="AO30" i="17"/>
  <c r="AO61" i="17"/>
  <c r="AO48" i="17"/>
  <c r="AO65" i="17"/>
  <c r="AO66" i="17"/>
  <c r="AO67" i="17"/>
  <c r="AO73" i="17"/>
  <c r="AO74" i="17"/>
  <c r="AO75" i="17"/>
  <c r="AO18" i="17"/>
  <c r="AO43" i="17"/>
  <c r="AO21" i="17"/>
  <c r="AO47" i="17"/>
  <c r="AO55" i="17"/>
  <c r="AO63" i="17"/>
  <c r="AO34" i="17"/>
  <c r="AO20" i="17"/>
  <c r="AO45" i="17"/>
  <c r="AO32" i="17"/>
  <c r="AO40" i="17"/>
  <c r="AO56" i="17"/>
  <c r="AO25" i="17"/>
  <c r="AO27" i="17"/>
  <c r="AO29" i="17"/>
  <c r="AO44" i="17"/>
  <c r="AO62" i="17"/>
  <c r="AO41" i="17"/>
  <c r="AO51" i="17"/>
  <c r="AO69" i="17"/>
  <c r="AO70" i="17"/>
  <c r="AO24" i="17"/>
  <c r="AO49" i="17"/>
  <c r="AO28" i="17"/>
  <c r="AO22" i="17"/>
  <c r="AO31" i="17"/>
  <c r="AO26" i="17"/>
  <c r="AO36" i="17"/>
  <c r="AO54" i="17"/>
  <c r="AO16" i="17"/>
  <c r="AO17" i="17"/>
  <c r="AO19" i="17"/>
  <c r="AO76" i="17"/>
  <c r="AO64" i="17"/>
  <c r="AO38" i="17"/>
  <c r="AO50" i="17"/>
  <c r="AO72" i="17"/>
  <c r="AO35" i="17"/>
  <c r="AO37" i="17"/>
  <c r="AO52" i="17"/>
  <c r="AO39" i="17"/>
  <c r="AO60" i="17"/>
  <c r="AO53" i="17"/>
  <c r="AO23" i="17"/>
  <c r="AO33" i="17"/>
  <c r="AO71" i="17"/>
  <c r="AO42" i="17"/>
  <c r="AO46" i="17"/>
  <c r="AY25" i="17"/>
  <c r="AY27" i="17"/>
  <c r="AY65" i="17"/>
  <c r="AY21" i="17"/>
  <c r="AY34" i="17"/>
  <c r="AY28" i="17"/>
  <c r="AY19" i="17"/>
  <c r="AY72" i="17"/>
  <c r="AY23" i="17"/>
  <c r="AY73" i="17"/>
  <c r="AY45" i="17"/>
  <c r="AY42" i="17"/>
  <c r="AY44" i="17"/>
  <c r="AY51" i="17"/>
  <c r="AY22" i="17"/>
  <c r="AY31" i="17"/>
  <c r="AY58" i="17"/>
  <c r="AY69" i="17"/>
  <c r="AY50" i="17"/>
  <c r="AY68" i="17"/>
  <c r="AY52" i="17"/>
  <c r="AY30" i="17"/>
  <c r="AY39" i="17"/>
  <c r="AY49" i="17"/>
  <c r="AY16" i="17"/>
  <c r="AY75" i="17"/>
  <c r="AY61" i="17"/>
  <c r="AY71" i="17"/>
  <c r="AY43" i="17"/>
  <c r="AY18" i="17"/>
  <c r="AY53" i="17"/>
  <c r="AY40" i="17"/>
  <c r="AY56" i="17"/>
  <c r="AY67" i="17"/>
  <c r="AY26" i="17"/>
  <c r="AY47" i="17"/>
  <c r="AY38" i="17"/>
  <c r="AY41" i="17"/>
  <c r="AY74" i="17"/>
  <c r="AY63" i="17"/>
  <c r="AY20" i="17"/>
  <c r="AY59" i="17"/>
  <c r="AY54" i="17"/>
  <c r="AY36" i="17"/>
  <c r="AY29" i="17"/>
  <c r="AY62" i="17"/>
  <c r="AY60" i="17"/>
  <c r="AY32" i="17"/>
  <c r="AY70" i="17"/>
  <c r="AY33" i="17"/>
  <c r="AY66" i="17"/>
  <c r="AY37" i="17"/>
  <c r="AY55" i="17"/>
  <c r="AY48" i="17"/>
  <c r="AY35" i="17"/>
  <c r="AY64" i="17"/>
  <c r="AY76" i="17"/>
  <c r="AY46" i="17"/>
  <c r="AY17" i="17"/>
  <c r="AY24" i="17"/>
  <c r="AY57" i="17"/>
  <c r="AE17" i="17"/>
  <c r="AE18" i="17"/>
  <c r="AE60" i="17"/>
  <c r="AE66" i="17"/>
  <c r="AE59" i="17"/>
  <c r="AE45" i="17"/>
  <c r="AE29" i="17"/>
  <c r="AE38" i="17"/>
  <c r="AE33" i="17"/>
  <c r="AE34" i="17"/>
  <c r="AE53" i="17"/>
  <c r="AE32" i="17"/>
  <c r="AE75" i="17"/>
  <c r="AE54" i="17"/>
  <c r="AE62" i="17"/>
  <c r="AE23" i="17"/>
  <c r="AE25" i="17"/>
  <c r="AE50" i="17"/>
  <c r="AE24" i="17"/>
  <c r="AE67" i="17"/>
  <c r="AE71" i="17"/>
  <c r="AG72" i="17" s="1"/>
  <c r="AH72" i="17" s="1"/>
  <c r="AE22" i="17"/>
  <c r="AE49" i="17"/>
  <c r="AE74" i="17"/>
  <c r="AE39" i="17"/>
  <c r="AE28" i="17"/>
  <c r="AE72" i="17"/>
  <c r="AE46" i="17"/>
  <c r="AE57" i="17"/>
  <c r="AE44" i="17"/>
  <c r="AG45" i="17" s="1"/>
  <c r="AH45" i="17" s="1"/>
  <c r="AE19" i="17"/>
  <c r="AE36" i="17"/>
  <c r="AG37" i="17" s="1"/>
  <c r="AH37" i="17" s="1"/>
  <c r="AE21" i="17"/>
  <c r="AE63" i="17"/>
  <c r="AE65" i="17"/>
  <c r="AE76" i="17"/>
  <c r="AE27" i="17"/>
  <c r="AE52" i="17"/>
  <c r="AE37" i="17"/>
  <c r="AE40" i="17"/>
  <c r="AE42" i="17"/>
  <c r="AE55" i="17"/>
  <c r="AE51" i="17"/>
  <c r="AE31" i="17"/>
  <c r="AE64" i="17"/>
  <c r="AE56" i="17"/>
  <c r="AG56" i="17" s="1"/>
  <c r="AH56" i="17" s="1"/>
  <c r="AE16" i="17"/>
  <c r="AE35" i="17"/>
  <c r="AE30" i="17"/>
  <c r="AE41" i="17"/>
  <c r="AE43" i="17"/>
  <c r="AE73" i="17"/>
  <c r="AE20" i="17"/>
  <c r="AE26" i="17"/>
  <c r="AE68" i="17"/>
  <c r="AE58" i="17"/>
  <c r="AE61" i="17"/>
  <c r="AE69" i="17"/>
  <c r="AE48" i="17"/>
  <c r="AE70" i="17"/>
  <c r="AE47" i="17"/>
  <c r="Z34" i="17"/>
  <c r="Z35" i="17" s="1"/>
  <c r="Z36" i="17" s="1"/>
  <c r="Z37" i="17" s="1"/>
  <c r="Z38" i="17" s="1"/>
  <c r="Z39" i="17" s="1"/>
  <c r="Z40" i="17" s="1"/>
  <c r="Z41" i="17" s="1"/>
  <c r="Z42" i="17" s="1"/>
  <c r="Z43" i="17" s="1"/>
  <c r="Z44" i="17" s="1"/>
  <c r="E40" i="17" s="1"/>
  <c r="E54" i="17" s="1"/>
  <c r="BD18" i="17"/>
  <c r="BD19" i="17" s="1"/>
  <c r="BD20" i="17" s="1"/>
  <c r="BD21" i="17" s="1"/>
  <c r="BD22" i="17" s="1"/>
  <c r="BD23" i="17" s="1"/>
  <c r="BD24" i="17" s="1"/>
  <c r="BD25" i="17" s="1"/>
  <c r="BD26" i="17" s="1"/>
  <c r="BD27" i="17" s="1"/>
  <c r="BD28" i="17" s="1"/>
  <c r="BD29" i="17" s="1"/>
  <c r="BD30" i="17" s="1"/>
  <c r="BD31" i="17" s="1"/>
  <c r="BD32" i="17" s="1"/>
  <c r="BD33" i="17" s="1"/>
  <c r="BD34" i="17" s="1"/>
  <c r="BD35" i="17" s="1"/>
  <c r="BD36" i="17" s="1"/>
  <c r="BD37" i="17" s="1"/>
  <c r="BD38" i="17" s="1"/>
  <c r="BD39" i="17" s="1"/>
  <c r="BD40" i="17" s="1"/>
  <c r="BD41" i="17" s="1"/>
  <c r="BD42" i="17" s="1"/>
  <c r="BD43" i="17" s="1"/>
  <c r="BD44" i="17" s="1"/>
  <c r="BD45" i="17" s="1"/>
  <c r="BD46" i="17" s="1"/>
  <c r="BD47" i="17" s="1"/>
  <c r="BD48" i="17" s="1"/>
  <c r="BD49" i="17" s="1"/>
  <c r="BD50" i="17" s="1"/>
  <c r="BD51" i="17" s="1"/>
  <c r="BD52" i="17" s="1"/>
  <c r="BD53" i="17" s="1"/>
  <c r="BD54" i="17" s="1"/>
  <c r="BD55" i="17" s="1"/>
  <c r="BD56" i="17" s="1"/>
  <c r="BD57" i="17" s="1"/>
  <c r="BD58" i="17" s="1"/>
  <c r="BD59" i="17" s="1"/>
  <c r="BD60" i="17" s="1"/>
  <c r="BD61" i="17" s="1"/>
  <c r="BD62" i="17" s="1"/>
  <c r="BD63" i="17" s="1"/>
  <c r="BD64" i="17" s="1"/>
  <c r="BD65" i="17" s="1"/>
  <c r="BD66" i="17" s="1"/>
  <c r="BD67" i="17" s="1"/>
  <c r="BD68" i="17" s="1"/>
  <c r="BD69" i="17" s="1"/>
  <c r="BD70" i="17" s="1"/>
  <c r="BD71" i="17" s="1"/>
  <c r="BD72" i="17" s="1"/>
  <c r="BD73" i="17" s="1"/>
  <c r="BD74" i="17" s="1"/>
  <c r="BD75" i="17" s="1"/>
  <c r="BD76" i="17" s="1"/>
  <c r="AB64" i="19"/>
  <c r="AG73" i="17"/>
  <c r="AH73" i="17" s="1"/>
  <c r="BA19" i="17"/>
  <c r="BB19" i="17" s="1"/>
  <c r="BA64" i="17"/>
  <c r="BB64" i="17" s="1"/>
  <c r="BK65" i="17"/>
  <c r="BL65" i="17" s="1"/>
  <c r="AB38" i="19"/>
  <c r="AB52" i="19"/>
  <c r="R16" i="16"/>
  <c r="Z17" i="17"/>
  <c r="Z18" i="17" s="1"/>
  <c r="Z19" i="17" s="1"/>
  <c r="Z20" i="17" s="1"/>
  <c r="Z21" i="17" s="1"/>
  <c r="Z22" i="17" s="1"/>
  <c r="Z23" i="17" s="1"/>
  <c r="Z24" i="17" s="1"/>
  <c r="Z25" i="17" s="1"/>
  <c r="Z26" i="17" s="1"/>
  <c r="Z27" i="17" s="1"/>
  <c r="E39" i="17" s="1"/>
  <c r="E53" i="17" s="1"/>
  <c r="AJ18" i="17"/>
  <c r="AJ19" i="17" s="1"/>
  <c r="AJ20" i="17" s="1"/>
  <c r="AJ21" i="17" s="1"/>
  <c r="AJ22" i="17" s="1"/>
  <c r="AJ23" i="17" s="1"/>
  <c r="AJ24" i="17" s="1"/>
  <c r="AJ25" i="17" s="1"/>
  <c r="AJ26" i="17" s="1"/>
  <c r="AJ27" i="17" s="1"/>
  <c r="AJ28" i="17" s="1"/>
  <c r="AJ29" i="17" s="1"/>
  <c r="AJ30" i="17" s="1"/>
  <c r="AJ31" i="17" s="1"/>
  <c r="AJ32" i="17" s="1"/>
  <c r="AJ33" i="17" s="1"/>
  <c r="AJ34" i="17" s="1"/>
  <c r="AJ35" i="17" s="1"/>
  <c r="AJ36" i="17" s="1"/>
  <c r="AJ37" i="17" s="1"/>
  <c r="AJ38" i="17" s="1"/>
  <c r="AJ39" i="17" s="1"/>
  <c r="AJ40" i="17" s="1"/>
  <c r="AJ41" i="17" s="1"/>
  <c r="AJ42" i="17" s="1"/>
  <c r="AJ43" i="17" s="1"/>
  <c r="AJ44" i="17" s="1"/>
  <c r="AJ45" i="17" s="1"/>
  <c r="AJ46" i="17" s="1"/>
  <c r="AJ47" i="17" s="1"/>
  <c r="AJ48" i="17" s="1"/>
  <c r="AJ49" i="17" s="1"/>
  <c r="AJ50" i="17" s="1"/>
  <c r="AJ51" i="17" s="1"/>
  <c r="AJ52" i="17" s="1"/>
  <c r="AJ53" i="17" s="1"/>
  <c r="AJ54" i="17" s="1"/>
  <c r="AJ55" i="17" s="1"/>
  <c r="AJ56" i="17" s="1"/>
  <c r="AJ57" i="17" s="1"/>
  <c r="AJ58" i="17" s="1"/>
  <c r="AJ59" i="17" s="1"/>
  <c r="AJ60" i="17" s="1"/>
  <c r="AJ61" i="17" s="1"/>
  <c r="AJ62" i="17" s="1"/>
  <c r="AJ63" i="17" s="1"/>
  <c r="AJ64" i="17" s="1"/>
  <c r="AJ65" i="17" s="1"/>
  <c r="AJ66" i="17" s="1"/>
  <c r="AJ67" i="17" s="1"/>
  <c r="AJ68" i="17" s="1"/>
  <c r="AJ69" i="17" s="1"/>
  <c r="AJ70" i="17" s="1"/>
  <c r="AJ71" i="17" s="1"/>
  <c r="AJ72" i="17" s="1"/>
  <c r="AJ73" i="17" s="1"/>
  <c r="AJ74" i="17" s="1"/>
  <c r="AJ75" i="17" s="1"/>
  <c r="AJ76" i="17" s="1"/>
  <c r="BN18" i="17"/>
  <c r="BN19" i="17" s="1"/>
  <c r="BN20" i="17" s="1"/>
  <c r="BN21" i="17" s="1"/>
  <c r="BN22" i="17" s="1"/>
  <c r="BN23" i="17" s="1"/>
  <c r="BN24" i="17" s="1"/>
  <c r="BN25" i="17" s="1"/>
  <c r="BN26" i="17" s="1"/>
  <c r="BN27" i="17" s="1"/>
  <c r="BN28" i="17" s="1"/>
  <c r="BN29" i="17" s="1"/>
  <c r="BN30" i="17" s="1"/>
  <c r="BN31" i="17" s="1"/>
  <c r="BN32" i="17" s="1"/>
  <c r="BN33" i="17" s="1"/>
  <c r="BN34" i="17" s="1"/>
  <c r="BN35" i="17" s="1"/>
  <c r="BN36" i="17" s="1"/>
  <c r="BN37" i="17" s="1"/>
  <c r="BN38" i="17" s="1"/>
  <c r="BN39" i="17" s="1"/>
  <c r="BN40" i="17" s="1"/>
  <c r="BN41" i="17" s="1"/>
  <c r="BN42" i="17" s="1"/>
  <c r="BN43" i="17" s="1"/>
  <c r="BN44" i="17" s="1"/>
  <c r="BN45" i="17" s="1"/>
  <c r="BN46" i="17" s="1"/>
  <c r="BN47" i="17" s="1"/>
  <c r="BN48" i="17" s="1"/>
  <c r="BN49" i="17" s="1"/>
  <c r="BN50" i="17" s="1"/>
  <c r="BN51" i="17" s="1"/>
  <c r="BN52" i="17" s="1"/>
  <c r="BN53" i="17" s="1"/>
  <c r="BN54" i="17" s="1"/>
  <c r="BN55" i="17" s="1"/>
  <c r="BN56" i="17" s="1"/>
  <c r="BN57" i="17" s="1"/>
  <c r="BN58" i="17" s="1"/>
  <c r="BN59" i="17" s="1"/>
  <c r="BN60" i="17" s="1"/>
  <c r="BN61" i="17" s="1"/>
  <c r="BN62" i="17" s="1"/>
  <c r="BN63" i="17" s="1"/>
  <c r="BN64" i="17" s="1"/>
  <c r="BN65" i="17" s="1"/>
  <c r="BN66" i="17" s="1"/>
  <c r="BN67" i="17" s="1"/>
  <c r="BN68" i="17" s="1"/>
  <c r="BN69" i="17" s="1"/>
  <c r="BN70" i="17" s="1"/>
  <c r="BN71" i="17" s="1"/>
  <c r="BN72" i="17" s="1"/>
  <c r="BN73" i="17" s="1"/>
  <c r="BN74" i="17" s="1"/>
  <c r="BN75" i="17" s="1"/>
  <c r="BN76" i="17" s="1"/>
  <c r="Q17" i="16"/>
  <c r="T16" i="17"/>
  <c r="T17" i="17" s="1"/>
  <c r="T18" i="17" s="1"/>
  <c r="T19" i="17" s="1"/>
  <c r="T20" i="17" s="1"/>
  <c r="T21" i="17" s="1"/>
  <c r="T22" i="17" s="1"/>
  <c r="T23" i="17" s="1"/>
  <c r="T24" i="17" s="1"/>
  <c r="T25" i="17" s="1"/>
  <c r="T26" i="17" s="1"/>
  <c r="T27" i="17" s="1"/>
  <c r="T28" i="17" s="1"/>
  <c r="T29" i="17" s="1"/>
  <c r="T30" i="17" s="1"/>
  <c r="T31" i="17" s="1"/>
  <c r="T32" i="17" s="1"/>
  <c r="T33" i="17" s="1"/>
  <c r="T34" i="17" s="1"/>
  <c r="T35" i="17" s="1"/>
  <c r="T36" i="17" s="1"/>
  <c r="T37" i="17" s="1"/>
  <c r="T38" i="17" s="1"/>
  <c r="T39" i="17" s="1"/>
  <c r="T40" i="17" s="1"/>
  <c r="T41" i="17" s="1"/>
  <c r="T42" i="17" s="1"/>
  <c r="T43" i="17" s="1"/>
  <c r="T44" i="17" s="1"/>
  <c r="T45" i="17" s="1"/>
  <c r="T46" i="17" s="1"/>
  <c r="T47" i="17" s="1"/>
  <c r="T48" i="17" s="1"/>
  <c r="T49" i="17" s="1"/>
  <c r="T50" i="17" s="1"/>
  <c r="T51" i="17" s="1"/>
  <c r="T52" i="17" s="1"/>
  <c r="T53" i="17" s="1"/>
  <c r="T54" i="17" s="1"/>
  <c r="T55" i="17" s="1"/>
  <c r="T56" i="17" s="1"/>
  <c r="T57" i="17" s="1"/>
  <c r="T58" i="17" s="1"/>
  <c r="T59" i="17" s="1"/>
  <c r="T60" i="17" s="1"/>
  <c r="T61" i="17" s="1"/>
  <c r="T62" i="17" s="1"/>
  <c r="T63" i="17" s="1"/>
  <c r="T64" i="17" s="1"/>
  <c r="T65" i="17" s="1"/>
  <c r="T66" i="17" s="1"/>
  <c r="T67" i="17" s="1"/>
  <c r="T68" i="17" s="1"/>
  <c r="T69" i="17" s="1"/>
  <c r="AT18" i="17"/>
  <c r="AT19" i="17" s="1"/>
  <c r="AT20" i="17" s="1"/>
  <c r="AT21" i="17" s="1"/>
  <c r="AT22" i="17" s="1"/>
  <c r="AT23" i="17" s="1"/>
  <c r="AT24" i="17" s="1"/>
  <c r="AT25" i="17" s="1"/>
  <c r="AT26" i="17" s="1"/>
  <c r="AT27" i="17" s="1"/>
  <c r="AT28" i="17" s="1"/>
  <c r="AT29" i="17" s="1"/>
  <c r="AT30" i="17" s="1"/>
  <c r="AT31" i="17" s="1"/>
  <c r="AT32" i="17" s="1"/>
  <c r="AT33" i="17" s="1"/>
  <c r="AT34" i="17" s="1"/>
  <c r="AT35" i="17" s="1"/>
  <c r="AT36" i="17" s="1"/>
  <c r="AT37" i="17" s="1"/>
  <c r="AT38" i="17" s="1"/>
  <c r="AT39" i="17" s="1"/>
  <c r="AT40" i="17" s="1"/>
  <c r="AT41" i="17" s="1"/>
  <c r="AT42" i="17" s="1"/>
  <c r="AT43" i="17" s="1"/>
  <c r="AT44" i="17" s="1"/>
  <c r="AT45" i="17" s="1"/>
  <c r="AT46" i="17" s="1"/>
  <c r="AT47" i="17" s="1"/>
  <c r="AT48" i="17" s="1"/>
  <c r="AT49" i="17" s="1"/>
  <c r="AT50" i="17" s="1"/>
  <c r="AT51" i="17" s="1"/>
  <c r="AT52" i="17" s="1"/>
  <c r="AT53" i="17" s="1"/>
  <c r="AT54" i="17" s="1"/>
  <c r="AT55" i="17" s="1"/>
  <c r="AT56" i="17" s="1"/>
  <c r="AT57" i="17" s="1"/>
  <c r="AT58" i="17" s="1"/>
  <c r="AT59" i="17" s="1"/>
  <c r="AT60" i="17" s="1"/>
  <c r="AT61" i="17" s="1"/>
  <c r="AT62" i="17" s="1"/>
  <c r="AT63" i="17" s="1"/>
  <c r="AT64" i="17" s="1"/>
  <c r="AT65" i="17" s="1"/>
  <c r="AT66" i="17" s="1"/>
  <c r="AT67" i="17" s="1"/>
  <c r="AT68" i="17" s="1"/>
  <c r="AT69" i="17" s="1"/>
  <c r="AT70" i="17" s="1"/>
  <c r="AT71" i="17" s="1"/>
  <c r="AT72" i="17" s="1"/>
  <c r="AT73" i="17" s="1"/>
  <c r="AT74" i="17" s="1"/>
  <c r="AT75" i="17" s="1"/>
  <c r="AT76" i="17" s="1"/>
  <c r="Y194" i="15"/>
  <c r="X193" i="15"/>
  <c r="E67" i="17"/>
  <c r="E68" i="17"/>
  <c r="BA38" i="17" l="1"/>
  <c r="BB38" i="17" s="1"/>
  <c r="BA24" i="17"/>
  <c r="BB24" i="17" s="1"/>
  <c r="BA72" i="17"/>
  <c r="BB72" i="17" s="1"/>
  <c r="BK59" i="17"/>
  <c r="BL59" i="17" s="1"/>
  <c r="BK75" i="17"/>
  <c r="BL75" i="17" s="1"/>
  <c r="BK17" i="17"/>
  <c r="BL17" i="17" s="1"/>
  <c r="BM17" i="17" s="1"/>
  <c r="BK25" i="17"/>
  <c r="BL25" i="17" s="1"/>
  <c r="BK52" i="17"/>
  <c r="BL52" i="17" s="1"/>
  <c r="BK62" i="17"/>
  <c r="BL62" i="17" s="1"/>
  <c r="BK54" i="17"/>
  <c r="BL54" i="17" s="1"/>
  <c r="BA42" i="17"/>
  <c r="BB42" i="17" s="1"/>
  <c r="BA60" i="17"/>
  <c r="BB60" i="17" s="1"/>
  <c r="BA69" i="17"/>
  <c r="BB69" i="17" s="1"/>
  <c r="BA51" i="17"/>
  <c r="BB51" i="17" s="1"/>
  <c r="BA21" i="17"/>
  <c r="BB21" i="17" s="1"/>
  <c r="BA29" i="17"/>
  <c r="BB29" i="17" s="1"/>
  <c r="AQ23" i="17"/>
  <c r="AR23" i="17" s="1"/>
  <c r="AQ56" i="17"/>
  <c r="AR56" i="17" s="1"/>
  <c r="AQ27" i="17"/>
  <c r="AR27" i="17" s="1"/>
  <c r="AG54" i="17"/>
  <c r="AH54" i="17" s="1"/>
  <c r="AG68" i="17"/>
  <c r="AH68" i="17" s="1"/>
  <c r="AG76" i="17"/>
  <c r="AH76" i="17" s="1"/>
  <c r="AG47" i="17"/>
  <c r="AH47" i="17" s="1"/>
  <c r="AB62" i="19"/>
  <c r="BA50" i="17"/>
  <c r="BB50" i="17" s="1"/>
  <c r="BA46" i="17"/>
  <c r="BB46" i="17" s="1"/>
  <c r="AQ21" i="17"/>
  <c r="AR21" i="17" s="1"/>
  <c r="AG32" i="17"/>
  <c r="AH32" i="17" s="1"/>
  <c r="AQ53" i="17"/>
  <c r="AR53" i="17" s="1"/>
  <c r="AG27" i="17"/>
  <c r="AH27" i="17" s="1"/>
  <c r="AQ70" i="17"/>
  <c r="AR70" i="17" s="1"/>
  <c r="AQ37" i="17"/>
  <c r="AR37" i="17" s="1"/>
  <c r="AQ31" i="17"/>
  <c r="AR31" i="17" s="1"/>
  <c r="AQ72" i="17"/>
  <c r="AR72" i="17" s="1"/>
  <c r="AG65" i="17"/>
  <c r="AH65" i="17" s="1"/>
  <c r="AG50" i="17"/>
  <c r="AH50" i="17" s="1"/>
  <c r="AG43" i="17"/>
  <c r="AH43" i="17" s="1"/>
  <c r="BA23" i="17"/>
  <c r="BB23" i="17" s="1"/>
  <c r="BA70" i="17"/>
  <c r="BB70" i="17" s="1"/>
  <c r="BK67" i="17"/>
  <c r="BL67" i="17" s="1"/>
  <c r="BK40" i="17"/>
  <c r="BL40" i="17" s="1"/>
  <c r="AG21" i="17"/>
  <c r="AH21" i="17" s="1"/>
  <c r="BK45" i="17"/>
  <c r="BL45" i="17" s="1"/>
  <c r="BA39" i="17"/>
  <c r="BB39" i="17" s="1"/>
  <c r="BA47" i="17"/>
  <c r="BB47" i="17" s="1"/>
  <c r="AQ65" i="17"/>
  <c r="AR65" i="17" s="1"/>
  <c r="AQ68" i="17"/>
  <c r="AR68" i="17" s="1"/>
  <c r="AQ35" i="17"/>
  <c r="AR35" i="17" s="1"/>
  <c r="AQ58" i="17"/>
  <c r="AR58" i="17" s="1"/>
  <c r="AG23" i="17"/>
  <c r="AH23" i="17" s="1"/>
  <c r="AG58" i="17"/>
  <c r="AH58" i="17" s="1"/>
  <c r="AG25" i="17"/>
  <c r="AH25" i="17" s="1"/>
  <c r="AB45" i="19"/>
  <c r="AB50" i="19"/>
  <c r="AB53" i="19"/>
  <c r="BA74" i="17"/>
  <c r="BB74" i="17" s="1"/>
  <c r="AQ47" i="17"/>
  <c r="AR47" i="17" s="1"/>
  <c r="AG29" i="17"/>
  <c r="AH29" i="17" s="1"/>
  <c r="BK29" i="17"/>
  <c r="BL29" i="17" s="1"/>
  <c r="BK37" i="17"/>
  <c r="BL37" i="17" s="1"/>
  <c r="BA43" i="17"/>
  <c r="BB43" i="17" s="1"/>
  <c r="BA35" i="17"/>
  <c r="BB35" i="17" s="1"/>
  <c r="AQ39" i="17"/>
  <c r="AR39" i="17" s="1"/>
  <c r="AB42" i="19"/>
  <c r="AB58" i="19"/>
  <c r="AB44" i="19"/>
  <c r="BK47" i="17"/>
  <c r="BL47" i="17" s="1"/>
  <c r="BK66" i="17"/>
  <c r="BL66" i="17" s="1"/>
  <c r="BK22" i="17"/>
  <c r="BL22" i="17" s="1"/>
  <c r="BA58" i="17"/>
  <c r="BB58" i="17" s="1"/>
  <c r="BK41" i="17"/>
  <c r="BL41" i="17" s="1"/>
  <c r="BA54" i="17"/>
  <c r="BB54" i="17" s="1"/>
  <c r="BA31" i="17"/>
  <c r="BB31" i="17" s="1"/>
  <c r="BK63" i="17"/>
  <c r="BL63" i="17" s="1"/>
  <c r="AQ67" i="17"/>
  <c r="AR67" i="17" s="1"/>
  <c r="AG38" i="17"/>
  <c r="AH38" i="17" s="1"/>
  <c r="AG41" i="17"/>
  <c r="AH41" i="17" s="1"/>
  <c r="AQ40" i="17"/>
  <c r="AR40" i="17" s="1"/>
  <c r="AQ28" i="17"/>
  <c r="AR28" i="17" s="1"/>
  <c r="AQ59" i="17"/>
  <c r="AR59" i="17" s="1"/>
  <c r="AG30" i="17"/>
  <c r="AH30" i="17" s="1"/>
  <c r="AQ32" i="17"/>
  <c r="AR32" i="17" s="1"/>
  <c r="AQ49" i="17"/>
  <c r="AR49" i="17" s="1"/>
  <c r="AG33" i="17"/>
  <c r="AH33" i="17" s="1"/>
  <c r="AG18" i="17"/>
  <c r="AH18" i="17" s="1"/>
  <c r="AB58" i="20"/>
  <c r="AB44" i="20"/>
  <c r="AB52" i="20"/>
  <c r="AB46" i="19"/>
  <c r="BK32" i="17"/>
  <c r="BL32" i="17" s="1"/>
  <c r="AQ42" i="17"/>
  <c r="AR42" i="17" s="1"/>
  <c r="AG63" i="17"/>
  <c r="AH63" i="17" s="1"/>
  <c r="AG49" i="17"/>
  <c r="AH49" i="17" s="1"/>
  <c r="AQ52" i="17"/>
  <c r="AR52" i="17" s="1"/>
  <c r="BK50" i="17"/>
  <c r="BL50" i="17" s="1"/>
  <c r="BA63" i="17"/>
  <c r="BB63" i="17" s="1"/>
  <c r="AQ76" i="17"/>
  <c r="AR76" i="17" s="1"/>
  <c r="AQ64" i="17"/>
  <c r="AR64" i="17" s="1"/>
  <c r="AB38" i="20"/>
  <c r="AB39" i="19"/>
  <c r="AB48" i="20"/>
  <c r="AG66" i="17"/>
  <c r="AH66" i="17" s="1"/>
  <c r="AQ18" i="17"/>
  <c r="AR18" i="17" s="1"/>
  <c r="AQ75" i="17"/>
  <c r="AR75" i="17" s="1"/>
  <c r="AG62" i="17"/>
  <c r="AH62" i="17" s="1"/>
  <c r="D40" i="17"/>
  <c r="D54" i="17" s="1"/>
  <c r="BK20" i="17"/>
  <c r="BL20" i="17" s="1"/>
  <c r="BK36" i="17"/>
  <c r="BL36" i="17" s="1"/>
  <c r="BK57" i="17"/>
  <c r="BL57" i="17" s="1"/>
  <c r="BA56" i="17"/>
  <c r="BB56" i="17" s="1"/>
  <c r="BA65" i="17"/>
  <c r="BB65" i="17" s="1"/>
  <c r="AG60" i="17"/>
  <c r="AH60" i="17" s="1"/>
  <c r="C40" i="17"/>
  <c r="C54" i="17" s="1"/>
  <c r="AG51" i="17"/>
  <c r="AH51" i="17" s="1"/>
  <c r="AB39" i="20"/>
  <c r="BK28" i="17"/>
  <c r="BL28" i="17" s="1"/>
  <c r="BA26" i="17"/>
  <c r="BB26" i="17" s="1"/>
  <c r="BA34" i="17"/>
  <c r="BB34" i="17" s="1"/>
  <c r="AG71" i="17"/>
  <c r="AH71" i="17" s="1"/>
  <c r="AB54" i="19"/>
  <c r="BK70" i="17"/>
  <c r="BL70" i="17" s="1"/>
  <c r="AQ44" i="17"/>
  <c r="AR44" i="17" s="1"/>
  <c r="AB56" i="19"/>
  <c r="AQ73" i="17"/>
  <c r="AR73" i="17" s="1"/>
  <c r="AQ38" i="17"/>
  <c r="AR38" i="17" s="1"/>
  <c r="AB54" i="20"/>
  <c r="AB53" i="20"/>
  <c r="AB59" i="19"/>
  <c r="AB51" i="19"/>
  <c r="AB43" i="19"/>
  <c r="AB45" i="20"/>
  <c r="AB83" i="19"/>
  <c r="AB72" i="19"/>
  <c r="AB86" i="19"/>
  <c r="AB81" i="19"/>
  <c r="AB70" i="20"/>
  <c r="D45" i="17"/>
  <c r="D59" i="17" s="1"/>
  <c r="E46" i="17"/>
  <c r="E60" i="17" s="1"/>
  <c r="BK73" i="17"/>
  <c r="BL73" i="17" s="1"/>
  <c r="BK24" i="17"/>
  <c r="BL24" i="17" s="1"/>
  <c r="BA68" i="17"/>
  <c r="BB68" i="17" s="1"/>
  <c r="BA20" i="17"/>
  <c r="BB20" i="17" s="1"/>
  <c r="BA28" i="17"/>
  <c r="BB28" i="17" s="1"/>
  <c r="AQ63" i="17"/>
  <c r="AR63" i="17" s="1"/>
  <c r="AQ26" i="17"/>
  <c r="AR26" i="17" s="1"/>
  <c r="AG53" i="17"/>
  <c r="AH53" i="17" s="1"/>
  <c r="AB46" i="20"/>
  <c r="AB49" i="20"/>
  <c r="E47" i="17"/>
  <c r="E61" i="17" s="1"/>
  <c r="C41" i="17"/>
  <c r="C55" i="17" s="1"/>
  <c r="E44" i="17"/>
  <c r="E58" i="17" s="1"/>
  <c r="C39" i="17"/>
  <c r="C53" i="17" s="1"/>
  <c r="C46" i="17"/>
  <c r="C60" i="17" s="1"/>
  <c r="AB47" i="19"/>
  <c r="BK72" i="17"/>
  <c r="BL72" i="17" s="1"/>
  <c r="BK21" i="17"/>
  <c r="BL21" i="17" s="1"/>
  <c r="BK33" i="17"/>
  <c r="BL33" i="17" s="1"/>
  <c r="BK58" i="17"/>
  <c r="BL58" i="17" s="1"/>
  <c r="BK71" i="17"/>
  <c r="BL71" i="17" s="1"/>
  <c r="BK43" i="17"/>
  <c r="BL43" i="17" s="1"/>
  <c r="BA49" i="17"/>
  <c r="BB49" i="17" s="1"/>
  <c r="BA57" i="17"/>
  <c r="BB57" i="17" s="1"/>
  <c r="BA66" i="17"/>
  <c r="BB66" i="17" s="1"/>
  <c r="BA76" i="17"/>
  <c r="BB76" i="17" s="1"/>
  <c r="BA27" i="17"/>
  <c r="BB27" i="17" s="1"/>
  <c r="AQ74" i="17"/>
  <c r="AR74" i="17" s="1"/>
  <c r="AQ45" i="17"/>
  <c r="AR45" i="17" s="1"/>
  <c r="AQ19" i="17"/>
  <c r="AR19" i="17" s="1"/>
  <c r="AQ51" i="17"/>
  <c r="AR51" i="17" s="1"/>
  <c r="AQ43" i="17"/>
  <c r="AR43" i="17" s="1"/>
  <c r="AQ71" i="17"/>
  <c r="AR71" i="17" s="1"/>
  <c r="AG64" i="17"/>
  <c r="AH64" i="17" s="1"/>
  <c r="AG52" i="17"/>
  <c r="AH52" i="17" s="1"/>
  <c r="AG61" i="17"/>
  <c r="AH61" i="17" s="1"/>
  <c r="AG74" i="17"/>
  <c r="AH74" i="17" s="1"/>
  <c r="AG57" i="17"/>
  <c r="AH57" i="17" s="1"/>
  <c r="AB59" i="20"/>
  <c r="AB42" i="20"/>
  <c r="E45" i="17"/>
  <c r="E59" i="17" s="1"/>
  <c r="E41" i="17"/>
  <c r="E55" i="17" s="1"/>
  <c r="AB41" i="19"/>
  <c r="BK76" i="17"/>
  <c r="BL76" i="17" s="1"/>
  <c r="BK64" i="17"/>
  <c r="BL64" i="17" s="1"/>
  <c r="AQ62" i="17"/>
  <c r="AR62" i="17" s="1"/>
  <c r="AG28" i="17"/>
  <c r="AH28" i="17" s="1"/>
  <c r="AG75" i="17"/>
  <c r="AH75" i="17" s="1"/>
  <c r="AB62" i="20"/>
  <c r="AB61" i="20"/>
  <c r="D42" i="17"/>
  <c r="D56" i="17" s="1"/>
  <c r="BK34" i="17"/>
  <c r="BL34" i="17" s="1"/>
  <c r="BK56" i="17"/>
  <c r="BL56" i="17" s="1"/>
  <c r="BA25" i="17"/>
  <c r="BB25" i="17" s="1"/>
  <c r="AQ25" i="17"/>
  <c r="AR25" i="17" s="1"/>
  <c r="AG19" i="17"/>
  <c r="AH19" i="17" s="1"/>
  <c r="AG44" i="17"/>
  <c r="AH44" i="17" s="1"/>
  <c r="AG22" i="17"/>
  <c r="AH22" i="17" s="1"/>
  <c r="AG48" i="17"/>
  <c r="AH48" i="17" s="1"/>
  <c r="AB41" i="20"/>
  <c r="AB55" i="20"/>
  <c r="AB51" i="20"/>
  <c r="AB50" i="20"/>
  <c r="D46" i="17"/>
  <c r="D60" i="17" s="1"/>
  <c r="D41" i="17"/>
  <c r="D55" i="17" s="1"/>
  <c r="D47" i="17"/>
  <c r="D61" i="17" s="1"/>
  <c r="D39" i="17"/>
  <c r="D53" i="17" s="1"/>
  <c r="BA67" i="17"/>
  <c r="BB67" i="17" s="1"/>
  <c r="AQ54" i="17"/>
  <c r="AR54" i="17" s="1"/>
  <c r="C47" i="17"/>
  <c r="C61" i="17" s="1"/>
  <c r="E42" i="17"/>
  <c r="E56" i="17" s="1"/>
  <c r="AB61" i="19"/>
  <c r="BK35" i="17"/>
  <c r="BL35" i="17" s="1"/>
  <c r="BK49" i="17"/>
  <c r="BL49" i="17" s="1"/>
  <c r="BA17" i="17"/>
  <c r="BB17" i="17" s="1"/>
  <c r="BC17" i="17" s="1"/>
  <c r="AG20" i="17"/>
  <c r="AH20" i="17" s="1"/>
  <c r="C48" i="17"/>
  <c r="C62" i="17" s="1"/>
  <c r="D43" i="17"/>
  <c r="D57" i="17" s="1"/>
  <c r="AB49" i="19"/>
  <c r="BK18" i="17"/>
  <c r="BL18" i="17" s="1"/>
  <c r="BK44" i="17"/>
  <c r="BL44" i="17" s="1"/>
  <c r="BK69" i="17"/>
  <c r="BL69" i="17" s="1"/>
  <c r="BA45" i="17"/>
  <c r="BB45" i="17" s="1"/>
  <c r="BA33" i="17"/>
  <c r="BB33" i="17" s="1"/>
  <c r="AQ17" i="17"/>
  <c r="AR17" i="17" s="1"/>
  <c r="AS17" i="17" s="1"/>
  <c r="AQ46" i="17"/>
  <c r="AR46" i="17" s="1"/>
  <c r="AG35" i="17"/>
  <c r="AH35" i="17" s="1"/>
  <c r="AB40" i="19"/>
  <c r="AB63" i="19"/>
  <c r="BK23" i="17"/>
  <c r="BL23" i="17" s="1"/>
  <c r="BK31" i="17"/>
  <c r="BL31" i="17" s="1"/>
  <c r="BK39" i="17"/>
  <c r="BL39" i="17" s="1"/>
  <c r="BK48" i="17"/>
  <c r="BL48" i="17" s="1"/>
  <c r="BK61" i="17"/>
  <c r="BL61" i="17" s="1"/>
  <c r="BK68" i="17"/>
  <c r="BL68" i="17" s="1"/>
  <c r="BA36" i="17"/>
  <c r="BB36" i="17" s="1"/>
  <c r="BA44" i="17"/>
  <c r="BB44" i="17" s="1"/>
  <c r="BA53" i="17"/>
  <c r="BB53" i="17" s="1"/>
  <c r="BA62" i="17"/>
  <c r="BB62" i="17" s="1"/>
  <c r="BA55" i="17"/>
  <c r="BB55" i="17" s="1"/>
  <c r="BA32" i="17"/>
  <c r="BB32" i="17" s="1"/>
  <c r="BA40" i="17"/>
  <c r="BB40" i="17" s="1"/>
  <c r="BA48" i="17"/>
  <c r="BB48" i="17" s="1"/>
  <c r="AQ69" i="17"/>
  <c r="AR69" i="17" s="1"/>
  <c r="AQ34" i="17"/>
  <c r="AR34" i="17" s="1"/>
  <c r="AQ61" i="17"/>
  <c r="AR61" i="17" s="1"/>
  <c r="AQ66" i="17"/>
  <c r="AR66" i="17" s="1"/>
  <c r="AQ57" i="17"/>
  <c r="AR57" i="17" s="1"/>
  <c r="AG26" i="17"/>
  <c r="AH26" i="17" s="1"/>
  <c r="AG34" i="17"/>
  <c r="AH34" i="17" s="1"/>
  <c r="AG42" i="17"/>
  <c r="AH42" i="17" s="1"/>
  <c r="AG67" i="17"/>
  <c r="AH67" i="17" s="1"/>
  <c r="AG59" i="17"/>
  <c r="AH59" i="17" s="1"/>
  <c r="AG70" i="17"/>
  <c r="AH70" i="17" s="1"/>
  <c r="AB40" i="20"/>
  <c r="AB56" i="20"/>
  <c r="AB64" i="20"/>
  <c r="R17" i="16"/>
  <c r="Q18" i="16"/>
  <c r="BK74" i="17"/>
  <c r="BL74" i="17" s="1"/>
  <c r="C44" i="17"/>
  <c r="C58" i="17" s="1"/>
  <c r="BK19" i="17"/>
  <c r="BL19" i="17" s="1"/>
  <c r="BA18" i="17"/>
  <c r="BB18" i="17" s="1"/>
  <c r="AQ20" i="17"/>
  <c r="AR20" i="17" s="1"/>
  <c r="AQ22" i="17"/>
  <c r="AR22" i="17" s="1"/>
  <c r="AQ30" i="17"/>
  <c r="AR30" i="17" s="1"/>
  <c r="AQ55" i="17"/>
  <c r="AR55" i="17" s="1"/>
  <c r="AG46" i="17"/>
  <c r="AH46" i="17" s="1"/>
  <c r="AB63" i="20"/>
  <c r="AB47" i="20"/>
  <c r="D44" i="17"/>
  <c r="D58" i="17" s="1"/>
  <c r="BK27" i="17"/>
  <c r="BL27" i="17" s="1"/>
  <c r="BK51" i="17"/>
  <c r="BL51" i="17" s="1"/>
  <c r="BA73" i="17"/>
  <c r="BB73" i="17" s="1"/>
  <c r="AG36" i="17"/>
  <c r="AH36" i="17" s="1"/>
  <c r="BK26" i="17"/>
  <c r="BL26" i="17" s="1"/>
  <c r="BA37" i="17"/>
  <c r="BB37" i="17" s="1"/>
  <c r="BA41" i="17"/>
  <c r="BB41" i="17" s="1"/>
  <c r="AG40" i="17"/>
  <c r="AH40" i="17" s="1"/>
  <c r="D48" i="17"/>
  <c r="D62" i="17" s="1"/>
  <c r="C42" i="17"/>
  <c r="C56" i="17" s="1"/>
  <c r="C43" i="17"/>
  <c r="C57" i="17" s="1"/>
  <c r="E48" i="17"/>
  <c r="E62" i="17" s="1"/>
  <c r="C45" i="17"/>
  <c r="C59" i="17" s="1"/>
  <c r="E43" i="17"/>
  <c r="E57" i="17" s="1"/>
  <c r="AB55" i="19"/>
  <c r="AB60" i="19"/>
  <c r="AB57" i="19"/>
  <c r="AB48" i="19"/>
  <c r="BK30" i="17"/>
  <c r="BL30" i="17" s="1"/>
  <c r="BK38" i="17"/>
  <c r="BL38" i="17" s="1"/>
  <c r="BK46" i="17"/>
  <c r="BL46" i="17" s="1"/>
  <c r="BK42" i="17"/>
  <c r="BL42" i="17" s="1"/>
  <c r="BK53" i="17"/>
  <c r="BL53" i="17" s="1"/>
  <c r="BK60" i="17"/>
  <c r="BL60" i="17" s="1"/>
  <c r="BK55" i="17"/>
  <c r="BL55" i="17" s="1"/>
  <c r="BA59" i="17"/>
  <c r="BB59" i="17" s="1"/>
  <c r="BA75" i="17"/>
  <c r="BB75" i="17" s="1"/>
  <c r="BA52" i="17"/>
  <c r="BB52" i="17" s="1"/>
  <c r="BA61" i="17"/>
  <c r="BB61" i="17" s="1"/>
  <c r="BA71" i="17"/>
  <c r="BB71" i="17" s="1"/>
  <c r="BA22" i="17"/>
  <c r="BB22" i="17" s="1"/>
  <c r="BA30" i="17"/>
  <c r="BB30" i="17" s="1"/>
  <c r="AQ50" i="17"/>
  <c r="AR50" i="17" s="1"/>
  <c r="AQ36" i="17"/>
  <c r="AR36" i="17" s="1"/>
  <c r="AQ48" i="17"/>
  <c r="AR48" i="17" s="1"/>
  <c r="AQ60" i="17"/>
  <c r="AR60" i="17" s="1"/>
  <c r="AQ33" i="17"/>
  <c r="AR33" i="17" s="1"/>
  <c r="AQ41" i="17"/>
  <c r="AR41" i="17" s="1"/>
  <c r="AQ29" i="17"/>
  <c r="AR29" i="17" s="1"/>
  <c r="AQ24" i="17"/>
  <c r="AR24" i="17" s="1"/>
  <c r="AG31" i="17"/>
  <c r="AH31" i="17" s="1"/>
  <c r="AG39" i="17"/>
  <c r="AH39" i="17" s="1"/>
  <c r="AG55" i="17"/>
  <c r="AH55" i="17" s="1"/>
  <c r="AG24" i="17"/>
  <c r="AH24" i="17" s="1"/>
  <c r="AG17" i="17"/>
  <c r="AH17" i="17" s="1"/>
  <c r="AI17" i="17" s="1"/>
  <c r="AI18" i="17" s="1"/>
  <c r="AI19" i="17" s="1"/>
  <c r="AG69" i="17"/>
  <c r="AH69" i="17" s="1"/>
  <c r="AB60" i="20"/>
  <c r="AB43" i="20"/>
  <c r="AB57" i="20"/>
  <c r="Y195" i="15"/>
  <c r="X194" i="15"/>
  <c r="C68" i="17"/>
  <c r="D73" i="17"/>
  <c r="C74" i="17"/>
  <c r="E70" i="17"/>
  <c r="E76" i="17"/>
  <c r="D68" i="17"/>
  <c r="E74" i="17"/>
  <c r="D74" i="17"/>
  <c r="C73" i="17"/>
  <c r="E73" i="17"/>
  <c r="D69" i="17"/>
  <c r="E71" i="17"/>
  <c r="E69" i="17"/>
  <c r="D75" i="17"/>
  <c r="E75" i="17"/>
  <c r="D70" i="17"/>
  <c r="D67" i="17"/>
  <c r="D72" i="17"/>
  <c r="C72" i="17"/>
  <c r="C69" i="17"/>
  <c r="D76" i="17"/>
  <c r="E72" i="17"/>
  <c r="C76" i="17"/>
  <c r="C70" i="17"/>
  <c r="C67" i="17"/>
  <c r="C75" i="17"/>
  <c r="D71" i="17"/>
  <c r="C71" i="17"/>
  <c r="BM18" i="17" l="1"/>
  <c r="BM19" i="17" s="1"/>
  <c r="BM20" i="17" s="1"/>
  <c r="BM21" i="17" s="1"/>
  <c r="BM22" i="17" s="1"/>
  <c r="BM23" i="17" s="1"/>
  <c r="BM24" i="17" s="1"/>
  <c r="AB78" i="20"/>
  <c r="AB88" i="20"/>
  <c r="AB67" i="20"/>
  <c r="AB73" i="20"/>
  <c r="AB75" i="20"/>
  <c r="AB88" i="19"/>
  <c r="AB87" i="20"/>
  <c r="AB79" i="20"/>
  <c r="AI20" i="17"/>
  <c r="AI21" i="17" s="1"/>
  <c r="AI22" i="17" s="1"/>
  <c r="AI23" i="17" s="1"/>
  <c r="AI24" i="17" s="1"/>
  <c r="AI25" i="17" s="1"/>
  <c r="F42" i="17" s="1"/>
  <c r="F56" i="17" s="1"/>
  <c r="AB85" i="20"/>
  <c r="AS18" i="17"/>
  <c r="AS19" i="17" s="1"/>
  <c r="AS20" i="17" s="1"/>
  <c r="AS21" i="17" s="1"/>
  <c r="AS22" i="17" s="1"/>
  <c r="AS23" i="17" s="1"/>
  <c r="AS24" i="17" s="1"/>
  <c r="F39" i="17" s="1"/>
  <c r="F53" i="17" s="1"/>
  <c r="AB82" i="20"/>
  <c r="AB76" i="20"/>
  <c r="BC18" i="17"/>
  <c r="BC19" i="17" s="1"/>
  <c r="BC20" i="17" s="1"/>
  <c r="BC21" i="17" s="1"/>
  <c r="BC22" i="17" s="1"/>
  <c r="BC23" i="17" s="1"/>
  <c r="BC24" i="17" s="1"/>
  <c r="F40" i="17" s="1"/>
  <c r="F54" i="17" s="1"/>
  <c r="AB78" i="19"/>
  <c r="AB67" i="19"/>
  <c r="AB80" i="20"/>
  <c r="AB68" i="19"/>
  <c r="AB85" i="19"/>
  <c r="AB71" i="20"/>
  <c r="AB86" i="20"/>
  <c r="AB76" i="19"/>
  <c r="AB79" i="19"/>
  <c r="AB70" i="19"/>
  <c r="AB74" i="19"/>
  <c r="AB74" i="20"/>
  <c r="AB87" i="19"/>
  <c r="AB69" i="20"/>
  <c r="AB84" i="20"/>
  <c r="AB69" i="19"/>
  <c r="Q19" i="16"/>
  <c r="R18" i="16"/>
  <c r="AB77" i="20"/>
  <c r="AB80" i="19"/>
  <c r="AB81" i="20"/>
  <c r="AB73" i="19"/>
  <c r="AB84" i="19"/>
  <c r="AB72" i="20"/>
  <c r="AB83" i="20"/>
  <c r="AB77" i="19"/>
  <c r="AB82" i="19"/>
  <c r="AB75" i="19"/>
  <c r="AB68" i="20"/>
  <c r="AB71" i="19"/>
  <c r="Y196" i="15"/>
  <c r="X195" i="15"/>
  <c r="F67" i="17"/>
  <c r="F68" i="17"/>
  <c r="F70" i="17"/>
  <c r="AI26" i="17" l="1"/>
  <c r="AI27" i="17" s="1"/>
  <c r="AS25" i="17"/>
  <c r="AS26" i="17" s="1"/>
  <c r="G39" i="17" s="1"/>
  <c r="G53" i="17" s="1"/>
  <c r="BC25" i="17"/>
  <c r="BC26" i="17" s="1"/>
  <c r="F41" i="17"/>
  <c r="F55" i="17" s="1"/>
  <c r="BM25" i="17"/>
  <c r="BM26" i="17" s="1"/>
  <c r="Q20" i="16"/>
  <c r="R19" i="16"/>
  <c r="Y197" i="15"/>
  <c r="X196" i="15"/>
  <c r="F69" i="17"/>
  <c r="G67" i="17"/>
  <c r="H14" i="16" l="1"/>
  <c r="G14" i="16" s="1"/>
  <c r="F43" i="17"/>
  <c r="F57" i="17" s="1"/>
  <c r="AS27" i="17"/>
  <c r="AS28" i="17" s="1"/>
  <c r="AS29" i="17" s="1"/>
  <c r="AS30" i="17" s="1"/>
  <c r="AS31" i="17" s="1"/>
  <c r="AS32" i="17" s="1"/>
  <c r="AS33" i="17" s="1"/>
  <c r="AS34" i="17" s="1"/>
  <c r="AS35" i="17" s="1"/>
  <c r="AS36" i="17" s="1"/>
  <c r="G40" i="17"/>
  <c r="G54" i="17" s="1"/>
  <c r="BC27" i="17"/>
  <c r="BC28" i="17" s="1"/>
  <c r="BC29" i="17" s="1"/>
  <c r="BC30" i="17" s="1"/>
  <c r="G42" i="17"/>
  <c r="G56" i="17" s="1"/>
  <c r="AI28" i="17"/>
  <c r="G41" i="17"/>
  <c r="G55" i="17" s="1"/>
  <c r="BM27" i="17"/>
  <c r="BM28" i="17" s="1"/>
  <c r="BM29" i="17" s="1"/>
  <c r="BM30" i="17" s="1"/>
  <c r="Q21" i="16"/>
  <c r="R20" i="16"/>
  <c r="Y198" i="15"/>
  <c r="X197" i="15"/>
  <c r="F71" i="17"/>
  <c r="G70" i="17"/>
  <c r="G69" i="17"/>
  <c r="G68" i="17"/>
  <c r="H39" i="17" l="1"/>
  <c r="H53" i="17" s="1"/>
  <c r="BC31" i="17"/>
  <c r="BC32" i="17" s="1"/>
  <c r="BC33" i="17" s="1"/>
  <c r="BC34" i="17" s="1"/>
  <c r="BC35" i="17" s="1"/>
  <c r="BC36" i="17" s="1"/>
  <c r="H40" i="17"/>
  <c r="H54" i="17" s="1"/>
  <c r="I39" i="17"/>
  <c r="I53" i="17" s="1"/>
  <c r="AS37" i="17"/>
  <c r="AS38" i="17" s="1"/>
  <c r="AS39" i="17" s="1"/>
  <c r="AS40" i="17" s="1"/>
  <c r="AS41" i="17" s="1"/>
  <c r="AS42" i="17" s="1"/>
  <c r="AS43" i="17" s="1"/>
  <c r="AS44" i="17" s="1"/>
  <c r="AS45" i="17" s="1"/>
  <c r="AS46" i="17" s="1"/>
  <c r="F44" i="17"/>
  <c r="F58" i="17" s="1"/>
  <c r="G43" i="17"/>
  <c r="G57" i="17" s="1"/>
  <c r="AI29" i="17"/>
  <c r="AI30" i="17" s="1"/>
  <c r="H41" i="17"/>
  <c r="H55" i="17" s="1"/>
  <c r="BM31" i="17"/>
  <c r="BM32" i="17" s="1"/>
  <c r="BM33" i="17" s="1"/>
  <c r="BM34" i="17" s="1"/>
  <c r="BM35" i="17" s="1"/>
  <c r="BM36" i="17" s="1"/>
  <c r="Q22" i="16"/>
  <c r="R21" i="16"/>
  <c r="Y199" i="15"/>
  <c r="X198" i="15"/>
  <c r="H67" i="17"/>
  <c r="I67" i="17"/>
  <c r="F72" i="17"/>
  <c r="G71" i="17"/>
  <c r="H69" i="17"/>
  <c r="H68" i="17"/>
  <c r="BC37" i="17" l="1"/>
  <c r="BC38" i="17" s="1"/>
  <c r="BC39" i="17" s="1"/>
  <c r="BC40" i="17" s="1"/>
  <c r="BC41" i="17" s="1"/>
  <c r="BC42" i="17" s="1"/>
  <c r="BC43" i="17" s="1"/>
  <c r="BC44" i="17" s="1"/>
  <c r="BC45" i="17" s="1"/>
  <c r="BC46" i="17" s="1"/>
  <c r="I40" i="17"/>
  <c r="I54" i="17" s="1"/>
  <c r="I41" i="17"/>
  <c r="I55" i="17" s="1"/>
  <c r="BM37" i="17"/>
  <c r="BM38" i="17" s="1"/>
  <c r="BM39" i="17" s="1"/>
  <c r="BM40" i="17" s="1"/>
  <c r="BM41" i="17" s="1"/>
  <c r="BM42" i="17" s="1"/>
  <c r="BM43" i="17" s="1"/>
  <c r="BM44" i="17" s="1"/>
  <c r="BM45" i="17" s="1"/>
  <c r="BM46" i="17" s="1"/>
  <c r="J39" i="17"/>
  <c r="J53" i="17" s="1"/>
  <c r="AS47" i="17"/>
  <c r="AS48" i="17" s="1"/>
  <c r="AS49" i="17" s="1"/>
  <c r="AS50" i="17" s="1"/>
  <c r="AS51" i="17" s="1"/>
  <c r="AS52" i="17" s="1"/>
  <c r="AS53" i="17" s="1"/>
  <c r="AS54" i="17" s="1"/>
  <c r="AS55" i="17" s="1"/>
  <c r="AS56" i="17" s="1"/>
  <c r="F45" i="17"/>
  <c r="F59" i="17" s="1"/>
  <c r="G44" i="17"/>
  <c r="G58" i="17" s="1"/>
  <c r="AI31" i="17"/>
  <c r="Q23" i="16"/>
  <c r="R22" i="16"/>
  <c r="Y200" i="15"/>
  <c r="X199" i="15"/>
  <c r="I68" i="17"/>
  <c r="I69" i="17"/>
  <c r="J67" i="17"/>
  <c r="F73" i="17"/>
  <c r="G72" i="17"/>
  <c r="J40" i="17" l="1"/>
  <c r="J54" i="17" s="1"/>
  <c r="BC47" i="17"/>
  <c r="BC48" i="17" s="1"/>
  <c r="BC49" i="17" s="1"/>
  <c r="BC50" i="17" s="1"/>
  <c r="BC51" i="17" s="1"/>
  <c r="BC52" i="17" s="1"/>
  <c r="BC53" i="17" s="1"/>
  <c r="BC54" i="17" s="1"/>
  <c r="BC55" i="17" s="1"/>
  <c r="BC56" i="17" s="1"/>
  <c r="H42" i="17"/>
  <c r="H56" i="17" s="1"/>
  <c r="AI32" i="17"/>
  <c r="J41" i="17"/>
  <c r="J55" i="17" s="1"/>
  <c r="BM47" i="17"/>
  <c r="BM48" i="17" s="1"/>
  <c r="BM49" i="17" s="1"/>
  <c r="BM50" i="17" s="1"/>
  <c r="BM51" i="17" s="1"/>
  <c r="BM52" i="17" s="1"/>
  <c r="BM53" i="17" s="1"/>
  <c r="BM54" i="17" s="1"/>
  <c r="BM55" i="17" s="1"/>
  <c r="BM56" i="17" s="1"/>
  <c r="K39" i="17"/>
  <c r="K53" i="17" s="1"/>
  <c r="AS57" i="17"/>
  <c r="AS58" i="17" s="1"/>
  <c r="AS59" i="17" s="1"/>
  <c r="AS60" i="17" s="1"/>
  <c r="AS61" i="17" s="1"/>
  <c r="AS62" i="17" s="1"/>
  <c r="AS63" i="17" s="1"/>
  <c r="AS64" i="17" s="1"/>
  <c r="AS65" i="17" s="1"/>
  <c r="AS66" i="17" s="1"/>
  <c r="AS67" i="17" s="1"/>
  <c r="AS68" i="17" s="1"/>
  <c r="AS69" i="17" s="1"/>
  <c r="AS70" i="17" s="1"/>
  <c r="AS71" i="17" s="1"/>
  <c r="AS72" i="17" s="1"/>
  <c r="AS73" i="17" s="1"/>
  <c r="AS74" i="17" s="1"/>
  <c r="AS75" i="17" s="1"/>
  <c r="AS76" i="17" s="1"/>
  <c r="Q24" i="16"/>
  <c r="R23" i="16"/>
  <c r="Y201" i="15"/>
  <c r="X200" i="15"/>
  <c r="J68" i="17"/>
  <c r="H70" i="17"/>
  <c r="J69" i="17"/>
  <c r="K67" i="17"/>
  <c r="H15" i="16" l="1"/>
  <c r="G15" i="16" s="1"/>
  <c r="BC57" i="17"/>
  <c r="BC58" i="17" s="1"/>
  <c r="BC59" i="17" s="1"/>
  <c r="BC60" i="17" s="1"/>
  <c r="BC61" i="17" s="1"/>
  <c r="BC62" i="17" s="1"/>
  <c r="BC63" i="17" s="1"/>
  <c r="BC64" i="17" s="1"/>
  <c r="BC65" i="17" s="1"/>
  <c r="BC66" i="17" s="1"/>
  <c r="BC67" i="17" s="1"/>
  <c r="BC68" i="17" s="1"/>
  <c r="BC69" i="17" s="1"/>
  <c r="BC70" i="17" s="1"/>
  <c r="BC71" i="17" s="1"/>
  <c r="BC72" i="17" s="1"/>
  <c r="BC73" i="17" s="1"/>
  <c r="BC74" i="17" s="1"/>
  <c r="BC75" i="17" s="1"/>
  <c r="BC76" i="17" s="1"/>
  <c r="K40" i="17"/>
  <c r="K54" i="17" s="1"/>
  <c r="G45" i="17"/>
  <c r="G59" i="17" s="1"/>
  <c r="H43" i="17"/>
  <c r="H57" i="17" s="1"/>
  <c r="AI33" i="17"/>
  <c r="AI34" i="17" s="1"/>
  <c r="Q25" i="16"/>
  <c r="R24" i="16"/>
  <c r="K41" i="17"/>
  <c r="K55" i="17" s="1"/>
  <c r="BM57" i="17"/>
  <c r="BM58" i="17" s="1"/>
  <c r="BM59" i="17" s="1"/>
  <c r="BM60" i="17" s="1"/>
  <c r="BM61" i="17" s="1"/>
  <c r="BM62" i="17" s="1"/>
  <c r="BM63" i="17" s="1"/>
  <c r="BM64" i="17" s="1"/>
  <c r="BM65" i="17" s="1"/>
  <c r="BM66" i="17" s="1"/>
  <c r="BM67" i="17" s="1"/>
  <c r="BM68" i="17" s="1"/>
  <c r="BM69" i="17" s="1"/>
  <c r="BM70" i="17" s="1"/>
  <c r="BM71" i="17" s="1"/>
  <c r="BM72" i="17" s="1"/>
  <c r="BM73" i="17" s="1"/>
  <c r="BM74" i="17" s="1"/>
  <c r="BM75" i="17" s="1"/>
  <c r="BM76" i="17" s="1"/>
  <c r="Y202" i="15"/>
  <c r="X201" i="15"/>
  <c r="K68" i="17"/>
  <c r="G73" i="17"/>
  <c r="H71" i="17"/>
  <c r="K69" i="17"/>
  <c r="H44" i="17" l="1"/>
  <c r="H58" i="17" s="1"/>
  <c r="F46" i="17"/>
  <c r="F60" i="17" s="1"/>
  <c r="AI35" i="17"/>
  <c r="AI36" i="17" s="1"/>
  <c r="Q26" i="16"/>
  <c r="R25" i="16"/>
  <c r="Y203" i="15"/>
  <c r="X202" i="15"/>
  <c r="H72" i="17"/>
  <c r="F74" i="17"/>
  <c r="G46" i="17" l="1"/>
  <c r="G60" i="17" s="1"/>
  <c r="H45" i="17"/>
  <c r="H59" i="17" s="1"/>
  <c r="AI37" i="17"/>
  <c r="Q27" i="16"/>
  <c r="R26" i="16"/>
  <c r="Y204" i="15"/>
  <c r="X203" i="15"/>
  <c r="G74" i="17"/>
  <c r="H73" i="17"/>
  <c r="Q28" i="16" l="1"/>
  <c r="R27" i="16"/>
  <c r="I42" i="17"/>
  <c r="I56" i="17" s="1"/>
  <c r="AI38" i="17"/>
  <c r="Y205" i="15"/>
  <c r="X204" i="15"/>
  <c r="I70" i="17"/>
  <c r="H16" i="16" l="1"/>
  <c r="G16" i="16" s="1"/>
  <c r="Q29" i="16"/>
  <c r="R28" i="16"/>
  <c r="F47" i="17"/>
  <c r="F61" i="17" s="1"/>
  <c r="I43" i="17"/>
  <c r="I57" i="17" s="1"/>
  <c r="AI39" i="17"/>
  <c r="AI40" i="17" s="1"/>
  <c r="Y206" i="15"/>
  <c r="X205" i="15"/>
  <c r="F75" i="17"/>
  <c r="I71" i="17"/>
  <c r="Q30" i="16" l="1"/>
  <c r="R29" i="16"/>
  <c r="I44" i="17"/>
  <c r="I58" i="17" s="1"/>
  <c r="H46" i="17"/>
  <c r="H60" i="17" s="1"/>
  <c r="G47" i="17"/>
  <c r="G61" i="17" s="1"/>
  <c r="AI41" i="17"/>
  <c r="AI42" i="17" s="1"/>
  <c r="Y207" i="15"/>
  <c r="X206" i="15"/>
  <c r="I72" i="17"/>
  <c r="H74" i="17"/>
  <c r="G75" i="17"/>
  <c r="I45" i="17" l="1"/>
  <c r="I59" i="17" s="1"/>
  <c r="AI43" i="17"/>
  <c r="AI44" i="17" s="1"/>
  <c r="Q31" i="16"/>
  <c r="R30" i="16"/>
  <c r="Y208" i="15"/>
  <c r="X207" i="15"/>
  <c r="I73" i="17"/>
  <c r="H47" i="17" l="1"/>
  <c r="H61" i="17" s="1"/>
  <c r="F48" i="17"/>
  <c r="F62" i="17" s="1"/>
  <c r="AI45" i="17"/>
  <c r="AI46" i="17" s="1"/>
  <c r="Q32" i="16"/>
  <c r="R31" i="16"/>
  <c r="Y209" i="15"/>
  <c r="X208" i="15"/>
  <c r="H75" i="17"/>
  <c r="F76" i="17"/>
  <c r="H17" i="16" l="1"/>
  <c r="G17" i="16" s="1"/>
  <c r="G48" i="17"/>
  <c r="G62" i="17" s="1"/>
  <c r="I46" i="17"/>
  <c r="I60" i="17" s="1"/>
  <c r="AI47" i="17"/>
  <c r="Q33" i="16"/>
  <c r="R32" i="16"/>
  <c r="Y210" i="15"/>
  <c r="X209" i="15"/>
  <c r="I74" i="17"/>
  <c r="G76" i="17"/>
  <c r="J42" i="17" l="1"/>
  <c r="J56" i="17" s="1"/>
  <c r="AI48" i="17"/>
  <c r="Q34" i="16"/>
  <c r="R33" i="16"/>
  <c r="Y211" i="15"/>
  <c r="X210" i="15"/>
  <c r="J70" i="17"/>
  <c r="J43" i="17" l="1"/>
  <c r="J57" i="17" s="1"/>
  <c r="AI49" i="17"/>
  <c r="AI50" i="17" s="1"/>
  <c r="Q35" i="16"/>
  <c r="R34" i="16"/>
  <c r="Y212" i="15"/>
  <c r="X211" i="15"/>
  <c r="J71" i="17"/>
  <c r="I47" i="17" l="1"/>
  <c r="I61" i="17" s="1"/>
  <c r="J44" i="17"/>
  <c r="J58" i="17" s="1"/>
  <c r="H48" i="17"/>
  <c r="H62" i="17" s="1"/>
  <c r="AI51" i="17"/>
  <c r="AI52" i="17" s="1"/>
  <c r="Q36" i="16"/>
  <c r="R35" i="16"/>
  <c r="Y213" i="15"/>
  <c r="X212" i="15"/>
  <c r="I75" i="17"/>
  <c r="J72" i="17"/>
  <c r="H76" i="17"/>
  <c r="H18" i="16" l="1"/>
  <c r="G18" i="16" s="1"/>
  <c r="Q37" i="16"/>
  <c r="R36" i="16"/>
  <c r="J45" i="17"/>
  <c r="J59" i="17" s="1"/>
  <c r="AI53" i="17"/>
  <c r="AI54" i="17" s="1"/>
  <c r="AI55" i="17" s="1"/>
  <c r="AI56" i="17" s="1"/>
  <c r="Y214" i="15"/>
  <c r="X213" i="15"/>
  <c r="J73" i="17"/>
  <c r="Q38" i="16" l="1"/>
  <c r="R37" i="16"/>
  <c r="J46" i="17"/>
  <c r="J60" i="17" s="1"/>
  <c r="I48" i="17"/>
  <c r="I62" i="17" s="1"/>
  <c r="AI57" i="17"/>
  <c r="Y215" i="15"/>
  <c r="X214" i="15"/>
  <c r="J74" i="17"/>
  <c r="I76" i="17"/>
  <c r="Q39" i="16" l="1"/>
  <c r="R38" i="16"/>
  <c r="K42" i="17"/>
  <c r="K56" i="17" s="1"/>
  <c r="AI58" i="17"/>
  <c r="Y216" i="15"/>
  <c r="X215" i="15"/>
  <c r="K70" i="17"/>
  <c r="Q40" i="16" l="1"/>
  <c r="R39" i="16"/>
  <c r="K43" i="17"/>
  <c r="K57" i="17" s="1"/>
  <c r="AI59" i="17"/>
  <c r="AI60" i="17" s="1"/>
  <c r="Y217" i="15"/>
  <c r="X216" i="15"/>
  <c r="K71" i="17"/>
  <c r="Q41" i="16" l="1"/>
  <c r="R40" i="16"/>
  <c r="J47" i="17"/>
  <c r="J61" i="17" s="1"/>
  <c r="K44" i="17"/>
  <c r="K58" i="17" s="1"/>
  <c r="AI61" i="17"/>
  <c r="AI62" i="17" s="1"/>
  <c r="Y218" i="15"/>
  <c r="X217" i="15"/>
  <c r="K72" i="17"/>
  <c r="J75" i="17"/>
  <c r="Q42" i="16" l="1"/>
  <c r="R41" i="16"/>
  <c r="K45" i="17"/>
  <c r="K59" i="17" s="1"/>
  <c r="AI63" i="17"/>
  <c r="AI64" i="17" s="1"/>
  <c r="AI65" i="17" s="1"/>
  <c r="AI66" i="17" s="1"/>
  <c r="Y219" i="15"/>
  <c r="X218" i="15"/>
  <c r="K73" i="17"/>
  <c r="Q43" i="16" l="1"/>
  <c r="R42" i="16"/>
  <c r="J48" i="17"/>
  <c r="J62" i="17" s="1"/>
  <c r="K46" i="17"/>
  <c r="K60" i="17" s="1"/>
  <c r="AI67" i="17"/>
  <c r="AI68" i="17" s="1"/>
  <c r="AI69" i="17" s="1"/>
  <c r="AI70" i="17" s="1"/>
  <c r="Y220" i="15"/>
  <c r="X219" i="15"/>
  <c r="K74" i="17"/>
  <c r="J76" i="17"/>
  <c r="K47" i="17" l="1"/>
  <c r="K61" i="17" s="1"/>
  <c r="AI71" i="17"/>
  <c r="AI72" i="17" s="1"/>
  <c r="AI73" i="17" s="1"/>
  <c r="AI74" i="17" s="1"/>
  <c r="AI75" i="17" s="1"/>
  <c r="AI76" i="17" s="1"/>
  <c r="K48" i="17" s="1"/>
  <c r="K62" i="17" s="1"/>
  <c r="Q44" i="16"/>
  <c r="R43" i="16"/>
  <c r="Y221" i="15"/>
  <c r="X220" i="15"/>
  <c r="N9" i="17"/>
  <c r="K76" i="17"/>
  <c r="K75" i="17"/>
  <c r="H19" i="16" l="1"/>
  <c r="G19" i="16" s="1"/>
  <c r="Q45" i="16"/>
  <c r="R44" i="16"/>
  <c r="Y222" i="15"/>
  <c r="X221" i="15"/>
  <c r="Q46" i="16" l="1"/>
  <c r="R45" i="16"/>
  <c r="Y223" i="15"/>
  <c r="X222" i="15"/>
  <c r="Q47" i="16" l="1"/>
  <c r="R46" i="16"/>
  <c r="Y224" i="15"/>
  <c r="X223" i="15"/>
  <c r="Q48" i="16" l="1"/>
  <c r="R47" i="16"/>
  <c r="Y225" i="15"/>
  <c r="X224" i="15"/>
  <c r="Q49" i="16" l="1"/>
  <c r="R48" i="16"/>
  <c r="Y226" i="15"/>
  <c r="X225" i="15"/>
  <c r="Q50" i="16" l="1"/>
  <c r="R49" i="16"/>
  <c r="Y227" i="15"/>
  <c r="X226" i="15"/>
  <c r="Q51" i="16" l="1"/>
  <c r="R50" i="16"/>
  <c r="Y228" i="15"/>
  <c r="X227" i="15"/>
  <c r="Q52" i="16" l="1"/>
  <c r="R51" i="16"/>
  <c r="Y229" i="15"/>
  <c r="X228" i="15"/>
  <c r="Q53" i="16" l="1"/>
  <c r="R52" i="16"/>
  <c r="Y230" i="15"/>
  <c r="X229" i="15"/>
  <c r="Q54" i="16" l="1"/>
  <c r="R53" i="16"/>
  <c r="Y231" i="15"/>
  <c r="X230" i="15"/>
  <c r="Q55" i="16" l="1"/>
  <c r="R54" i="16"/>
  <c r="Y232" i="15"/>
  <c r="X231" i="15"/>
  <c r="Q56" i="16" l="1"/>
  <c r="R55" i="16"/>
  <c r="Y233" i="15"/>
  <c r="X232" i="15"/>
  <c r="H20" i="16" l="1"/>
  <c r="G20" i="16" s="1"/>
  <c r="Q57" i="16"/>
  <c r="R56" i="16"/>
  <c r="Y234" i="15"/>
  <c r="X233" i="15"/>
  <c r="Q58" i="16" l="1"/>
  <c r="R57" i="16"/>
  <c r="Y235" i="15"/>
  <c r="X234" i="15"/>
  <c r="Q59" i="16" l="1"/>
  <c r="R58" i="16"/>
  <c r="Y236" i="15"/>
  <c r="X235" i="15"/>
  <c r="Q60" i="16" l="1"/>
  <c r="R59" i="16"/>
  <c r="Y237" i="15"/>
  <c r="X236" i="15"/>
  <c r="Q61" i="16" l="1"/>
  <c r="R60" i="16"/>
  <c r="Y238" i="15"/>
  <c r="X237" i="15"/>
  <c r="Q62" i="16" l="1"/>
  <c r="R61" i="16"/>
  <c r="Y239" i="15"/>
  <c r="X238" i="15"/>
  <c r="Q63" i="16" l="1"/>
  <c r="R62" i="16"/>
  <c r="Y240" i="15"/>
  <c r="X239" i="15"/>
  <c r="Q64" i="16" l="1"/>
  <c r="R63" i="16"/>
  <c r="Y241" i="15"/>
  <c r="X240" i="15"/>
  <c r="Q65" i="16" l="1"/>
  <c r="R64" i="16"/>
  <c r="Y242" i="15"/>
  <c r="X241" i="15"/>
  <c r="Q66" i="16" l="1"/>
  <c r="R65" i="16"/>
  <c r="Y243" i="15"/>
  <c r="X242" i="15"/>
  <c r="Q67" i="16" l="1"/>
  <c r="R66" i="16"/>
  <c r="Y244" i="15"/>
  <c r="X243" i="15"/>
  <c r="Q68" i="16" l="1"/>
  <c r="R67" i="16"/>
  <c r="Y245" i="15"/>
  <c r="X244" i="15"/>
  <c r="Q69" i="16" l="1"/>
  <c r="R68" i="16"/>
  <c r="Y246" i="15"/>
  <c r="X245" i="15"/>
  <c r="Q70" i="16" l="1"/>
  <c r="R69" i="16"/>
  <c r="Y247" i="15"/>
  <c r="X246" i="15"/>
  <c r="Q71" i="16" l="1"/>
  <c r="R70" i="16"/>
  <c r="Y248" i="15"/>
  <c r="X247" i="15"/>
  <c r="Q72" i="16" l="1"/>
  <c r="R71" i="16"/>
  <c r="Y249" i="15"/>
  <c r="X248" i="15"/>
  <c r="Q73" i="16" l="1"/>
  <c r="R72" i="16"/>
  <c r="Y250" i="15"/>
  <c r="X249" i="15"/>
  <c r="Q74" i="16" l="1"/>
  <c r="R73" i="16"/>
  <c r="Y251" i="15"/>
  <c r="X250" i="15"/>
  <c r="Q75" i="16" l="1"/>
  <c r="R74" i="16"/>
  <c r="Y252" i="15"/>
  <c r="X251" i="15"/>
  <c r="Q76" i="16" l="1"/>
  <c r="R75" i="16"/>
  <c r="Y253" i="15"/>
  <c r="X252" i="15"/>
  <c r="H21" i="16" l="1"/>
  <c r="G21" i="16" s="1"/>
  <c r="Q77" i="16"/>
  <c r="R76" i="16"/>
  <c r="Y254" i="15"/>
  <c r="X253" i="15"/>
  <c r="Q78" i="16" l="1"/>
  <c r="R77" i="16"/>
  <c r="Y255" i="15"/>
  <c r="X254" i="15"/>
  <c r="Q79" i="16" l="1"/>
  <c r="R78" i="16"/>
  <c r="Y256" i="15"/>
  <c r="X255" i="15"/>
  <c r="Q80" i="16" l="1"/>
  <c r="R79" i="16"/>
  <c r="Y257" i="15"/>
  <c r="X256" i="15"/>
  <c r="Q81" i="16" l="1"/>
  <c r="R80" i="16"/>
  <c r="Y258" i="15"/>
  <c r="X257" i="15"/>
  <c r="Q82" i="16" l="1"/>
  <c r="R81" i="16"/>
  <c r="Y259" i="15"/>
  <c r="X258" i="15"/>
  <c r="Q83" i="16" l="1"/>
  <c r="R82" i="16"/>
  <c r="Y260" i="15"/>
  <c r="X259" i="15"/>
  <c r="Q84" i="16" l="1"/>
  <c r="R83" i="16"/>
  <c r="Y261" i="15"/>
  <c r="X260" i="15"/>
  <c r="Q85" i="16" l="1"/>
  <c r="R84" i="16"/>
  <c r="Y262" i="15"/>
  <c r="X261" i="15"/>
  <c r="Q86" i="16" l="1"/>
  <c r="R85" i="16"/>
  <c r="Y263" i="15"/>
  <c r="X262" i="15"/>
  <c r="Q87" i="16" l="1"/>
  <c r="R86" i="16"/>
  <c r="Y264" i="15"/>
  <c r="X263" i="15"/>
  <c r="Q88" i="16" l="1"/>
  <c r="R87" i="16"/>
  <c r="Y265" i="15"/>
  <c r="X264" i="15"/>
  <c r="Q89" i="16" l="1"/>
  <c r="R88" i="16"/>
  <c r="Y266" i="15"/>
  <c r="X265" i="15"/>
  <c r="Q90" i="16" l="1"/>
  <c r="R89" i="16"/>
  <c r="Y267" i="15"/>
  <c r="X266" i="15"/>
  <c r="Q91" i="16" l="1"/>
  <c r="R90" i="16"/>
  <c r="Y268" i="15"/>
  <c r="X267" i="15"/>
  <c r="Q92" i="16" l="1"/>
  <c r="R91" i="16"/>
  <c r="Y269" i="15"/>
  <c r="X268" i="15"/>
  <c r="Q93" i="16" l="1"/>
  <c r="R92" i="16"/>
  <c r="Y270" i="15"/>
  <c r="X269" i="15"/>
  <c r="Q94" i="16" l="1"/>
  <c r="R93" i="16"/>
  <c r="Y271" i="15"/>
  <c r="X270" i="15"/>
  <c r="Q95" i="16" l="1"/>
  <c r="R94" i="16"/>
  <c r="Y272" i="15"/>
  <c r="X271" i="15"/>
  <c r="Q96" i="16" l="1"/>
  <c r="R95" i="16"/>
  <c r="Y273" i="15"/>
  <c r="X272" i="15"/>
  <c r="H22" i="16" l="1"/>
  <c r="G22" i="16" s="1"/>
  <c r="Q97" i="16"/>
  <c r="R96" i="16"/>
  <c r="Y274" i="15"/>
  <c r="X273" i="15"/>
  <c r="Q98" i="16" l="1"/>
  <c r="R97" i="16"/>
  <c r="Y275" i="15"/>
  <c r="X274" i="15"/>
  <c r="Q99" i="16" l="1"/>
  <c r="R98" i="16"/>
  <c r="Y276" i="15"/>
  <c r="X275" i="15"/>
  <c r="Q100" i="16" l="1"/>
  <c r="R99" i="16"/>
  <c r="Y277" i="15"/>
  <c r="X276" i="15"/>
  <c r="Q101" i="16" l="1"/>
  <c r="R100" i="16"/>
  <c r="Y278" i="15"/>
  <c r="X277" i="15"/>
  <c r="Q102" i="16" l="1"/>
  <c r="R101" i="16"/>
  <c r="Y279" i="15"/>
  <c r="X278" i="15"/>
  <c r="Q103" i="16" l="1"/>
  <c r="R102" i="16"/>
  <c r="Y280" i="15"/>
  <c r="X279" i="15"/>
  <c r="Q104" i="16" l="1"/>
  <c r="R103" i="16"/>
  <c r="Y281" i="15"/>
  <c r="X280" i="15"/>
  <c r="Q105" i="16" l="1"/>
  <c r="R104" i="16"/>
  <c r="Y282" i="15"/>
  <c r="X281" i="15"/>
  <c r="Q106" i="16" l="1"/>
  <c r="R105" i="16"/>
  <c r="Y283" i="15"/>
  <c r="X282" i="15"/>
  <c r="Q107" i="16" l="1"/>
  <c r="R106" i="16"/>
  <c r="Y284" i="15"/>
  <c r="X283" i="15"/>
  <c r="Q108" i="16" l="1"/>
  <c r="R107" i="16"/>
  <c r="Y285" i="15"/>
  <c r="X284" i="15"/>
  <c r="Q109" i="16" l="1"/>
  <c r="R108" i="16"/>
  <c r="Y286" i="15"/>
  <c r="X285" i="15"/>
  <c r="Q110" i="16" l="1"/>
  <c r="R109" i="16"/>
  <c r="Y287" i="15"/>
  <c r="X286" i="15"/>
  <c r="Q111" i="16" l="1"/>
  <c r="R110" i="16"/>
  <c r="Y288" i="15"/>
  <c r="X287" i="15"/>
  <c r="Q112" i="16" l="1"/>
  <c r="R111" i="16"/>
  <c r="Y289" i="15"/>
  <c r="X288" i="15"/>
  <c r="Q113" i="16" l="1"/>
  <c r="R112" i="16"/>
  <c r="Y290" i="15"/>
  <c r="X289" i="15"/>
  <c r="Q114" i="16" l="1"/>
  <c r="R113" i="16"/>
  <c r="Y291" i="15"/>
  <c r="X290" i="15"/>
  <c r="Q115" i="16" l="1"/>
  <c r="R114" i="16"/>
  <c r="Y292" i="15"/>
  <c r="X291" i="15"/>
  <c r="Q116" i="16" l="1"/>
  <c r="R115" i="16"/>
  <c r="Y293" i="15"/>
  <c r="X292" i="15"/>
  <c r="H23" i="16" l="1"/>
  <c r="G23" i="16" s="1"/>
  <c r="Q117" i="16"/>
  <c r="R116" i="16"/>
  <c r="Y294" i="15"/>
  <c r="X293" i="15"/>
  <c r="Q118" i="16" l="1"/>
  <c r="R117" i="16"/>
  <c r="Y295" i="15"/>
  <c r="X294" i="15"/>
  <c r="Q119" i="16" l="1"/>
  <c r="R118" i="16"/>
  <c r="Y296" i="15"/>
  <c r="X295" i="15"/>
  <c r="Q120" i="16" l="1"/>
  <c r="R119" i="16"/>
  <c r="Y297" i="15"/>
  <c r="X296" i="15"/>
  <c r="Q121" i="16" l="1"/>
  <c r="R120" i="16"/>
  <c r="Y298" i="15"/>
  <c r="X297" i="15"/>
  <c r="Q122" i="16" l="1"/>
  <c r="R121" i="16"/>
  <c r="Y299" i="15"/>
  <c r="X298" i="15"/>
  <c r="Q123" i="16" l="1"/>
  <c r="R122" i="16"/>
  <c r="Y300" i="15"/>
  <c r="X299" i="15"/>
  <c r="Q124" i="16" l="1"/>
  <c r="R123" i="16"/>
  <c r="Y301" i="15"/>
  <c r="X300" i="15"/>
  <c r="Q125" i="16" l="1"/>
  <c r="R124" i="16"/>
  <c r="Y302" i="15"/>
  <c r="X301" i="15"/>
  <c r="Q126" i="16" l="1"/>
  <c r="R125" i="16"/>
  <c r="Y303" i="15"/>
  <c r="X302" i="15"/>
  <c r="Q127" i="16" l="1"/>
  <c r="R126" i="16"/>
  <c r="Y304" i="15"/>
  <c r="X303" i="15"/>
  <c r="Q128" i="16" l="1"/>
  <c r="R127" i="16"/>
  <c r="Y305" i="15"/>
  <c r="X304" i="15"/>
  <c r="Q129" i="16" l="1"/>
  <c r="R128" i="16"/>
  <c r="Y306" i="15"/>
  <c r="X305" i="15"/>
  <c r="Q130" i="16" l="1"/>
  <c r="R129" i="16"/>
  <c r="Y307" i="15"/>
  <c r="X306" i="15"/>
  <c r="Q131" i="16" l="1"/>
  <c r="R130" i="16"/>
  <c r="Y308" i="15"/>
  <c r="X307" i="15"/>
  <c r="Q132" i="16" l="1"/>
  <c r="R131" i="16"/>
  <c r="Y309" i="15"/>
  <c r="X308" i="15"/>
  <c r="Q133" i="16" l="1"/>
  <c r="R132" i="16"/>
  <c r="Y310" i="15"/>
  <c r="X309" i="15"/>
  <c r="Q134" i="16" l="1"/>
  <c r="R133" i="16"/>
  <c r="Y311" i="15"/>
  <c r="X310" i="15"/>
  <c r="Q135" i="16" l="1"/>
  <c r="R135" i="16" s="1"/>
  <c r="H24" i="16" s="1"/>
  <c r="R134" i="16"/>
  <c r="Y312" i="15"/>
  <c r="X311" i="15"/>
  <c r="G24" i="16" l="1"/>
  <c r="Y313" i="15"/>
  <c r="X312" i="15"/>
  <c r="Y314" i="15" l="1"/>
  <c r="X313" i="15"/>
  <c r="Y315" i="15" l="1"/>
  <c r="X314" i="15"/>
  <c r="Y316" i="15" l="1"/>
  <c r="X315" i="15"/>
  <c r="Y317" i="15" l="1"/>
  <c r="X316" i="15"/>
  <c r="Y318" i="15" l="1"/>
  <c r="X317" i="15"/>
  <c r="Y319" i="15" l="1"/>
  <c r="X318" i="15"/>
  <c r="Y320" i="15" l="1"/>
  <c r="X319" i="15"/>
  <c r="Y321" i="15" l="1"/>
  <c r="X320" i="15"/>
  <c r="Y322" i="15" l="1"/>
  <c r="X321" i="15"/>
  <c r="Y323" i="15" l="1"/>
  <c r="X322" i="15"/>
  <c r="Y324" i="15" l="1"/>
  <c r="X323" i="15"/>
  <c r="Y325" i="15" l="1"/>
  <c r="X324" i="15"/>
  <c r="Y326" i="15" l="1"/>
  <c r="X325" i="15"/>
  <c r="Y327" i="15" l="1"/>
  <c r="X326" i="15"/>
  <c r="Y328" i="15" l="1"/>
  <c r="X327" i="15"/>
  <c r="Y329" i="15" l="1"/>
  <c r="X328" i="15"/>
  <c r="Y330" i="15" l="1"/>
  <c r="X329" i="15"/>
  <c r="Y331" i="15" l="1"/>
  <c r="X330" i="15"/>
  <c r="Y332" i="15" l="1"/>
  <c r="X331" i="15"/>
  <c r="Y333" i="15" l="1"/>
  <c r="X332" i="15"/>
  <c r="Y334" i="15" l="1"/>
  <c r="X333" i="15"/>
  <c r="Y335" i="15" l="1"/>
  <c r="X334" i="15"/>
  <c r="Y336" i="15" l="1"/>
  <c r="X335" i="15"/>
  <c r="Y337" i="15" l="1"/>
  <c r="X336" i="15"/>
  <c r="Y338" i="15" l="1"/>
  <c r="X337" i="15"/>
  <c r="Y339" i="15" l="1"/>
  <c r="X338" i="15"/>
  <c r="Y340" i="15" l="1"/>
  <c r="X339" i="15"/>
  <c r="Y341" i="15" l="1"/>
  <c r="X340" i="15"/>
  <c r="Y342" i="15" l="1"/>
  <c r="X341" i="15"/>
  <c r="Y343" i="15" l="1"/>
  <c r="X342" i="15"/>
  <c r="Y344" i="15" l="1"/>
  <c r="X343" i="15"/>
  <c r="Y345" i="15" l="1"/>
  <c r="X344" i="15"/>
  <c r="Y346" i="15" l="1"/>
  <c r="X345" i="15"/>
  <c r="Y347" i="15" l="1"/>
  <c r="X346" i="15"/>
  <c r="Y348" i="15" l="1"/>
  <c r="X347" i="15"/>
  <c r="Y349" i="15" l="1"/>
  <c r="X348" i="15"/>
  <c r="Y350" i="15" l="1"/>
  <c r="X349" i="15"/>
  <c r="Y351" i="15" l="1"/>
  <c r="X350" i="15"/>
  <c r="Y352" i="15" l="1"/>
  <c r="X351" i="15"/>
  <c r="Y353" i="15" l="1"/>
  <c r="X352" i="15"/>
  <c r="Y354" i="15" l="1"/>
  <c r="X353" i="15"/>
  <c r="Y355" i="15" l="1"/>
  <c r="X354" i="15"/>
  <c r="Y356" i="15" l="1"/>
  <c r="X355" i="15"/>
  <c r="Y357" i="15" l="1"/>
  <c r="X356" i="15"/>
  <c r="Y358" i="15" l="1"/>
  <c r="X357" i="15"/>
  <c r="Y359" i="15" l="1"/>
  <c r="X358" i="15"/>
  <c r="Y360" i="15" l="1"/>
  <c r="X359" i="15"/>
  <c r="Y361" i="15" l="1"/>
  <c r="X360" i="15"/>
  <c r="Y362" i="15" l="1"/>
  <c r="X361" i="15"/>
  <c r="Y363" i="15" l="1"/>
  <c r="X362" i="15"/>
  <c r="Y364" i="15" l="1"/>
  <c r="X363" i="15"/>
  <c r="Y365" i="15" l="1"/>
  <c r="X364" i="15"/>
  <c r="Y366" i="15" l="1"/>
  <c r="X365" i="15"/>
  <c r="Y367" i="15" l="1"/>
  <c r="X366" i="15"/>
  <c r="Y368" i="15" l="1"/>
  <c r="X367" i="15"/>
  <c r="Y369" i="15" l="1"/>
  <c r="X368" i="15"/>
  <c r="Y370" i="15" l="1"/>
  <c r="X369" i="15"/>
  <c r="Y371" i="15" l="1"/>
  <c r="X370" i="15"/>
  <c r="Y372" i="15" l="1"/>
  <c r="X371" i="15"/>
  <c r="Y373" i="15" l="1"/>
  <c r="X372" i="15"/>
  <c r="Y374" i="15" l="1"/>
  <c r="X373" i="15"/>
  <c r="Y375" i="15" l="1"/>
  <c r="X374" i="15"/>
  <c r="Y376" i="15" l="1"/>
  <c r="X375" i="15"/>
  <c r="Y377" i="15" l="1"/>
  <c r="X376" i="15"/>
  <c r="Y378" i="15" l="1"/>
  <c r="X377" i="15"/>
  <c r="Y379" i="15" l="1"/>
  <c r="X378" i="15"/>
  <c r="Y380" i="15" l="1"/>
  <c r="X379" i="15"/>
  <c r="Y381" i="15" l="1"/>
  <c r="X380" i="15"/>
  <c r="Y382" i="15" l="1"/>
  <c r="X381" i="15"/>
  <c r="Y383" i="15" l="1"/>
  <c r="X382" i="15"/>
  <c r="Y384" i="15" l="1"/>
  <c r="X383" i="15"/>
  <c r="Y385" i="15" l="1"/>
  <c r="X384" i="15"/>
  <c r="Y386" i="15" l="1"/>
  <c r="X385" i="15"/>
  <c r="Y387" i="15" l="1"/>
  <c r="X386" i="15"/>
  <c r="Y388" i="15" l="1"/>
  <c r="X387" i="15"/>
  <c r="Y389" i="15" l="1"/>
  <c r="X388" i="15"/>
  <c r="Y390" i="15" l="1"/>
  <c r="X389" i="15"/>
  <c r="Y391" i="15" l="1"/>
  <c r="X390" i="15"/>
  <c r="Y392" i="15" l="1"/>
  <c r="X391" i="15"/>
  <c r="Y393" i="15" l="1"/>
  <c r="X392" i="15"/>
  <c r="Y394" i="15" l="1"/>
  <c r="X393" i="15"/>
  <c r="Y395" i="15" l="1"/>
  <c r="X394" i="15"/>
  <c r="Y396" i="15" l="1"/>
  <c r="X395" i="15"/>
  <c r="Y397" i="15" l="1"/>
  <c r="X396" i="15"/>
  <c r="Y398" i="15" l="1"/>
  <c r="X397" i="15"/>
  <c r="Y399" i="15" l="1"/>
  <c r="X398" i="15"/>
  <c r="Y400" i="15" l="1"/>
  <c r="X399" i="15"/>
  <c r="Y401" i="15" l="1"/>
  <c r="X400" i="15"/>
  <c r="Y402" i="15" l="1"/>
  <c r="X401" i="15"/>
  <c r="Y403" i="15" l="1"/>
  <c r="X402" i="15"/>
  <c r="Y404" i="15" l="1"/>
  <c r="X403" i="15"/>
  <c r="Y405" i="15" l="1"/>
  <c r="X404" i="15"/>
  <c r="Y406" i="15" l="1"/>
  <c r="X405" i="15"/>
  <c r="Y407" i="15" l="1"/>
  <c r="X406" i="15"/>
  <c r="Y408" i="15" l="1"/>
  <c r="X407" i="15"/>
  <c r="Y409" i="15" l="1"/>
  <c r="X408" i="15"/>
  <c r="Y410" i="15" l="1"/>
  <c r="X409" i="15"/>
  <c r="Y411" i="15" l="1"/>
  <c r="X410" i="15"/>
  <c r="Y412" i="15" l="1"/>
  <c r="X411" i="15"/>
  <c r="Y413" i="15" l="1"/>
  <c r="X412" i="15"/>
  <c r="Y414" i="15" l="1"/>
  <c r="X413" i="15"/>
  <c r="Y415" i="15" l="1"/>
  <c r="X414" i="15"/>
  <c r="Y416" i="15" l="1"/>
  <c r="X415" i="15"/>
  <c r="Y417" i="15" l="1"/>
  <c r="X416" i="15"/>
  <c r="Y418" i="15" l="1"/>
  <c r="X417" i="15"/>
  <c r="Y419" i="15" l="1"/>
  <c r="X418" i="15"/>
  <c r="Y420" i="15" l="1"/>
  <c r="X419" i="15"/>
  <c r="Y421" i="15" l="1"/>
  <c r="X420" i="15"/>
  <c r="Y422" i="15" l="1"/>
  <c r="X421" i="15"/>
  <c r="Y423" i="15" l="1"/>
  <c r="X422" i="15"/>
  <c r="Y424" i="15" l="1"/>
  <c r="X423" i="15"/>
  <c r="Y425" i="15" l="1"/>
  <c r="X424" i="15"/>
  <c r="Y426" i="15" l="1"/>
  <c r="X425" i="15"/>
  <c r="Y427" i="15" l="1"/>
  <c r="X426" i="15"/>
  <c r="Y428" i="15" l="1"/>
  <c r="X427" i="15"/>
  <c r="Y429" i="15" l="1"/>
  <c r="X428" i="15"/>
  <c r="Y430" i="15" l="1"/>
  <c r="X429" i="15"/>
  <c r="Y431" i="15" l="1"/>
  <c r="X430" i="15"/>
  <c r="Y432" i="15" l="1"/>
  <c r="X431" i="15"/>
  <c r="Y433" i="15" l="1"/>
  <c r="X432" i="15"/>
  <c r="Y434" i="15" l="1"/>
  <c r="X433" i="15"/>
  <c r="Y435" i="15" l="1"/>
  <c r="X434" i="15"/>
  <c r="Y436" i="15" l="1"/>
  <c r="X435" i="15"/>
  <c r="Y437" i="15" l="1"/>
  <c r="X436" i="15"/>
  <c r="Y438" i="15" l="1"/>
  <c r="X437" i="15"/>
  <c r="Y439" i="15" l="1"/>
  <c r="X438" i="15"/>
  <c r="Y440" i="15" l="1"/>
  <c r="X439" i="15"/>
  <c r="Y441" i="15" l="1"/>
  <c r="X440" i="15"/>
  <c r="Y442" i="15" l="1"/>
  <c r="X441" i="15"/>
  <c r="Y443" i="15" l="1"/>
  <c r="X442" i="15"/>
  <c r="Y444" i="15" l="1"/>
  <c r="X443" i="15"/>
  <c r="Y445" i="15" l="1"/>
  <c r="X444" i="15"/>
  <c r="Y446" i="15" l="1"/>
  <c r="X445" i="15"/>
  <c r="Y447" i="15" l="1"/>
  <c r="X446" i="15"/>
  <c r="Y448" i="15" l="1"/>
  <c r="X447" i="15"/>
  <c r="Y449" i="15" l="1"/>
  <c r="X448" i="15"/>
  <c r="Y450" i="15" l="1"/>
  <c r="X449" i="15"/>
  <c r="Y451" i="15" l="1"/>
  <c r="X450" i="15"/>
  <c r="Y452" i="15" l="1"/>
  <c r="X451" i="15"/>
  <c r="Y453" i="15" l="1"/>
  <c r="X452" i="15"/>
  <c r="Y454" i="15" l="1"/>
  <c r="X453" i="15"/>
  <c r="Y455" i="15" l="1"/>
  <c r="X454" i="15"/>
  <c r="Y456" i="15" l="1"/>
  <c r="X455" i="15"/>
  <c r="Y457" i="15" l="1"/>
  <c r="X456" i="15"/>
  <c r="Y458" i="15" l="1"/>
  <c r="X457" i="15"/>
  <c r="Y459" i="15" l="1"/>
  <c r="X458" i="15"/>
  <c r="Y460" i="15" l="1"/>
  <c r="X459" i="15"/>
  <c r="Y461" i="15" l="1"/>
  <c r="X460" i="15"/>
  <c r="Y462" i="15" l="1"/>
  <c r="X461" i="15"/>
  <c r="Y463" i="15" l="1"/>
  <c r="X462" i="15"/>
  <c r="Y464" i="15" l="1"/>
  <c r="X463" i="15"/>
  <c r="Y465" i="15" l="1"/>
  <c r="X464" i="15"/>
  <c r="Y466" i="15" l="1"/>
  <c r="X465" i="15"/>
  <c r="Y467" i="15" l="1"/>
  <c r="X466" i="15"/>
  <c r="Y468" i="15" l="1"/>
  <c r="X467" i="15"/>
  <c r="Y469" i="15" l="1"/>
  <c r="X468" i="15"/>
  <c r="Y470" i="15" l="1"/>
  <c r="X469" i="15"/>
  <c r="Y471" i="15" l="1"/>
  <c r="X470" i="15"/>
  <c r="Y472" i="15" l="1"/>
  <c r="X471" i="15"/>
  <c r="Y473" i="15" l="1"/>
  <c r="X472" i="15"/>
  <c r="Y474" i="15" l="1"/>
  <c r="X473" i="15"/>
  <c r="Y475" i="15" l="1"/>
  <c r="X474" i="15"/>
  <c r="Y476" i="15" l="1"/>
  <c r="X475" i="15"/>
  <c r="Y477" i="15" l="1"/>
  <c r="X476" i="15"/>
  <c r="Y478" i="15" l="1"/>
  <c r="X477" i="15"/>
  <c r="Y479" i="15" l="1"/>
  <c r="X478" i="15"/>
  <c r="Y480" i="15" l="1"/>
  <c r="X479" i="15"/>
  <c r="Y481" i="15" l="1"/>
  <c r="X480" i="15"/>
  <c r="Y482" i="15" l="1"/>
  <c r="X481" i="15"/>
  <c r="Y483" i="15" l="1"/>
  <c r="X482" i="15"/>
  <c r="Y484" i="15" l="1"/>
  <c r="X483" i="15"/>
  <c r="Y485" i="15" l="1"/>
  <c r="X484" i="15"/>
  <c r="Y486" i="15" l="1"/>
  <c r="X485" i="15"/>
  <c r="Y487" i="15" l="1"/>
  <c r="X486" i="15"/>
  <c r="Y488" i="15" l="1"/>
  <c r="X487" i="15"/>
  <c r="Y489" i="15" l="1"/>
  <c r="X488" i="15"/>
  <c r="Y490" i="15" l="1"/>
  <c r="X489" i="15"/>
  <c r="Y491" i="15" l="1"/>
  <c r="X490" i="15"/>
  <c r="Y492" i="15" l="1"/>
  <c r="X491" i="15"/>
  <c r="Y493" i="15" l="1"/>
  <c r="X492" i="15"/>
  <c r="Y494" i="15" l="1"/>
  <c r="X493" i="15"/>
  <c r="Y495" i="15" l="1"/>
  <c r="X494" i="15"/>
  <c r="Y496" i="15" l="1"/>
  <c r="X495" i="15"/>
  <c r="Y497" i="15" l="1"/>
  <c r="X496" i="15"/>
  <c r="Y498" i="15" l="1"/>
  <c r="X497" i="15"/>
  <c r="Y499" i="15" l="1"/>
  <c r="X498" i="15"/>
  <c r="X499" i="15" l="1"/>
  <c r="Z20" i="15" a="1"/>
  <c r="Z75" i="15" l="1"/>
  <c r="Z139" i="15"/>
  <c r="Z203" i="15"/>
  <c r="Z275" i="15"/>
  <c r="Z371" i="15"/>
  <c r="Z60" i="15"/>
  <c r="Z124" i="15"/>
  <c r="Z188" i="15"/>
  <c r="Z252" i="15"/>
  <c r="Z316" i="15"/>
  <c r="Z380" i="15"/>
  <c r="Z444" i="15"/>
  <c r="Z29" i="15"/>
  <c r="Z93" i="15"/>
  <c r="Z157" i="15"/>
  <c r="Z221" i="15"/>
  <c r="Z285" i="15"/>
  <c r="Z349" i="15"/>
  <c r="Z413" i="15"/>
  <c r="Z477" i="15"/>
  <c r="Z375" i="15"/>
  <c r="Z296" i="15"/>
  <c r="Z30" i="15"/>
  <c r="Z94" i="15"/>
  <c r="Z158" i="15"/>
  <c r="Z222" i="15"/>
  <c r="Z286" i="15"/>
  <c r="Z350" i="15"/>
  <c r="Z414" i="15"/>
  <c r="Z478" i="15"/>
  <c r="Z367" i="15"/>
  <c r="Z192" i="15"/>
  <c r="Z440" i="15"/>
  <c r="Z55" i="15"/>
  <c r="Z119" i="15"/>
  <c r="Z183" i="15"/>
  <c r="Z263" i="15"/>
  <c r="Z216" i="15"/>
  <c r="Z456" i="15"/>
  <c r="Z72" i="15"/>
  <c r="Z136" i="15"/>
  <c r="Z224" i="15"/>
  <c r="Z480" i="15"/>
  <c r="Z82" i="15"/>
  <c r="Z146" i="15"/>
  <c r="Z210" i="15"/>
  <c r="Z274" i="15"/>
  <c r="Z338" i="15"/>
  <c r="Z402" i="15"/>
  <c r="Z466" i="15"/>
  <c r="Z347" i="15"/>
  <c r="Z265" i="15"/>
  <c r="Z401" i="15"/>
  <c r="Z409" i="15"/>
  <c r="Z193" i="15"/>
  <c r="Z491" i="15"/>
  <c r="Z417" i="15"/>
  <c r="Z361" i="15"/>
  <c r="Z305" i="15"/>
  <c r="Z321" i="15"/>
  <c r="Z59" i="15"/>
  <c r="Z131" i="15"/>
  <c r="Z211" i="15"/>
  <c r="Z291" i="15"/>
  <c r="Z20" i="15"/>
  <c r="Z92" i="15"/>
  <c r="Z164" i="15"/>
  <c r="Z236" i="15"/>
  <c r="Z308" i="15"/>
  <c r="Z388" i="15"/>
  <c r="Z460" i="15"/>
  <c r="Z53" i="15"/>
  <c r="Z125" i="15"/>
  <c r="Z197" i="15"/>
  <c r="Z269" i="15"/>
  <c r="Z341" i="15"/>
  <c r="Z421" i="15"/>
  <c r="Z493" i="15"/>
  <c r="Z431" i="15"/>
  <c r="Z448" i="15"/>
  <c r="Z70" i="15"/>
  <c r="Z142" i="15"/>
  <c r="Z214" i="15"/>
  <c r="Z294" i="15"/>
  <c r="Z366" i="15"/>
  <c r="Z438" i="15"/>
  <c r="Z279" i="15"/>
  <c r="Z455" i="15"/>
  <c r="Z392" i="15"/>
  <c r="Z47" i="15"/>
  <c r="Z127" i="15"/>
  <c r="Z199" i="15"/>
  <c r="Z311" i="15"/>
  <c r="Z360" i="15"/>
  <c r="Z48" i="15"/>
  <c r="Z120" i="15"/>
  <c r="Z208" i="15"/>
  <c r="Z26" i="15"/>
  <c r="Z98" i="15"/>
  <c r="Z170" i="15"/>
  <c r="Z242" i="15"/>
  <c r="Z314" i="15"/>
  <c r="Z386" i="15"/>
  <c r="Z458" i="15"/>
  <c r="Z363" i="15"/>
  <c r="Z393" i="15"/>
  <c r="Z89" i="15"/>
  <c r="Z121" i="15"/>
  <c r="Z145" i="15"/>
  <c r="Z289" i="15"/>
  <c r="Z297" i="15"/>
  <c r="Z369" i="15"/>
  <c r="Z67" i="15"/>
  <c r="Z147" i="15"/>
  <c r="Z219" i="15"/>
  <c r="Z299" i="15"/>
  <c r="Z28" i="15"/>
  <c r="Z172" i="15"/>
  <c r="Z244" i="15"/>
  <c r="Z324" i="15"/>
  <c r="Z396" i="15"/>
  <c r="Z468" i="15"/>
  <c r="Z61" i="15"/>
  <c r="Z133" i="15"/>
  <c r="Z205" i="15"/>
  <c r="Z277" i="15"/>
  <c r="Z429" i="15"/>
  <c r="Z231" i="15"/>
  <c r="Z463" i="15"/>
  <c r="Z464" i="15"/>
  <c r="Z78" i="15"/>
  <c r="Z150" i="15"/>
  <c r="Z230" i="15"/>
  <c r="Z302" i="15"/>
  <c r="Z446" i="15"/>
  <c r="Z303" i="15"/>
  <c r="Z471" i="15"/>
  <c r="Z408" i="15"/>
  <c r="Z63" i="15"/>
  <c r="Z207" i="15"/>
  <c r="Z351" i="15"/>
  <c r="Z376" i="15"/>
  <c r="Z128" i="15"/>
  <c r="Z232" i="15"/>
  <c r="Z34" i="15"/>
  <c r="Z178" i="15"/>
  <c r="Z250" i="15"/>
  <c r="Z394" i="15"/>
  <c r="Z474" i="15"/>
  <c r="Z435" i="15"/>
  <c r="Z153" i="15"/>
  <c r="Z185" i="15"/>
  <c r="Z353" i="15"/>
  <c r="Z419" i="15"/>
  <c r="Z100" i="15"/>
  <c r="Z357" i="15"/>
  <c r="Z374" i="15"/>
  <c r="Z135" i="15"/>
  <c r="Z56" i="15"/>
  <c r="Z106" i="15"/>
  <c r="Z322" i="15"/>
  <c r="Z379" i="15"/>
  <c r="Z337" i="15"/>
  <c r="Z425" i="15"/>
  <c r="Z323" i="15"/>
  <c r="Z412" i="15"/>
  <c r="Z77" i="15"/>
  <c r="Z149" i="15"/>
  <c r="Z301" i="15"/>
  <c r="Z373" i="15"/>
  <c r="Z319" i="15"/>
  <c r="Z22" i="15"/>
  <c r="Z102" i="15"/>
  <c r="Z246" i="15"/>
  <c r="Z318" i="15"/>
  <c r="Z462" i="15"/>
  <c r="Z256" i="15"/>
  <c r="Z496" i="15"/>
  <c r="Z151" i="15"/>
  <c r="Z239" i="15"/>
  <c r="Z432" i="15"/>
  <c r="Z152" i="15"/>
  <c r="Z248" i="15"/>
  <c r="Z83" i="15"/>
  <c r="Z155" i="15"/>
  <c r="Z227" i="15"/>
  <c r="Z315" i="15"/>
  <c r="Z36" i="15"/>
  <c r="Z108" i="15"/>
  <c r="Z180" i="15"/>
  <c r="Z260" i="15"/>
  <c r="Z332" i="15"/>
  <c r="Z404" i="15"/>
  <c r="Z476" i="15"/>
  <c r="Z69" i="15"/>
  <c r="Z141" i="15"/>
  <c r="Z213" i="15"/>
  <c r="Z293" i="15"/>
  <c r="Z365" i="15"/>
  <c r="Z437" i="15"/>
  <c r="Z295" i="15"/>
  <c r="Z487" i="15"/>
  <c r="Z33" i="15"/>
  <c r="Z86" i="15"/>
  <c r="Z166" i="15"/>
  <c r="Z238" i="15"/>
  <c r="Z310" i="15"/>
  <c r="Z382" i="15"/>
  <c r="Z454" i="15"/>
  <c r="Z327" i="15"/>
  <c r="Z495" i="15"/>
  <c r="Z472" i="15"/>
  <c r="Z71" i="15"/>
  <c r="Z143" i="15"/>
  <c r="Z215" i="15"/>
  <c r="Z391" i="15"/>
  <c r="Z400" i="15"/>
  <c r="Z64" i="15"/>
  <c r="Z144" i="15"/>
  <c r="Z240" i="15"/>
  <c r="Z42" i="15"/>
  <c r="Z114" i="15"/>
  <c r="Z186" i="15"/>
  <c r="Z258" i="15"/>
  <c r="Z330" i="15"/>
  <c r="Z410" i="15"/>
  <c r="Z482" i="15"/>
  <c r="Z395" i="15"/>
  <c r="Z467" i="15"/>
  <c r="Z217" i="15"/>
  <c r="Z313" i="15"/>
  <c r="Z377" i="15"/>
  <c r="Z449" i="15"/>
  <c r="Z451" i="15"/>
  <c r="Z489" i="15"/>
  <c r="Z91" i="15"/>
  <c r="Z163" i="15"/>
  <c r="Z235" i="15"/>
  <c r="Z44" i="15"/>
  <c r="Z116" i="15"/>
  <c r="Z196" i="15"/>
  <c r="Z268" i="15"/>
  <c r="Z340" i="15"/>
  <c r="Z484" i="15"/>
  <c r="Z229" i="15"/>
  <c r="Z445" i="15"/>
  <c r="Z200" i="15"/>
  <c r="Z174" i="15"/>
  <c r="Z390" i="15"/>
  <c r="Z343" i="15"/>
  <c r="Z79" i="15"/>
  <c r="Z447" i="15"/>
  <c r="Z80" i="15"/>
  <c r="Z27" i="15"/>
  <c r="Z99" i="15"/>
  <c r="Z171" i="15"/>
  <c r="Z243" i="15"/>
  <c r="Z339" i="15"/>
  <c r="Z52" i="15"/>
  <c r="Z132" i="15"/>
  <c r="Z204" i="15"/>
  <c r="Z276" i="15"/>
  <c r="Z348" i="15"/>
  <c r="Z420" i="15"/>
  <c r="Z492" i="15"/>
  <c r="Z85" i="15"/>
  <c r="Z165" i="15"/>
  <c r="Z237" i="15"/>
  <c r="Z309" i="15"/>
  <c r="Z381" i="15"/>
  <c r="Z453" i="15"/>
  <c r="Z335" i="15"/>
  <c r="Z264" i="15"/>
  <c r="Z38" i="15"/>
  <c r="Z110" i="15"/>
  <c r="Z182" i="15"/>
  <c r="Z254" i="15"/>
  <c r="Z326" i="15"/>
  <c r="Z398" i="15"/>
  <c r="Z470" i="15"/>
  <c r="Z383" i="15"/>
  <c r="Z288" i="15"/>
  <c r="Z41" i="15"/>
  <c r="Z87" i="15"/>
  <c r="Z159" i="15"/>
  <c r="Z247" i="15"/>
  <c r="Z479" i="15"/>
  <c r="Z488" i="15"/>
  <c r="Z88" i="15"/>
  <c r="Z160" i="15"/>
  <c r="Z272" i="15"/>
  <c r="Z58" i="15"/>
  <c r="Z130" i="15"/>
  <c r="Z202" i="15"/>
  <c r="Z282" i="15"/>
  <c r="Z354" i="15"/>
  <c r="Z426" i="15"/>
  <c r="Z498" i="15"/>
  <c r="Z73" i="15"/>
  <c r="Z209" i="15"/>
  <c r="Z345" i="15"/>
  <c r="Z257" i="15"/>
  <c r="Z433" i="15"/>
  <c r="Z25" i="15"/>
  <c r="Z49" i="15"/>
  <c r="Z249" i="15"/>
  <c r="Z35" i="15"/>
  <c r="Z107" i="15"/>
  <c r="Z179" i="15"/>
  <c r="Z251" i="15"/>
  <c r="Z355" i="15"/>
  <c r="Z68" i="15"/>
  <c r="Z140" i="15"/>
  <c r="Z212" i="15"/>
  <c r="Z284" i="15"/>
  <c r="Z356" i="15"/>
  <c r="Z428" i="15"/>
  <c r="Z21" i="15"/>
  <c r="Z101" i="15"/>
  <c r="Z173" i="15"/>
  <c r="Z245" i="15"/>
  <c r="Z317" i="15"/>
  <c r="Z389" i="15"/>
  <c r="Z461" i="15"/>
  <c r="Z359" i="15"/>
  <c r="Z336" i="15"/>
  <c r="Z46" i="15"/>
  <c r="Z118" i="15"/>
  <c r="Z190" i="15"/>
  <c r="Z262" i="15"/>
  <c r="Z334" i="15"/>
  <c r="Z406" i="15"/>
  <c r="Z486" i="15"/>
  <c r="Z407" i="15"/>
  <c r="Z320" i="15"/>
  <c r="Z23" i="15"/>
  <c r="Z95" i="15"/>
  <c r="Z167" i="15"/>
  <c r="Z255" i="15"/>
  <c r="Z280" i="15"/>
  <c r="Z24" i="15"/>
  <c r="Z96" i="15"/>
  <c r="Z168" i="15"/>
  <c r="Z304" i="15"/>
  <c r="Z66" i="15"/>
  <c r="Z138" i="15"/>
  <c r="Z218" i="15"/>
  <c r="Z290" i="15"/>
  <c r="Z362" i="15"/>
  <c r="Z434" i="15"/>
  <c r="Z259" i="15"/>
  <c r="Z137" i="15"/>
  <c r="Z273" i="15"/>
  <c r="Z443" i="15"/>
  <c r="Z385" i="15"/>
  <c r="Z97" i="15"/>
  <c r="Z105" i="15"/>
  <c r="Z43" i="15"/>
  <c r="Z115" i="15"/>
  <c r="Z187" i="15"/>
  <c r="Z267" i="15"/>
  <c r="Z387" i="15"/>
  <c r="Z76" i="15"/>
  <c r="Z148" i="15"/>
  <c r="Z220" i="15"/>
  <c r="Z292" i="15"/>
  <c r="Z364" i="15"/>
  <c r="Z436" i="15"/>
  <c r="Z37" i="15"/>
  <c r="Z109" i="15"/>
  <c r="Z181" i="15"/>
  <c r="Z253" i="15"/>
  <c r="Z325" i="15"/>
  <c r="Z397" i="15"/>
  <c r="Z469" i="15"/>
  <c r="Z399" i="15"/>
  <c r="Z384" i="15"/>
  <c r="Z54" i="15"/>
  <c r="Z126" i="15"/>
  <c r="Z198" i="15"/>
  <c r="Z270" i="15"/>
  <c r="Z342" i="15"/>
  <c r="Z422" i="15"/>
  <c r="Z494" i="15"/>
  <c r="Z423" i="15"/>
  <c r="Z344" i="15"/>
  <c r="Z31" i="15"/>
  <c r="Z103" i="15"/>
  <c r="Z175" i="15"/>
  <c r="Z271" i="15"/>
  <c r="Z312" i="15"/>
  <c r="Z32" i="15"/>
  <c r="Z104" i="15"/>
  <c r="Z176" i="15"/>
  <c r="Z352" i="15"/>
  <c r="Z74" i="15"/>
  <c r="Z154" i="15"/>
  <c r="Z226" i="15"/>
  <c r="Z298" i="15"/>
  <c r="Z370" i="15"/>
  <c r="Z442" i="15"/>
  <c r="Z307" i="15"/>
  <c r="Z201" i="15"/>
  <c r="Z441" i="15"/>
  <c r="Z475" i="15"/>
  <c r="Z497" i="15"/>
  <c r="Z161" i="15"/>
  <c r="Z169" i="15"/>
  <c r="Z177" i="15"/>
  <c r="Z129" i="15"/>
  <c r="Z123" i="15"/>
  <c r="Z189" i="15"/>
  <c r="Z405" i="15"/>
  <c r="Z415" i="15"/>
  <c r="Z416" i="15"/>
  <c r="Z62" i="15"/>
  <c r="Z206" i="15"/>
  <c r="Z278" i="15"/>
  <c r="Z430" i="15"/>
  <c r="Z223" i="15"/>
  <c r="Z368" i="15"/>
  <c r="Z39" i="15"/>
  <c r="Z111" i="15"/>
  <c r="Z287" i="15"/>
  <c r="Z328" i="15"/>
  <c r="Z40" i="15"/>
  <c r="Z184" i="15"/>
  <c r="Z424" i="15"/>
  <c r="Z90" i="15"/>
  <c r="Z51" i="15"/>
  <c r="Z195" i="15"/>
  <c r="Z283" i="15"/>
  <c r="Z403" i="15"/>
  <c r="Z84" i="15"/>
  <c r="Z156" i="15"/>
  <c r="Z228" i="15"/>
  <c r="Z300" i="15"/>
  <c r="Z372" i="15"/>
  <c r="Z452" i="15"/>
  <c r="Z45" i="15"/>
  <c r="Z117" i="15"/>
  <c r="Z261" i="15"/>
  <c r="Z333" i="15"/>
  <c r="Z485" i="15"/>
  <c r="Z134" i="15"/>
  <c r="Z358" i="15"/>
  <c r="Z439" i="15"/>
  <c r="Z191" i="15"/>
  <c r="Z112" i="15"/>
  <c r="Z50" i="15"/>
  <c r="Z378" i="15"/>
  <c r="Z473" i="15"/>
  <c r="Z233" i="15"/>
  <c r="Z122" i="15"/>
  <c r="Z418" i="15"/>
  <c r="Z281" i="15"/>
  <c r="Z483" i="15"/>
  <c r="Z162" i="15"/>
  <c r="Z450" i="15"/>
  <c r="Z457" i="15"/>
  <c r="Z113" i="15"/>
  <c r="Z329" i="15"/>
  <c r="Z499" i="15"/>
  <c r="Z194" i="15"/>
  <c r="Z490" i="15"/>
  <c r="Z427" i="15"/>
  <c r="Z241" i="15"/>
  <c r="Z234" i="15"/>
  <c r="Z331" i="15"/>
  <c r="Z81" i="15"/>
  <c r="Z57" i="15"/>
  <c r="Z266" i="15"/>
  <c r="Z411" i="15"/>
  <c r="Z65" i="15"/>
  <c r="Z459" i="15"/>
  <c r="Z306" i="15"/>
  <c r="Z225" i="15"/>
  <c r="Z465" i="15"/>
  <c r="Z346" i="15"/>
  <c r="Z481" i="15"/>
  <c r="AB20" i="15" a="1"/>
  <c r="AA19" i="15" a="1"/>
  <c r="AA19" i="15" l="1"/>
  <c r="AA83" i="15"/>
  <c r="AA147" i="15"/>
  <c r="AA211" i="15"/>
  <c r="AA275" i="15"/>
  <c r="AA339" i="15"/>
  <c r="AA403" i="15"/>
  <c r="AA467" i="15"/>
  <c r="AA230" i="15"/>
  <c r="AA454" i="15"/>
  <c r="AA274" i="15"/>
  <c r="AA44" i="15"/>
  <c r="AA108" i="15"/>
  <c r="AA172" i="15"/>
  <c r="AA236" i="15"/>
  <c r="AA300" i="15"/>
  <c r="AA364" i="15"/>
  <c r="AA428" i="15"/>
  <c r="AA492" i="15"/>
  <c r="AA358" i="15"/>
  <c r="AA58" i="15"/>
  <c r="AA466" i="15"/>
  <c r="AA77" i="15"/>
  <c r="AA141" i="15"/>
  <c r="AA205" i="15"/>
  <c r="AA269" i="15"/>
  <c r="AA333" i="15"/>
  <c r="AA397" i="15"/>
  <c r="AA461" i="15"/>
  <c r="AA222" i="15"/>
  <c r="AA430" i="15"/>
  <c r="AA210" i="15"/>
  <c r="AA27" i="15"/>
  <c r="AA91" i="15"/>
  <c r="AA155" i="15"/>
  <c r="AA219" i="15"/>
  <c r="AA283" i="15"/>
  <c r="AA347" i="15"/>
  <c r="AA411" i="15"/>
  <c r="AA475" i="15"/>
  <c r="AA262" i="15"/>
  <c r="AA478" i="15"/>
  <c r="AA338" i="15"/>
  <c r="AA52" i="15"/>
  <c r="AA116" i="15"/>
  <c r="AA180" i="15"/>
  <c r="AA244" i="15"/>
  <c r="AA308" i="15"/>
  <c r="AA372" i="15"/>
  <c r="AA436" i="15"/>
  <c r="AA70" i="15"/>
  <c r="AA390" i="15"/>
  <c r="AA90" i="15"/>
  <c r="AA21" i="15"/>
  <c r="AA85" i="15"/>
  <c r="AA149" i="15"/>
  <c r="AA213" i="15"/>
  <c r="AA277" i="15"/>
  <c r="AA341" i="15"/>
  <c r="AA405" i="15"/>
  <c r="AA469" i="15"/>
  <c r="AA254" i="15"/>
  <c r="AA462" i="15"/>
  <c r="AA250" i="15"/>
  <c r="AA35" i="15"/>
  <c r="AA99" i="15"/>
  <c r="AA163" i="15"/>
  <c r="AA227" i="15"/>
  <c r="AA291" i="15"/>
  <c r="AA355" i="15"/>
  <c r="AA419" i="15"/>
  <c r="AA483" i="15"/>
  <c r="AA286" i="15"/>
  <c r="AA416" i="15"/>
  <c r="AA394" i="15"/>
  <c r="AA60" i="15"/>
  <c r="AA124" i="15"/>
  <c r="AA188" i="15"/>
  <c r="AA252" i="15"/>
  <c r="AA316" i="15"/>
  <c r="AA380" i="15"/>
  <c r="AA444" i="15"/>
  <c r="AA174" i="15"/>
  <c r="AA414" i="15"/>
  <c r="AA138" i="15"/>
  <c r="AA29" i="15"/>
  <c r="AA93" i="15"/>
  <c r="AA157" i="15"/>
  <c r="AA221" i="15"/>
  <c r="AA285" i="15"/>
  <c r="AA43" i="15"/>
  <c r="AA107" i="15"/>
  <c r="AA171" i="15"/>
  <c r="AA235" i="15"/>
  <c r="AA299" i="15"/>
  <c r="AA363" i="15"/>
  <c r="AA427" i="15"/>
  <c r="AA491" i="15"/>
  <c r="AA318" i="15"/>
  <c r="AA464" i="15"/>
  <c r="AA442" i="15"/>
  <c r="AA68" i="15"/>
  <c r="AA132" i="15"/>
  <c r="AA196" i="15"/>
  <c r="AA260" i="15"/>
  <c r="AA324" i="15"/>
  <c r="AA388" i="15"/>
  <c r="AA452" i="15"/>
  <c r="AA214" i="15"/>
  <c r="AA446" i="15"/>
  <c r="AA186" i="15"/>
  <c r="AA37" i="15"/>
  <c r="AA101" i="15"/>
  <c r="AA165" i="15"/>
  <c r="AA229" i="15"/>
  <c r="AA51" i="15"/>
  <c r="AA115" i="15"/>
  <c r="AA179" i="15"/>
  <c r="AA243" i="15"/>
  <c r="AA307" i="15"/>
  <c r="AA371" i="15"/>
  <c r="AA435" i="15"/>
  <c r="AA499" i="15"/>
  <c r="AA342" i="15"/>
  <c r="AA496" i="15"/>
  <c r="AA490" i="15"/>
  <c r="AA76" i="15"/>
  <c r="AA140" i="15"/>
  <c r="AA204" i="15"/>
  <c r="AA268" i="15"/>
  <c r="AA332" i="15"/>
  <c r="AA396" i="15"/>
  <c r="AA460" i="15"/>
  <c r="AA246" i="15"/>
  <c r="AA470" i="15"/>
  <c r="AA242" i="15"/>
  <c r="AA45" i="15"/>
  <c r="AA109" i="15"/>
  <c r="AA173" i="15"/>
  <c r="AA237" i="15"/>
  <c r="AA301" i="15"/>
  <c r="AA365" i="15"/>
  <c r="AA429" i="15"/>
  <c r="AA59" i="15"/>
  <c r="AA123" i="15"/>
  <c r="AA187" i="15"/>
  <c r="AA251" i="15"/>
  <c r="AA315" i="15"/>
  <c r="AA379" i="15"/>
  <c r="AA443" i="15"/>
  <c r="AA62" i="15"/>
  <c r="AA374" i="15"/>
  <c r="AA66" i="15"/>
  <c r="AA20" i="15"/>
  <c r="AA84" i="15"/>
  <c r="AA148" i="15"/>
  <c r="AA212" i="15"/>
  <c r="AA276" i="15"/>
  <c r="AA340" i="15"/>
  <c r="AA404" i="15"/>
  <c r="AA468" i="15"/>
  <c r="AA278" i="15"/>
  <c r="AA486" i="15"/>
  <c r="AA314" i="15"/>
  <c r="AA53" i="15"/>
  <c r="AA117" i="15"/>
  <c r="AA181" i="15"/>
  <c r="AA245" i="15"/>
  <c r="AA309" i="15"/>
  <c r="AA373" i="15"/>
  <c r="AA437" i="15"/>
  <c r="AA46" i="15"/>
  <c r="AA350" i="15"/>
  <c r="AA50" i="15"/>
  <c r="AA67" i="15"/>
  <c r="AA131" i="15"/>
  <c r="AA195" i="15"/>
  <c r="AA259" i="15"/>
  <c r="AA323" i="15"/>
  <c r="AA387" i="15"/>
  <c r="AA451" i="15"/>
  <c r="AA166" i="15"/>
  <c r="AA398" i="15"/>
  <c r="AA146" i="15"/>
  <c r="AA28" i="15"/>
  <c r="AA92" i="15"/>
  <c r="AA156" i="15"/>
  <c r="AA220" i="15"/>
  <c r="AA284" i="15"/>
  <c r="AA348" i="15"/>
  <c r="AA412" i="15"/>
  <c r="AA476" i="15"/>
  <c r="AA310" i="15"/>
  <c r="AA440" i="15"/>
  <c r="AA362" i="15"/>
  <c r="AA61" i="15"/>
  <c r="AA331" i="15"/>
  <c r="AA164" i="15"/>
  <c r="AA418" i="15"/>
  <c r="AA293" i="15"/>
  <c r="AA421" i="15"/>
  <c r="AA270" i="15"/>
  <c r="AA114" i="15"/>
  <c r="AA38" i="15"/>
  <c r="AA126" i="15"/>
  <c r="AA366" i="15"/>
  <c r="AA306" i="15"/>
  <c r="AA55" i="15"/>
  <c r="AA119" i="15"/>
  <c r="AA183" i="15"/>
  <c r="AA247" i="15"/>
  <c r="AA311" i="15"/>
  <c r="AA375" i="15"/>
  <c r="AA439" i="15"/>
  <c r="AA296" i="15"/>
  <c r="AA472" i="15"/>
  <c r="AA474" i="15"/>
  <c r="AA80" i="15"/>
  <c r="AA144" i="15"/>
  <c r="AA208" i="15"/>
  <c r="AA272" i="15"/>
  <c r="AA360" i="15"/>
  <c r="AA282" i="15"/>
  <c r="AA49" i="15"/>
  <c r="AA113" i="15"/>
  <c r="AA177" i="15"/>
  <c r="AA241" i="15"/>
  <c r="AA305" i="15"/>
  <c r="AA369" i="15"/>
  <c r="AA433" i="15"/>
  <c r="AA497" i="15"/>
  <c r="AA450" i="15"/>
  <c r="AA395" i="15"/>
  <c r="AA228" i="15"/>
  <c r="AA69" i="15"/>
  <c r="AA294" i="15"/>
  <c r="AA438" i="15"/>
  <c r="AA127" i="15"/>
  <c r="AA319" i="15"/>
  <c r="AA336" i="15"/>
  <c r="AA88" i="15"/>
  <c r="AA280" i="15"/>
  <c r="AA57" i="15"/>
  <c r="AA249" i="15"/>
  <c r="AA26" i="15"/>
  <c r="AA162" i="15"/>
  <c r="AA459" i="15"/>
  <c r="AA292" i="15"/>
  <c r="AA125" i="15"/>
  <c r="AA325" i="15"/>
  <c r="AA453" i="15"/>
  <c r="AA326" i="15"/>
  <c r="AA290" i="15"/>
  <c r="AA78" i="15"/>
  <c r="AA142" i="15"/>
  <c r="AA480" i="15"/>
  <c r="AA410" i="15"/>
  <c r="AA71" i="15"/>
  <c r="AA135" i="15"/>
  <c r="AA199" i="15"/>
  <c r="AA263" i="15"/>
  <c r="AA327" i="15"/>
  <c r="AA391" i="15"/>
  <c r="AA455" i="15"/>
  <c r="AA352" i="15"/>
  <c r="AA130" i="15"/>
  <c r="AA32" i="15"/>
  <c r="AA96" i="15"/>
  <c r="AA160" i="15"/>
  <c r="AA224" i="15"/>
  <c r="AA288" i="15"/>
  <c r="AA400" i="15"/>
  <c r="AA386" i="15"/>
  <c r="AA65" i="15"/>
  <c r="AA129" i="15"/>
  <c r="AA193" i="15"/>
  <c r="AA257" i="15"/>
  <c r="AA321" i="15"/>
  <c r="AA385" i="15"/>
  <c r="AA449" i="15"/>
  <c r="AA82" i="15"/>
  <c r="AA133" i="15"/>
  <c r="AA382" i="15"/>
  <c r="AA86" i="15"/>
  <c r="AA34" i="15"/>
  <c r="AA458" i="15"/>
  <c r="AA79" i="15"/>
  <c r="AA207" i="15"/>
  <c r="AA271" i="15"/>
  <c r="AA399" i="15"/>
  <c r="AA463" i="15"/>
  <c r="AA202" i="15"/>
  <c r="AA104" i="15"/>
  <c r="AA232" i="15"/>
  <c r="AA304" i="15"/>
  <c r="AA434" i="15"/>
  <c r="AA137" i="15"/>
  <c r="AA265" i="15"/>
  <c r="AA393" i="15"/>
  <c r="AA122" i="15"/>
  <c r="AA170" i="15"/>
  <c r="AA484" i="15"/>
  <c r="AA493" i="15"/>
  <c r="AA482" i="15"/>
  <c r="AA154" i="15"/>
  <c r="AA159" i="15"/>
  <c r="AA287" i="15"/>
  <c r="AA479" i="15"/>
  <c r="AA120" i="15"/>
  <c r="AA320" i="15"/>
  <c r="AA89" i="15"/>
  <c r="AA281" i="15"/>
  <c r="AA473" i="15"/>
  <c r="AA206" i="15"/>
  <c r="AA356" i="15"/>
  <c r="AA349" i="15"/>
  <c r="AA477" i="15"/>
  <c r="AA346" i="15"/>
  <c r="AA158" i="15"/>
  <c r="AA143" i="15"/>
  <c r="AA335" i="15"/>
  <c r="AA368" i="15"/>
  <c r="AA40" i="15"/>
  <c r="AA168" i="15"/>
  <c r="AA424" i="15"/>
  <c r="AA73" i="15"/>
  <c r="AA201" i="15"/>
  <c r="AA329" i="15"/>
  <c r="AA457" i="15"/>
  <c r="AA139" i="15"/>
  <c r="AA197" i="15"/>
  <c r="AA494" i="15"/>
  <c r="AA198" i="15"/>
  <c r="AA95" i="15"/>
  <c r="AA223" i="15"/>
  <c r="AA415" i="15"/>
  <c r="AA56" i="15"/>
  <c r="AA248" i="15"/>
  <c r="AA25" i="15"/>
  <c r="AA217" i="15"/>
  <c r="AA409" i="15"/>
  <c r="AA75" i="15"/>
  <c r="AA422" i="15"/>
  <c r="AA420" i="15"/>
  <c r="AA189" i="15"/>
  <c r="AA357" i="15"/>
  <c r="AA485" i="15"/>
  <c r="AA406" i="15"/>
  <c r="AA402" i="15"/>
  <c r="AA94" i="15"/>
  <c r="AA182" i="15"/>
  <c r="AA98" i="15"/>
  <c r="AA23" i="15"/>
  <c r="AA87" i="15"/>
  <c r="AA151" i="15"/>
  <c r="AA215" i="15"/>
  <c r="AA279" i="15"/>
  <c r="AA343" i="15"/>
  <c r="AA407" i="15"/>
  <c r="AA471" i="15"/>
  <c r="AA384" i="15"/>
  <c r="AA266" i="15"/>
  <c r="AA48" i="15"/>
  <c r="AA112" i="15"/>
  <c r="AA176" i="15"/>
  <c r="AA240" i="15"/>
  <c r="AA312" i="15"/>
  <c r="AA74" i="15"/>
  <c r="AA498" i="15"/>
  <c r="AA81" i="15"/>
  <c r="AA145" i="15"/>
  <c r="AA209" i="15"/>
  <c r="AA273" i="15"/>
  <c r="AA337" i="15"/>
  <c r="AA401" i="15"/>
  <c r="AA465" i="15"/>
  <c r="AA218" i="15"/>
  <c r="AA381" i="15"/>
  <c r="AA102" i="15"/>
  <c r="AA31" i="15"/>
  <c r="AA351" i="15"/>
  <c r="AA322" i="15"/>
  <c r="AA184" i="15"/>
  <c r="AA106" i="15"/>
  <c r="AA153" i="15"/>
  <c r="AA345" i="15"/>
  <c r="AA226" i="15"/>
  <c r="AA392" i="15"/>
  <c r="AA203" i="15"/>
  <c r="AA36" i="15"/>
  <c r="AA334" i="15"/>
  <c r="AA253" i="15"/>
  <c r="AA389" i="15"/>
  <c r="AA150" i="15"/>
  <c r="AA432" i="15"/>
  <c r="AA22" i="15"/>
  <c r="AA110" i="15"/>
  <c r="AA238" i="15"/>
  <c r="AA194" i="15"/>
  <c r="AA39" i="15"/>
  <c r="AA103" i="15"/>
  <c r="AA167" i="15"/>
  <c r="AA231" i="15"/>
  <c r="AA295" i="15"/>
  <c r="AA359" i="15"/>
  <c r="AA423" i="15"/>
  <c r="AA487" i="15"/>
  <c r="AA408" i="15"/>
  <c r="AA370" i="15"/>
  <c r="AA64" i="15"/>
  <c r="AA128" i="15"/>
  <c r="AA192" i="15"/>
  <c r="AA256" i="15"/>
  <c r="AA328" i="15"/>
  <c r="AA178" i="15"/>
  <c r="AA33" i="15"/>
  <c r="AA97" i="15"/>
  <c r="AA161" i="15"/>
  <c r="AA225" i="15"/>
  <c r="AA289" i="15"/>
  <c r="AA353" i="15"/>
  <c r="AA417" i="15"/>
  <c r="AA481" i="15"/>
  <c r="AA298" i="15"/>
  <c r="AA100" i="15"/>
  <c r="AA495" i="15"/>
  <c r="AA234" i="15"/>
  <c r="AA233" i="15"/>
  <c r="AA361" i="15"/>
  <c r="AA489" i="15"/>
  <c r="AA317" i="15"/>
  <c r="AA54" i="15"/>
  <c r="AA354" i="15"/>
  <c r="AA191" i="15"/>
  <c r="AA383" i="15"/>
  <c r="AA42" i="15"/>
  <c r="AA152" i="15"/>
  <c r="AA376" i="15"/>
  <c r="AA121" i="15"/>
  <c r="AA313" i="15"/>
  <c r="AA441" i="15"/>
  <c r="AA267" i="15"/>
  <c r="AA488" i="15"/>
  <c r="AA261" i="15"/>
  <c r="AA413" i="15"/>
  <c r="AA190" i="15"/>
  <c r="AA456" i="15"/>
  <c r="AA30" i="15"/>
  <c r="AA118" i="15"/>
  <c r="AA302" i="15"/>
  <c r="AA258" i="15"/>
  <c r="AA47" i="15"/>
  <c r="AA111" i="15"/>
  <c r="AA175" i="15"/>
  <c r="AA239" i="15"/>
  <c r="AA303" i="15"/>
  <c r="AA367" i="15"/>
  <c r="AA431" i="15"/>
  <c r="AA448" i="15"/>
  <c r="AA426" i="15"/>
  <c r="AA72" i="15"/>
  <c r="AA136" i="15"/>
  <c r="AA200" i="15"/>
  <c r="AA264" i="15"/>
  <c r="AA344" i="15"/>
  <c r="AA41" i="15"/>
  <c r="AA105" i="15"/>
  <c r="AA169" i="15"/>
  <c r="AA297" i="15"/>
  <c r="AA425" i="15"/>
  <c r="AA378" i="15"/>
  <c r="AA445" i="15"/>
  <c r="AA134" i="15"/>
  <c r="AA63" i="15"/>
  <c r="AA255" i="15"/>
  <c r="AA447" i="15"/>
  <c r="AA24" i="15"/>
  <c r="AA216" i="15"/>
  <c r="AA330" i="15"/>
  <c r="AA185" i="15"/>
  <c r="AA377" i="15"/>
  <c r="AB22" i="15"/>
  <c r="AB86" i="15"/>
  <c r="AB150" i="15"/>
  <c r="AB214" i="15"/>
  <c r="AB278" i="15"/>
  <c r="AB342" i="15"/>
  <c r="AB406" i="15"/>
  <c r="AB470" i="15"/>
  <c r="AB448" i="15"/>
  <c r="AB23" i="15"/>
  <c r="AB87" i="15"/>
  <c r="AB151" i="15"/>
  <c r="AB215" i="15"/>
  <c r="AB279" i="15"/>
  <c r="AB343" i="15"/>
  <c r="AB407" i="15"/>
  <c r="AB471" i="15"/>
  <c r="AB432" i="15"/>
  <c r="AB40" i="15"/>
  <c r="AB104" i="15"/>
  <c r="AB168" i="15"/>
  <c r="AB232" i="15"/>
  <c r="AB296" i="15"/>
  <c r="AB392" i="15"/>
  <c r="AB42" i="15"/>
  <c r="AB106" i="15"/>
  <c r="AB170" i="15"/>
  <c r="AB234" i="15"/>
  <c r="AB298" i="15"/>
  <c r="AB362" i="15"/>
  <c r="AB426" i="15"/>
  <c r="AB490" i="15"/>
  <c r="AB75" i="15"/>
  <c r="AB139" i="15"/>
  <c r="AB203" i="15"/>
  <c r="AB140" i="15"/>
  <c r="AB289" i="15"/>
  <c r="AB417" i="15"/>
  <c r="AB100" i="15"/>
  <c r="AB259" i="15"/>
  <c r="AB387" i="15"/>
  <c r="AB37" i="15"/>
  <c r="AB228" i="15"/>
  <c r="AB356" i="15"/>
  <c r="AB484" i="15"/>
  <c r="AB229" i="15"/>
  <c r="AB193" i="15"/>
  <c r="AB329" i="15"/>
  <c r="AB457" i="15"/>
  <c r="AB153" i="15"/>
  <c r="AB299" i="15"/>
  <c r="AB427" i="15"/>
  <c r="AB113" i="15"/>
  <c r="AB268" i="15"/>
  <c r="AB396" i="15"/>
  <c r="AB92" i="15"/>
  <c r="AB349" i="15"/>
  <c r="AB237" i="15"/>
  <c r="AB445" i="15"/>
  <c r="AB437" i="15"/>
  <c r="AB30" i="15"/>
  <c r="AB94" i="15"/>
  <c r="AB158" i="15"/>
  <c r="AB222" i="15"/>
  <c r="AB286" i="15"/>
  <c r="AB350" i="15"/>
  <c r="AB414" i="15"/>
  <c r="AB478" i="15"/>
  <c r="AB464" i="15"/>
  <c r="AB31" i="15"/>
  <c r="AB95" i="15"/>
  <c r="AB159" i="15"/>
  <c r="AB223" i="15"/>
  <c r="AB287" i="15"/>
  <c r="AB351" i="15"/>
  <c r="AB415" i="15"/>
  <c r="AB479" i="15"/>
  <c r="AB456" i="15"/>
  <c r="AB48" i="15"/>
  <c r="AB112" i="15"/>
  <c r="AB176" i="15"/>
  <c r="AB240" i="15"/>
  <c r="AB304" i="15"/>
  <c r="AB440" i="15"/>
  <c r="AB50" i="15"/>
  <c r="AB114" i="15"/>
  <c r="AB178" i="15"/>
  <c r="AB242" i="15"/>
  <c r="AB306" i="15"/>
  <c r="AB370" i="15"/>
  <c r="AB434" i="15"/>
  <c r="AB498" i="15"/>
  <c r="AB83" i="15"/>
  <c r="AB147" i="15"/>
  <c r="AB211" i="15"/>
  <c r="AB161" i="15"/>
  <c r="AB305" i="15"/>
  <c r="AB433" i="15"/>
  <c r="AB121" i="15"/>
  <c r="AB275" i="15"/>
  <c r="AB403" i="15"/>
  <c r="AB69" i="15"/>
  <c r="AB244" i="15"/>
  <c r="AB372" i="15"/>
  <c r="AB44" i="15"/>
  <c r="AB148" i="15"/>
  <c r="AB213" i="15"/>
  <c r="AB345" i="15"/>
  <c r="AB473" i="15"/>
  <c r="AB173" i="15"/>
  <c r="AB315" i="15"/>
  <c r="AB443" i="15"/>
  <c r="AB133" i="15"/>
  <c r="AB284" i="15"/>
  <c r="AB412" i="15"/>
  <c r="AB180" i="15"/>
  <c r="AB413" i="15"/>
  <c r="AB301" i="15"/>
  <c r="AB261" i="15"/>
  <c r="AB253" i="15"/>
  <c r="AB38" i="15"/>
  <c r="AB102" i="15"/>
  <c r="AB166" i="15"/>
  <c r="AB230" i="15"/>
  <c r="AB294" i="15"/>
  <c r="AB358" i="15"/>
  <c r="AB422" i="15"/>
  <c r="AB486" i="15"/>
  <c r="AB488" i="15"/>
  <c r="AB39" i="15"/>
  <c r="AB103" i="15"/>
  <c r="AB167" i="15"/>
  <c r="AB231" i="15"/>
  <c r="AB295" i="15"/>
  <c r="AB359" i="15"/>
  <c r="AB423" i="15"/>
  <c r="AB487" i="15"/>
  <c r="AB480" i="15"/>
  <c r="AB56" i="15"/>
  <c r="AB120" i="15"/>
  <c r="AB184" i="15"/>
  <c r="AB248" i="15"/>
  <c r="AB312" i="15"/>
  <c r="AB472" i="15"/>
  <c r="AB58" i="15"/>
  <c r="AB122" i="15"/>
  <c r="AB186" i="15"/>
  <c r="AB250" i="15"/>
  <c r="AB314" i="15"/>
  <c r="AB378" i="15"/>
  <c r="AB442" i="15"/>
  <c r="AB27" i="15"/>
  <c r="AB91" i="15"/>
  <c r="AB155" i="15"/>
  <c r="AB219" i="15"/>
  <c r="AB181" i="15"/>
  <c r="AB321" i="15"/>
  <c r="AB449" i="15"/>
  <c r="AB141" i="15"/>
  <c r="AB291" i="15"/>
  <c r="AB419" i="15"/>
  <c r="AB101" i="15"/>
  <c r="AB260" i="15"/>
  <c r="AB388" i="15"/>
  <c r="AB76" i="15"/>
  <c r="AB45" i="15"/>
  <c r="AB233" i="15"/>
  <c r="AB361" i="15"/>
  <c r="AB489" i="15"/>
  <c r="AB196" i="15"/>
  <c r="AB331" i="15"/>
  <c r="AB459" i="15"/>
  <c r="AB156" i="15"/>
  <c r="AB300" i="15"/>
  <c r="AB428" i="15"/>
  <c r="AB277" i="15"/>
  <c r="AB477" i="15"/>
  <c r="AB365" i="15"/>
  <c r="AB389" i="15"/>
  <c r="AB381" i="15"/>
  <c r="AB46" i="15"/>
  <c r="AB110" i="15"/>
  <c r="AB174" i="15"/>
  <c r="AB238" i="15"/>
  <c r="AB302" i="15"/>
  <c r="AB366" i="15"/>
  <c r="AB430" i="15"/>
  <c r="AB494" i="15"/>
  <c r="AB25" i="15"/>
  <c r="AB47" i="15"/>
  <c r="AB111" i="15"/>
  <c r="AB175" i="15"/>
  <c r="AB239" i="15"/>
  <c r="AB303" i="15"/>
  <c r="AB367" i="15"/>
  <c r="AB431" i="15"/>
  <c r="AB495" i="15"/>
  <c r="AB496" i="15"/>
  <c r="AB64" i="15"/>
  <c r="AB128" i="15"/>
  <c r="AB192" i="15"/>
  <c r="AB256" i="15"/>
  <c r="AB320" i="15"/>
  <c r="AB41" i="15"/>
  <c r="AB66" i="15"/>
  <c r="AB130" i="15"/>
  <c r="AB194" i="15"/>
  <c r="AB258" i="15"/>
  <c r="AB322" i="15"/>
  <c r="AB386" i="15"/>
  <c r="AB450" i="15"/>
  <c r="AB35" i="15"/>
  <c r="AB99" i="15"/>
  <c r="AB163" i="15"/>
  <c r="AB28" i="15"/>
  <c r="AB204" i="15"/>
  <c r="AB337" i="15"/>
  <c r="AB465" i="15"/>
  <c r="AB164" i="15"/>
  <c r="AB307" i="15"/>
  <c r="AB435" i="15"/>
  <c r="AB124" i="15"/>
  <c r="AB276" i="15"/>
  <c r="AB404" i="15"/>
  <c r="AB105" i="15"/>
  <c r="AB77" i="15"/>
  <c r="AB249" i="15"/>
  <c r="AB377" i="15"/>
  <c r="AB20" i="15"/>
  <c r="AB217" i="15"/>
  <c r="AB347" i="15"/>
  <c r="AB475" i="15"/>
  <c r="AB177" i="15"/>
  <c r="AB316" i="15"/>
  <c r="AB444" i="15"/>
  <c r="AB341" i="15"/>
  <c r="AB221" i="15"/>
  <c r="AB429" i="15"/>
  <c r="AB453" i="15"/>
  <c r="AB137" i="15"/>
  <c r="AB54" i="15"/>
  <c r="AB118" i="15"/>
  <c r="AB182" i="15"/>
  <c r="AB246" i="15"/>
  <c r="AB310" i="15"/>
  <c r="AB374" i="15"/>
  <c r="AB438" i="15"/>
  <c r="AB336" i="15"/>
  <c r="AB49" i="15"/>
  <c r="AB55" i="15"/>
  <c r="AB119" i="15"/>
  <c r="AB183" i="15"/>
  <c r="AB247" i="15"/>
  <c r="AB311" i="15"/>
  <c r="AB375" i="15"/>
  <c r="AB439" i="15"/>
  <c r="AB328" i="15"/>
  <c r="AB33" i="15"/>
  <c r="AB72" i="15"/>
  <c r="AB136" i="15"/>
  <c r="AB200" i="15"/>
  <c r="AB264" i="15"/>
  <c r="AB344" i="15"/>
  <c r="AB65" i="15"/>
  <c r="AB74" i="15"/>
  <c r="AB138" i="15"/>
  <c r="AB202" i="15"/>
  <c r="AB266" i="15"/>
  <c r="AB330" i="15"/>
  <c r="AB394" i="15"/>
  <c r="AB458" i="15"/>
  <c r="AB43" i="15"/>
  <c r="AB107" i="15"/>
  <c r="AB171" i="15"/>
  <c r="AB29" i="15"/>
  <c r="AB225" i="15"/>
  <c r="AB353" i="15"/>
  <c r="AB481" i="15"/>
  <c r="AB185" i="15"/>
  <c r="AB323" i="15"/>
  <c r="AB451" i="15"/>
  <c r="AB145" i="15"/>
  <c r="AB292" i="15"/>
  <c r="AB420" i="15"/>
  <c r="AB125" i="15"/>
  <c r="AB108" i="15"/>
  <c r="AB265" i="15"/>
  <c r="AB393" i="15"/>
  <c r="AB52" i="15"/>
  <c r="AB235" i="15"/>
  <c r="AB363" i="15"/>
  <c r="AB491" i="15"/>
  <c r="AB197" i="15"/>
  <c r="AB332" i="15"/>
  <c r="AB460" i="15"/>
  <c r="AB405" i="15"/>
  <c r="AB293" i="15"/>
  <c r="AB493" i="15"/>
  <c r="AB269" i="15"/>
  <c r="AB325" i="15"/>
  <c r="AB62" i="15"/>
  <c r="AB126" i="15"/>
  <c r="AB190" i="15"/>
  <c r="AB254" i="15"/>
  <c r="AB318" i="15"/>
  <c r="AB382" i="15"/>
  <c r="AB446" i="15"/>
  <c r="AB384" i="15"/>
  <c r="AB57" i="15"/>
  <c r="AB63" i="15"/>
  <c r="AB127" i="15"/>
  <c r="AB191" i="15"/>
  <c r="AB255" i="15"/>
  <c r="AB319" i="15"/>
  <c r="AB383" i="15"/>
  <c r="AB447" i="15"/>
  <c r="AB376" i="15"/>
  <c r="AB81" i="15"/>
  <c r="AB80" i="15"/>
  <c r="AB144" i="15"/>
  <c r="AB208" i="15"/>
  <c r="AB272" i="15"/>
  <c r="AB352" i="15"/>
  <c r="AB89" i="15"/>
  <c r="AB82" i="15"/>
  <c r="AB146" i="15"/>
  <c r="AB210" i="15"/>
  <c r="AB274" i="15"/>
  <c r="AB338" i="15"/>
  <c r="AB402" i="15"/>
  <c r="AB466" i="15"/>
  <c r="AB51" i="15"/>
  <c r="AB115" i="15"/>
  <c r="AB179" i="15"/>
  <c r="AB61" i="15"/>
  <c r="AB241" i="15"/>
  <c r="AB369" i="15"/>
  <c r="AB497" i="15"/>
  <c r="AB205" i="15"/>
  <c r="AB339" i="15"/>
  <c r="AB467" i="15"/>
  <c r="AB165" i="15"/>
  <c r="AB308" i="15"/>
  <c r="AB436" i="15"/>
  <c r="AB169" i="15"/>
  <c r="AB129" i="15"/>
  <c r="AB281" i="15"/>
  <c r="AB409" i="15"/>
  <c r="AB84" i="15"/>
  <c r="AB251" i="15"/>
  <c r="AB379" i="15"/>
  <c r="AB21" i="15"/>
  <c r="AB220" i="15"/>
  <c r="AB348" i="15"/>
  <c r="AB476" i="15"/>
  <c r="AB469" i="15"/>
  <c r="AB357" i="15"/>
  <c r="AB373" i="15"/>
  <c r="AB397" i="15"/>
  <c r="AB157" i="15"/>
  <c r="AB70" i="15"/>
  <c r="AB134" i="15"/>
  <c r="AB198" i="15"/>
  <c r="AB262" i="15"/>
  <c r="AB326" i="15"/>
  <c r="AB390" i="15"/>
  <c r="AB454" i="15"/>
  <c r="AB408" i="15"/>
  <c r="AB73" i="15"/>
  <c r="AB71" i="15"/>
  <c r="AB135" i="15"/>
  <c r="AB199" i="15"/>
  <c r="AB263" i="15"/>
  <c r="AB327" i="15"/>
  <c r="AB391" i="15"/>
  <c r="AB455" i="15"/>
  <c r="AB400" i="15"/>
  <c r="AB24" i="15"/>
  <c r="AB88" i="15"/>
  <c r="AB152" i="15"/>
  <c r="AB216" i="15"/>
  <c r="AB280" i="15"/>
  <c r="AB360" i="15"/>
  <c r="AB26" i="15"/>
  <c r="AB90" i="15"/>
  <c r="AB154" i="15"/>
  <c r="AB218" i="15"/>
  <c r="AB282" i="15"/>
  <c r="AB346" i="15"/>
  <c r="AB410" i="15"/>
  <c r="AB474" i="15"/>
  <c r="AB59" i="15"/>
  <c r="AB123" i="15"/>
  <c r="AB187" i="15"/>
  <c r="AB93" i="15"/>
  <c r="AB257" i="15"/>
  <c r="AB385" i="15"/>
  <c r="AB36" i="15"/>
  <c r="AB227" i="15"/>
  <c r="AB355" i="15"/>
  <c r="AB483" i="15"/>
  <c r="AB188" i="15"/>
  <c r="AB324" i="15"/>
  <c r="AB452" i="15"/>
  <c r="AB189" i="15"/>
  <c r="AB149" i="15"/>
  <c r="AB297" i="15"/>
  <c r="AB425" i="15"/>
  <c r="AB109" i="15"/>
  <c r="AB267" i="15"/>
  <c r="AB395" i="15"/>
  <c r="AB53" i="15"/>
  <c r="AB236" i="15"/>
  <c r="AB364" i="15"/>
  <c r="AB492" i="15"/>
  <c r="AB201" i="15"/>
  <c r="AB421" i="15"/>
  <c r="AB116" i="15"/>
  <c r="AB245" i="15"/>
  <c r="AB333" i="15"/>
  <c r="AB78" i="15"/>
  <c r="AB97" i="15"/>
  <c r="AB416" i="15"/>
  <c r="AB98" i="15"/>
  <c r="AB131" i="15"/>
  <c r="AB499" i="15"/>
  <c r="AB132" i="15"/>
  <c r="AB485" i="15"/>
  <c r="AB79" i="15"/>
  <c r="AB162" i="15"/>
  <c r="AB195" i="15"/>
  <c r="AB283" i="15"/>
  <c r="AB142" i="15"/>
  <c r="AB206" i="15"/>
  <c r="AB143" i="15"/>
  <c r="AB96" i="15"/>
  <c r="AB226" i="15"/>
  <c r="AB117" i="15"/>
  <c r="AB340" i="15"/>
  <c r="AB411" i="15"/>
  <c r="AB309" i="15"/>
  <c r="AB418" i="15"/>
  <c r="AB380" i="15"/>
  <c r="AB270" i="15"/>
  <c r="AB207" i="15"/>
  <c r="AB160" i="15"/>
  <c r="AB290" i="15"/>
  <c r="AB273" i="15"/>
  <c r="AB468" i="15"/>
  <c r="AB85" i="15"/>
  <c r="AB461" i="15"/>
  <c r="AB398" i="15"/>
  <c r="AB68" i="15"/>
  <c r="AB334" i="15"/>
  <c r="AB271" i="15"/>
  <c r="AB224" i="15"/>
  <c r="AB354" i="15"/>
  <c r="AB401" i="15"/>
  <c r="AB212" i="15"/>
  <c r="AB252" i="15"/>
  <c r="AB335" i="15"/>
  <c r="AB172" i="15"/>
  <c r="AB288" i="15"/>
  <c r="AB462" i="15"/>
  <c r="AB399" i="15"/>
  <c r="AB368" i="15"/>
  <c r="AB482" i="15"/>
  <c r="AB243" i="15"/>
  <c r="AB313" i="15"/>
  <c r="AB60" i="15"/>
  <c r="AB32" i="15"/>
  <c r="AB317" i="15"/>
  <c r="AB424" i="15"/>
  <c r="AB463" i="15"/>
  <c r="AB34" i="15"/>
  <c r="AB67" i="15"/>
  <c r="AB371" i="15"/>
  <c r="AB441" i="15"/>
  <c r="AB285" i="15"/>
  <c r="AB209" i="15"/>
  <c r="AC20" i="15"/>
  <c r="AC21" i="15" s="1"/>
  <c r="AC22" i="15" s="1"/>
  <c r="AC23" i="15" s="1"/>
  <c r="AC24" i="15" s="1"/>
  <c r="AC25" i="15" s="1"/>
  <c r="AC26" i="15" s="1"/>
  <c r="AC27" i="15" s="1"/>
  <c r="AC28" i="15" s="1"/>
  <c r="AC29" i="15" s="1"/>
  <c r="AC30" i="15" s="1"/>
  <c r="AC31" i="15" s="1"/>
  <c r="AC32" i="15" s="1"/>
  <c r="AC33" i="15" s="1"/>
  <c r="AC34" i="15" s="1"/>
  <c r="AC35" i="15" s="1"/>
  <c r="AC36" i="15" s="1"/>
  <c r="AC37" i="15" s="1"/>
  <c r="AC38" i="15" s="1"/>
  <c r="AC39" i="15" s="1"/>
  <c r="AC40" i="15" s="1"/>
  <c r="AC41" i="15" s="1"/>
  <c r="AC42" i="15" s="1"/>
  <c r="AC43" i="15" s="1"/>
  <c r="AC44" i="15" s="1"/>
  <c r="AC45" i="15" s="1"/>
  <c r="AC46" i="15" s="1"/>
  <c r="AC47" i="15" s="1"/>
  <c r="AC48" i="15" s="1"/>
  <c r="AC49" i="15" s="1"/>
  <c r="AC50" i="15" s="1"/>
  <c r="AC51" i="15" s="1"/>
  <c r="AC52" i="15" s="1"/>
  <c r="AC53" i="15" s="1"/>
  <c r="AC54" i="15" s="1"/>
  <c r="AC55" i="15" s="1"/>
  <c r="AC56" i="15" s="1"/>
  <c r="AC57" i="15" s="1"/>
  <c r="AC58" i="15" s="1"/>
  <c r="AC59" i="15" s="1"/>
  <c r="AC60" i="15" s="1"/>
  <c r="AC61" i="15" s="1"/>
  <c r="AC62" i="15" s="1"/>
  <c r="AC63" i="15" s="1"/>
  <c r="AC64" i="15" s="1"/>
  <c r="AC65" i="15" s="1"/>
  <c r="AC66" i="15" s="1"/>
  <c r="AC67" i="15" s="1"/>
  <c r="AC68" i="15" s="1"/>
  <c r="AC69" i="15" s="1"/>
  <c r="AC70" i="15" s="1"/>
  <c r="AC71" i="15" s="1"/>
  <c r="AC72" i="15" s="1"/>
  <c r="AC73" i="15" s="1"/>
  <c r="AC74" i="15" s="1"/>
  <c r="AC75" i="15" s="1"/>
  <c r="AC76" i="15" s="1"/>
  <c r="AC77" i="15" s="1"/>
  <c r="AC78" i="15" s="1"/>
  <c r="AC79" i="15" s="1"/>
  <c r="AC80" i="15" s="1"/>
  <c r="AC81" i="15" s="1"/>
  <c r="AC82" i="15" s="1"/>
  <c r="AC83" i="15" s="1"/>
  <c r="AC84" i="15" s="1"/>
  <c r="AC85" i="15" s="1"/>
  <c r="AC86" i="15" s="1"/>
  <c r="AC87" i="15" s="1"/>
  <c r="AC88" i="15" s="1"/>
  <c r="AC89" i="15" s="1"/>
  <c r="AC90" i="15" s="1"/>
  <c r="AC91" i="15" s="1"/>
  <c r="AC92" i="15" s="1"/>
  <c r="AC93" i="15" s="1"/>
  <c r="AC94" i="15" s="1"/>
  <c r="AC95" i="15" s="1"/>
  <c r="AC96" i="15" s="1"/>
  <c r="AC97" i="15" s="1"/>
  <c r="AC98" i="15" s="1"/>
  <c r="AC99" i="15" s="1"/>
  <c r="AC100" i="15" s="1"/>
  <c r="AC101" i="15" s="1"/>
  <c r="AC102" i="15" s="1"/>
  <c r="AC103" i="15" s="1"/>
  <c r="AC104" i="15" s="1"/>
  <c r="AC105" i="15" s="1"/>
  <c r="AC106" i="15" s="1"/>
  <c r="AC107" i="15" s="1"/>
  <c r="AC108" i="15" s="1"/>
  <c r="AC109" i="15" s="1"/>
  <c r="AC110" i="15" s="1"/>
  <c r="AC111" i="15" s="1"/>
  <c r="AC112" i="15" s="1"/>
  <c r="AC113" i="15" s="1"/>
  <c r="AC114" i="15" s="1"/>
  <c r="AC115" i="15" s="1"/>
  <c r="AC116" i="15" s="1"/>
  <c r="AC117" i="15" s="1"/>
  <c r="AC118" i="15" s="1"/>
  <c r="AC119" i="15" s="1"/>
  <c r="AC120" i="15" s="1"/>
  <c r="AC121" i="15" s="1"/>
  <c r="AC122" i="15" s="1"/>
  <c r="AC123" i="15" s="1"/>
  <c r="AC124" i="15" s="1"/>
  <c r="AC125" i="15" s="1"/>
  <c r="AC126" i="15" s="1"/>
  <c r="AC127" i="15" s="1"/>
  <c r="AC128" i="15" s="1"/>
  <c r="AC129" i="15" s="1"/>
  <c r="AC130" i="15" s="1"/>
  <c r="AC131" i="15" s="1"/>
  <c r="AC132" i="15" s="1"/>
  <c r="AC133" i="15" s="1"/>
  <c r="AC134" i="15" s="1"/>
  <c r="AC135" i="15" s="1"/>
  <c r="AC136" i="15" s="1"/>
  <c r="AC137" i="15" s="1"/>
  <c r="AC138" i="15" s="1"/>
  <c r="AC139" i="15" s="1"/>
  <c r="AG7" i="15" s="1"/>
  <c r="AC140" i="15" l="1"/>
  <c r="AC141" i="15" s="1"/>
  <c r="AC142" i="15" s="1"/>
  <c r="AC143" i="15" s="1"/>
  <c r="AC144" i="15" s="1"/>
  <c r="AC145" i="15" s="1"/>
  <c r="AC146" i="15" s="1"/>
  <c r="AC147" i="15" s="1"/>
  <c r="AC148" i="15" s="1"/>
  <c r="AC149" i="15" s="1"/>
  <c r="AC150" i="15" s="1"/>
  <c r="AC151" i="15" s="1"/>
  <c r="AC152" i="15" s="1"/>
  <c r="AC153" i="15" s="1"/>
  <c r="AC154" i="15" s="1"/>
  <c r="AC155" i="15" s="1"/>
  <c r="AC156" i="15" s="1"/>
  <c r="AC157" i="15" s="1"/>
  <c r="AC158" i="15" s="1"/>
  <c r="AC159" i="15" s="1"/>
  <c r="AC160" i="15" s="1"/>
  <c r="AC161" i="15" s="1"/>
  <c r="AC162" i="15" s="1"/>
  <c r="AC163" i="15" s="1"/>
  <c r="AC164" i="15" s="1"/>
  <c r="AC165" i="15" s="1"/>
  <c r="AC166" i="15" s="1"/>
  <c r="AC167" i="15" s="1"/>
  <c r="AC168" i="15" s="1"/>
  <c r="AC169" i="15" s="1"/>
  <c r="AC170" i="15" s="1"/>
  <c r="AC171" i="15" s="1"/>
  <c r="AC172" i="15" s="1"/>
  <c r="AC173" i="15" s="1"/>
  <c r="AC174" i="15" s="1"/>
  <c r="AC175" i="15" s="1"/>
  <c r="AC176" i="15" s="1"/>
  <c r="AC177" i="15" s="1"/>
  <c r="AC178" i="15" s="1"/>
  <c r="AC179" i="15" s="1"/>
  <c r="AC180" i="15" s="1"/>
  <c r="AC181" i="15" s="1"/>
  <c r="AC182" i="15" s="1"/>
  <c r="AC183" i="15" s="1"/>
  <c r="AC184" i="15" s="1"/>
  <c r="AC185" i="15" s="1"/>
  <c r="AC186" i="15" s="1"/>
  <c r="AC187" i="15" s="1"/>
  <c r="AC188" i="15" s="1"/>
  <c r="AC189" i="15" s="1"/>
  <c r="AC190" i="15" s="1"/>
  <c r="AC191" i="15" s="1"/>
  <c r="AC192" i="15" s="1"/>
  <c r="AC193" i="15" s="1"/>
  <c r="AC194" i="15" s="1"/>
  <c r="AC195" i="15" s="1"/>
  <c r="AC196" i="15" s="1"/>
  <c r="AC197" i="15" s="1"/>
  <c r="AC198" i="15" s="1"/>
  <c r="AC199" i="15" s="1"/>
  <c r="AG8" i="15" l="1"/>
  <c r="J35" i="15" s="1"/>
  <c r="AG9" i="15"/>
  <c r="J36" i="15" s="1"/>
  <c r="AC200" i="15"/>
  <c r="AC201" i="15" s="1"/>
  <c r="AC202" i="15" s="1"/>
  <c r="AC203" i="15" s="1"/>
  <c r="AC204" i="15" s="1"/>
  <c r="AC205" i="15" s="1"/>
  <c r="AC206" i="15" s="1"/>
  <c r="AC207" i="15" s="1"/>
  <c r="AC208" i="15" s="1"/>
  <c r="AC209" i="15" s="1"/>
  <c r="AC210" i="15" s="1"/>
  <c r="AC211" i="15" s="1"/>
  <c r="AC212" i="15" s="1"/>
  <c r="AC213" i="15" s="1"/>
  <c r="AC214" i="15" s="1"/>
  <c r="AC215" i="15" s="1"/>
  <c r="AC216" i="15" s="1"/>
  <c r="AC217" i="15" s="1"/>
  <c r="AC218" i="15" s="1"/>
  <c r="AC219" i="15" s="1"/>
  <c r="AC220" i="15" s="1"/>
  <c r="AC221" i="15" s="1"/>
  <c r="AC222" i="15" s="1"/>
  <c r="AC223" i="15" s="1"/>
  <c r="AC224" i="15" s="1"/>
  <c r="AC225" i="15" s="1"/>
  <c r="AC226" i="15" s="1"/>
  <c r="AC227" i="15" s="1"/>
  <c r="AC228" i="15" s="1"/>
  <c r="AC229" i="15" s="1"/>
  <c r="AC230" i="15" s="1"/>
  <c r="AC231" i="15" s="1"/>
  <c r="AC232" i="15" s="1"/>
  <c r="AC233" i="15" s="1"/>
  <c r="AC234" i="15" s="1"/>
  <c r="AC235" i="15" s="1"/>
  <c r="AC236" i="15" s="1"/>
  <c r="AC237" i="15" s="1"/>
  <c r="AC238" i="15" s="1"/>
  <c r="AC239" i="15" s="1"/>
  <c r="AC240" i="15" s="1"/>
  <c r="AC241" i="15" s="1"/>
  <c r="AC242" i="15" s="1"/>
  <c r="AC243" i="15" s="1"/>
  <c r="AC244" i="15" s="1"/>
  <c r="AC245" i="15" s="1"/>
  <c r="AC246" i="15" s="1"/>
  <c r="AC247" i="15" s="1"/>
  <c r="AC248" i="15" s="1"/>
  <c r="AC249" i="15" s="1"/>
  <c r="AC250" i="15" s="1"/>
  <c r="AC251" i="15" s="1"/>
  <c r="AC252" i="15" s="1"/>
  <c r="AC253" i="15" s="1"/>
  <c r="AC254" i="15" s="1"/>
  <c r="AC255" i="15" s="1"/>
  <c r="AC256" i="15" s="1"/>
  <c r="AC257" i="15" s="1"/>
  <c r="AC258" i="15" s="1"/>
  <c r="AC259" i="15" s="1"/>
  <c r="H19" i="21" l="1"/>
  <c r="G19" i="21"/>
  <c r="R53" i="15"/>
  <c r="H18" i="21"/>
  <c r="G18" i="21"/>
  <c r="S53" i="15"/>
  <c r="T53" i="15" s="1"/>
  <c r="R54" i="15"/>
  <c r="S54" i="15"/>
  <c r="T54" i="15" s="1"/>
  <c r="AC260" i="15"/>
  <c r="AC261" i="15" s="1"/>
  <c r="AC262" i="15" s="1"/>
  <c r="AC263" i="15" s="1"/>
  <c r="AC264" i="15" s="1"/>
  <c r="AC265" i="15" s="1"/>
  <c r="AC266" i="15" s="1"/>
  <c r="AC267" i="15" s="1"/>
  <c r="AC268" i="15" s="1"/>
  <c r="AC269" i="15" s="1"/>
  <c r="AC270" i="15" s="1"/>
  <c r="AC271" i="15" s="1"/>
  <c r="AC272" i="15" s="1"/>
  <c r="AC273" i="15" s="1"/>
  <c r="AC274" i="15" s="1"/>
  <c r="AC275" i="15" s="1"/>
  <c r="AC276" i="15" s="1"/>
  <c r="AC277" i="15" s="1"/>
  <c r="AC278" i="15" s="1"/>
  <c r="AC279" i="15" s="1"/>
  <c r="AC280" i="15" s="1"/>
  <c r="AC281" i="15" s="1"/>
  <c r="AC282" i="15" s="1"/>
  <c r="AC283" i="15" s="1"/>
  <c r="AC284" i="15" s="1"/>
  <c r="AC285" i="15" s="1"/>
  <c r="AC286" i="15" s="1"/>
  <c r="AC287" i="15" s="1"/>
  <c r="AC288" i="15" s="1"/>
  <c r="AC289" i="15" s="1"/>
  <c r="AC290" i="15" s="1"/>
  <c r="AC291" i="15" s="1"/>
  <c r="AC292" i="15" s="1"/>
  <c r="AC293" i="15" s="1"/>
  <c r="AC294" i="15" s="1"/>
  <c r="AC295" i="15" s="1"/>
  <c r="AC296" i="15" s="1"/>
  <c r="AC297" i="15" s="1"/>
  <c r="AC298" i="15" s="1"/>
  <c r="AC299" i="15" s="1"/>
  <c r="AC300" i="15" s="1"/>
  <c r="AC301" i="15" s="1"/>
  <c r="AC302" i="15" s="1"/>
  <c r="AC303" i="15" s="1"/>
  <c r="AC304" i="15" s="1"/>
  <c r="AC305" i="15" s="1"/>
  <c r="AC306" i="15" s="1"/>
  <c r="AC307" i="15" s="1"/>
  <c r="AC308" i="15" s="1"/>
  <c r="AC309" i="15" s="1"/>
  <c r="AC310" i="15" s="1"/>
  <c r="AC311" i="15" s="1"/>
  <c r="AC312" i="15" s="1"/>
  <c r="AC313" i="15" s="1"/>
  <c r="AC314" i="15" s="1"/>
  <c r="AC315" i="15" s="1"/>
  <c r="AC316" i="15" s="1"/>
  <c r="AC317" i="15" s="1"/>
  <c r="AC318" i="15" s="1"/>
  <c r="AC319" i="15" s="1"/>
  <c r="AG10" i="15"/>
  <c r="J37" i="15" s="1"/>
  <c r="H20" i="21" s="1"/>
  <c r="E21" i="19" l="1"/>
  <c r="D21" i="20"/>
  <c r="D21" i="19"/>
  <c r="E21" i="20"/>
  <c r="D22" i="20"/>
  <c r="E22" i="20"/>
  <c r="E22" i="19"/>
  <c r="D22" i="19"/>
  <c r="AC320" i="15"/>
  <c r="AC321" i="15" s="1"/>
  <c r="AC322" i="15" s="1"/>
  <c r="AC323" i="15" s="1"/>
  <c r="AC324" i="15" s="1"/>
  <c r="AC325" i="15" s="1"/>
  <c r="AC326" i="15" s="1"/>
  <c r="AC327" i="15" s="1"/>
  <c r="AC328" i="15" s="1"/>
  <c r="AC329" i="15" s="1"/>
  <c r="AC330" i="15" s="1"/>
  <c r="AC331" i="15" s="1"/>
  <c r="AC332" i="15" s="1"/>
  <c r="AC333" i="15" s="1"/>
  <c r="AC334" i="15" s="1"/>
  <c r="AC335" i="15" s="1"/>
  <c r="AC336" i="15" s="1"/>
  <c r="AC337" i="15" s="1"/>
  <c r="AC338" i="15" s="1"/>
  <c r="AC339" i="15" s="1"/>
  <c r="AC340" i="15" s="1"/>
  <c r="AC341" i="15" s="1"/>
  <c r="AC342" i="15" s="1"/>
  <c r="AC343" i="15" s="1"/>
  <c r="AC344" i="15" s="1"/>
  <c r="AC345" i="15" s="1"/>
  <c r="AC346" i="15" s="1"/>
  <c r="AC347" i="15" s="1"/>
  <c r="AC348" i="15" s="1"/>
  <c r="AC349" i="15" s="1"/>
  <c r="AC350" i="15" s="1"/>
  <c r="AC351" i="15" s="1"/>
  <c r="AC352" i="15" s="1"/>
  <c r="AC353" i="15" s="1"/>
  <c r="AC354" i="15" s="1"/>
  <c r="AC355" i="15" s="1"/>
  <c r="AC356" i="15" s="1"/>
  <c r="AC357" i="15" s="1"/>
  <c r="AC358" i="15" s="1"/>
  <c r="AC359" i="15" s="1"/>
  <c r="AC360" i="15" s="1"/>
  <c r="AC361" i="15" s="1"/>
  <c r="AC362" i="15" s="1"/>
  <c r="AC363" i="15" s="1"/>
  <c r="AC364" i="15" s="1"/>
  <c r="AC365" i="15" s="1"/>
  <c r="AC366" i="15" s="1"/>
  <c r="AC367" i="15" s="1"/>
  <c r="AC368" i="15" s="1"/>
  <c r="AC369" i="15" s="1"/>
  <c r="AC370" i="15" s="1"/>
  <c r="AC371" i="15" s="1"/>
  <c r="AC372" i="15" s="1"/>
  <c r="AC373" i="15" s="1"/>
  <c r="AC374" i="15" s="1"/>
  <c r="AC375" i="15" s="1"/>
  <c r="AC376" i="15" s="1"/>
  <c r="AC377" i="15" s="1"/>
  <c r="AC378" i="15" s="1"/>
  <c r="AC379" i="15" s="1"/>
  <c r="AG11" i="15"/>
  <c r="J38" i="15" s="1"/>
  <c r="G20" i="21"/>
  <c r="S55" i="15"/>
  <c r="T55" i="15" s="1"/>
  <c r="R55" i="15"/>
  <c r="G21" i="21" l="1"/>
  <c r="H21" i="21"/>
  <c r="D23" i="19"/>
  <c r="E23" i="20"/>
  <c r="D23" i="20"/>
  <c r="E23" i="19"/>
  <c r="AC380" i="15"/>
  <c r="AC381" i="15" s="1"/>
  <c r="AC382" i="15" s="1"/>
  <c r="AC383" i="15" s="1"/>
  <c r="AC384" i="15" s="1"/>
  <c r="AC385" i="15" s="1"/>
  <c r="AC386" i="15" s="1"/>
  <c r="AC387" i="15" s="1"/>
  <c r="AC388" i="15" s="1"/>
  <c r="AC389" i="15" s="1"/>
  <c r="AC390" i="15" s="1"/>
  <c r="AC391" i="15" s="1"/>
  <c r="AC392" i="15" s="1"/>
  <c r="AC393" i="15" s="1"/>
  <c r="AC394" i="15" s="1"/>
  <c r="AC395" i="15" s="1"/>
  <c r="AC396" i="15" s="1"/>
  <c r="AC397" i="15" s="1"/>
  <c r="AC398" i="15" s="1"/>
  <c r="AC399" i="15" s="1"/>
  <c r="AC400" i="15" s="1"/>
  <c r="AC401" i="15" s="1"/>
  <c r="AC402" i="15" s="1"/>
  <c r="AC403" i="15" s="1"/>
  <c r="AC404" i="15" s="1"/>
  <c r="AC405" i="15" s="1"/>
  <c r="AC406" i="15" s="1"/>
  <c r="AC407" i="15" s="1"/>
  <c r="AC408" i="15" s="1"/>
  <c r="AC409" i="15" s="1"/>
  <c r="AC410" i="15" s="1"/>
  <c r="AC411" i="15" s="1"/>
  <c r="AC412" i="15" s="1"/>
  <c r="AC413" i="15" s="1"/>
  <c r="AC414" i="15" s="1"/>
  <c r="AC415" i="15" s="1"/>
  <c r="AC416" i="15" s="1"/>
  <c r="AC417" i="15" s="1"/>
  <c r="AC418" i="15" s="1"/>
  <c r="AC419" i="15" s="1"/>
  <c r="AC420" i="15" s="1"/>
  <c r="AC421" i="15" s="1"/>
  <c r="AC422" i="15" s="1"/>
  <c r="AC423" i="15" s="1"/>
  <c r="AC424" i="15" s="1"/>
  <c r="AC425" i="15" s="1"/>
  <c r="AC426" i="15" s="1"/>
  <c r="AC427" i="15" s="1"/>
  <c r="AC428" i="15" s="1"/>
  <c r="AC429" i="15" s="1"/>
  <c r="AC430" i="15" s="1"/>
  <c r="AC431" i="15" s="1"/>
  <c r="AC432" i="15" s="1"/>
  <c r="AC433" i="15" s="1"/>
  <c r="AC434" i="15" s="1"/>
  <c r="AC435" i="15" s="1"/>
  <c r="AC436" i="15" s="1"/>
  <c r="AC437" i="15" s="1"/>
  <c r="AC438" i="15" s="1"/>
  <c r="AC439" i="15" s="1"/>
  <c r="AC440" i="15" s="1"/>
  <c r="AC441" i="15" s="1"/>
  <c r="AC442" i="15" s="1"/>
  <c r="AC443" i="15" s="1"/>
  <c r="AC444" i="15" s="1"/>
  <c r="AC445" i="15" s="1"/>
  <c r="AC446" i="15" s="1"/>
  <c r="AC447" i="15" s="1"/>
  <c r="AC448" i="15" s="1"/>
  <c r="AC449" i="15" s="1"/>
  <c r="AC450" i="15" s="1"/>
  <c r="AC451" i="15" s="1"/>
  <c r="AC452" i="15" s="1"/>
  <c r="AC453" i="15" s="1"/>
  <c r="AC454" i="15" s="1"/>
  <c r="AC455" i="15" s="1"/>
  <c r="AC456" i="15" s="1"/>
  <c r="AC457" i="15" s="1"/>
  <c r="AC458" i="15" s="1"/>
  <c r="AC459" i="15" s="1"/>
  <c r="AC460" i="15" s="1"/>
  <c r="AC461" i="15" s="1"/>
  <c r="AC462" i="15" s="1"/>
  <c r="AC463" i="15" s="1"/>
  <c r="AC464" i="15" s="1"/>
  <c r="AC465" i="15" s="1"/>
  <c r="AC466" i="15" s="1"/>
  <c r="AC467" i="15" s="1"/>
  <c r="AC468" i="15" s="1"/>
  <c r="AC469" i="15" s="1"/>
  <c r="AC470" i="15" s="1"/>
  <c r="AC471" i="15" s="1"/>
  <c r="AC472" i="15" s="1"/>
  <c r="AC473" i="15" s="1"/>
  <c r="AC474" i="15" s="1"/>
  <c r="AC475" i="15" s="1"/>
  <c r="AC476" i="15" s="1"/>
  <c r="AC477" i="15" s="1"/>
  <c r="AC478" i="15" s="1"/>
  <c r="AC479" i="15" s="1"/>
  <c r="AC480" i="15" s="1"/>
  <c r="AC481" i="15" s="1"/>
  <c r="AC482" i="15" s="1"/>
  <c r="AC483" i="15" s="1"/>
  <c r="AC484" i="15" s="1"/>
  <c r="AC485" i="15" s="1"/>
  <c r="AC486" i="15" s="1"/>
  <c r="AC487" i="15" s="1"/>
  <c r="AC488" i="15" s="1"/>
  <c r="AC489" i="15" s="1"/>
  <c r="AC490" i="15" s="1"/>
  <c r="AC491" i="15" s="1"/>
  <c r="AC492" i="15" s="1"/>
  <c r="AC493" i="15" s="1"/>
  <c r="AC494" i="15" s="1"/>
  <c r="AC495" i="15" s="1"/>
  <c r="AC496" i="15" s="1"/>
  <c r="AC497" i="15" s="1"/>
  <c r="AC498" i="15" s="1"/>
  <c r="AC499" i="15" s="1"/>
  <c r="AG13" i="15" s="1"/>
  <c r="J40" i="15" s="1"/>
  <c r="AG12" i="15"/>
  <c r="J39" i="15" s="1"/>
  <c r="R56" i="15"/>
  <c r="S56" i="15"/>
  <c r="T56" i="15" s="1"/>
  <c r="E24" i="20" l="1"/>
  <c r="D24" i="20"/>
  <c r="E24" i="19"/>
  <c r="D24" i="19"/>
  <c r="H23" i="21"/>
  <c r="G23" i="21"/>
  <c r="H22" i="21"/>
  <c r="G22" i="21"/>
  <c r="S58" i="15"/>
  <c r="T58" i="15" s="1"/>
  <c r="R58" i="15"/>
  <c r="S57" i="15"/>
  <c r="T57" i="15" s="1"/>
  <c r="R57" i="15"/>
  <c r="V49" i="15"/>
  <c r="X92" i="20" a="1"/>
  <c r="X92" i="19" a="1"/>
  <c r="X93" i="19" l="1"/>
  <c r="Y101" i="19"/>
  <c r="Y105" i="19"/>
  <c r="Y94" i="19"/>
  <c r="Y107" i="19"/>
  <c r="Y92" i="19"/>
  <c r="X103" i="19"/>
  <c r="X101" i="19"/>
  <c r="Y113" i="19"/>
  <c r="Y102" i="19"/>
  <c r="X92" i="19"/>
  <c r="Y100" i="19"/>
  <c r="X111" i="19"/>
  <c r="X94" i="19"/>
  <c r="Y95" i="19"/>
  <c r="X112" i="19"/>
  <c r="X105" i="19"/>
  <c r="X102" i="19"/>
  <c r="Y103" i="19"/>
  <c r="Y104" i="19"/>
  <c r="X109" i="19"/>
  <c r="X106" i="19"/>
  <c r="Y111" i="19"/>
  <c r="Y108" i="19"/>
  <c r="X113" i="19"/>
  <c r="X110" i="19"/>
  <c r="X96" i="19"/>
  <c r="Y112" i="19"/>
  <c r="Y109" i="19"/>
  <c r="Y110" i="19"/>
  <c r="X108" i="19"/>
  <c r="X107" i="19"/>
  <c r="Y98" i="19"/>
  <c r="Y106" i="19"/>
  <c r="Y99" i="19"/>
  <c r="X100" i="19"/>
  <c r="X97" i="19"/>
  <c r="X104" i="19"/>
  <c r="Y93" i="19"/>
  <c r="Y96" i="19"/>
  <c r="Y97" i="19"/>
  <c r="X95" i="19"/>
  <c r="X98" i="19"/>
  <c r="X99" i="19"/>
  <c r="X93" i="20"/>
  <c r="Y101" i="20"/>
  <c r="X110" i="20"/>
  <c r="Y103" i="20"/>
  <c r="X112" i="20"/>
  <c r="X99" i="20"/>
  <c r="X101" i="20"/>
  <c r="Y113" i="20"/>
  <c r="Y106" i="20"/>
  <c r="X100" i="20"/>
  <c r="Y112" i="20"/>
  <c r="X105" i="20"/>
  <c r="X94" i="20"/>
  <c r="Y110" i="20"/>
  <c r="X104" i="20"/>
  <c r="X95" i="20"/>
  <c r="X109" i="20"/>
  <c r="X98" i="20"/>
  <c r="Y95" i="20"/>
  <c r="X108" i="20"/>
  <c r="X103" i="20"/>
  <c r="Y93" i="20"/>
  <c r="X106" i="20"/>
  <c r="Y107" i="20"/>
  <c r="Y96" i="20"/>
  <c r="X111" i="20"/>
  <c r="Y97" i="20"/>
  <c r="Y94" i="20"/>
  <c r="Y111" i="20"/>
  <c r="Y100" i="20"/>
  <c r="Y105" i="20"/>
  <c r="Y98" i="20"/>
  <c r="X92" i="20"/>
  <c r="Y104" i="20"/>
  <c r="Y102" i="20"/>
  <c r="X96" i="20"/>
  <c r="Y92" i="20"/>
  <c r="X97" i="20"/>
  <c r="Y108" i="20"/>
  <c r="Y109" i="20"/>
  <c r="X102" i="20"/>
  <c r="X113" i="20"/>
  <c r="Y99" i="20"/>
  <c r="X107" i="20"/>
  <c r="E26" i="20"/>
  <c r="D26" i="20"/>
  <c r="D26" i="19"/>
  <c r="E26" i="19"/>
  <c r="D25" i="19"/>
  <c r="E25" i="19"/>
  <c r="D25" i="20"/>
  <c r="E25" i="20"/>
  <c r="AH26" i="20"/>
  <c r="Z92" i="20" s="1" a="1"/>
  <c r="AE26" i="20"/>
  <c r="V92" i="20" s="1" a="1"/>
  <c r="AE26" i="19"/>
  <c r="V92" i="19" s="1" a="1"/>
  <c r="AH26" i="19"/>
  <c r="Z92" i="19" s="1" a="1"/>
  <c r="AA108" i="19" l="1"/>
  <c r="AA94" i="19"/>
  <c r="Z109" i="19"/>
  <c r="AA106" i="19"/>
  <c r="Z100" i="19"/>
  <c r="AA101" i="19"/>
  <c r="Z93" i="19"/>
  <c r="Z98" i="19"/>
  <c r="AA107" i="19"/>
  <c r="Z112" i="19"/>
  <c r="AA92" i="19"/>
  <c r="Z94" i="19"/>
  <c r="Z101" i="19"/>
  <c r="AA98" i="19"/>
  <c r="Z108" i="19"/>
  <c r="AA93" i="19"/>
  <c r="Z105" i="19"/>
  <c r="Z107" i="19"/>
  <c r="Z104" i="19"/>
  <c r="Z102" i="19"/>
  <c r="AA97" i="19"/>
  <c r="AA99" i="19"/>
  <c r="Z110" i="19"/>
  <c r="AA105" i="19"/>
  <c r="Z92" i="19"/>
  <c r="AA96" i="19"/>
  <c r="AA102" i="19"/>
  <c r="AA113" i="19"/>
  <c r="Z111" i="19"/>
  <c r="AA112" i="19"/>
  <c r="Z97" i="19"/>
  <c r="Z99" i="19"/>
  <c r="Z96" i="19"/>
  <c r="AA110" i="19"/>
  <c r="AA100" i="19"/>
  <c r="AB100" i="19" s="1"/>
  <c r="AA95" i="19"/>
  <c r="AA104" i="19"/>
  <c r="AA103" i="19"/>
  <c r="AA109" i="19"/>
  <c r="AB109" i="19" s="1"/>
  <c r="AA111" i="19"/>
  <c r="Z95" i="19"/>
  <c r="Z103" i="19"/>
  <c r="Z113" i="19"/>
  <c r="Z106" i="19"/>
  <c r="W112" i="19"/>
  <c r="W110" i="19"/>
  <c r="V113" i="19"/>
  <c r="V111" i="19"/>
  <c r="W95" i="19"/>
  <c r="W105" i="19"/>
  <c r="V107" i="19"/>
  <c r="W101" i="19"/>
  <c r="W107" i="19"/>
  <c r="W111" i="19"/>
  <c r="W92" i="19"/>
  <c r="V102" i="19"/>
  <c r="V109" i="19"/>
  <c r="V96" i="19"/>
  <c r="V108" i="19"/>
  <c r="W100" i="19"/>
  <c r="W98" i="19"/>
  <c r="W109" i="19"/>
  <c r="W94" i="19"/>
  <c r="W104" i="19"/>
  <c r="V95" i="19"/>
  <c r="V98" i="19"/>
  <c r="W106" i="19"/>
  <c r="W108" i="19"/>
  <c r="V93" i="19"/>
  <c r="V106" i="19"/>
  <c r="V103" i="19"/>
  <c r="V94" i="19"/>
  <c r="V105" i="19"/>
  <c r="W99" i="19"/>
  <c r="V100" i="19"/>
  <c r="W96" i="19"/>
  <c r="V99" i="19"/>
  <c r="W97" i="19"/>
  <c r="AB97" i="19" s="1"/>
  <c r="V104" i="19"/>
  <c r="W113" i="19"/>
  <c r="W103" i="19"/>
  <c r="V110" i="19"/>
  <c r="V92" i="19"/>
  <c r="V97" i="19"/>
  <c r="V112" i="19"/>
  <c r="V101" i="19"/>
  <c r="W93" i="19"/>
  <c r="W102" i="19"/>
  <c r="V108" i="20"/>
  <c r="V105" i="20"/>
  <c r="W94" i="20"/>
  <c r="W105" i="20"/>
  <c r="W113" i="20"/>
  <c r="V104" i="20"/>
  <c r="V109" i="20"/>
  <c r="V99" i="20"/>
  <c r="W106" i="20"/>
  <c r="V107" i="20"/>
  <c r="V112" i="20"/>
  <c r="W93" i="20"/>
  <c r="V111" i="20"/>
  <c r="V103" i="20"/>
  <c r="W99" i="20"/>
  <c r="W96" i="20"/>
  <c r="W97" i="20"/>
  <c r="W103" i="20"/>
  <c r="W95" i="20"/>
  <c r="W111" i="20"/>
  <c r="W104" i="20"/>
  <c r="W109" i="20"/>
  <c r="V101" i="20"/>
  <c r="V93" i="20"/>
  <c r="V92" i="20"/>
  <c r="W108" i="20"/>
  <c r="V94" i="20"/>
  <c r="V113" i="20"/>
  <c r="V106" i="20"/>
  <c r="V96" i="20"/>
  <c r="W112" i="20"/>
  <c r="AB112" i="20" s="1"/>
  <c r="V102" i="20"/>
  <c r="V98" i="20"/>
  <c r="W98" i="20"/>
  <c r="V97" i="20"/>
  <c r="W102" i="20"/>
  <c r="W92" i="20"/>
  <c r="V110" i="20"/>
  <c r="V100" i="20"/>
  <c r="V95" i="20"/>
  <c r="W100" i="20"/>
  <c r="W110" i="20"/>
  <c r="W101" i="20"/>
  <c r="W107" i="20"/>
  <c r="AA108" i="20"/>
  <c r="Z94" i="20"/>
  <c r="AA111" i="20"/>
  <c r="AA105" i="20"/>
  <c r="AA107" i="20"/>
  <c r="AA92" i="20"/>
  <c r="Z105" i="20"/>
  <c r="AA99" i="20"/>
  <c r="AA101" i="20"/>
  <c r="Z96" i="20"/>
  <c r="AA96" i="20"/>
  <c r="Z109" i="20"/>
  <c r="AA103" i="20"/>
  <c r="AA109" i="20"/>
  <c r="Z104" i="20"/>
  <c r="AA100" i="20"/>
  <c r="Z113" i="20"/>
  <c r="Z92" i="20"/>
  <c r="AA113" i="20"/>
  <c r="AB113" i="20" s="1"/>
  <c r="Z95" i="20"/>
  <c r="AA104" i="20"/>
  <c r="AA112" i="20"/>
  <c r="Z106" i="20"/>
  <c r="Z108" i="20"/>
  <c r="Z110" i="20"/>
  <c r="Z103" i="20"/>
  <c r="Z93" i="20"/>
  <c r="AA94" i="20"/>
  <c r="Z112" i="20"/>
  <c r="AA98" i="20"/>
  <c r="Z107" i="20"/>
  <c r="Z97" i="20"/>
  <c r="AA102" i="20"/>
  <c r="AA93" i="20"/>
  <c r="AA106" i="20"/>
  <c r="Z111" i="20"/>
  <c r="AA97" i="20"/>
  <c r="AA95" i="20"/>
  <c r="Z99" i="20"/>
  <c r="Z101" i="20"/>
  <c r="AA110" i="20"/>
  <c r="Z100" i="20"/>
  <c r="Z102" i="20"/>
  <c r="Z98" i="20"/>
  <c r="AB97" i="20"/>
  <c r="AB99" i="20" l="1"/>
  <c r="AB94" i="20"/>
  <c r="AB111" i="19"/>
  <c r="AB102" i="20"/>
  <c r="AB103" i="20"/>
  <c r="AB106" i="20"/>
  <c r="AB95" i="20"/>
  <c r="AB104" i="20"/>
  <c r="AB92" i="20"/>
  <c r="AB110" i="20"/>
  <c r="AB98" i="20"/>
  <c r="AB107" i="20"/>
  <c r="AB109" i="20"/>
  <c r="AB104" i="19"/>
  <c r="AB93" i="19"/>
  <c r="AB96" i="19"/>
  <c r="AB113" i="19"/>
  <c r="AB107" i="19"/>
  <c r="AB106" i="19"/>
  <c r="AB101" i="19"/>
  <c r="AB92" i="19"/>
  <c r="AB110" i="19"/>
  <c r="AB98" i="19"/>
  <c r="AB112" i="19"/>
  <c r="AB108" i="19"/>
  <c r="AB105" i="19"/>
  <c r="AB100" i="20"/>
  <c r="AB101" i="20"/>
  <c r="AB95" i="19"/>
  <c r="AB111" i="20"/>
  <c r="AB99" i="19"/>
  <c r="AB94" i="19"/>
  <c r="AB103" i="19"/>
  <c r="AB93" i="20"/>
  <c r="AB96" i="20"/>
  <c r="AB105" i="20"/>
  <c r="AB108" i="20"/>
  <c r="AB10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sfreeman</author>
  </authors>
  <commentList>
    <comment ref="K3" authorId="0" shapeId="0" xr:uid="{00000000-0006-0000-0900-000001000000}">
      <text>
        <r>
          <rPr>
            <sz val="8"/>
            <color indexed="16"/>
            <rFont val="Tahoma"/>
            <family val="2"/>
          </rPr>
          <t>ExcelApi:
Cannot cast Absolute to PriceQuoteUnitsEnum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ljohnson</author>
  </authors>
  <commentList>
    <comment ref="L63" authorId="0" shapeId="0" xr:uid="{00000000-0006-0000-0A00-000001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4" authorId="0" shapeId="0" xr:uid="{00000000-0006-0000-0A00-000002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  <comment ref="L65" authorId="0" shapeId="0" xr:uid="{00000000-0006-0000-0A00-000003000000}">
      <text>
        <r>
          <rPr>
            <sz val="8"/>
            <color indexed="16"/>
            <rFont val="Tahoma"/>
            <family val="2"/>
          </rPr>
          <t>ExcelApi:
Requested curve has been removed from storage</t>
        </r>
      </text>
    </comment>
  </commentList>
</comments>
</file>

<file path=xl/sharedStrings.xml><?xml version="1.0" encoding="utf-8"?>
<sst xmlns="http://schemas.openxmlformats.org/spreadsheetml/2006/main" count="1295" uniqueCount="524">
  <si>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</si>
  <si>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</si>
  <si>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</si>
  <si>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</si>
  <si>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</si>
  <si>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</si>
  <si>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</si>
  <si>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</si>
  <si>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</si>
  <si>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</si>
  <si>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3M</t>
  </si>
  <si>
    <t>20y</t>
  </si>
  <si>
    <t>30y</t>
  </si>
  <si>
    <t>6M</t>
  </si>
  <si>
    <t>10yr</t>
  </si>
  <si>
    <t>BID</t>
  </si>
  <si>
    <t>OFFER</t>
  </si>
  <si>
    <t>1m</t>
  </si>
  <si>
    <t>3m</t>
  </si>
  <si>
    <t>Instrument</t>
  </si>
  <si>
    <t>Spread</t>
  </si>
  <si>
    <t>PricingStructureType</t>
  </si>
  <si>
    <t>RateCurve</t>
  </si>
  <si>
    <t>AUD-Deposit-1D</t>
  </si>
  <si>
    <t>AUD-Deposit-1M</t>
  </si>
  <si>
    <t>MarketName</t>
  </si>
  <si>
    <t>Curve</t>
  </si>
  <si>
    <t>AUD-Deposit-2M</t>
  </si>
  <si>
    <t>IndexTenor</t>
  </si>
  <si>
    <t>AUD-Deposit-3M</t>
  </si>
  <si>
    <t>Currency</t>
  </si>
  <si>
    <t>AUD</t>
  </si>
  <si>
    <t>AUD-Deposit-6M</t>
  </si>
  <si>
    <t>AUD-IRSwap-1Y</t>
  </si>
  <si>
    <t>Algorithm</t>
  </si>
  <si>
    <t>AUD-IRSwap-2Y</t>
  </si>
  <si>
    <t>BuildDateTime</t>
  </si>
  <si>
    <t>AUD-IRSwap-3Y</t>
  </si>
  <si>
    <t>IndexName</t>
  </si>
  <si>
    <t>AUD-LIBOR-BBA</t>
  </si>
  <si>
    <t>AUD-IRSwap-4Y</t>
  </si>
  <si>
    <t>CurveName</t>
  </si>
  <si>
    <t>AUD-IRSwap-5Y</t>
  </si>
  <si>
    <t>Identifier</t>
  </si>
  <si>
    <t>AUD-IRSwap-7Y</t>
  </si>
  <si>
    <t>AUD-IRSwap-10Y</t>
  </si>
  <si>
    <t>AUD-IRSwap-12Y</t>
  </si>
  <si>
    <t>AUD-IRSwap-15Y</t>
  </si>
  <si>
    <t>AUD-IRSwap-20Y</t>
  </si>
  <si>
    <t>AUD-IRSwap-25Y</t>
  </si>
  <si>
    <t>AUD-IRSwap-30Y</t>
  </si>
  <si>
    <t>AUD-IRSwap-6Y</t>
  </si>
  <si>
    <t>AUD-IRSwap-8Y</t>
  </si>
  <si>
    <t>AUD-IRSwap-9Y</t>
  </si>
  <si>
    <t>BidSpread</t>
  </si>
  <si>
    <t>OfferSpread</t>
  </si>
  <si>
    <t>Corporate1m</t>
  </si>
  <si>
    <t>Corporate3m</t>
  </si>
  <si>
    <t>Corporate6m</t>
  </si>
  <si>
    <t>Retail Curves</t>
  </si>
  <si>
    <t>Corporate Curves</t>
  </si>
  <si>
    <t>Curves Spreads</t>
  </si>
  <si>
    <t>Corporate</t>
  </si>
  <si>
    <t>Retail</t>
  </si>
  <si>
    <t>Basis Spreads</t>
  </si>
  <si>
    <t>3m1m</t>
  </si>
  <si>
    <t>6m3m</t>
  </si>
  <si>
    <t>EFP Adjustments</t>
  </si>
  <si>
    <t>25y</t>
  </si>
  <si>
    <t>Used</t>
  </si>
  <si>
    <t>Overide</t>
  </si>
  <si>
    <t>Futures</t>
  </si>
  <si>
    <t>3yr</t>
  </si>
  <si>
    <t>Last</t>
  </si>
  <si>
    <t>Curve Check</t>
  </si>
  <si>
    <t>Market</t>
  </si>
  <si>
    <t>Bills</t>
  </si>
  <si>
    <t>2m</t>
  </si>
  <si>
    <t>LPM</t>
  </si>
  <si>
    <t>Rate</t>
  </si>
  <si>
    <t>LPM 3m</t>
  </si>
  <si>
    <t>LPM 1m</t>
  </si>
  <si>
    <t>LPM 6m</t>
  </si>
  <si>
    <t>AUD-Deposit-88D</t>
  </si>
  <si>
    <t>AUD-IRSwap-26Y</t>
  </si>
  <si>
    <t>AUD-IRSwap-27Y</t>
  </si>
  <si>
    <t>AUD-IRSwap-28Y</t>
  </si>
  <si>
    <t>AUD-IRSwap-29Y</t>
  </si>
  <si>
    <t>Pay</t>
  </si>
  <si>
    <t>Receive</t>
  </si>
  <si>
    <t>Future-AUD-IR01</t>
  </si>
  <si>
    <t>Future-AUD-IR02</t>
  </si>
  <si>
    <t>3 Year</t>
  </si>
  <si>
    <t>10 Year</t>
  </si>
  <si>
    <t>Adjusted</t>
  </si>
  <si>
    <t>1YEAR</t>
  </si>
  <si>
    <t>2 YEAR</t>
  </si>
  <si>
    <t>3 YEAR</t>
  </si>
  <si>
    <t>4 YEAR</t>
  </si>
  <si>
    <t>5 YEAR</t>
  </si>
  <si>
    <t>7 YEAR</t>
  </si>
  <si>
    <t>10 YEAR</t>
  </si>
  <si>
    <t>1 MONTH</t>
  </si>
  <si>
    <t>2 MONTH</t>
  </si>
  <si>
    <t>3 MONTH</t>
  </si>
  <si>
    <t>6 MONTH</t>
  </si>
  <si>
    <t>1 YEAR</t>
  </si>
  <si>
    <t>Original</t>
  </si>
  <si>
    <t>15 YEAR</t>
  </si>
  <si>
    <t>20 YEAR</t>
  </si>
  <si>
    <t>Spread (ppd)</t>
  </si>
  <si>
    <t>LPM Curves</t>
  </si>
  <si>
    <t>Swaption Curves</t>
  </si>
  <si>
    <t>2Y</t>
  </si>
  <si>
    <t>3Y</t>
  </si>
  <si>
    <t>4Y</t>
  </si>
  <si>
    <t>5Y</t>
  </si>
  <si>
    <t>7Y</t>
  </si>
  <si>
    <t>10Y</t>
  </si>
  <si>
    <t>15Y</t>
  </si>
  <si>
    <t>20Y</t>
  </si>
  <si>
    <t>25Y</t>
  </si>
  <si>
    <t>30Y</t>
  </si>
  <si>
    <t>Raw Input</t>
  </si>
  <si>
    <t>Expiry</t>
  </si>
  <si>
    <t>PPD</t>
  </si>
  <si>
    <t>Type</t>
  </si>
  <si>
    <t>1Y</t>
  </si>
  <si>
    <t>9M</t>
  </si>
  <si>
    <t>8M</t>
  </si>
  <si>
    <t>7M</t>
  </si>
  <si>
    <t>5M</t>
  </si>
  <si>
    <t>4M</t>
  </si>
  <si>
    <t>2M</t>
  </si>
  <si>
    <t>1M</t>
  </si>
  <si>
    <t>SW</t>
  </si>
  <si>
    <t>TN</t>
  </si>
  <si>
    <t>ON</t>
  </si>
  <si>
    <t>AUD=</t>
  </si>
  <si>
    <t>MID</t>
  </si>
  <si>
    <t>ASK</t>
  </si>
  <si>
    <t>TTKL</t>
  </si>
  <si>
    <t>ImpliedQuote</t>
  </si>
  <si>
    <t>SimpleGapStep</t>
  </si>
  <si>
    <t>COE</t>
  </si>
  <si>
    <t>AUD-Fra-1D-181D</t>
  </si>
  <si>
    <t>Base algorithm</t>
  </si>
  <si>
    <t>LinearZero</t>
  </si>
  <si>
    <t>FlatForward</t>
  </si>
  <si>
    <t>bgcaud</t>
  </si>
  <si>
    <t>autta5</t>
  </si>
  <si>
    <t>icapauswaps01</t>
  </si>
  <si>
    <t>10yr BF</t>
  </si>
  <si>
    <t>3yr BF</t>
  </si>
  <si>
    <t>yield</t>
  </si>
  <si>
    <t>mid</t>
  </si>
  <si>
    <t xml:space="preserve">3yr </t>
  </si>
  <si>
    <t>offer</t>
  </si>
  <si>
    <t>bid</t>
  </si>
  <si>
    <t>Term:</t>
  </si>
  <si>
    <t>settle</t>
  </si>
  <si>
    <t>FRAs</t>
  </si>
  <si>
    <t>Bond Futures</t>
  </si>
  <si>
    <t>Rates - Pay</t>
  </si>
  <si>
    <t>Av - Pay</t>
  </si>
  <si>
    <t>Rates - Rec</t>
  </si>
  <si>
    <t>Av - Rec</t>
  </si>
  <si>
    <t>RATES - MID</t>
  </si>
  <si>
    <t>AVERAGE</t>
  </si>
  <si>
    <t>Override</t>
  </si>
  <si>
    <t>bgc</t>
  </si>
  <si>
    <t>tullets</t>
  </si>
  <si>
    <t>icap</t>
  </si>
  <si>
    <t>Swaps (BF + EFP)</t>
  </si>
  <si>
    <t>24M</t>
  </si>
  <si>
    <t>12M</t>
  </si>
  <si>
    <t>1W</t>
  </si>
  <si>
    <t>Mid</t>
  </si>
  <si>
    <t xml:space="preserve">bid </t>
  </si>
  <si>
    <t>Maturity Date</t>
  </si>
  <si>
    <t>Final - Pay</t>
  </si>
  <si>
    <t>Final - Rec</t>
  </si>
  <si>
    <t>last or settle</t>
  </si>
  <si>
    <t>final - MID</t>
  </si>
  <si>
    <t>SETTLE</t>
  </si>
  <si>
    <t>Name:</t>
  </si>
  <si>
    <t>OIS</t>
  </si>
  <si>
    <t>Bill Futures</t>
  </si>
  <si>
    <t>2y</t>
  </si>
  <si>
    <t>1y</t>
  </si>
  <si>
    <t>Today</t>
  </si>
  <si>
    <t>Late</t>
  </si>
  <si>
    <t>Early</t>
  </si>
  <si>
    <t>Inflation Swaps</t>
  </si>
  <si>
    <t>Bank Bills</t>
  </si>
  <si>
    <t xml:space="preserve">mid </t>
  </si>
  <si>
    <t>Term</t>
  </si>
  <si>
    <t>3M v 6M</t>
  </si>
  <si>
    <t>1M v 3M</t>
  </si>
  <si>
    <t>Basis Swaps</t>
  </si>
  <si>
    <t>Cash Rate</t>
  </si>
  <si>
    <t>Last 3s</t>
  </si>
  <si>
    <t>Last 10s</t>
  </si>
  <si>
    <t>Market and Derived Data</t>
  </si>
  <si>
    <t>Curve Construction</t>
  </si>
  <si>
    <t>Derived Spread Calculations</t>
  </si>
  <si>
    <t>3M Base Curve</t>
  </si>
  <si>
    <t>Conventions</t>
  </si>
  <si>
    <t>Derived Rates</t>
  </si>
  <si>
    <t>Level</t>
  </si>
  <si>
    <t>40Y Semi Extrap</t>
  </si>
  <si>
    <t>Cash</t>
  </si>
  <si>
    <t>BAB Futures</t>
  </si>
  <si>
    <t>QR Inputs</t>
  </si>
  <si>
    <t>Calypso Inputs</t>
  </si>
  <si>
    <t>Calypso</t>
  </si>
  <si>
    <t>Unadj</t>
  </si>
  <si>
    <t>Basis Adj</t>
  </si>
  <si>
    <t>Rate/Price</t>
  </si>
  <si>
    <t>Convexity</t>
  </si>
  <si>
    <t>Additional</t>
  </si>
  <si>
    <t>Handle</t>
  </si>
  <si>
    <t>Property</t>
  </si>
  <si>
    <t>Value</t>
  </si>
  <si>
    <t>Maturity</t>
  </si>
  <si>
    <t>Years</t>
  </si>
  <si>
    <t>Monthly</t>
  </si>
  <si>
    <t>Quarterly</t>
  </si>
  <si>
    <t>End</t>
  </si>
  <si>
    <t>Fwd</t>
  </si>
  <si>
    <t>Mkt</t>
  </si>
  <si>
    <t>Volatility</t>
  </si>
  <si>
    <t>Calendar</t>
  </si>
  <si>
    <t>AUSY</t>
  </si>
  <si>
    <t>Date</t>
  </si>
  <si>
    <t>QR</t>
  </si>
  <si>
    <t>O/N</t>
  </si>
  <si>
    <t>Contract</t>
  </si>
  <si>
    <t>O/N Conv</t>
  </si>
  <si>
    <t>FOLLOWING</t>
  </si>
  <si>
    <t>Swap Conv</t>
  </si>
  <si>
    <t>MODFOLLOWING</t>
  </si>
  <si>
    <t>Average</t>
  </si>
  <si>
    <t>DayCount</t>
  </si>
  <si>
    <t>ACT/365.FIXED</t>
  </si>
  <si>
    <t>40Y</t>
  </si>
  <si>
    <t>CalypsoAlgo4</t>
  </si>
  <si>
    <t>Spot</t>
  </si>
  <si>
    <t>Short Swaps</t>
  </si>
  <si>
    <t>Intermediate Curves</t>
  </si>
  <si>
    <t>Monthly Schedule</t>
  </si>
  <si>
    <t>Quarterly Schedule</t>
  </si>
  <si>
    <t>Semi Schedule</t>
  </si>
  <si>
    <t>2x1s</t>
  </si>
  <si>
    <t>3x1s</t>
  </si>
  <si>
    <t>Months</t>
  </si>
  <si>
    <t>Df</t>
  </si>
  <si>
    <t>Yf</t>
  </si>
  <si>
    <t>Quarters</t>
  </si>
  <si>
    <t>Halves</t>
  </si>
  <si>
    <t>6x1s</t>
  </si>
  <si>
    <t>AUD-40YExtrap</t>
  </si>
  <si>
    <t>Swaps</t>
  </si>
  <si>
    <t>Q/Q and S/S</t>
  </si>
  <si>
    <t>6x3s</t>
  </si>
  <si>
    <t>N/A</t>
  </si>
  <si>
    <t>AUD-BasisExtrap</t>
  </si>
  <si>
    <t>AUD-IRSwap-40Y</t>
  </si>
  <si>
    <t>Basis Curves</t>
  </si>
  <si>
    <t>RateBasisCurve</t>
  </si>
  <si>
    <t>ReferenceCurveUniqueId</t>
  </si>
  <si>
    <t>AUD-BasisSwap-1Y-6M</t>
  </si>
  <si>
    <t>AUD-BasisSwap-1Y-1M</t>
  </si>
  <si>
    <t>AUD-BasisSwap-2Y-6M</t>
  </si>
  <si>
    <t>AUD-BasisSwap-2Y-1M</t>
  </si>
  <si>
    <t>AUD-BasisSwap-3Y-6M</t>
  </si>
  <si>
    <t>AUD-BasisSwap-3Y-1M</t>
  </si>
  <si>
    <t>AUD-BasisSwap-4Y-6M</t>
  </si>
  <si>
    <t>AUD-BasisSwap-4Y-1M</t>
  </si>
  <si>
    <t>AUD-BasisSwap-5Y-6M</t>
  </si>
  <si>
    <t>AUD-BasisSwap-5Y-1M</t>
  </si>
  <si>
    <t>AUD-BasisSwap-6Y-6M</t>
  </si>
  <si>
    <t>AUD-BasisSwap-6Y-1M</t>
  </si>
  <si>
    <t>AUD-BasisSwap-7Y-6M</t>
  </si>
  <si>
    <t>AUD-BasisSwap-7Y-1M</t>
  </si>
  <si>
    <t>AUD-BasisSwap-8Y-6M</t>
  </si>
  <si>
    <t>AUD-BasisSwap-8Y-1M</t>
  </si>
  <si>
    <t>AUD-BasisSwap-9Y-6M</t>
  </si>
  <si>
    <t>AUD-BasisSwap-9Y-1M</t>
  </si>
  <si>
    <t>AUD-BasisSwap-10Y-6M</t>
  </si>
  <si>
    <t>AUD-BasisSwap-10Y-1M</t>
  </si>
  <si>
    <t>AUD-BasisSwap-12Y-6M</t>
  </si>
  <si>
    <t>AUD-BasisSwap-12Y-1M</t>
  </si>
  <si>
    <t>AUD-BasisSwap-15Y-6M</t>
  </si>
  <si>
    <t>AUD-BasisSwap-15Y-1M</t>
  </si>
  <si>
    <t>AUD-BasisSwap-20Y-6M</t>
  </si>
  <si>
    <t>AUD-BasisSwap-20Y-1M</t>
  </si>
  <si>
    <t>AUD-BasisSwap-25Y-6M</t>
  </si>
  <si>
    <t>AUD-BasisSwap-25Y-1M</t>
  </si>
  <si>
    <t>AUD-BasisSwap-30Y-6M</t>
  </si>
  <si>
    <t>AUD-BasisSwap-30Y-1M</t>
  </si>
  <si>
    <t>AUD-BasisSwap-40Y-6M</t>
  </si>
  <si>
    <t>AUD-BasisSwap-40Y-1M</t>
  </si>
  <si>
    <t>Curve Characteristics</t>
  </si>
  <si>
    <t>Curves</t>
  </si>
  <si>
    <t>DinY</t>
  </si>
  <si>
    <t>BaseDate</t>
  </si>
  <si>
    <t>Swap Rate</t>
  </si>
  <si>
    <t>Black Vol</t>
  </si>
  <si>
    <t>Source</t>
  </si>
  <si>
    <t>SydneySwapDesk</t>
  </si>
  <si>
    <t>Linear</t>
  </si>
  <si>
    <t>QuoteUnits</t>
  </si>
  <si>
    <t>LogNormalVolatility</t>
  </si>
  <si>
    <t>Caplet Vols</t>
  </si>
  <si>
    <t>InformationSource</t>
  </si>
  <si>
    <t>SwapDesk</t>
  </si>
  <si>
    <t>MeasureType</t>
  </si>
  <si>
    <t>StrikeQuoteUnits</t>
  </si>
  <si>
    <t>QuotationSide</t>
  </si>
  <si>
    <t>Timing</t>
  </si>
  <si>
    <t>Close</t>
  </si>
  <si>
    <t>ValuationDate</t>
  </si>
  <si>
    <t>BusinessCenter</t>
  </si>
  <si>
    <t>Sydney</t>
  </si>
  <si>
    <t>SemiAnnual</t>
  </si>
  <si>
    <t>RateATMVolatilityMatrix</t>
  </si>
  <si>
    <t>SemiAnnual Schedule</t>
  </si>
  <si>
    <t>Out of Spot</t>
  </si>
  <si>
    <t>Out of 1M</t>
  </si>
  <si>
    <t>AUD-IRSwap</t>
  </si>
  <si>
    <t>Out of 2M</t>
  </si>
  <si>
    <t>Out of 3M</t>
  </si>
  <si>
    <t>Disc</t>
  </si>
  <si>
    <t>Prj</t>
  </si>
  <si>
    <t>Prj Cash</t>
  </si>
  <si>
    <t>PV Float</t>
  </si>
  <si>
    <t>PPD based on Black using exact conversion</t>
  </si>
  <si>
    <t>Bid</t>
  </si>
  <si>
    <t>Offer</t>
  </si>
  <si>
    <t>Off-Mid</t>
  </si>
  <si>
    <t>Mid-Bid</t>
  </si>
  <si>
    <t>Off-Bid</t>
  </si>
  <si>
    <t>S</t>
  </si>
  <si>
    <t>Q</t>
  </si>
  <si>
    <t>Corporate.OFFER</t>
  </si>
  <si>
    <t>Corporate.BID</t>
  </si>
  <si>
    <t>M</t>
  </si>
  <si>
    <t>Offer/Bid</t>
  </si>
  <si>
    <t>Retail.OFFER</t>
  </si>
  <si>
    <t>Retail.BID</t>
  </si>
  <si>
    <t>Retail1m</t>
  </si>
  <si>
    <t>Retail3m</t>
  </si>
  <si>
    <t>Retail6m</t>
  </si>
  <si>
    <t>TemporaryCurve</t>
  </si>
  <si>
    <t>AUD-SpreadDeposit-1D-6M</t>
  </si>
  <si>
    <t>AUD-SpreadDeposit-1M-6M</t>
  </si>
  <si>
    <t>AUD-SpreadDeposit-2M-6M</t>
  </si>
  <si>
    <t>AUD-SpreadDeposit-3M-6M</t>
  </si>
  <si>
    <t>AUD-SpreadDeposit-6M-6M</t>
  </si>
  <si>
    <t>AUD-SpreadDeposit-1D-1M</t>
  </si>
  <si>
    <t>AUD-SpreadDeposit-1M-1M</t>
  </si>
  <si>
    <t>AUD-SpreadDeposit-2M-1M</t>
  </si>
  <si>
    <t>AUD-SpreadDeposit-3M-1M</t>
  </si>
  <si>
    <t>AUD-SpreadDeposit-6M-1M</t>
  </si>
  <si>
    <t>ur prob looking at a diff co</t>
  </si>
  <si>
    <t>=QR.ExcelAPI.QFN("QRLib.PriceableAssets.EvaluateMetricsRawData", L68:L69,#REF!,#REF!, K61, TODAY())</t>
  </si>
  <si>
    <t>=QR.ExcelAPI.QFN("QRLib.PriceableAssets.EvaluateMetricsRawData", L68:L69,#REF!,#REF!, K62, TODAY())</t>
  </si>
  <si>
    <t>=QR.ExcelAPI.QFN("QRLib.PriceableAssets.EvaluateMetricsRawData", L68:L69,#REF!,#REF!, K63, TODAY())</t>
  </si>
  <si>
    <t xml:space="preserve">&lt;1MTH     1MTH     2MTH     3MTH     4MTH     5MTH     6MTH                     </t>
  </si>
  <si>
    <t xml:space="preserve">          4.805    4.890    4.995    5.050    5.100    5.170                    </t>
  </si>
  <si>
    <t xml:space="preserve">         1Y    11.75/9.75     9.25/7.25   3M    12.00/10.00                     </t>
  </si>
  <si>
    <t xml:space="preserve">         2Y    12.75/10.75    9.00/7.00   6M    12.25/10.25                     </t>
  </si>
  <si>
    <t xml:space="preserve">         3Y    13.00/11.00    8.75/6.75   9M    12.25/10.25                     </t>
  </si>
  <si>
    <t xml:space="preserve">4.785     4.820    4.910    5.005    5.065    5.115    5.190                    </t>
  </si>
  <si>
    <t xml:space="preserve">         4Y    13.00/11.00    8.75/6.75                                         </t>
  </si>
  <si>
    <t xml:space="preserve">         5Y    12.75/10.75    8.25/6.25           6M v 3M                       </t>
  </si>
  <si>
    <t xml:space="preserve">         7Y    11.75/9.75     7.75/5.75   6M     9.50/7.50                      </t>
  </si>
  <si>
    <t xml:space="preserve">        10Y    10.50/8.50     7.50/5.50                                         </t>
  </si>
  <si>
    <t xml:space="preserve">        15Y         /         6.75/3.75                                         </t>
  </si>
  <si>
    <t xml:space="preserve">        20Y         /         6.00/3.00                                         </t>
  </si>
  <si>
    <t xml:space="preserve">        25Y         /         5.50/2.50                                         </t>
  </si>
  <si>
    <t xml:space="preserve">        30Y         /         5.25/2.25                                         </t>
  </si>
  <si>
    <t xml:space="preserve">                                                                                </t>
  </si>
  <si>
    <t xml:space="preserve">1M 4.83 4.81   1W 4.755 4.745  2x1 4.865 4.835  3M 5.01 4.98  O/N -1.360 -1.340 </t>
  </si>
  <si>
    <t xml:space="preserve">2M 4.92 4.90   1M 4.780 4.760  3x1 4.905 4.875  6M 5.07 5.04  T/N -1.360 -1.340 </t>
  </si>
  <si>
    <t xml:space="preserve">3M 5.00 4.98   2M 4.810 4.790  4x1 4.930 4.900  9M 5.11 5.08   1M -9.51  -9.46  </t>
  </si>
  <si>
    <t xml:space="preserve">4M 5.07 5.05   3M 4.850 4.830  5x1 4.955 4.925 12M 5.14 5.11   2M -19.07 -18.96 </t>
  </si>
  <si>
    <t xml:space="preserve"> 1Y</t>
  </si>
  <si>
    <t>11.75</t>
  </si>
  <si>
    <t xml:space="preserve">9.75 </t>
  </si>
  <si>
    <t xml:space="preserve"> 9.25</t>
  </si>
  <si>
    <t xml:space="preserve">7.25 </t>
  </si>
  <si>
    <t xml:space="preserve">5M 5.13 5.11   4M 4.880 4.860  6x1 4.985 4.955 15M 5.18 5.15   3M -28.53 -28.43 </t>
  </si>
  <si>
    <t xml:space="preserve"> 2Y</t>
  </si>
  <si>
    <t>12.75</t>
  </si>
  <si>
    <t>10.75</t>
  </si>
  <si>
    <t xml:space="preserve"> 9.00</t>
  </si>
  <si>
    <t xml:space="preserve">7.00 </t>
  </si>
  <si>
    <t xml:space="preserve">6M 5.19 5.17   5M 4.905 4.885  9x1 5.055 5.025 18M 5.21 5.18   1M -42.11 -41.96 </t>
  </si>
  <si>
    <t xml:space="preserve"> 3Y</t>
  </si>
  <si>
    <t>13.00</t>
  </si>
  <si>
    <t>11.00</t>
  </si>
  <si>
    <t xml:space="preserve"> 8.75</t>
  </si>
  <si>
    <t xml:space="preserve">6.75 </t>
  </si>
  <si>
    <t xml:space="preserve"> 4Y</t>
  </si>
  <si>
    <t xml:space="preserve"> 5Y</t>
  </si>
  <si>
    <t xml:space="preserve"> 8.25</t>
  </si>
  <si>
    <t xml:space="preserve">6.25 </t>
  </si>
  <si>
    <t>4.83</t>
  </si>
  <si>
    <t>4.81</t>
  </si>
  <si>
    <t xml:space="preserve"> 7Y</t>
  </si>
  <si>
    <t xml:space="preserve"> 7.75</t>
  </si>
  <si>
    <t xml:space="preserve">5.75 </t>
  </si>
  <si>
    <t>4.92</t>
  </si>
  <si>
    <t>4.90</t>
  </si>
  <si>
    <t>10.50</t>
  </si>
  <si>
    <t xml:space="preserve">8.50 </t>
  </si>
  <si>
    <t xml:space="preserve"> 7.50</t>
  </si>
  <si>
    <t xml:space="preserve">5.50 </t>
  </si>
  <si>
    <t>5.00</t>
  </si>
  <si>
    <t>4.98</t>
  </si>
  <si>
    <t xml:space="preserve"> 6.75</t>
  </si>
  <si>
    <t xml:space="preserve">3.75 </t>
  </si>
  <si>
    <t>5.07</t>
  </si>
  <si>
    <t>5.05</t>
  </si>
  <si>
    <t xml:space="preserve"> 6.00</t>
  </si>
  <si>
    <t xml:space="preserve">3.00 </t>
  </si>
  <si>
    <t>5.13</t>
  </si>
  <si>
    <t>5.11</t>
  </si>
  <si>
    <t xml:space="preserve"> 5.50</t>
  </si>
  <si>
    <t xml:space="preserve">2.50 </t>
  </si>
  <si>
    <t>5.19</t>
  </si>
  <si>
    <t>5.17</t>
  </si>
  <si>
    <t xml:space="preserve"> 5.25</t>
  </si>
  <si>
    <t xml:space="preserve">2.25 </t>
  </si>
  <si>
    <t xml:space="preserve">BANK BILL JUN1  </t>
  </si>
  <si>
    <t>LAST</t>
  </si>
  <si>
    <t xml:space="preserve">BANK BILL SEP1  </t>
  </si>
  <si>
    <t xml:space="preserve">BANK BILL DEC1  </t>
  </si>
  <si>
    <t xml:space="preserve">BANK BILL MAR2  </t>
  </si>
  <si>
    <t xml:space="preserve">BANK BILL JUN2  </t>
  </si>
  <si>
    <t xml:space="preserve">BANK BILL SEP2  </t>
  </si>
  <si>
    <t xml:space="preserve">BANK BILL DEC2  </t>
  </si>
  <si>
    <t xml:space="preserve">BANK BILL MAR3  </t>
  </si>
  <si>
    <t xml:space="preserve">BANK BILL JUN3  </t>
  </si>
  <si>
    <t xml:space="preserve">BANK BILL SEP3  </t>
  </si>
  <si>
    <t xml:space="preserve">1X4   </t>
  </si>
  <si>
    <t>+4.905</t>
  </si>
  <si>
    <t>+5.005</t>
  </si>
  <si>
    <t xml:space="preserve">2X5   </t>
  </si>
  <si>
    <t>+4.933</t>
  </si>
  <si>
    <t>+5.033</t>
  </si>
  <si>
    <t xml:space="preserve">3X6   </t>
  </si>
  <si>
    <t>+4.963</t>
  </si>
  <si>
    <t>+5.063</t>
  </si>
  <si>
    <t xml:space="preserve">4X7   </t>
  </si>
  <si>
    <t>+4.988</t>
  </si>
  <si>
    <t>+5.088</t>
  </si>
  <si>
    <t xml:space="preserve">5X8   </t>
  </si>
  <si>
    <t>+5.000</t>
  </si>
  <si>
    <t>+5.100</t>
  </si>
  <si>
    <t xml:space="preserve">6X9   </t>
  </si>
  <si>
    <t>+5.072</t>
  </si>
  <si>
    <t>+5.172</t>
  </si>
  <si>
    <t>#N/A The record could not be found</t>
  </si>
  <si>
    <t xml:space="preserve">9X12  </t>
  </si>
  <si>
    <t>+5.109</t>
  </si>
  <si>
    <t>+5.209</t>
  </si>
  <si>
    <t>AUDON=TTKL</t>
  </si>
  <si>
    <t>AUDTN=TTKL</t>
  </si>
  <si>
    <t>AUDSW=TTKL</t>
  </si>
  <si>
    <t>AUD1M=TTKL</t>
  </si>
  <si>
    <t>AUD2M=TTKL</t>
  </si>
  <si>
    <t>AUD3M=TTKL</t>
  </si>
  <si>
    <t>AUD4M=TTKL</t>
  </si>
  <si>
    <t>AUD5M=TTKL</t>
  </si>
  <si>
    <t>AUD6M=TTKL</t>
  </si>
  <si>
    <t>AUD7M=TTKL</t>
  </si>
  <si>
    <t>AUD8M=TTKL</t>
  </si>
  <si>
    <t>AUD9M=TTKL</t>
  </si>
  <si>
    <t>AUD1Y=TTKL</t>
  </si>
  <si>
    <t>2x1</t>
  </si>
  <si>
    <t>4.865</t>
  </si>
  <si>
    <t>4.835</t>
  </si>
  <si>
    <t>3x1</t>
  </si>
  <si>
    <t>4.905</t>
  </si>
  <si>
    <t>4.875</t>
  </si>
  <si>
    <t>4x1</t>
  </si>
  <si>
    <t>4.930</t>
  </si>
  <si>
    <t>4.900</t>
  </si>
  <si>
    <t>5x1</t>
  </si>
  <si>
    <t>4.955</t>
  </si>
  <si>
    <t>4.925</t>
  </si>
  <si>
    <t>6x1</t>
  </si>
  <si>
    <t>4.985</t>
  </si>
  <si>
    <t>9x1</t>
  </si>
  <si>
    <t>5.055</t>
  </si>
  <si>
    <t>5.025</t>
  </si>
  <si>
    <t>AUD-BBR-BBSW</t>
  </si>
  <si>
    <t>DecimalRate</t>
  </si>
  <si>
    <t>AUD-IRCap-1Y</t>
  </si>
  <si>
    <t>AUD-IRCap-2Y</t>
  </si>
  <si>
    <t>AUD-IRCap-3Y</t>
  </si>
  <si>
    <t>AUD-IRCap-4Y</t>
  </si>
  <si>
    <t>AUD-IRCap-5Y</t>
  </si>
  <si>
    <t>AUD-IRCap-7Y</t>
  </si>
  <si>
    <t>AUD-IRCap-10Y</t>
  </si>
  <si>
    <t>AUD-IRCap-15Y</t>
  </si>
  <si>
    <t>AUD-IRCap-25Y</t>
  </si>
  <si>
    <t>AUD-IRCap-30Y</t>
  </si>
  <si>
    <t>CapFloor Curves</t>
  </si>
  <si>
    <t>ReferenceCurrency2CurveId</t>
  </si>
  <si>
    <t>CapVolatilityCurve</t>
  </si>
  <si>
    <t>AUD-IRFutureOption-IR-1</t>
  </si>
  <si>
    <t>AUD-IRFutureOption-IR-2</t>
  </si>
  <si>
    <t>AUD-IRFutureOption-IR-3</t>
  </si>
  <si>
    <t>AUD-IRFutureOption-IR-4</t>
  </si>
  <si>
    <t>AUD-IRCap-20Y</t>
  </si>
  <si>
    <t>ATMFlatMoneyness</t>
  </si>
  <si>
    <t>QR_LIVE</t>
  </si>
  <si>
    <t>Strike</t>
  </si>
  <si>
    <t>AUD-Caplet-1D-90D</t>
  </si>
  <si>
    <t>AUD-Xibor-3M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</si>
</sst>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&quot;$&quot;#,##0\ ;\(&quot;$&quot;#,##0\)"/>
    <numFmt numFmtId="166" formatCode="dd\-mmm\-yy"/>
    <numFmt numFmtId="167" formatCode="0.00_)"/>
    <numFmt numFmtId="168" formatCode="0.000%"/>
    <numFmt numFmtId="169" formatCode="#,##0.0;#,##0.0"/>
    <numFmt numFmtId="170" formatCode="\+#,##0.00;\-#,##0.00"/>
    <numFmt numFmtId="171" formatCode="0.0000%"/>
    <numFmt numFmtId="172" formatCode="0.000000"/>
    <numFmt numFmtId="173" formatCode="dd/mm/yyyy;@"/>
    <numFmt numFmtId="174" formatCode="_-* #,##0.000_-;\-* #,##0.000_-;_-* &quot;-&quot;??_-;_-@_-"/>
    <numFmt numFmtId="175" formatCode="_-* #,##0.00000_-;\-* #,##0.00000_-;_-* &quot;-&quot;??_-;_-@_-"/>
    <numFmt numFmtId="176" formatCode="_-* #,##0.000000_-;\-* #,##0.000000_-;_-* &quot;-&quot;??_-;_-@_-"/>
    <numFmt numFmtId="177" formatCode="[$-C09]dd\-mmm\-yy;@"/>
    <numFmt numFmtId="178" formatCode="#,##0.0000"/>
    <numFmt numFmtId="179" formatCode="0.000"/>
    <numFmt numFmtId="180" formatCode="0.0000"/>
    <numFmt numFmtId="181" formatCode="#,##0.0_);[Red]\(#,##0.0\)"/>
    <numFmt numFmtId="182" formatCode="m/d/yy_)"/>
    <numFmt numFmtId="183" formatCode="#,##0.0_);\(#,##0.0\)"/>
    <numFmt numFmtId="184" formatCode="#,##0.000_);\(#,##0.000\)"/>
    <numFmt numFmtId="185" formatCode="0.0%"/>
    <numFmt numFmtId="186" formatCode="mmm\-yy_)"/>
    <numFmt numFmtId="187" formatCode="0.0%;\(0.0%\)"/>
    <numFmt numFmtId="188" formatCode="0.0%;[Red]\-0.0%"/>
    <numFmt numFmtId="189" formatCode="0.00%;[Red]\-0.00%"/>
    <numFmt numFmtId="190" formatCode="###0_)"/>
    <numFmt numFmtId="191" formatCode="0.0"/>
    <numFmt numFmtId="192" formatCode="#,##0.000000"/>
    <numFmt numFmtId="193" formatCode="_-* #,##0.0000_-;\-* #,##0.0000_-;_-* &quot;-&quot;??_-;_-@_-"/>
    <numFmt numFmtId="194" formatCode="d/mm/yy;@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8"/>
      <color indexed="9"/>
      <name val="Arial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8"/>
      <name val="Arial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b/>
      <sz val="8"/>
      <color indexed="8"/>
      <name val="Arial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8"/>
      <name val="Verdana"/>
      <family val="2"/>
    </font>
    <font>
      <b/>
      <sz val="8"/>
      <name val="Arial"/>
      <family val="2"/>
    </font>
    <font>
      <b/>
      <sz val="22"/>
      <color indexed="9"/>
      <name val="Garamond"/>
      <family val="1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sz val="10"/>
      <name val="Verdana"/>
      <family val="2"/>
    </font>
    <font>
      <b/>
      <sz val="10"/>
      <color rgb="FFFF0000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sz val="10"/>
      <color theme="0"/>
      <name val="Arial"/>
      <family val="2"/>
    </font>
    <font>
      <b/>
      <sz val="9"/>
      <color indexed="12"/>
      <name val="Tahoma"/>
      <family val="2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1"/>
      <name val="Arial"/>
      <family val="2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b/>
      <sz val="14"/>
      <color indexed="9"/>
      <name val="Arial"/>
      <family val="2"/>
    </font>
    <font>
      <b/>
      <sz val="14"/>
      <color indexed="53"/>
      <name val="Arial"/>
      <family val="2"/>
    </font>
    <font>
      <b/>
      <sz val="14"/>
      <color indexed="35"/>
      <name val="Arial"/>
      <family val="2"/>
    </font>
    <font>
      <b/>
      <sz val="14"/>
      <color indexed="10"/>
      <name val="Arial"/>
      <family val="2"/>
    </font>
    <font>
      <b/>
      <sz val="14"/>
      <color indexed="20"/>
      <name val="Arial"/>
      <family val="2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17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8"/>
      <color indexed="16"/>
      <name val="Tahoma"/>
      <family val="2"/>
    </font>
  </fonts>
  <fills count="6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4">
    <xf numFmtId="0" fontId="0" fillId="0" borderId="0"/>
    <xf numFmtId="0" fontId="4" fillId="0" borderId="0" applyNumberFormat="0" applyFill="0" applyBorder="0" applyAlignment="0" applyProtection="0">
      <alignment horizontal="left" wrapText="1"/>
    </xf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20" borderId="0" applyAlignment="0"/>
    <xf numFmtId="0" fontId="8" fillId="3" borderId="0" applyNumberFormat="0" applyBorder="0" applyAlignment="0" applyProtection="0"/>
    <xf numFmtId="0" fontId="9" fillId="21" borderId="1"/>
    <xf numFmtId="0" fontId="10" fillId="22" borderId="1" applyNumberFormat="0" applyAlignment="0" applyProtection="0"/>
    <xf numFmtId="0" fontId="11" fillId="23" borderId="2" applyNumberFormat="0" applyAlignment="0" applyProtection="0"/>
    <xf numFmtId="43" fontId="4" fillId="0" borderId="0" applyFont="0" applyFill="0" applyBorder="0" applyAlignment="0" applyProtection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2" fillId="0" borderId="0" applyNumberFormat="0" applyFill="0" applyBorder="0" applyAlignment="0" applyProtection="0"/>
    <xf numFmtId="2" fontId="4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24" borderId="0" applyNumberFormat="0" applyBorder="0">
      <alignment horizontal="right" vertical="center"/>
    </xf>
    <xf numFmtId="19" fontId="17" fillId="24" borderId="6" applyNumberFormat="0" applyBorder="0">
      <alignment horizontal="left" vertical="center"/>
    </xf>
    <xf numFmtId="2" fontId="18" fillId="25" borderId="0">
      <alignment horizontal="center" vertical="center"/>
    </xf>
    <xf numFmtId="2" fontId="18" fillId="25" borderId="7" applyBorder="0">
      <alignment horizontal="left" vertical="center"/>
    </xf>
    <xf numFmtId="0" fontId="17" fillId="24" borderId="0">
      <alignment horizontal="right" vertical="center"/>
    </xf>
    <xf numFmtId="19" fontId="19" fillId="24" borderId="8" applyNumberFormat="0" applyBorder="0">
      <alignment horizontal="left" vertical="center" indent="1"/>
    </xf>
    <xf numFmtId="2" fontId="20" fillId="25" borderId="9" applyBorder="0">
      <alignment horizontal="left" vertical="center" indent="1"/>
    </xf>
    <xf numFmtId="2" fontId="20" fillId="25" borderId="10" applyBorder="0">
      <alignment horizontal="center" vertical="center"/>
    </xf>
    <xf numFmtId="0" fontId="21" fillId="7" borderId="1" applyNumberFormat="0" applyAlignment="0" applyProtection="0"/>
    <xf numFmtId="2" fontId="22" fillId="26" borderId="11" applyBorder="0">
      <alignment horizontal="left" vertical="center" indent="1"/>
    </xf>
    <xf numFmtId="0" fontId="22" fillId="26" borderId="0">
      <alignment horizontal="right" vertical="center"/>
    </xf>
    <xf numFmtId="2" fontId="22" fillId="26" borderId="6" applyNumberFormat="0" applyBorder="0">
      <alignment horizontal="right" vertical="center"/>
    </xf>
    <xf numFmtId="2" fontId="23" fillId="27" borderId="8" applyBorder="0">
      <alignment horizontal="left" vertical="center" indent="1"/>
    </xf>
    <xf numFmtId="2" fontId="23" fillId="27" borderId="0">
      <alignment horizontal="right" vertical="center"/>
    </xf>
    <xf numFmtId="2" fontId="23" fillId="27" borderId="7" applyBorder="0">
      <alignment horizontal="left" vertical="center"/>
    </xf>
    <xf numFmtId="2" fontId="23" fillId="27" borderId="12" applyBorder="0">
      <alignment horizontal="center" vertical="center"/>
    </xf>
    <xf numFmtId="19" fontId="19" fillId="28" borderId="13" applyNumberFormat="0" applyBorder="0">
      <alignment horizontal="left" vertical="center"/>
    </xf>
    <xf numFmtId="166" fontId="19" fillId="28" borderId="10" applyNumberFormat="0" applyBorder="0">
      <alignment horizontal="right" vertical="center"/>
    </xf>
    <xf numFmtId="19" fontId="19" fillId="28" borderId="14" applyNumberFormat="0" applyBorder="0">
      <alignment horizontal="right" vertical="center"/>
    </xf>
    <xf numFmtId="2" fontId="20" fillId="29" borderId="15" applyBorder="0">
      <alignment horizontal="left" vertical="center" indent="1"/>
    </xf>
    <xf numFmtId="2" fontId="20" fillId="29" borderId="7" applyNumberFormat="0">
      <alignment horizontal="center" vertical="center"/>
    </xf>
    <xf numFmtId="2" fontId="20" fillId="29" borderId="7" applyNumberFormat="0" applyBorder="0">
      <alignment horizontal="left" vertical="center"/>
    </xf>
    <xf numFmtId="2" fontId="22" fillId="30" borderId="14" applyNumberFormat="0" applyBorder="0">
      <alignment horizontal="right" vertical="center"/>
    </xf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0" borderId="0" applyNumberFormat="0" applyFont="0" applyFill="0" applyBorder="0" applyAlignment="0"/>
    <xf numFmtId="167" fontId="27" fillId="0" borderId="0"/>
    <xf numFmtId="0" fontId="26" fillId="32" borderId="0">
      <alignment vertical="top"/>
    </xf>
    <xf numFmtId="0" fontId="4" fillId="0" borderId="0"/>
    <xf numFmtId="0" fontId="4" fillId="33" borderId="0"/>
    <xf numFmtId="0" fontId="22" fillId="33" borderId="0"/>
    <xf numFmtId="0" fontId="4" fillId="34" borderId="17" applyNumberFormat="0" applyFont="0" applyAlignment="0" applyProtection="0"/>
    <xf numFmtId="0" fontId="28" fillId="35" borderId="18" applyNumberFormat="0" applyBorder="0">
      <alignment horizontal="left" vertical="center"/>
    </xf>
    <xf numFmtId="2" fontId="28" fillId="35" borderId="7" applyNumberFormat="0" applyBorder="0">
      <alignment horizontal="left" vertical="center"/>
    </xf>
    <xf numFmtId="2" fontId="23" fillId="27" borderId="19" applyNumberFormat="0" applyBorder="0">
      <alignment horizontal="left" vertical="center"/>
    </xf>
    <xf numFmtId="2" fontId="23" fillId="27" borderId="7" applyNumberFormat="0" applyBorder="0">
      <alignment horizontal="left" vertical="center"/>
    </xf>
    <xf numFmtId="0" fontId="29" fillId="22" borderId="20" applyNumberFormat="0" applyAlignment="0" applyProtection="0"/>
    <xf numFmtId="19" fontId="22" fillId="36" borderId="21" applyNumberFormat="0" applyBorder="0">
      <alignment horizontal="left" vertical="center" indent="1"/>
    </xf>
    <xf numFmtId="0" fontId="22" fillId="36" borderId="0">
      <alignment horizontal="right" vertical="center"/>
    </xf>
    <xf numFmtId="19" fontId="22" fillId="36" borderId="14" applyNumberFormat="0" applyBorder="0">
      <alignment horizontal="right" vertical="center"/>
    </xf>
    <xf numFmtId="2" fontId="30" fillId="37" borderId="9" applyBorder="0">
      <alignment horizontal="left" vertical="center" indent="1"/>
    </xf>
    <xf numFmtId="2" fontId="30" fillId="37" borderId="0">
      <alignment horizontal="center" vertical="center"/>
    </xf>
    <xf numFmtId="2" fontId="30" fillId="37" borderId="22">
      <alignment horizontal="left" vertical="center"/>
    </xf>
    <xf numFmtId="0" fontId="31" fillId="38" borderId="12">
      <alignment horizontal="center"/>
    </xf>
    <xf numFmtId="9" fontId="4" fillId="0" borderId="0" applyFont="0" applyFill="0" applyBorder="0" applyAlignment="0" applyProtection="0"/>
    <xf numFmtId="168" fontId="32" fillId="39" borderId="0" applyNumberFormat="0" applyBorder="0">
      <alignment horizontal="right" vertical="center"/>
    </xf>
    <xf numFmtId="168" fontId="32" fillId="39" borderId="0" applyNumberFormat="0" applyBorder="0">
      <alignment horizontal="right" vertical="center"/>
    </xf>
    <xf numFmtId="0" fontId="33" fillId="40" borderId="12" applyNumberFormat="0">
      <alignment horizontal="center" vertical="center"/>
    </xf>
    <xf numFmtId="0" fontId="33" fillId="40" borderId="0" applyNumberFormat="0" applyBorder="0">
      <alignment horizontal="left" vertical="center" indent="1"/>
    </xf>
    <xf numFmtId="169" fontId="34" fillId="41" borderId="0">
      <alignment horizontal="center" vertical="center"/>
    </xf>
    <xf numFmtId="0" fontId="35" fillId="42" borderId="23"/>
    <xf numFmtId="170" fontId="36" fillId="43" borderId="0">
      <alignment horizontal="center" vertical="center"/>
      <protection locked="0"/>
    </xf>
    <xf numFmtId="0" fontId="4" fillId="0" borderId="0">
      <alignment horizontal="left" wrapText="1"/>
    </xf>
    <xf numFmtId="2" fontId="37" fillId="44" borderId="18" applyNumberFormat="0" applyFill="0" applyBorder="0" applyAlignment="0">
      <alignment horizontal="center"/>
      <protection locked="0"/>
    </xf>
    <xf numFmtId="2" fontId="22" fillId="21" borderId="7" applyNumberFormat="0" applyBorder="0">
      <alignment horizontal="right" vertical="center"/>
    </xf>
    <xf numFmtId="2" fontId="22" fillId="21" borderId="0">
      <alignment horizontal="right" vertical="center"/>
    </xf>
    <xf numFmtId="0" fontId="9" fillId="45" borderId="23">
      <alignment vertical="top"/>
    </xf>
    <xf numFmtId="2" fontId="23" fillId="46" borderId="12">
      <alignment horizontal="center" vertical="center"/>
    </xf>
    <xf numFmtId="2" fontId="23" fillId="46" borderId="0" applyNumberFormat="0" applyBorder="0">
      <alignment horizontal="left" vertical="center"/>
    </xf>
    <xf numFmtId="2" fontId="23" fillId="46" borderId="12">
      <alignment horizontal="center" vertical="center"/>
    </xf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38" fontId="41" fillId="0" borderId="0" applyFont="0" applyFill="0" applyBorder="0" applyAlignment="0" applyProtection="0"/>
    <xf numFmtId="0" fontId="41" fillId="0" borderId="0"/>
    <xf numFmtId="19" fontId="4" fillId="36" borderId="14" applyNumberFormat="0" applyBorder="0">
      <alignment horizontal="right" vertical="center"/>
    </xf>
    <xf numFmtId="0" fontId="4" fillId="36" borderId="0">
      <alignment horizontal="right" vertical="center"/>
    </xf>
    <xf numFmtId="19" fontId="4" fillId="36" borderId="21" applyNumberFormat="0" applyBorder="0">
      <alignment horizontal="left" vertical="center" indent="1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30" borderId="14" applyNumberFormat="0" applyBorder="0">
      <alignment horizontal="right" vertical="center"/>
    </xf>
    <xf numFmtId="2" fontId="4" fillId="26" borderId="6" applyNumberFormat="0" applyBorder="0">
      <alignment horizontal="right" vertical="center"/>
    </xf>
    <xf numFmtId="0" fontId="4" fillId="26" borderId="0">
      <alignment horizontal="right" vertical="center"/>
    </xf>
    <xf numFmtId="2" fontId="4" fillId="26" borderId="11" applyBorder="0">
      <alignment horizontal="left" vertical="center" indent="1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30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33" borderId="0"/>
    <xf numFmtId="2" fontId="4" fillId="26" borderId="11" applyBorder="0">
      <alignment horizontal="left" vertical="center" indent="1"/>
    </xf>
    <xf numFmtId="0" fontId="4" fillId="26" borderId="0">
      <alignment horizontal="right" vertical="center"/>
    </xf>
    <xf numFmtId="2" fontId="4" fillId="26" borderId="6" applyNumberFormat="0" applyBorder="0">
      <alignment horizontal="right" vertical="center"/>
    </xf>
    <xf numFmtId="2" fontId="4" fillId="30" borderId="14" applyNumberFormat="0" applyBorder="0">
      <alignment horizontal="right" vertical="center"/>
    </xf>
    <xf numFmtId="19" fontId="4" fillId="36" borderId="21" applyNumberFormat="0" applyBorder="0">
      <alignment horizontal="left" vertical="center" indent="1"/>
    </xf>
    <xf numFmtId="0" fontId="4" fillId="36" borderId="0">
      <alignment horizontal="right" vertical="center"/>
    </xf>
    <xf numFmtId="19" fontId="4" fillId="36" borderId="14" applyNumberFormat="0" applyBorder="0">
      <alignment horizontal="right" vertical="center"/>
    </xf>
    <xf numFmtId="2" fontId="4" fillId="21" borderId="7" applyNumberFormat="0" applyBorder="0">
      <alignment horizontal="right" vertical="center"/>
    </xf>
    <xf numFmtId="2" fontId="4" fillId="21" borderId="0">
      <alignment horizontal="right" vertical="center"/>
    </xf>
    <xf numFmtId="0" fontId="4" fillId="0" borderId="0"/>
    <xf numFmtId="181" fontId="58" fillId="0" borderId="0" applyNumberFormat="0" applyFill="0" applyBorder="0" applyAlignment="0"/>
    <xf numFmtId="168" fontId="55" fillId="55" borderId="0"/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15" fontId="56" fillId="52" borderId="0">
      <alignment horizontal="right"/>
    </xf>
    <xf numFmtId="0" fontId="57" fillId="56" borderId="42">
      <alignment horizontal="center"/>
      <protection locked="0"/>
    </xf>
    <xf numFmtId="2" fontId="68" fillId="57" borderId="43" applyAlignment="0">
      <alignment horizontal="right"/>
    </xf>
    <xf numFmtId="182" fontId="59" fillId="0" borderId="0" applyFont="0" applyFill="0" applyBorder="0" applyAlignment="0" applyProtection="0"/>
    <xf numFmtId="183" fontId="60" fillId="0" borderId="0" applyFont="0" applyFill="0" applyBorder="0" applyAlignment="0" applyProtection="0">
      <protection locked="0"/>
    </xf>
    <xf numFmtId="39" fontId="61" fillId="0" borderId="0" applyFont="0" applyFill="0" applyBorder="0" applyAlignment="0" applyProtection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84" fontId="62" fillId="0" borderId="0" applyFont="0" applyFill="0" applyBorder="0" applyAlignment="0"/>
    <xf numFmtId="179" fontId="69" fillId="32" borderId="0" applyNumberFormat="0" applyFill="0" applyBorder="0" applyAlignment="0">
      <alignment horizontal="right"/>
    </xf>
    <xf numFmtId="37" fontId="63" fillId="0" borderId="0" applyFill="0" applyBorder="0" applyAlignment="0">
      <protection locked="0"/>
    </xf>
    <xf numFmtId="185" fontId="63" fillId="0" borderId="9" applyFill="0" applyBorder="0" applyAlignment="0">
      <alignment horizontal="center"/>
      <protection locked="0"/>
    </xf>
    <xf numFmtId="183" fontId="63" fillId="0" borderId="0" applyFill="0" applyBorder="0" applyAlignment="0">
      <protection locked="0"/>
    </xf>
    <xf numFmtId="184" fontId="63" fillId="0" borderId="0" applyFill="0" applyBorder="0" applyAlignment="0" applyProtection="0">
      <protection locked="0"/>
    </xf>
    <xf numFmtId="0" fontId="70" fillId="58" borderId="0" applyNumberFormat="0" applyBorder="0">
      <alignment horizontal="right"/>
    </xf>
    <xf numFmtId="17" fontId="71" fillId="32" borderId="0" applyFill="0" applyBorder="0" applyAlignment="0"/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86" fontId="59" fillId="0" borderId="0" applyFont="0" applyFill="0" applyBorder="0" applyAlignment="0" applyProtection="0"/>
    <xf numFmtId="181" fontId="6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7" fontId="62" fillId="0" borderId="31" applyFont="0" applyFill="0" applyBorder="0" applyAlignment="0" applyProtection="0">
      <alignment horizontal="right"/>
    </xf>
    <xf numFmtId="188" fontId="65" fillId="0" borderId="0" applyFont="0" applyFill="0" applyBorder="0" applyAlignment="0" applyProtection="0"/>
    <xf numFmtId="189" fontId="65" fillId="0" borderId="0" applyFont="0" applyFill="0" applyBorder="0" applyAlignment="0" applyProtection="0"/>
    <xf numFmtId="38" fontId="66" fillId="0" borderId="0" applyFill="0" applyBorder="0" applyAlignment="0" applyProtection="0"/>
    <xf numFmtId="188" fontId="67" fillId="0" borderId="0" applyFill="0" applyBorder="0" applyAlignment="0" applyProtection="0"/>
    <xf numFmtId="18" fontId="60" fillId="0" borderId="0" applyFont="0" applyFill="0" applyBorder="0" applyAlignment="0" applyProtection="0">
      <alignment horizontal="left"/>
    </xf>
    <xf numFmtId="10" fontId="65" fillId="0" borderId="44" applyNumberFormat="0" applyFont="0" applyFill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90" fontId="28" fillId="0" borderId="33" applyFont="0" applyFill="0" applyBorder="0" applyAlignment="0" applyProtection="0"/>
    <xf numFmtId="179" fontId="72" fillId="32" borderId="0" applyFill="0" applyBorder="0" applyAlignment="0"/>
    <xf numFmtId="180" fontId="72" fillId="32" borderId="0" applyFill="0" applyBorder="0" applyAlignment="0"/>
    <xf numFmtId="0" fontId="4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8" fillId="3" borderId="0" applyNumberFormat="0" applyBorder="0" applyAlignment="0" applyProtection="0"/>
    <xf numFmtId="0" fontId="10" fillId="22" borderId="1" applyNumberFormat="0" applyAlignment="0" applyProtection="0"/>
    <xf numFmtId="0" fontId="11" fillId="23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21" fillId="7" borderId="1" applyNumberFormat="0" applyAlignment="0" applyProtection="0"/>
    <xf numFmtId="0" fontId="24" fillId="0" borderId="16" applyNumberFormat="0" applyFill="0" applyAlignment="0" applyProtection="0"/>
    <xf numFmtId="0" fontId="25" fillId="31" borderId="0" applyNumberFormat="0" applyBorder="0" applyAlignment="0" applyProtection="0"/>
    <xf numFmtId="0" fontId="4" fillId="34" borderId="17" applyNumberFormat="0" applyFont="0" applyAlignment="0" applyProtection="0"/>
    <xf numFmtId="0" fontId="29" fillId="22" borderId="20" applyNumberFormat="0" applyAlignment="0" applyProtection="0"/>
    <xf numFmtId="189" fontId="65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4" applyNumberFormat="0" applyFill="0" applyAlignment="0" applyProtection="0"/>
    <xf numFmtId="0" fontId="40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0" fontId="2" fillId="0" borderId="0"/>
    <xf numFmtId="0" fontId="4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414">
    <xf numFmtId="0" fontId="0" fillId="0" borderId="0" xfId="0"/>
    <xf numFmtId="0" fontId="26" fillId="32" borderId="0" xfId="69">
      <alignment vertical="top"/>
    </xf>
    <xf numFmtId="0" fontId="26" fillId="32" borderId="0" xfId="69" applyFont="1">
      <alignment vertical="top"/>
    </xf>
    <xf numFmtId="171" fontId="26" fillId="32" borderId="0" xfId="86" applyNumberFormat="1" applyFont="1" applyFill="1"/>
    <xf numFmtId="0" fontId="9" fillId="45" borderId="23" xfId="69" applyFont="1" applyFill="1" applyBorder="1" applyAlignment="1">
      <alignment horizontal="center" vertical="top"/>
    </xf>
    <xf numFmtId="0" fontId="45" fillId="45" borderId="8" xfId="69" applyFont="1" applyFill="1" applyBorder="1" applyAlignment="1">
      <alignment horizontal="center" vertical="top"/>
    </xf>
    <xf numFmtId="0" fontId="45" fillId="45" borderId="23" xfId="69" applyFont="1" applyFill="1" applyBorder="1" applyAlignment="1">
      <alignment horizontal="center" vertical="top"/>
    </xf>
    <xf numFmtId="0" fontId="26" fillId="32" borderId="8" xfId="69" applyFont="1" applyBorder="1">
      <alignment vertical="top"/>
    </xf>
    <xf numFmtId="171" fontId="26" fillId="33" borderId="21" xfId="86" applyNumberFormat="1" applyFont="1" applyFill="1" applyBorder="1"/>
    <xf numFmtId="171" fontId="26" fillId="33" borderId="8" xfId="86" applyNumberFormat="1" applyFont="1" applyFill="1" applyBorder="1" applyAlignment="1">
      <alignment vertical="top"/>
    </xf>
    <xf numFmtId="171" fontId="26" fillId="33" borderId="21" xfId="86" applyNumberFormat="1" applyFont="1" applyFill="1" applyBorder="1" applyAlignment="1">
      <alignment vertical="top"/>
    </xf>
    <xf numFmtId="0" fontId="26" fillId="32" borderId="21" xfId="69" applyFont="1" applyBorder="1">
      <alignment vertical="top"/>
    </xf>
    <xf numFmtId="171" fontId="26" fillId="33" borderId="9" xfId="86" applyNumberFormat="1" applyFont="1" applyFill="1" applyBorder="1"/>
    <xf numFmtId="0" fontId="26" fillId="32" borderId="9" xfId="69" applyFont="1" applyBorder="1">
      <alignment vertical="top"/>
    </xf>
    <xf numFmtId="0" fontId="26" fillId="32" borderId="29" xfId="69" applyFont="1" applyBorder="1">
      <alignment vertical="top"/>
    </xf>
    <xf numFmtId="0" fontId="46" fillId="32" borderId="0" xfId="72" applyFont="1" applyFill="1" applyBorder="1" applyAlignment="1">
      <alignment horizontal="center"/>
    </xf>
    <xf numFmtId="0" fontId="26" fillId="32" borderId="0" xfId="69" applyFont="1" applyFill="1" applyBorder="1">
      <alignment vertical="top"/>
    </xf>
    <xf numFmtId="0" fontId="26" fillId="32" borderId="0" xfId="69" applyFont="1" applyFill="1">
      <alignment vertical="top"/>
    </xf>
    <xf numFmtId="0" fontId="46" fillId="32" borderId="0" xfId="71" applyFont="1" applyFill="1" applyBorder="1" applyAlignment="1">
      <alignment horizontal="center"/>
    </xf>
    <xf numFmtId="0" fontId="42" fillId="32" borderId="0" xfId="71" applyFont="1" applyFill="1" applyBorder="1" applyAlignment="1">
      <alignment horizontal="center"/>
    </xf>
    <xf numFmtId="173" fontId="42" fillId="32" borderId="0" xfId="71" applyNumberFormat="1" applyFont="1" applyFill="1" applyBorder="1" applyAlignment="1">
      <alignment horizontal="center"/>
    </xf>
    <xf numFmtId="14" fontId="42" fillId="32" borderId="0" xfId="71" applyNumberFormat="1" applyFont="1" applyFill="1" applyBorder="1" applyAlignment="1">
      <alignment horizontal="center"/>
    </xf>
    <xf numFmtId="22" fontId="42" fillId="32" borderId="0" xfId="71" applyNumberFormat="1" applyFont="1" applyFill="1" applyBorder="1" applyAlignment="1">
      <alignment horizontal="center"/>
    </xf>
    <xf numFmtId="9" fontId="26" fillId="33" borderId="21" xfId="86" applyFont="1" applyFill="1" applyBorder="1" applyAlignment="1">
      <alignment vertical="top"/>
    </xf>
    <xf numFmtId="0" fontId="42" fillId="32" borderId="0" xfId="72" applyFont="1" applyFill="1" applyBorder="1" applyAlignment="1">
      <alignment horizontal="center"/>
    </xf>
    <xf numFmtId="0" fontId="26" fillId="32" borderId="25" xfId="69" applyFont="1" applyBorder="1">
      <alignment vertical="top"/>
    </xf>
    <xf numFmtId="171" fontId="26" fillId="33" borderId="25" xfId="86" applyNumberFormat="1" applyFont="1" applyFill="1" applyBorder="1"/>
    <xf numFmtId="0" fontId="26" fillId="32" borderId="30" xfId="69" applyFont="1" applyBorder="1">
      <alignment vertical="top"/>
    </xf>
    <xf numFmtId="9" fontId="26" fillId="33" borderId="25" xfId="86" applyFont="1" applyFill="1" applyBorder="1" applyAlignment="1">
      <alignment vertical="top"/>
    </xf>
    <xf numFmtId="0" fontId="26" fillId="32" borderId="31" xfId="69" applyFont="1" applyBorder="1">
      <alignment vertical="top"/>
    </xf>
    <xf numFmtId="171" fontId="26" fillId="33" borderId="29" xfId="86" applyNumberFormat="1" applyFont="1" applyFill="1" applyBorder="1"/>
    <xf numFmtId="0" fontId="0" fillId="32" borderId="0" xfId="0" applyFill="1"/>
    <xf numFmtId="171" fontId="26" fillId="33" borderId="29" xfId="86" applyNumberFormat="1" applyFont="1" applyFill="1" applyBorder="1" applyAlignment="1">
      <alignment vertical="top"/>
    </xf>
    <xf numFmtId="9" fontId="26" fillId="33" borderId="29" xfId="86" applyFont="1" applyFill="1" applyBorder="1" applyAlignment="1">
      <alignment vertical="top"/>
    </xf>
    <xf numFmtId="9" fontId="26" fillId="33" borderId="31" xfId="86" applyFont="1" applyFill="1" applyBorder="1" applyAlignment="1">
      <alignment vertical="top"/>
    </xf>
    <xf numFmtId="171" fontId="26" fillId="33" borderId="35" xfId="86" applyNumberFormat="1" applyFont="1" applyFill="1" applyBorder="1" applyAlignment="1">
      <alignment vertical="top"/>
    </xf>
    <xf numFmtId="171" fontId="26" fillId="33" borderId="0" xfId="86" applyNumberFormat="1" applyFont="1" applyFill="1" applyBorder="1" applyAlignment="1">
      <alignment vertical="top"/>
    </xf>
    <xf numFmtId="9" fontId="26" fillId="33" borderId="0" xfId="86" applyFont="1" applyFill="1" applyBorder="1" applyAlignment="1">
      <alignment vertical="top"/>
    </xf>
    <xf numFmtId="9" fontId="26" fillId="33" borderId="36" xfId="86" applyFont="1" applyFill="1" applyBorder="1" applyAlignment="1">
      <alignment vertical="top"/>
    </xf>
    <xf numFmtId="0" fontId="47" fillId="45" borderId="32" xfId="69" applyFont="1" applyFill="1" applyBorder="1" applyAlignment="1">
      <alignment horizontal="center" vertical="top"/>
    </xf>
    <xf numFmtId="0" fontId="47" fillId="45" borderId="33" xfId="69" applyFont="1" applyFill="1" applyBorder="1" applyAlignment="1">
      <alignment horizontal="center" vertical="top"/>
    </xf>
    <xf numFmtId="0" fontId="48" fillId="32" borderId="0" xfId="69" applyFont="1">
      <alignment vertical="top"/>
    </xf>
    <xf numFmtId="0" fontId="47" fillId="45" borderId="23" xfId="69" applyFont="1" applyFill="1" applyBorder="1" applyAlignment="1">
      <alignment horizontal="center" vertical="top"/>
    </xf>
    <xf numFmtId="0" fontId="49" fillId="45" borderId="32" xfId="69" applyFont="1" applyFill="1" applyBorder="1">
      <alignment vertical="top"/>
    </xf>
    <xf numFmtId="171" fontId="49" fillId="45" borderId="23" xfId="86" applyNumberFormat="1" applyFont="1" applyFill="1" applyBorder="1" applyAlignment="1">
      <alignment horizontal="center"/>
    </xf>
    <xf numFmtId="172" fontId="49" fillId="45" borderId="23" xfId="69" applyNumberFormat="1" applyFont="1" applyFill="1" applyBorder="1" applyAlignment="1">
      <alignment horizontal="center" vertical="top"/>
    </xf>
    <xf numFmtId="0" fontId="49" fillId="45" borderId="23" xfId="69" applyFont="1" applyFill="1" applyBorder="1">
      <alignment vertical="top"/>
    </xf>
    <xf numFmtId="172" fontId="49" fillId="45" borderId="34" xfId="69" applyNumberFormat="1" applyFont="1" applyFill="1" applyBorder="1" applyAlignment="1">
      <alignment horizontal="center" vertical="top"/>
    </xf>
    <xf numFmtId="0" fontId="26" fillId="32" borderId="0" xfId="69" applyFont="1" applyBorder="1">
      <alignment vertical="top"/>
    </xf>
    <xf numFmtId="171" fontId="26" fillId="32" borderId="0" xfId="86" applyNumberFormat="1" applyFont="1" applyFill="1" applyBorder="1"/>
    <xf numFmtId="43" fontId="26" fillId="33" borderId="8" xfId="31" applyFont="1" applyFill="1" applyBorder="1"/>
    <xf numFmtId="43" fontId="26" fillId="33" borderId="21" xfId="31" applyFont="1" applyFill="1" applyBorder="1"/>
    <xf numFmtId="43" fontId="26" fillId="33" borderId="25" xfId="31" applyFont="1" applyFill="1" applyBorder="1"/>
    <xf numFmtId="43" fontId="26" fillId="32" borderId="9" xfId="69" applyNumberFormat="1" applyFont="1" applyBorder="1">
      <alignment vertical="top"/>
    </xf>
    <xf numFmtId="43" fontId="26" fillId="32" borderId="29" xfId="69" applyNumberFormat="1" applyFont="1" applyBorder="1">
      <alignment vertical="top"/>
    </xf>
    <xf numFmtId="43" fontId="26" fillId="32" borderId="21" xfId="69" applyNumberFormat="1" applyFont="1" applyBorder="1">
      <alignment vertical="top"/>
    </xf>
    <xf numFmtId="43" fontId="26" fillId="32" borderId="28" xfId="69" applyNumberFormat="1" applyFont="1" applyBorder="1">
      <alignment vertical="top"/>
    </xf>
    <xf numFmtId="43" fontId="4" fillId="32" borderId="8" xfId="31" applyFont="1" applyFill="1" applyBorder="1"/>
    <xf numFmtId="43" fontId="4" fillId="32" borderId="21" xfId="31" applyFont="1" applyFill="1" applyBorder="1"/>
    <xf numFmtId="43" fontId="4" fillId="32" borderId="25" xfId="31" applyFont="1" applyFill="1" applyBorder="1"/>
    <xf numFmtId="0" fontId="28" fillId="32" borderId="8" xfId="69" applyFont="1" applyBorder="1">
      <alignment vertical="top"/>
    </xf>
    <xf numFmtId="0" fontId="28" fillId="32" borderId="21" xfId="69" applyFont="1" applyBorder="1">
      <alignment vertical="top"/>
    </xf>
    <xf numFmtId="0" fontId="28" fillId="32" borderId="25" xfId="69" applyFont="1" applyBorder="1">
      <alignment vertical="top"/>
    </xf>
    <xf numFmtId="0" fontId="28" fillId="32" borderId="23" xfId="69" applyFont="1" applyBorder="1">
      <alignment vertical="top"/>
    </xf>
    <xf numFmtId="174" fontId="43" fillId="32" borderId="11" xfId="31" applyNumberFormat="1" applyFont="1" applyFill="1" applyBorder="1"/>
    <xf numFmtId="174" fontId="43" fillId="32" borderId="31" xfId="31" applyNumberFormat="1" applyFont="1" applyFill="1" applyBorder="1"/>
    <xf numFmtId="171" fontId="50" fillId="32" borderId="0" xfId="86" applyNumberFormat="1" applyFont="1" applyFill="1" applyBorder="1" applyAlignment="1">
      <alignment horizontal="center"/>
    </xf>
    <xf numFmtId="175" fontId="26" fillId="32" borderId="0" xfId="31" applyNumberFormat="1" applyFont="1" applyFill="1" applyAlignment="1">
      <alignment vertical="top"/>
    </xf>
    <xf numFmtId="176" fontId="26" fillId="32" borderId="0" xfId="31" applyNumberFormat="1" applyFont="1" applyFill="1" applyAlignment="1">
      <alignment vertical="top"/>
    </xf>
    <xf numFmtId="0" fontId="51" fillId="32" borderId="0" xfId="69" applyFont="1">
      <alignment vertical="top"/>
    </xf>
    <xf numFmtId="0" fontId="28" fillId="32" borderId="0" xfId="69" applyFont="1" applyBorder="1">
      <alignment vertical="top"/>
    </xf>
    <xf numFmtId="0" fontId="28" fillId="32" borderId="28" xfId="69" applyFont="1" applyBorder="1">
      <alignment vertical="top"/>
    </xf>
    <xf numFmtId="0" fontId="28" fillId="32" borderId="32" xfId="69" applyFont="1" applyBorder="1">
      <alignment vertical="top"/>
    </xf>
    <xf numFmtId="43" fontId="26" fillId="33" borderId="29" xfId="31" applyFont="1" applyFill="1" applyBorder="1"/>
    <xf numFmtId="43" fontId="26" fillId="33" borderId="31" xfId="31" applyFont="1" applyFill="1" applyBorder="1"/>
    <xf numFmtId="172" fontId="49" fillId="45" borderId="11" xfId="69" applyNumberFormat="1" applyFont="1" applyFill="1" applyBorder="1" applyAlignment="1">
      <alignment horizontal="center" vertical="top"/>
    </xf>
    <xf numFmtId="174" fontId="43" fillId="32" borderId="8" xfId="31" applyNumberFormat="1" applyFont="1" applyFill="1" applyBorder="1"/>
    <xf numFmtId="174" fontId="43" fillId="32" borderId="21" xfId="31" applyNumberFormat="1" applyFont="1" applyFill="1" applyBorder="1"/>
    <xf numFmtId="174" fontId="43" fillId="32" borderId="25" xfId="31" applyNumberFormat="1" applyFont="1" applyFill="1" applyBorder="1"/>
    <xf numFmtId="43" fontId="26" fillId="33" borderId="11" xfId="31" applyFont="1" applyFill="1" applyBorder="1"/>
    <xf numFmtId="0" fontId="44" fillId="45" borderId="0" xfId="70" applyFont="1" applyFill="1" applyBorder="1" applyAlignment="1">
      <alignment horizontal="left" vertical="top"/>
    </xf>
    <xf numFmtId="9" fontId="9" fillId="45" borderId="8" xfId="86" applyFont="1" applyFill="1" applyBorder="1" applyAlignment="1">
      <alignment horizontal="center" vertical="top"/>
    </xf>
    <xf numFmtId="0" fontId="44" fillId="45" borderId="0" xfId="70" applyFont="1" applyFill="1" applyBorder="1" applyAlignment="1">
      <alignment horizontal="left" vertical="top"/>
    </xf>
    <xf numFmtId="0" fontId="0" fillId="32" borderId="21" xfId="0" applyFill="1" applyBorder="1"/>
    <xf numFmtId="0" fontId="0" fillId="32" borderId="9" xfId="0" applyFill="1" applyBorder="1"/>
    <xf numFmtId="43" fontId="26" fillId="32" borderId="0" xfId="69" applyNumberFormat="1" applyFont="1" applyBorder="1">
      <alignment vertical="top"/>
    </xf>
    <xf numFmtId="0" fontId="26" fillId="32" borderId="23" xfId="69" applyFont="1" applyBorder="1" applyAlignment="1">
      <alignment horizontal="center" vertical="top"/>
    </xf>
    <xf numFmtId="0" fontId="26" fillId="32" borderId="25" xfId="69" applyFont="1" applyBorder="1" applyAlignment="1">
      <alignment horizontal="center" vertical="top"/>
    </xf>
    <xf numFmtId="0" fontId="26" fillId="32" borderId="21" xfId="69" applyFont="1" applyBorder="1" applyAlignment="1">
      <alignment horizontal="center" vertical="top"/>
    </xf>
    <xf numFmtId="15" fontId="26" fillId="48" borderId="21" xfId="69" applyNumberFormat="1" applyFont="1" applyFill="1" applyBorder="1" applyAlignment="1">
      <alignment horizontal="center" vertical="top"/>
    </xf>
    <xf numFmtId="0" fontId="4" fillId="32" borderId="0" xfId="0" applyFont="1" applyFill="1"/>
    <xf numFmtId="0" fontId="0" fillId="32" borderId="29" xfId="0" applyFill="1" applyBorder="1"/>
    <xf numFmtId="10" fontId="26" fillId="33" borderId="21" xfId="86" applyNumberFormat="1" applyFont="1" applyFill="1" applyBorder="1" applyAlignment="1">
      <alignment vertical="top"/>
    </xf>
    <xf numFmtId="10" fontId="26" fillId="33" borderId="8" xfId="86" applyNumberFormat="1" applyFont="1" applyFill="1" applyBorder="1" applyAlignment="1">
      <alignment vertical="top"/>
    </xf>
    <xf numFmtId="171" fontId="0" fillId="32" borderId="0" xfId="0" applyNumberFormat="1" applyFill="1"/>
    <xf numFmtId="177" fontId="26" fillId="32" borderId="0" xfId="69" applyNumberFormat="1">
      <alignment vertical="top"/>
    </xf>
    <xf numFmtId="171" fontId="26" fillId="32" borderId="0" xfId="86" applyNumberFormat="1" applyFont="1" applyFill="1" applyAlignment="1">
      <alignment vertical="top"/>
    </xf>
    <xf numFmtId="0" fontId="26" fillId="49" borderId="0" xfId="69" applyFill="1">
      <alignment vertical="top"/>
    </xf>
    <xf numFmtId="0" fontId="26" fillId="52" borderId="0" xfId="69" applyFill="1" applyBorder="1">
      <alignment vertical="top"/>
    </xf>
    <xf numFmtId="14" fontId="26" fillId="32" borderId="0" xfId="69" applyNumberFormat="1">
      <alignment vertical="top"/>
    </xf>
    <xf numFmtId="171" fontId="4" fillId="51" borderId="37" xfId="86" applyNumberFormat="1" applyFont="1" applyFill="1" applyBorder="1" applyAlignment="1">
      <alignment vertical="top"/>
    </xf>
    <xf numFmtId="171" fontId="4" fillId="49" borderId="37" xfId="86" applyNumberFormat="1" applyFont="1" applyFill="1" applyBorder="1" applyAlignment="1">
      <alignment vertical="top"/>
    </xf>
    <xf numFmtId="171" fontId="4" fillId="51" borderId="0" xfId="86" applyNumberFormat="1" applyFont="1" applyFill="1" applyBorder="1" applyAlignment="1">
      <alignment vertical="top"/>
    </xf>
    <xf numFmtId="171" fontId="4" fillId="49" borderId="0" xfId="86" applyNumberFormat="1" applyFont="1" applyFill="1" applyBorder="1" applyAlignment="1">
      <alignment vertical="top"/>
    </xf>
    <xf numFmtId="0" fontId="26" fillId="52" borderId="26" xfId="69" applyFill="1" applyBorder="1" applyAlignment="1">
      <alignment horizontal="right"/>
    </xf>
    <xf numFmtId="177" fontId="26" fillId="49" borderId="0" xfId="69" applyNumberFormat="1" applyFill="1">
      <alignment vertical="top"/>
    </xf>
    <xf numFmtId="0" fontId="26" fillId="51" borderId="12" xfId="69" applyFill="1" applyBorder="1">
      <alignment vertical="top"/>
    </xf>
    <xf numFmtId="0" fontId="26" fillId="32" borderId="19" xfId="69" applyBorder="1">
      <alignment vertical="top"/>
    </xf>
    <xf numFmtId="168" fontId="26" fillId="33" borderId="21" xfId="86" applyNumberFormat="1" applyFont="1" applyFill="1" applyBorder="1" applyAlignment="1">
      <alignment vertical="top"/>
    </xf>
    <xf numFmtId="191" fontId="26" fillId="59" borderId="27" xfId="69" applyNumberFormat="1" applyFill="1" applyBorder="1">
      <alignment vertical="top"/>
    </xf>
    <xf numFmtId="180" fontId="26" fillId="51" borderId="27" xfId="69" applyNumberFormat="1" applyFill="1" applyBorder="1">
      <alignment vertical="top"/>
    </xf>
    <xf numFmtId="2" fontId="26" fillId="32" borderId="0" xfId="69" applyNumberFormat="1">
      <alignment vertical="top"/>
    </xf>
    <xf numFmtId="0" fontId="44" fillId="45" borderId="0" xfId="70" applyFont="1" applyFill="1" applyBorder="1" applyAlignment="1">
      <alignment horizontal="left" vertical="top"/>
    </xf>
    <xf numFmtId="0" fontId="9" fillId="45" borderId="32" xfId="69" applyFont="1" applyFill="1" applyBorder="1" applyAlignment="1">
      <alignment horizontal="center" vertical="top"/>
    </xf>
    <xf numFmtId="0" fontId="26" fillId="49" borderId="0" xfId="69" applyFill="1" applyBorder="1" applyAlignment="1">
      <alignment horizontal="left"/>
    </xf>
    <xf numFmtId="0" fontId="26" fillId="49" borderId="0" xfId="69" applyFill="1" applyBorder="1" applyAlignment="1"/>
    <xf numFmtId="2" fontId="26" fillId="52" borderId="0" xfId="69" applyNumberFormat="1" applyFill="1" applyBorder="1" applyAlignment="1">
      <alignment horizontal="center"/>
    </xf>
    <xf numFmtId="0" fontId="26" fillId="32" borderId="0" xfId="69" applyBorder="1" applyAlignment="1">
      <alignment horizontal="center"/>
    </xf>
    <xf numFmtId="0" fontId="3" fillId="0" borderId="0" xfId="532"/>
    <xf numFmtId="0" fontId="73" fillId="0" borderId="0" xfId="532" applyFont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14" fontId="28" fillId="32" borderId="45" xfId="533" applyNumberFormat="1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0" fontId="28" fillId="33" borderId="12" xfId="532" applyFont="1" applyFill="1" applyBorder="1" applyAlignment="1">
      <alignment horizontal="center"/>
    </xf>
    <xf numFmtId="171" fontId="75" fillId="32" borderId="34" xfId="534" applyNumberFormat="1" applyFont="1" applyFill="1" applyBorder="1" applyAlignment="1">
      <alignment horizontal="center"/>
    </xf>
    <xf numFmtId="3" fontId="4" fillId="32" borderId="23" xfId="532" applyNumberFormat="1" applyFont="1" applyFill="1" applyBorder="1" applyAlignment="1">
      <alignment horizontal="center"/>
    </xf>
    <xf numFmtId="171" fontId="4" fillId="32" borderId="25" xfId="533" applyNumberFormat="1" applyFont="1" applyFill="1" applyBorder="1" applyAlignment="1">
      <alignment horizontal="center"/>
    </xf>
    <xf numFmtId="174" fontId="76" fillId="32" borderId="25" xfId="534" applyNumberFormat="1" applyFont="1" applyFill="1" applyBorder="1" applyAlignment="1">
      <alignment horizontal="center"/>
    </xf>
    <xf numFmtId="0" fontId="77" fillId="0" borderId="25" xfId="532" applyFont="1" applyBorder="1"/>
    <xf numFmtId="171" fontId="75" fillId="32" borderId="23" xfId="533" applyNumberFormat="1" applyFont="1" applyFill="1" applyBorder="1" applyAlignment="1">
      <alignment horizontal="center"/>
    </xf>
    <xf numFmtId="3" fontId="4" fillId="32" borderId="25" xfId="532" applyNumberFormat="1" applyFont="1" applyFill="1" applyBorder="1" applyAlignment="1">
      <alignment horizontal="center"/>
    </xf>
    <xf numFmtId="3" fontId="75" fillId="32" borderId="23" xfId="532" applyNumberFormat="1" applyFont="1" applyFill="1" applyBorder="1" applyAlignment="1">
      <alignment horizontal="center"/>
    </xf>
    <xf numFmtId="3" fontId="75" fillId="32" borderId="25" xfId="532" applyNumberFormat="1" applyFont="1" applyFill="1" applyBorder="1" applyAlignment="1">
      <alignment horizontal="center"/>
    </xf>
    <xf numFmtId="168" fontId="76" fillId="32" borderId="23" xfId="533" applyNumberFormat="1" applyFont="1" applyFill="1" applyBorder="1" applyAlignment="1">
      <alignment horizontal="center"/>
    </xf>
    <xf numFmtId="3" fontId="78" fillId="32" borderId="25" xfId="532" applyNumberFormat="1" applyFont="1" applyFill="1" applyBorder="1" applyAlignment="1">
      <alignment horizontal="center"/>
    </xf>
    <xf numFmtId="43" fontId="76" fillId="32" borderId="25" xfId="534" applyFont="1" applyFill="1" applyBorder="1" applyAlignment="1">
      <alignment horizontal="center"/>
    </xf>
    <xf numFmtId="168" fontId="76" fillId="32" borderId="25" xfId="533" applyNumberFormat="1" applyFont="1" applyFill="1" applyBorder="1" applyAlignment="1">
      <alignment horizontal="center"/>
    </xf>
    <xf numFmtId="10" fontId="4" fillId="32" borderId="25" xfId="533" applyNumberFormat="1" applyFont="1" applyFill="1" applyBorder="1" applyAlignment="1">
      <alignment horizontal="center"/>
    </xf>
    <xf numFmtId="171" fontId="76" fillId="32" borderId="25" xfId="533" applyNumberFormat="1" applyFont="1" applyFill="1" applyBorder="1" applyAlignment="1">
      <alignment horizontal="center"/>
    </xf>
    <xf numFmtId="43" fontId="75" fillId="32" borderId="25" xfId="534" applyFont="1" applyFill="1" applyBorder="1" applyAlignment="1">
      <alignment horizontal="center"/>
    </xf>
    <xf numFmtId="0" fontId="28" fillId="33" borderId="26" xfId="532" applyFont="1" applyFill="1" applyBorder="1" applyAlignment="1">
      <alignment horizontal="center"/>
    </xf>
    <xf numFmtId="0" fontId="77" fillId="0" borderId="23" xfId="532" applyFont="1" applyBorder="1"/>
    <xf numFmtId="14" fontId="3" fillId="0" borderId="0" xfId="532" applyNumberFormat="1"/>
    <xf numFmtId="171" fontId="0" fillId="0" borderId="0" xfId="533" applyNumberFormat="1" applyFont="1"/>
    <xf numFmtId="168" fontId="3" fillId="0" borderId="0" xfId="532" applyNumberFormat="1"/>
    <xf numFmtId="171" fontId="4" fillId="32" borderId="25" xfId="534" applyNumberFormat="1" applyFont="1" applyFill="1" applyBorder="1" applyAlignment="1">
      <alignment horizontal="center"/>
    </xf>
    <xf numFmtId="171" fontId="3" fillId="0" borderId="0" xfId="532" applyNumberFormat="1"/>
    <xf numFmtId="0" fontId="3" fillId="32" borderId="25" xfId="532" applyFill="1" applyBorder="1" applyAlignment="1">
      <alignment horizontal="center"/>
    </xf>
    <xf numFmtId="0" fontId="75" fillId="32" borderId="23" xfId="532" applyFont="1" applyFill="1" applyBorder="1" applyAlignment="1">
      <alignment horizontal="center"/>
    </xf>
    <xf numFmtId="174" fontId="76" fillId="32" borderId="23" xfId="534" applyNumberFormat="1" applyFont="1" applyFill="1" applyBorder="1" applyAlignment="1">
      <alignment horizontal="center"/>
    </xf>
    <xf numFmtId="14" fontId="76" fillId="32" borderId="25" xfId="532" applyNumberFormat="1" applyFont="1" applyFill="1" applyBorder="1" applyAlignment="1">
      <alignment horizontal="center"/>
    </xf>
    <xf numFmtId="3" fontId="3" fillId="0" borderId="0" xfId="532" applyNumberFormat="1"/>
    <xf numFmtId="0" fontId="28" fillId="0" borderId="0" xfId="532" applyFont="1" applyFill="1" applyBorder="1" applyAlignment="1">
      <alignment horizontal="center"/>
    </xf>
    <xf numFmtId="192" fontId="76" fillId="32" borderId="25" xfId="532" applyNumberFormat="1" applyFont="1" applyFill="1" applyBorder="1" applyAlignment="1">
      <alignment horizontal="center"/>
    </xf>
    <xf numFmtId="192" fontId="76" fillId="32" borderId="0" xfId="532" applyNumberFormat="1" applyFont="1" applyFill="1" applyBorder="1" applyAlignment="1">
      <alignment horizontal="center"/>
    </xf>
    <xf numFmtId="43" fontId="3" fillId="0" borderId="0" xfId="532" applyNumberFormat="1"/>
    <xf numFmtId="171" fontId="4" fillId="0" borderId="31" xfId="533" applyNumberFormat="1" applyFont="1" applyFill="1" applyBorder="1" applyAlignment="1">
      <alignment horizontal="center"/>
    </xf>
    <xf numFmtId="171" fontId="76" fillId="0" borderId="25" xfId="533" applyNumberFormat="1" applyFont="1" applyFill="1" applyBorder="1" applyAlignment="1">
      <alignment horizontal="center"/>
    </xf>
    <xf numFmtId="171" fontId="4" fillId="32" borderId="31" xfId="533" applyNumberFormat="1" applyFont="1" applyFill="1" applyBorder="1" applyAlignment="1">
      <alignment horizontal="center"/>
    </xf>
    <xf numFmtId="171" fontId="75" fillId="32" borderId="25" xfId="533" applyNumberFormat="1" applyFont="1" applyFill="1" applyBorder="1" applyAlignment="1">
      <alignment horizontal="center"/>
    </xf>
    <xf numFmtId="10" fontId="4" fillId="0" borderId="25" xfId="534" applyNumberFormat="1" applyFont="1" applyFill="1" applyBorder="1" applyAlignment="1">
      <alignment horizontal="center"/>
    </xf>
    <xf numFmtId="10" fontId="76" fillId="0" borderId="25" xfId="534" applyNumberFormat="1" applyFont="1" applyFill="1" applyBorder="1" applyAlignment="1">
      <alignment horizontal="center"/>
    </xf>
    <xf numFmtId="10" fontId="4" fillId="0" borderId="31" xfId="534" applyNumberFormat="1" applyFont="1" applyFill="1" applyBorder="1" applyAlignment="1">
      <alignment horizontal="center"/>
    </xf>
    <xf numFmtId="3" fontId="4" fillId="0" borderId="31" xfId="532" applyNumberFormat="1" applyFont="1" applyFill="1" applyBorder="1" applyAlignment="1">
      <alignment horizontal="center"/>
    </xf>
    <xf numFmtId="171" fontId="4" fillId="32" borderId="23" xfId="533" applyNumberFormat="1" applyFont="1" applyFill="1" applyBorder="1" applyAlignment="1">
      <alignment horizontal="center"/>
    </xf>
    <xf numFmtId="193" fontId="76" fillId="32" borderId="23" xfId="534" applyNumberFormat="1" applyFont="1" applyFill="1" applyBorder="1" applyAlignment="1">
      <alignment horizontal="center"/>
    </xf>
    <xf numFmtId="193" fontId="3" fillId="0" borderId="0" xfId="532" applyNumberFormat="1"/>
    <xf numFmtId="0" fontId="4" fillId="32" borderId="0" xfId="348" applyFill="1"/>
    <xf numFmtId="0" fontId="4" fillId="32" borderId="0" xfId="348" applyFill="1" applyBorder="1"/>
    <xf numFmtId="14" fontId="26" fillId="32" borderId="23" xfId="69" applyNumberFormat="1" applyFont="1" applyBorder="1" applyAlignment="1">
      <alignment horizontal="center" vertical="top"/>
    </xf>
    <xf numFmtId="14" fontId="75" fillId="32" borderId="23" xfId="532" applyNumberFormat="1" applyFont="1" applyFill="1" applyBorder="1" applyAlignment="1">
      <alignment horizontal="center"/>
    </xf>
    <xf numFmtId="0" fontId="26" fillId="32" borderId="0" xfId="348" applyFont="1" applyFill="1"/>
    <xf numFmtId="0" fontId="4" fillId="32" borderId="25" xfId="348" applyFill="1" applyBorder="1"/>
    <xf numFmtId="43" fontId="26" fillId="33" borderId="21" xfId="577" applyFont="1" applyFill="1" applyBorder="1" applyAlignment="1">
      <alignment vertical="top"/>
    </xf>
    <xf numFmtId="171" fontId="26" fillId="33" borderId="21" xfId="578" applyNumberFormat="1" applyFont="1" applyFill="1" applyBorder="1" applyAlignment="1">
      <alignment vertical="top"/>
    </xf>
    <xf numFmtId="10" fontId="26" fillId="33" borderId="21" xfId="533" applyNumberFormat="1" applyFont="1" applyFill="1" applyBorder="1" applyAlignment="1">
      <alignment vertical="top"/>
    </xf>
    <xf numFmtId="9" fontId="28" fillId="33" borderId="39" xfId="533" applyFont="1" applyFill="1" applyBorder="1" applyAlignment="1">
      <alignment horizontal="center"/>
    </xf>
    <xf numFmtId="14" fontId="4" fillId="32" borderId="25" xfId="532" applyNumberFormat="1" applyFont="1" applyFill="1" applyBorder="1" applyAlignment="1">
      <alignment horizontal="center"/>
    </xf>
    <xf numFmtId="192" fontId="4" fillId="32" borderId="25" xfId="532" applyNumberFormat="1" applyFont="1" applyFill="1" applyBorder="1" applyAlignment="1">
      <alignment horizontal="center"/>
    </xf>
    <xf numFmtId="168" fontId="4" fillId="32" borderId="25" xfId="533" applyNumberFormat="1" applyFont="1" applyFill="1" applyBorder="1" applyAlignment="1">
      <alignment horizontal="center"/>
    </xf>
    <xf numFmtId="43" fontId="26" fillId="33" borderId="25" xfId="577" applyFont="1" applyFill="1" applyBorder="1" applyAlignment="1">
      <alignment vertical="top"/>
    </xf>
    <xf numFmtId="171" fontId="26" fillId="33" borderId="25" xfId="578" applyNumberFormat="1" applyFont="1" applyFill="1" applyBorder="1" applyAlignment="1">
      <alignment vertical="top"/>
    </xf>
    <xf numFmtId="10" fontId="26" fillId="33" borderId="25" xfId="533" applyNumberFormat="1" applyFont="1" applyFill="1" applyBorder="1" applyAlignment="1">
      <alignment vertical="top"/>
    </xf>
    <xf numFmtId="10" fontId="4" fillId="32" borderId="0" xfId="348" applyNumberFormat="1" applyFill="1"/>
    <xf numFmtId="0" fontId="4" fillId="32" borderId="36" xfId="348" applyFill="1" applyBorder="1"/>
    <xf numFmtId="0" fontId="4" fillId="32" borderId="23" xfId="348" applyFill="1" applyBorder="1"/>
    <xf numFmtId="0" fontId="4" fillId="32" borderId="29" xfId="348" applyFill="1" applyBorder="1"/>
    <xf numFmtId="0" fontId="79" fillId="0" borderId="0" xfId="532" applyFont="1"/>
    <xf numFmtId="14" fontId="78" fillId="32" borderId="25" xfId="532" applyNumberFormat="1" applyFont="1" applyFill="1" applyBorder="1" applyAlignment="1">
      <alignment horizontal="center"/>
    </xf>
    <xf numFmtId="192" fontId="78" fillId="32" borderId="25" xfId="532" applyNumberFormat="1" applyFont="1" applyFill="1" applyBorder="1" applyAlignment="1">
      <alignment horizontal="center"/>
    </xf>
    <xf numFmtId="14" fontId="78" fillId="32" borderId="21" xfId="532" applyNumberFormat="1" applyFont="1" applyFill="1" applyBorder="1" applyAlignment="1">
      <alignment horizontal="center"/>
    </xf>
    <xf numFmtId="192" fontId="78" fillId="32" borderId="21" xfId="532" applyNumberFormat="1" applyFont="1" applyFill="1" applyBorder="1" applyAlignment="1">
      <alignment horizontal="center"/>
    </xf>
    <xf numFmtId="192" fontId="78" fillId="32" borderId="23" xfId="532" applyNumberFormat="1" applyFont="1" applyFill="1" applyBorder="1" applyAlignment="1">
      <alignment horizontal="center"/>
    </xf>
    <xf numFmtId="0" fontId="78" fillId="32" borderId="23" xfId="348" applyFont="1" applyFill="1" applyBorder="1"/>
    <xf numFmtId="0" fontId="78" fillId="32" borderId="0" xfId="348" applyFont="1" applyFill="1"/>
    <xf numFmtId="14" fontId="78" fillId="32" borderId="23" xfId="532" applyNumberFormat="1" applyFont="1" applyFill="1" applyBorder="1" applyAlignment="1">
      <alignment horizontal="center"/>
    </xf>
    <xf numFmtId="10" fontId="78" fillId="32" borderId="23" xfId="533" applyNumberFormat="1" applyFont="1" applyFill="1" applyBorder="1"/>
    <xf numFmtId="43" fontId="78" fillId="32" borderId="23" xfId="534" applyFont="1" applyFill="1" applyBorder="1"/>
    <xf numFmtId="171" fontId="4" fillId="32" borderId="0" xfId="533" applyNumberFormat="1" applyFont="1" applyFill="1"/>
    <xf numFmtId="43" fontId="4" fillId="32" borderId="0" xfId="348" applyNumberFormat="1" applyFill="1"/>
    <xf numFmtId="43" fontId="26" fillId="33" borderId="8" xfId="534" quotePrefix="1" applyFont="1" applyFill="1" applyBorder="1" applyAlignment="1">
      <alignment vertical="top"/>
    </xf>
    <xf numFmtId="0" fontId="3" fillId="32" borderId="0" xfId="532" applyFill="1"/>
    <xf numFmtId="0" fontId="3" fillId="32" borderId="29" xfId="532" applyFill="1" applyBorder="1"/>
    <xf numFmtId="0" fontId="26" fillId="32" borderId="0" xfId="532" applyFont="1" applyFill="1"/>
    <xf numFmtId="0" fontId="26" fillId="0" borderId="0" xfId="69" applyFill="1">
      <alignment vertical="top"/>
    </xf>
    <xf numFmtId="0" fontId="0" fillId="0" borderId="37" xfId="0" applyBorder="1" applyAlignment="1"/>
    <xf numFmtId="0" fontId="0" fillId="0" borderId="26" xfId="0" applyBorder="1" applyAlignment="1"/>
    <xf numFmtId="0" fontId="26" fillId="32" borderId="0" xfId="69">
      <alignment vertical="top"/>
    </xf>
    <xf numFmtId="0" fontId="26" fillId="49" borderId="0" xfId="69" applyFill="1">
      <alignment vertical="top"/>
    </xf>
    <xf numFmtId="14" fontId="26" fillId="32" borderId="0" xfId="69" applyNumberFormat="1">
      <alignment vertical="top"/>
    </xf>
    <xf numFmtId="0" fontId="26" fillId="52" borderId="0" xfId="69" applyFill="1" applyBorder="1">
      <alignment vertical="top"/>
    </xf>
    <xf numFmtId="177" fontId="26" fillId="32" borderId="0" xfId="69" applyNumberFormat="1">
      <alignment vertical="top"/>
    </xf>
    <xf numFmtId="0" fontId="42" fillId="32" borderId="8" xfId="71" applyFont="1" applyFill="1" applyBorder="1" applyAlignment="1">
      <alignment horizontal="center"/>
    </xf>
    <xf numFmtId="0" fontId="42" fillId="32" borderId="21" xfId="71" applyFont="1" applyFill="1" applyBorder="1" applyAlignment="1">
      <alignment horizontal="center"/>
    </xf>
    <xf numFmtId="0" fontId="26" fillId="32" borderId="21" xfId="69" applyBorder="1" applyAlignment="1">
      <alignment horizontal="center"/>
    </xf>
    <xf numFmtId="0" fontId="42" fillId="32" borderId="25" xfId="71" applyFont="1" applyFill="1" applyBorder="1" applyAlignment="1">
      <alignment horizontal="center"/>
    </xf>
    <xf numFmtId="0" fontId="26" fillId="52" borderId="39" xfId="69" applyFill="1" applyBorder="1">
      <alignment vertical="top"/>
    </xf>
    <xf numFmtId="0" fontId="26" fillId="52" borderId="19" xfId="69" applyFill="1" applyBorder="1">
      <alignment vertical="top"/>
    </xf>
    <xf numFmtId="0" fontId="26" fillId="52" borderId="41" xfId="69" applyFill="1" applyBorder="1">
      <alignment vertical="top"/>
    </xf>
    <xf numFmtId="0" fontId="26" fillId="52" borderId="7" xfId="69" applyFill="1" applyBorder="1" applyAlignment="1">
      <alignment horizontal="right"/>
    </xf>
    <xf numFmtId="0" fontId="26" fillId="32" borderId="10" xfId="69" applyBorder="1">
      <alignment vertical="top"/>
    </xf>
    <xf numFmtId="0" fontId="26" fillId="32" borderId="40" xfId="69" applyBorder="1">
      <alignment vertical="top"/>
    </xf>
    <xf numFmtId="180" fontId="26" fillId="51" borderId="6" xfId="69" applyNumberFormat="1" applyFill="1" applyBorder="1">
      <alignment vertical="top"/>
    </xf>
    <xf numFmtId="0" fontId="26" fillId="52" borderId="12" xfId="69" applyFill="1" applyBorder="1">
      <alignment vertical="top"/>
    </xf>
    <xf numFmtId="177" fontId="26" fillId="52" borderId="19" xfId="69" applyNumberFormat="1" applyFill="1" applyBorder="1">
      <alignment vertical="top"/>
    </xf>
    <xf numFmtId="0" fontId="26" fillId="52" borderId="14" xfId="69" applyFill="1" applyBorder="1" applyAlignment="1">
      <alignment horizontal="right"/>
    </xf>
    <xf numFmtId="0" fontId="26" fillId="32" borderId="18" xfId="69" applyBorder="1">
      <alignment vertical="top"/>
    </xf>
    <xf numFmtId="0" fontId="26" fillId="32" borderId="0" xfId="69" applyBorder="1">
      <alignment vertical="top"/>
    </xf>
    <xf numFmtId="180" fontId="26" fillId="51" borderId="14" xfId="69" applyNumberFormat="1" applyFill="1" applyBorder="1">
      <alignment vertical="top"/>
    </xf>
    <xf numFmtId="0" fontId="26" fillId="52" borderId="22" xfId="69" applyFill="1" applyBorder="1">
      <alignment vertical="top"/>
    </xf>
    <xf numFmtId="0" fontId="26" fillId="51" borderId="14" xfId="69" applyFill="1" applyBorder="1">
      <alignment vertical="top"/>
    </xf>
    <xf numFmtId="179" fontId="26" fillId="33" borderId="18" xfId="69" applyNumberFormat="1" applyFill="1" applyBorder="1">
      <alignment vertical="top"/>
    </xf>
    <xf numFmtId="179" fontId="26" fillId="33" borderId="0" xfId="69" applyNumberFormat="1" applyFill="1" applyBorder="1">
      <alignment vertical="top"/>
    </xf>
    <xf numFmtId="179" fontId="26" fillId="51" borderId="14" xfId="69" applyNumberFormat="1" applyFill="1" applyBorder="1">
      <alignment vertical="top"/>
    </xf>
    <xf numFmtId="179" fontId="26" fillId="33" borderId="37" xfId="69" applyNumberFormat="1" applyFill="1" applyBorder="1">
      <alignment vertical="top"/>
    </xf>
    <xf numFmtId="0" fontId="26" fillId="32" borderId="38" xfId="69" applyBorder="1">
      <alignment vertical="top"/>
    </xf>
    <xf numFmtId="0" fontId="26" fillId="32" borderId="37" xfId="69" applyBorder="1">
      <alignment vertical="top"/>
    </xf>
    <xf numFmtId="0" fontId="26" fillId="52" borderId="27" xfId="69" applyFill="1" applyBorder="1">
      <alignment vertical="top"/>
    </xf>
    <xf numFmtId="0" fontId="26" fillId="51" borderId="26" xfId="69" applyFill="1" applyBorder="1">
      <alignment vertical="top"/>
    </xf>
    <xf numFmtId="179" fontId="26" fillId="33" borderId="38" xfId="69" applyNumberFormat="1" applyFill="1" applyBorder="1">
      <alignment vertical="top"/>
    </xf>
    <xf numFmtId="179" fontId="26" fillId="45" borderId="37" xfId="69" applyNumberFormat="1" applyFill="1" applyBorder="1">
      <alignment vertical="top"/>
    </xf>
    <xf numFmtId="179" fontId="26" fillId="51" borderId="26" xfId="69" applyNumberFormat="1" applyFill="1" applyBorder="1">
      <alignment vertical="top"/>
    </xf>
    <xf numFmtId="0" fontId="26" fillId="32" borderId="0" xfId="69" applyBorder="1" applyAlignment="1"/>
    <xf numFmtId="0" fontId="26" fillId="52" borderId="10" xfId="69" applyFill="1" applyBorder="1">
      <alignment vertical="top"/>
    </xf>
    <xf numFmtId="0" fontId="4" fillId="52" borderId="10" xfId="69" applyFont="1" applyFill="1" applyBorder="1">
      <alignment vertical="top"/>
    </xf>
    <xf numFmtId="179" fontId="4" fillId="49" borderId="18" xfId="69" applyNumberFormat="1" applyFont="1" applyFill="1" applyBorder="1">
      <alignment vertical="top"/>
    </xf>
    <xf numFmtId="179" fontId="4" fillId="49" borderId="0" xfId="69" applyNumberFormat="1" applyFont="1" applyFill="1" applyBorder="1">
      <alignment vertical="top"/>
    </xf>
    <xf numFmtId="0" fontId="26" fillId="32" borderId="14" xfId="69" applyBorder="1">
      <alignment vertical="top"/>
    </xf>
    <xf numFmtId="179" fontId="4" fillId="51" borderId="18" xfId="69" applyNumberFormat="1" applyFont="1" applyFill="1" applyBorder="1">
      <alignment vertical="top"/>
    </xf>
    <xf numFmtId="0" fontId="4" fillId="52" borderId="18" xfId="69" applyFont="1" applyFill="1" applyBorder="1">
      <alignment vertical="top"/>
    </xf>
    <xf numFmtId="0" fontId="4" fillId="52" borderId="38" xfId="69" applyFont="1" applyFill="1" applyBorder="1">
      <alignment vertical="top"/>
    </xf>
    <xf numFmtId="179" fontId="4" fillId="49" borderId="38" xfId="69" applyNumberFormat="1" applyFont="1" applyFill="1" applyBorder="1">
      <alignment vertical="top"/>
    </xf>
    <xf numFmtId="179" fontId="4" fillId="49" borderId="37" xfId="69" applyNumberFormat="1" applyFont="1" applyFill="1" applyBorder="1">
      <alignment vertical="top"/>
    </xf>
    <xf numFmtId="0" fontId="26" fillId="32" borderId="26" xfId="69" applyBorder="1">
      <alignment vertical="top"/>
    </xf>
    <xf numFmtId="179" fontId="54" fillId="47" borderId="0" xfId="69" applyNumberFormat="1" applyFont="1" applyFill="1" applyBorder="1">
      <alignment vertical="top"/>
    </xf>
    <xf numFmtId="0" fontId="4" fillId="52" borderId="12" xfId="69" applyFont="1" applyFill="1" applyBorder="1">
      <alignment vertical="top"/>
    </xf>
    <xf numFmtId="0" fontId="28" fillId="52" borderId="40" xfId="69" applyFont="1" applyFill="1" applyBorder="1">
      <alignment vertical="top"/>
    </xf>
    <xf numFmtId="0" fontId="26" fillId="53" borderId="19" xfId="69" applyFill="1" applyBorder="1">
      <alignment vertical="top"/>
    </xf>
    <xf numFmtId="0" fontId="26" fillId="53" borderId="12" xfId="69" applyFill="1" applyBorder="1">
      <alignment vertical="top"/>
    </xf>
    <xf numFmtId="0" fontId="26" fillId="53" borderId="19" xfId="69" applyFill="1" applyBorder="1" applyAlignment="1">
      <alignment horizontal="center"/>
    </xf>
    <xf numFmtId="0" fontId="26" fillId="53" borderId="41" xfId="69" applyFill="1" applyBorder="1" applyAlignment="1">
      <alignment horizontal="center"/>
    </xf>
    <xf numFmtId="0" fontId="26" fillId="53" borderId="39" xfId="69" applyFill="1" applyBorder="1" applyAlignment="1">
      <alignment horizontal="center"/>
    </xf>
    <xf numFmtId="0" fontId="26" fillId="33" borderId="0" xfId="69" applyFill="1" applyBorder="1" applyAlignment="1">
      <alignment horizontal="center"/>
    </xf>
    <xf numFmtId="2" fontId="26" fillId="32" borderId="18" xfId="69" applyNumberFormat="1" applyBorder="1">
      <alignment vertical="top"/>
    </xf>
    <xf numFmtId="2" fontId="26" fillId="32" borderId="0" xfId="69" applyNumberFormat="1" applyBorder="1">
      <alignment vertical="top"/>
    </xf>
    <xf numFmtId="179" fontId="26" fillId="35" borderId="7" xfId="69" quotePrefix="1" applyNumberFormat="1" applyFill="1" applyBorder="1">
      <alignment vertical="top"/>
    </xf>
    <xf numFmtId="164" fontId="26" fillId="53" borderId="6" xfId="69" applyNumberFormat="1" applyFill="1" applyBorder="1">
      <alignment vertical="top"/>
    </xf>
    <xf numFmtId="180" fontId="28" fillId="51" borderId="22" xfId="69" applyNumberFormat="1" applyFont="1" applyFill="1" applyBorder="1">
      <alignment vertical="top"/>
    </xf>
    <xf numFmtId="2" fontId="26" fillId="51" borderId="18" xfId="69" applyNumberFormat="1" applyFill="1" applyBorder="1">
      <alignment vertical="top"/>
    </xf>
    <xf numFmtId="179" fontId="28" fillId="51" borderId="22" xfId="69" applyNumberFormat="1" applyFont="1" applyFill="1" applyBorder="1">
      <alignment vertical="top"/>
    </xf>
    <xf numFmtId="179" fontId="28" fillId="51" borderId="0" xfId="69" applyNumberFormat="1" applyFont="1" applyFill="1" applyBorder="1">
      <alignment vertical="top"/>
    </xf>
    <xf numFmtId="0" fontId="26" fillId="52" borderId="39" xfId="69" applyFill="1" applyBorder="1" applyAlignment="1">
      <alignment horizontal="center"/>
    </xf>
    <xf numFmtId="0" fontId="26" fillId="32" borderId="7" xfId="69" applyBorder="1">
      <alignment vertical="top"/>
    </xf>
    <xf numFmtId="180" fontId="4" fillId="49" borderId="10" xfId="69" applyNumberFormat="1" applyFont="1" applyFill="1" applyBorder="1">
      <alignment vertical="top"/>
    </xf>
    <xf numFmtId="180" fontId="4" fillId="49" borderId="7" xfId="69" applyNumberFormat="1" applyFont="1" applyFill="1" applyBorder="1">
      <alignment vertical="top"/>
    </xf>
    <xf numFmtId="180" fontId="4" fillId="49" borderId="14" xfId="69" applyNumberFormat="1" applyFont="1" applyFill="1" applyBorder="1">
      <alignment vertical="top"/>
    </xf>
    <xf numFmtId="0" fontId="26" fillId="52" borderId="7" xfId="69" applyFill="1" applyBorder="1">
      <alignment vertical="top"/>
    </xf>
    <xf numFmtId="0" fontId="26" fillId="49" borderId="0" xfId="69" applyFill="1" applyBorder="1">
      <alignment vertical="top"/>
    </xf>
    <xf numFmtId="0" fontId="26" fillId="49" borderId="14" xfId="69" applyFill="1" applyBorder="1">
      <alignment vertical="top"/>
    </xf>
    <xf numFmtId="0" fontId="26" fillId="32" borderId="27" xfId="69" applyBorder="1">
      <alignment vertical="top"/>
    </xf>
    <xf numFmtId="0" fontId="26" fillId="52" borderId="38" xfId="69" applyFill="1" applyBorder="1">
      <alignment vertical="top"/>
    </xf>
    <xf numFmtId="180" fontId="4" fillId="49" borderId="38" xfId="69" applyNumberFormat="1" applyFont="1" applyFill="1" applyBorder="1">
      <alignment vertical="top"/>
    </xf>
    <xf numFmtId="180" fontId="4" fillId="49" borderId="27" xfId="69" applyNumberFormat="1" applyFont="1" applyFill="1" applyBorder="1">
      <alignment vertical="top"/>
    </xf>
    <xf numFmtId="180" fontId="4" fillId="49" borderId="26" xfId="69" applyNumberFormat="1" applyFont="1" applyFill="1" applyBorder="1">
      <alignment vertical="top"/>
    </xf>
    <xf numFmtId="0" fontId="26" fillId="52" borderId="6" xfId="69" applyFill="1" applyBorder="1">
      <alignment vertical="top"/>
    </xf>
    <xf numFmtId="180" fontId="4" fillId="32" borderId="7" xfId="69" applyNumberFormat="1" applyFont="1" applyBorder="1">
      <alignment vertical="top"/>
    </xf>
    <xf numFmtId="180" fontId="28" fillId="51" borderId="6" xfId="69" applyNumberFormat="1" applyFont="1" applyFill="1" applyBorder="1">
      <alignment vertical="top"/>
    </xf>
    <xf numFmtId="180" fontId="4" fillId="32" borderId="27" xfId="69" applyNumberFormat="1" applyFont="1" applyBorder="1">
      <alignment vertical="top"/>
    </xf>
    <xf numFmtId="180" fontId="28" fillId="51" borderId="26" xfId="69" applyNumberFormat="1" applyFont="1" applyFill="1" applyBorder="1">
      <alignment vertical="top"/>
    </xf>
    <xf numFmtId="0" fontId="26" fillId="49" borderId="37" xfId="69" applyFill="1" applyBorder="1">
      <alignment vertical="top"/>
    </xf>
    <xf numFmtId="0" fontId="26" fillId="49" borderId="26" xfId="69" applyFill="1" applyBorder="1">
      <alignment vertical="top"/>
    </xf>
    <xf numFmtId="2" fontId="26" fillId="32" borderId="38" xfId="69" applyNumberFormat="1" applyBorder="1">
      <alignment vertical="top"/>
    </xf>
    <xf numFmtId="2" fontId="26" fillId="32" borderId="37" xfId="69" applyNumberFormat="1" applyBorder="1">
      <alignment vertical="top"/>
    </xf>
    <xf numFmtId="2" fontId="26" fillId="32" borderId="26" xfId="69" applyNumberFormat="1" applyBorder="1">
      <alignment vertical="top"/>
    </xf>
    <xf numFmtId="179" fontId="26" fillId="35" borderId="12" xfId="69" quotePrefix="1" applyNumberFormat="1" applyFill="1" applyBorder="1">
      <alignment vertical="top"/>
    </xf>
    <xf numFmtId="164" fontId="26" fillId="53" borderId="39" xfId="69" applyNumberFormat="1" applyFill="1" applyBorder="1">
      <alignment vertical="top"/>
    </xf>
    <xf numFmtId="180" fontId="28" fillId="51" borderId="27" xfId="69" applyNumberFormat="1" applyFont="1" applyFill="1" applyBorder="1">
      <alignment vertical="top"/>
    </xf>
    <xf numFmtId="2" fontId="26" fillId="51" borderId="38" xfId="69" applyNumberFormat="1" applyFill="1" applyBorder="1">
      <alignment vertical="top"/>
    </xf>
    <xf numFmtId="179" fontId="28" fillId="51" borderId="27" xfId="69" applyNumberFormat="1" applyFont="1" applyFill="1" applyBorder="1">
      <alignment vertical="top"/>
    </xf>
    <xf numFmtId="179" fontId="28" fillId="51" borderId="37" xfId="69" applyNumberFormat="1" applyFont="1" applyFill="1" applyBorder="1">
      <alignment vertical="top"/>
    </xf>
    <xf numFmtId="0" fontId="4" fillId="32" borderId="0" xfId="69" applyFont="1">
      <alignment vertical="top"/>
    </xf>
    <xf numFmtId="0" fontId="4" fillId="52" borderId="0" xfId="69" applyFont="1" applyFill="1" applyBorder="1">
      <alignment vertical="top"/>
    </xf>
    <xf numFmtId="180" fontId="4" fillId="32" borderId="0" xfId="69" applyNumberFormat="1" applyFont="1" applyBorder="1">
      <alignment vertical="top"/>
    </xf>
    <xf numFmtId="0" fontId="28" fillId="51" borderId="0" xfId="69" applyFont="1" applyFill="1" applyBorder="1">
      <alignment vertical="top"/>
    </xf>
    <xf numFmtId="0" fontId="4" fillId="49" borderId="0" xfId="69" applyFont="1" applyFill="1">
      <alignment vertical="top"/>
    </xf>
    <xf numFmtId="0" fontId="53" fillId="50" borderId="0" xfId="69" applyFont="1" applyFill="1">
      <alignment vertical="top"/>
    </xf>
    <xf numFmtId="0" fontId="26" fillId="49" borderId="0" xfId="69" applyFill="1" applyAlignment="1">
      <alignment horizontal="center"/>
    </xf>
    <xf numFmtId="0" fontId="26" fillId="49" borderId="0" xfId="69" applyFill="1" applyAlignment="1">
      <alignment horizontal="right"/>
    </xf>
    <xf numFmtId="2" fontId="26" fillId="49" borderId="0" xfId="69" applyNumberFormat="1" applyFill="1">
      <alignment vertical="top"/>
    </xf>
    <xf numFmtId="2" fontId="26" fillId="49" borderId="0" xfId="69" applyNumberFormat="1" applyFill="1" applyAlignment="1">
      <alignment horizontal="center"/>
    </xf>
    <xf numFmtId="0" fontId="26" fillId="53" borderId="12" xfId="69" applyFill="1" applyBorder="1" applyAlignment="1">
      <alignment horizontal="center"/>
    </xf>
    <xf numFmtId="2" fontId="26" fillId="32" borderId="0" xfId="69" applyNumberFormat="1">
      <alignment vertical="top"/>
    </xf>
    <xf numFmtId="180" fontId="26" fillId="51" borderId="22" xfId="69" applyNumberFormat="1" applyFill="1" applyBorder="1">
      <alignment vertical="top"/>
    </xf>
    <xf numFmtId="191" fontId="26" fillId="59" borderId="22" xfId="69" applyNumberFormat="1" applyFill="1" applyBorder="1">
      <alignment vertical="top"/>
    </xf>
    <xf numFmtId="0" fontId="26" fillId="32" borderId="21" xfId="69" applyFont="1" applyBorder="1">
      <alignment vertical="top"/>
    </xf>
    <xf numFmtId="0" fontId="28" fillId="32" borderId="0" xfId="162" applyFont="1" applyFill="1" applyAlignment="1">
      <alignment horizontal="center"/>
    </xf>
    <xf numFmtId="178" fontId="4" fillId="32" borderId="0" xfId="162" applyNumberFormat="1" applyFill="1" applyAlignment="1">
      <alignment horizontal="center"/>
    </xf>
    <xf numFmtId="0" fontId="4" fillId="32" borderId="0" xfId="162" applyFill="1"/>
    <xf numFmtId="4" fontId="4" fillId="32" borderId="0" xfId="162" applyNumberFormat="1" applyFill="1" applyAlignment="1">
      <alignment horizontal="center"/>
    </xf>
    <xf numFmtId="4" fontId="52" fillId="32" borderId="0" xfId="162" applyNumberFormat="1" applyFont="1" applyFill="1" applyAlignment="1">
      <alignment horizontal="center"/>
    </xf>
    <xf numFmtId="0" fontId="26" fillId="32" borderId="0" xfId="69" applyFill="1">
      <alignment vertical="top"/>
    </xf>
    <xf numFmtId="0" fontId="26" fillId="60" borderId="0" xfId="69" applyFill="1">
      <alignment vertical="top"/>
    </xf>
    <xf numFmtId="0" fontId="26" fillId="60" borderId="0" xfId="69" applyFill="1" applyAlignment="1">
      <alignment horizontal="center" vertical="top"/>
    </xf>
    <xf numFmtId="0" fontId="43" fillId="32" borderId="0" xfId="69" applyFont="1" applyAlignment="1">
      <alignment vertical="top"/>
    </xf>
    <xf numFmtId="2" fontId="26" fillId="54" borderId="19" xfId="69" applyNumberFormat="1" applyFill="1" applyBorder="1" applyAlignment="1">
      <alignment horizontal="center"/>
    </xf>
    <xf numFmtId="0" fontId="26" fillId="32" borderId="41" xfId="69" applyBorder="1" applyAlignment="1">
      <alignment horizontal="center"/>
    </xf>
    <xf numFmtId="0" fontId="26" fillId="32" borderId="39" xfId="69" applyBorder="1" applyAlignment="1">
      <alignment horizontal="center"/>
    </xf>
    <xf numFmtId="0" fontId="26" fillId="32" borderId="40" xfId="69" applyBorder="1" applyAlignment="1">
      <alignment horizontal="center"/>
    </xf>
    <xf numFmtId="0" fontId="26" fillId="32" borderId="6" xfId="69" applyBorder="1" applyAlignment="1">
      <alignment horizontal="center"/>
    </xf>
    <xf numFmtId="0" fontId="26" fillId="54" borderId="19" xfId="69" applyFill="1" applyBorder="1" applyAlignment="1">
      <alignment horizontal="center"/>
    </xf>
    <xf numFmtId="0" fontId="9" fillId="45" borderId="8" xfId="69" applyFont="1" applyFill="1" applyBorder="1" applyAlignment="1">
      <alignment horizontal="center" vertical="top"/>
    </xf>
    <xf numFmtId="9" fontId="9" fillId="45" borderId="23" xfId="86" applyFont="1" applyFill="1" applyBorder="1" applyAlignment="1">
      <alignment horizontal="center" vertical="top"/>
    </xf>
    <xf numFmtId="3" fontId="26" fillId="32" borderId="8" xfId="69" applyNumberFormat="1" applyFont="1" applyBorder="1">
      <alignment vertical="top"/>
    </xf>
    <xf numFmtId="0" fontId="28" fillId="32" borderId="23" xfId="0" applyFont="1" applyFill="1" applyBorder="1" applyAlignment="1">
      <alignment horizontal="center"/>
    </xf>
    <xf numFmtId="0" fontId="28" fillId="33" borderId="19" xfId="584" applyFont="1" applyFill="1" applyBorder="1" applyAlignment="1">
      <alignment horizontal="center"/>
    </xf>
    <xf numFmtId="0" fontId="28" fillId="33" borderId="39" xfId="584" applyFont="1" applyFill="1" applyBorder="1" applyAlignment="1">
      <alignment horizontal="center"/>
    </xf>
    <xf numFmtId="3" fontId="26" fillId="32" borderId="21" xfId="69" applyNumberFormat="1" applyFont="1" applyBorder="1">
      <alignment vertical="top"/>
    </xf>
    <xf numFmtId="0" fontId="4" fillId="32" borderId="23" xfId="0" applyFont="1" applyFill="1" applyBorder="1" applyAlignment="1">
      <alignment horizontal="center"/>
    </xf>
    <xf numFmtId="10" fontId="0" fillId="32" borderId="23" xfId="86" applyNumberFormat="1" applyFont="1" applyFill="1" applyBorder="1"/>
    <xf numFmtId="3" fontId="4" fillId="32" borderId="25" xfId="584" applyNumberFormat="1" applyFont="1" applyFill="1" applyBorder="1" applyAlignment="1">
      <alignment horizontal="center"/>
    </xf>
    <xf numFmtId="3" fontId="75" fillId="32" borderId="23" xfId="584" applyNumberFormat="1" applyFont="1" applyFill="1" applyBorder="1" applyAlignment="1">
      <alignment horizontal="center"/>
    </xf>
    <xf numFmtId="10" fontId="0" fillId="32" borderId="0" xfId="86" applyNumberFormat="1" applyFont="1" applyFill="1"/>
    <xf numFmtId="10" fontId="0" fillId="32" borderId="0" xfId="0" applyNumberFormat="1" applyFill="1"/>
    <xf numFmtId="168" fontId="0" fillId="32" borderId="0" xfId="86" applyNumberFormat="1" applyFont="1" applyFill="1"/>
    <xf numFmtId="0" fontId="9" fillId="45" borderId="32" xfId="69" applyFont="1" applyFill="1" applyBorder="1" applyAlignment="1">
      <alignment horizontal="center" vertical="top"/>
    </xf>
    <xf numFmtId="43" fontId="26" fillId="33" borderId="21" xfId="577" applyFont="1" applyFill="1" applyBorder="1" applyAlignment="1">
      <alignment horizontal="center" vertical="top"/>
    </xf>
    <xf numFmtId="43" fontId="26" fillId="33" borderId="25" xfId="577" applyFont="1" applyFill="1" applyBorder="1" applyAlignment="1">
      <alignment horizontal="center" vertical="top"/>
    </xf>
    <xf numFmtId="0" fontId="9" fillId="45" borderId="32" xfId="69" applyFont="1" applyFill="1" applyBorder="1" applyAlignment="1">
      <alignment horizontal="center" vertical="top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43" fontId="26" fillId="33" borderId="21" xfId="577" applyNumberFormat="1" applyFont="1" applyFill="1" applyBorder="1" applyAlignment="1">
      <alignment vertical="top"/>
    </xf>
    <xf numFmtId="171" fontId="0" fillId="0" borderId="0" xfId="86" applyNumberFormat="1" applyFont="1"/>
    <xf numFmtId="171" fontId="3" fillId="0" borderId="0" xfId="86" applyNumberFormat="1" applyFont="1"/>
    <xf numFmtId="43" fontId="26" fillId="48" borderId="25" xfId="31" applyFont="1" applyFill="1" applyBorder="1" applyAlignment="1">
      <alignment vertical="top"/>
    </xf>
    <xf numFmtId="43" fontId="26" fillId="48" borderId="21" xfId="31" applyFont="1" applyFill="1" applyBorder="1" applyAlignment="1">
      <alignment vertical="top"/>
    </xf>
    <xf numFmtId="43" fontId="26" fillId="48" borderId="21" xfId="577" applyFont="1" applyFill="1" applyBorder="1" applyAlignment="1">
      <alignment vertical="top"/>
    </xf>
    <xf numFmtId="43" fontId="4" fillId="32" borderId="0" xfId="31" applyNumberFormat="1" applyFill="1"/>
    <xf numFmtId="0" fontId="53" fillId="50" borderId="0" xfId="69" quotePrefix="1" applyFont="1" applyFill="1">
      <alignment vertical="top"/>
    </xf>
    <xf numFmtId="194" fontId="75" fillId="32" borderId="23" xfId="532" applyNumberFormat="1" applyFont="1" applyFill="1" applyBorder="1" applyAlignment="1">
      <alignment horizontal="center"/>
    </xf>
    <xf numFmtId="14" fontId="3" fillId="0" borderId="0" xfId="532" applyNumberFormat="1" applyAlignment="1">
      <alignment horizontal="right"/>
    </xf>
    <xf numFmtId="0" fontId="3" fillId="0" borderId="0" xfId="532" applyAlignment="1">
      <alignment horizontal="right"/>
    </xf>
    <xf numFmtId="0" fontId="4" fillId="32" borderId="0" xfId="348" applyFill="1" applyAlignment="1">
      <alignment horizontal="right"/>
    </xf>
    <xf numFmtId="0" fontId="28" fillId="33" borderId="39" xfId="532" quotePrefix="1" applyFont="1" applyFill="1" applyBorder="1" applyAlignment="1">
      <alignment horizontal="center"/>
    </xf>
    <xf numFmtId="0" fontId="4" fillId="32" borderId="0" xfId="348" applyFill="1" applyAlignment="1">
      <alignment horizontal="center"/>
    </xf>
    <xf numFmtId="2" fontId="47" fillId="45" borderId="32" xfId="69" applyNumberFormat="1" applyFont="1" applyFill="1" applyBorder="1" applyAlignment="1">
      <alignment horizontal="center" vertical="top"/>
    </xf>
    <xf numFmtId="2" fontId="0" fillId="0" borderId="33" xfId="0" applyNumberFormat="1" applyBorder="1" applyAlignment="1">
      <alignment horizontal="center" vertical="top"/>
    </xf>
    <xf numFmtId="0" fontId="47" fillId="45" borderId="30" xfId="69" applyFont="1" applyFill="1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0" fillId="0" borderId="36" xfId="0" applyBorder="1" applyAlignment="1">
      <alignment vertical="top"/>
    </xf>
    <xf numFmtId="0" fontId="47" fillId="45" borderId="9" xfId="69" applyFont="1" applyFill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/>
    </xf>
    <xf numFmtId="0" fontId="44" fillId="45" borderId="0" xfId="70" applyFont="1" applyFill="1" applyBorder="1" applyAlignment="1">
      <alignment horizontal="left" vertical="top"/>
    </xf>
    <xf numFmtId="0" fontId="47" fillId="45" borderId="32" xfId="69" applyFont="1" applyFill="1" applyBorder="1" applyAlignment="1">
      <alignment horizontal="center" vertical="top"/>
    </xf>
    <xf numFmtId="0" fontId="48" fillId="0" borderId="33" xfId="0" applyFont="1" applyBorder="1" applyAlignment="1">
      <alignment horizontal="center" vertical="top"/>
    </xf>
    <xf numFmtId="0" fontId="48" fillId="0" borderId="34" xfId="0" applyFont="1" applyBorder="1" applyAlignment="1">
      <alignment horizontal="center" vertical="top"/>
    </xf>
    <xf numFmtId="0" fontId="0" fillId="0" borderId="33" xfId="0" applyBorder="1" applyAlignment="1">
      <alignment horizontal="center" vertical="top"/>
    </xf>
    <xf numFmtId="0" fontId="73" fillId="0" borderId="19" xfId="532" applyFont="1" applyBorder="1" applyAlignment="1">
      <alignment horizontal="center"/>
    </xf>
    <xf numFmtId="0" fontId="73" fillId="0" borderId="41" xfId="532" applyFont="1" applyBorder="1" applyAlignment="1">
      <alignment horizontal="center"/>
    </xf>
    <xf numFmtId="0" fontId="73" fillId="0" borderId="39" xfId="532" applyFont="1" applyBorder="1" applyAlignment="1">
      <alignment horizontal="center"/>
    </xf>
    <xf numFmtId="0" fontId="74" fillId="0" borderId="19" xfId="532" applyFont="1" applyBorder="1" applyAlignment="1">
      <alignment horizontal="center"/>
    </xf>
    <xf numFmtId="0" fontId="74" fillId="0" borderId="41" xfId="532" applyFont="1" applyBorder="1" applyAlignment="1">
      <alignment horizontal="center"/>
    </xf>
    <xf numFmtId="0" fontId="74" fillId="0" borderId="39" xfId="532" applyFont="1" applyBorder="1" applyAlignment="1">
      <alignment horizontal="center"/>
    </xf>
    <xf numFmtId="0" fontId="28" fillId="0" borderId="19" xfId="532" applyFont="1" applyFill="1" applyBorder="1" applyAlignment="1">
      <alignment horizontal="center"/>
    </xf>
    <xf numFmtId="0" fontId="28" fillId="0" borderId="39" xfId="532" applyFont="1" applyFill="1" applyBorder="1" applyAlignment="1">
      <alignment horizontal="center"/>
    </xf>
    <xf numFmtId="0" fontId="28" fillId="0" borderId="41" xfId="532" applyFont="1" applyFill="1" applyBorder="1" applyAlignment="1">
      <alignment horizontal="center"/>
    </xf>
    <xf numFmtId="0" fontId="28" fillId="33" borderId="19" xfId="532" applyFont="1" applyFill="1" applyBorder="1" applyAlignment="1">
      <alignment horizontal="center"/>
    </xf>
    <xf numFmtId="0" fontId="28" fillId="33" borderId="39" xfId="532" applyFont="1" applyFill="1" applyBorder="1" applyAlignment="1">
      <alignment horizontal="center"/>
    </xf>
    <xf numFmtId="0" fontId="28" fillId="33" borderId="41" xfId="532" applyFont="1" applyFill="1" applyBorder="1" applyAlignment="1">
      <alignment horizontal="center"/>
    </xf>
    <xf numFmtId="3" fontId="28" fillId="32" borderId="19" xfId="532" applyNumberFormat="1" applyFont="1" applyFill="1" applyBorder="1" applyAlignment="1">
      <alignment horizontal="center"/>
    </xf>
    <xf numFmtId="3" fontId="28" fillId="32" borderId="39" xfId="532" applyNumberFormat="1" applyFont="1" applyFill="1" applyBorder="1" applyAlignment="1">
      <alignment horizontal="center"/>
    </xf>
    <xf numFmtId="0" fontId="9" fillId="45" borderId="32" xfId="69" applyFont="1" applyFill="1" applyBorder="1" applyAlignment="1">
      <alignment horizontal="center" vertical="top"/>
    </xf>
    <xf numFmtId="0" fontId="9" fillId="45" borderId="33" xfId="69" applyFont="1" applyFill="1" applyBorder="1" applyAlignment="1">
      <alignment horizontal="center" vertical="top"/>
    </xf>
    <xf numFmtId="0" fontId="26" fillId="32" borderId="33" xfId="69" applyBorder="1" applyAlignment="1">
      <alignment horizontal="center" vertical="top"/>
    </xf>
    <xf numFmtId="0" fontId="26" fillId="32" borderId="34" xfId="69" applyBorder="1" applyAlignment="1">
      <alignment horizontal="center" vertical="top"/>
    </xf>
    <xf numFmtId="0" fontId="45" fillId="45" borderId="33" xfId="69" applyFont="1" applyFill="1" applyBorder="1" applyAlignment="1">
      <alignment horizontal="center" vertical="top"/>
    </xf>
    <xf numFmtId="0" fontId="4" fillId="32" borderId="25" xfId="348" applyFill="1" applyBorder="1" applyAlignment="1">
      <alignment horizontal="center"/>
    </xf>
    <xf numFmtId="3" fontId="4" fillId="32" borderId="23" xfId="348" applyNumberFormat="1" applyFill="1" applyBorder="1" applyAlignment="1">
      <alignment horizontal="center"/>
    </xf>
    <xf numFmtId="0" fontId="4" fillId="0" borderId="33" xfId="348" applyBorder="1" applyAlignment="1"/>
    <xf numFmtId="0" fontId="4" fillId="0" borderId="34" xfId="348" applyBorder="1" applyAlignment="1"/>
    <xf numFmtId="0" fontId="9" fillId="45" borderId="34" xfId="69" applyFont="1" applyFill="1" applyBorder="1" applyAlignment="1">
      <alignment horizontal="center" vertical="top"/>
    </xf>
    <xf numFmtId="0" fontId="9" fillId="45" borderId="30" xfId="69" applyFont="1" applyFill="1" applyBorder="1" applyAlignment="1">
      <alignment horizontal="center" vertical="top"/>
    </xf>
    <xf numFmtId="0" fontId="26" fillId="32" borderId="36" xfId="69" applyBorder="1" applyAlignment="1">
      <alignment horizontal="center" vertical="top"/>
    </xf>
    <xf numFmtId="0" fontId="3" fillId="0" borderId="36" xfId="532" applyBorder="1" applyAlignment="1"/>
    <xf numFmtId="0" fontId="4" fillId="0" borderId="31" xfId="348" applyBorder="1" applyAlignment="1"/>
    <xf numFmtId="2" fontId="26" fillId="54" borderId="19" xfId="69" applyNumberFormat="1" applyFill="1" applyBorder="1" applyAlignment="1">
      <alignment horizontal="center"/>
    </xf>
    <xf numFmtId="0" fontId="0" fillId="0" borderId="41" xfId="0" applyBorder="1" applyAlignment="1"/>
    <xf numFmtId="0" fontId="0" fillId="0" borderId="39" xfId="0" applyBorder="1" applyAlignment="1"/>
    <xf numFmtId="0" fontId="0" fillId="0" borderId="41" xfId="0" applyBorder="1" applyAlignment="1">
      <alignment horizontal="center"/>
    </xf>
    <xf numFmtId="0" fontId="0" fillId="0" borderId="39" xfId="0" applyBorder="1" applyAlignment="1">
      <alignment horizontal="center"/>
    </xf>
    <xf numFmtId="2" fontId="26" fillId="54" borderId="38" xfId="69" applyNumberFormat="1" applyFill="1" applyBorder="1" applyAlignment="1">
      <alignment horizontal="center"/>
    </xf>
    <xf numFmtId="0" fontId="0" fillId="0" borderId="37" xfId="0" applyBorder="1" applyAlignment="1"/>
  </cellXfs>
  <cellStyles count="594">
    <cellStyle name="_Copy of Portfolios to Archeus 6-3-04 (2)" xfId="1" xr:uid="{00000000-0005-0000-0000-000000000000}"/>
    <cellStyle name="20% - Accent1" xfId="2" builtinId="30" customBuiltin="1"/>
    <cellStyle name="20% - Accent1 2" xfId="535" xr:uid="{00000000-0005-0000-0000-000002000000}"/>
    <cellStyle name="20% - Accent2" xfId="3" builtinId="34" customBuiltin="1"/>
    <cellStyle name="20% - Accent2 2" xfId="536" xr:uid="{00000000-0005-0000-0000-000004000000}"/>
    <cellStyle name="20% - Accent3" xfId="4" builtinId="38" customBuiltin="1"/>
    <cellStyle name="20% - Accent3 2" xfId="537" xr:uid="{00000000-0005-0000-0000-000006000000}"/>
    <cellStyle name="20% - Accent4" xfId="5" builtinId="42" customBuiltin="1"/>
    <cellStyle name="20% - Accent4 2" xfId="538" xr:uid="{00000000-0005-0000-0000-000008000000}"/>
    <cellStyle name="20% - Accent5" xfId="6" builtinId="46" customBuiltin="1"/>
    <cellStyle name="20% - Accent5 2" xfId="539" xr:uid="{00000000-0005-0000-0000-00000A000000}"/>
    <cellStyle name="20% - Accent6" xfId="7" builtinId="50" customBuiltin="1"/>
    <cellStyle name="20% - Accent6 2" xfId="540" xr:uid="{00000000-0005-0000-0000-00000C000000}"/>
    <cellStyle name="40% - Accent1" xfId="8" builtinId="31" customBuiltin="1"/>
    <cellStyle name="40% - Accent1 2" xfId="541" xr:uid="{00000000-0005-0000-0000-00000E000000}"/>
    <cellStyle name="40% - Accent2" xfId="9" builtinId="35" customBuiltin="1"/>
    <cellStyle name="40% - Accent2 2" xfId="542" xr:uid="{00000000-0005-0000-0000-000010000000}"/>
    <cellStyle name="40% - Accent3" xfId="10" builtinId="39" customBuiltin="1"/>
    <cellStyle name="40% - Accent3 2" xfId="543" xr:uid="{00000000-0005-0000-0000-000012000000}"/>
    <cellStyle name="40% - Accent4" xfId="11" builtinId="43" customBuiltin="1"/>
    <cellStyle name="40% - Accent4 2" xfId="544" xr:uid="{00000000-0005-0000-0000-000014000000}"/>
    <cellStyle name="40% - Accent5" xfId="12" builtinId="47" customBuiltin="1"/>
    <cellStyle name="40% - Accent5 2" xfId="545" xr:uid="{00000000-0005-0000-0000-000016000000}"/>
    <cellStyle name="40% - Accent6" xfId="13" builtinId="51" customBuiltin="1"/>
    <cellStyle name="40% - Accent6 2" xfId="546" xr:uid="{00000000-0005-0000-0000-000018000000}"/>
    <cellStyle name="60% - Accent1" xfId="14" builtinId="32" customBuiltin="1"/>
    <cellStyle name="60% - Accent1 2" xfId="547" xr:uid="{00000000-0005-0000-0000-00001A000000}"/>
    <cellStyle name="60% - Accent2" xfId="15" builtinId="36" customBuiltin="1"/>
    <cellStyle name="60% - Accent2 2" xfId="548" xr:uid="{00000000-0005-0000-0000-00001C000000}"/>
    <cellStyle name="60% - Accent3" xfId="16" builtinId="40" customBuiltin="1"/>
    <cellStyle name="60% - Accent3 2" xfId="549" xr:uid="{00000000-0005-0000-0000-00001E000000}"/>
    <cellStyle name="60% - Accent4" xfId="17" builtinId="44" customBuiltin="1"/>
    <cellStyle name="60% - Accent4 2" xfId="550" xr:uid="{00000000-0005-0000-0000-000020000000}"/>
    <cellStyle name="60% - Accent5" xfId="18" builtinId="48" customBuiltin="1"/>
    <cellStyle name="60% - Accent5 2" xfId="551" xr:uid="{00000000-0005-0000-0000-000022000000}"/>
    <cellStyle name="60% - Accent6" xfId="19" builtinId="52" customBuiltin="1"/>
    <cellStyle name="60% - Accent6 2" xfId="552" xr:uid="{00000000-0005-0000-0000-000024000000}"/>
    <cellStyle name="Accent1" xfId="20" builtinId="29" customBuiltin="1"/>
    <cellStyle name="Accent1 2" xfId="553" xr:uid="{00000000-0005-0000-0000-000026000000}"/>
    <cellStyle name="Accent2" xfId="21" builtinId="33" customBuiltin="1"/>
    <cellStyle name="Accent2 2" xfId="554" xr:uid="{00000000-0005-0000-0000-000028000000}"/>
    <cellStyle name="Accent3" xfId="22" builtinId="37" customBuiltin="1"/>
    <cellStyle name="Accent3 2" xfId="555" xr:uid="{00000000-0005-0000-0000-00002A000000}"/>
    <cellStyle name="Accent4" xfId="23" builtinId="41" customBuiltin="1"/>
    <cellStyle name="Accent4 2" xfId="556" xr:uid="{00000000-0005-0000-0000-00002C000000}"/>
    <cellStyle name="Accent5" xfId="24" builtinId="45" customBuiltin="1"/>
    <cellStyle name="Accent5 2" xfId="557" xr:uid="{00000000-0005-0000-0000-00002E000000}"/>
    <cellStyle name="Accent6" xfId="25" builtinId="49" customBuiltin="1"/>
    <cellStyle name="Accent6 2" xfId="558" xr:uid="{00000000-0005-0000-0000-000030000000}"/>
    <cellStyle name="back" xfId="26" xr:uid="{00000000-0005-0000-0000-000031000000}"/>
    <cellStyle name="Bad" xfId="27" builtinId="27" customBuiltin="1"/>
    <cellStyle name="Bad 2" xfId="559" xr:uid="{00000000-0005-0000-0000-000033000000}"/>
    <cellStyle name="Bold 11" xfId="163" xr:uid="{00000000-0005-0000-0000-000034000000}"/>
    <cellStyle name="Button" xfId="28" xr:uid="{00000000-0005-0000-0000-000035000000}"/>
    <cellStyle name="calc" xfId="164" xr:uid="{00000000-0005-0000-0000-000036000000}"/>
    <cellStyle name="Calculation" xfId="29" builtinId="22" customBuiltin="1"/>
    <cellStyle name="Calculation 2" xfId="560" xr:uid="{00000000-0005-0000-0000-000038000000}"/>
    <cellStyle name="Check Cell" xfId="30" builtinId="23" customBuiltin="1"/>
    <cellStyle name="Check Cell 2" xfId="561" xr:uid="{00000000-0005-0000-0000-00003A000000}"/>
    <cellStyle name="Comma" xfId="31" builtinId="3"/>
    <cellStyle name="Comma 2" xfId="534" xr:uid="{00000000-0005-0000-0000-00003C000000}"/>
    <cellStyle name="Comma 2 2" xfId="577" xr:uid="{00000000-0005-0000-0000-00003D000000}"/>
    <cellStyle name="Comma 2 3" xfId="588" xr:uid="{00000000-0005-0000-0000-00003E000000}"/>
    <cellStyle name="Comma0" xfId="32" xr:uid="{00000000-0005-0000-0000-00003F000000}"/>
    <cellStyle name="Currency0" xfId="33" xr:uid="{00000000-0005-0000-0000-000040000000}"/>
    <cellStyle name="Data1" xfId="165" xr:uid="{00000000-0005-0000-0000-000041000000}"/>
    <cellStyle name="Data1 10" xfId="166" xr:uid="{00000000-0005-0000-0000-000042000000}"/>
    <cellStyle name="Data1 11" xfId="167" xr:uid="{00000000-0005-0000-0000-000043000000}"/>
    <cellStyle name="Data1 12" xfId="168" xr:uid="{00000000-0005-0000-0000-000044000000}"/>
    <cellStyle name="Data1 13" xfId="169" xr:uid="{00000000-0005-0000-0000-000045000000}"/>
    <cellStyle name="Data1 14" xfId="170" xr:uid="{00000000-0005-0000-0000-000046000000}"/>
    <cellStyle name="Data1 15" xfId="171" xr:uid="{00000000-0005-0000-0000-000047000000}"/>
    <cellStyle name="Data1 16" xfId="172" xr:uid="{00000000-0005-0000-0000-000048000000}"/>
    <cellStyle name="Data1 17" xfId="173" xr:uid="{00000000-0005-0000-0000-000049000000}"/>
    <cellStyle name="Data1 18" xfId="174" xr:uid="{00000000-0005-0000-0000-00004A000000}"/>
    <cellStyle name="Data1 19" xfId="175" xr:uid="{00000000-0005-0000-0000-00004B000000}"/>
    <cellStyle name="Data1 2" xfId="176" xr:uid="{00000000-0005-0000-0000-00004C000000}"/>
    <cellStyle name="Data1 2 10" xfId="177" xr:uid="{00000000-0005-0000-0000-00004D000000}"/>
    <cellStyle name="Data1 2 11" xfId="178" xr:uid="{00000000-0005-0000-0000-00004E000000}"/>
    <cellStyle name="Data1 2 12" xfId="179" xr:uid="{00000000-0005-0000-0000-00004F000000}"/>
    <cellStyle name="Data1 2 13" xfId="180" xr:uid="{00000000-0005-0000-0000-000050000000}"/>
    <cellStyle name="Data1 2 14" xfId="181" xr:uid="{00000000-0005-0000-0000-000051000000}"/>
    <cellStyle name="Data1 2 15" xfId="182" xr:uid="{00000000-0005-0000-0000-000052000000}"/>
    <cellStyle name="Data1 2 16" xfId="183" xr:uid="{00000000-0005-0000-0000-000053000000}"/>
    <cellStyle name="Data1 2 17" xfId="184" xr:uid="{00000000-0005-0000-0000-000054000000}"/>
    <cellStyle name="Data1 2 18" xfId="185" xr:uid="{00000000-0005-0000-0000-000055000000}"/>
    <cellStyle name="Data1 2 19" xfId="186" xr:uid="{00000000-0005-0000-0000-000056000000}"/>
    <cellStyle name="Data1 2 2" xfId="187" xr:uid="{00000000-0005-0000-0000-000057000000}"/>
    <cellStyle name="Data1 2 20" xfId="188" xr:uid="{00000000-0005-0000-0000-000058000000}"/>
    <cellStyle name="Data1 2 21" xfId="189" xr:uid="{00000000-0005-0000-0000-000059000000}"/>
    <cellStyle name="Data1 2 22" xfId="190" xr:uid="{00000000-0005-0000-0000-00005A000000}"/>
    <cellStyle name="Data1 2 23" xfId="191" xr:uid="{00000000-0005-0000-0000-00005B000000}"/>
    <cellStyle name="Data1 2 24" xfId="192" xr:uid="{00000000-0005-0000-0000-00005C000000}"/>
    <cellStyle name="Data1 2 25" xfId="193" xr:uid="{00000000-0005-0000-0000-00005D000000}"/>
    <cellStyle name="Data1 2 26" xfId="194" xr:uid="{00000000-0005-0000-0000-00005E000000}"/>
    <cellStyle name="Data1 2 27" xfId="195" xr:uid="{00000000-0005-0000-0000-00005F000000}"/>
    <cellStyle name="Data1 2 28" xfId="196" xr:uid="{00000000-0005-0000-0000-000060000000}"/>
    <cellStyle name="Data1 2 29" xfId="197" xr:uid="{00000000-0005-0000-0000-000061000000}"/>
    <cellStyle name="Data1 2 3" xfId="198" xr:uid="{00000000-0005-0000-0000-000062000000}"/>
    <cellStyle name="Data1 2 30" xfId="199" xr:uid="{00000000-0005-0000-0000-000063000000}"/>
    <cellStyle name="Data1 2 31" xfId="200" xr:uid="{00000000-0005-0000-0000-000064000000}"/>
    <cellStyle name="Data1 2 32" xfId="201" xr:uid="{00000000-0005-0000-0000-000065000000}"/>
    <cellStyle name="Data1 2 33" xfId="202" xr:uid="{00000000-0005-0000-0000-000066000000}"/>
    <cellStyle name="Data1 2 34" xfId="203" xr:uid="{00000000-0005-0000-0000-000067000000}"/>
    <cellStyle name="Data1 2 35" xfId="204" xr:uid="{00000000-0005-0000-0000-000068000000}"/>
    <cellStyle name="Data1 2 36" xfId="205" xr:uid="{00000000-0005-0000-0000-000069000000}"/>
    <cellStyle name="Data1 2 37" xfId="206" xr:uid="{00000000-0005-0000-0000-00006A000000}"/>
    <cellStyle name="Data1 2 38" xfId="207" xr:uid="{00000000-0005-0000-0000-00006B000000}"/>
    <cellStyle name="Data1 2 39" xfId="208" xr:uid="{00000000-0005-0000-0000-00006C000000}"/>
    <cellStyle name="Data1 2 4" xfId="209" xr:uid="{00000000-0005-0000-0000-00006D000000}"/>
    <cellStyle name="Data1 2 40" xfId="210" xr:uid="{00000000-0005-0000-0000-00006E000000}"/>
    <cellStyle name="Data1 2 41" xfId="211" xr:uid="{00000000-0005-0000-0000-00006F000000}"/>
    <cellStyle name="Data1 2 42" xfId="212" xr:uid="{00000000-0005-0000-0000-000070000000}"/>
    <cellStyle name="Data1 2 43" xfId="213" xr:uid="{00000000-0005-0000-0000-000071000000}"/>
    <cellStyle name="Data1 2 5" xfId="214" xr:uid="{00000000-0005-0000-0000-000072000000}"/>
    <cellStyle name="Data1 2 6" xfId="215" xr:uid="{00000000-0005-0000-0000-000073000000}"/>
    <cellStyle name="Data1 2 7" xfId="216" xr:uid="{00000000-0005-0000-0000-000074000000}"/>
    <cellStyle name="Data1 2 8" xfId="217" xr:uid="{00000000-0005-0000-0000-000075000000}"/>
    <cellStyle name="Data1 2 9" xfId="218" xr:uid="{00000000-0005-0000-0000-000076000000}"/>
    <cellStyle name="Data1 20" xfId="219" xr:uid="{00000000-0005-0000-0000-000077000000}"/>
    <cellStyle name="Data1 21" xfId="220" xr:uid="{00000000-0005-0000-0000-000078000000}"/>
    <cellStyle name="Data1 22" xfId="221" xr:uid="{00000000-0005-0000-0000-000079000000}"/>
    <cellStyle name="Data1 23" xfId="222" xr:uid="{00000000-0005-0000-0000-00007A000000}"/>
    <cellStyle name="Data1 24" xfId="223" xr:uid="{00000000-0005-0000-0000-00007B000000}"/>
    <cellStyle name="Data1 25" xfId="224" xr:uid="{00000000-0005-0000-0000-00007C000000}"/>
    <cellStyle name="Data1 26" xfId="225" xr:uid="{00000000-0005-0000-0000-00007D000000}"/>
    <cellStyle name="Data1 27" xfId="226" xr:uid="{00000000-0005-0000-0000-00007E000000}"/>
    <cellStyle name="Data1 28" xfId="227" xr:uid="{00000000-0005-0000-0000-00007F000000}"/>
    <cellStyle name="Data1 29" xfId="228" xr:uid="{00000000-0005-0000-0000-000080000000}"/>
    <cellStyle name="Data1 3" xfId="229" xr:uid="{00000000-0005-0000-0000-000081000000}"/>
    <cellStyle name="Data1 3 2" xfId="230" xr:uid="{00000000-0005-0000-0000-000082000000}"/>
    <cellStyle name="Data1 3 3" xfId="231" xr:uid="{00000000-0005-0000-0000-000083000000}"/>
    <cellStyle name="Data1 30" xfId="232" xr:uid="{00000000-0005-0000-0000-000084000000}"/>
    <cellStyle name="Data1 31" xfId="233" xr:uid="{00000000-0005-0000-0000-000085000000}"/>
    <cellStyle name="Data1 32" xfId="234" xr:uid="{00000000-0005-0000-0000-000086000000}"/>
    <cellStyle name="Data1 33" xfId="235" xr:uid="{00000000-0005-0000-0000-000087000000}"/>
    <cellStyle name="Data1 34" xfId="236" xr:uid="{00000000-0005-0000-0000-000088000000}"/>
    <cellStyle name="Data1 35" xfId="237" xr:uid="{00000000-0005-0000-0000-000089000000}"/>
    <cellStyle name="Data1 36" xfId="238" xr:uid="{00000000-0005-0000-0000-00008A000000}"/>
    <cellStyle name="Data1 37" xfId="239" xr:uid="{00000000-0005-0000-0000-00008B000000}"/>
    <cellStyle name="Data1 38" xfId="240" xr:uid="{00000000-0005-0000-0000-00008C000000}"/>
    <cellStyle name="Data1 4" xfId="241" xr:uid="{00000000-0005-0000-0000-00008D000000}"/>
    <cellStyle name="Data1 5" xfId="242" xr:uid="{00000000-0005-0000-0000-00008E000000}"/>
    <cellStyle name="Data1 6" xfId="243" xr:uid="{00000000-0005-0000-0000-00008F000000}"/>
    <cellStyle name="Data1 7" xfId="244" xr:uid="{00000000-0005-0000-0000-000090000000}"/>
    <cellStyle name="Data1 8" xfId="245" xr:uid="{00000000-0005-0000-0000-000091000000}"/>
    <cellStyle name="Data1 9" xfId="246" xr:uid="{00000000-0005-0000-0000-000092000000}"/>
    <cellStyle name="Data5" xfId="247" xr:uid="{00000000-0005-0000-0000-000093000000}"/>
    <cellStyle name="DataEntry" xfId="248" xr:uid="{00000000-0005-0000-0000-000094000000}"/>
    <cellStyle name="Date" xfId="34" xr:uid="{00000000-0005-0000-0000-000095000000}"/>
    <cellStyle name="Date 2" xfId="249" xr:uid="{00000000-0005-0000-0000-000096000000}"/>
    <cellStyle name="Decimal 1" xfId="250" xr:uid="{00000000-0005-0000-0000-000097000000}"/>
    <cellStyle name="Decimal 2" xfId="251" xr:uid="{00000000-0005-0000-0000-000098000000}"/>
    <cellStyle name="Decimal 3" xfId="252" xr:uid="{00000000-0005-0000-0000-000099000000}"/>
    <cellStyle name="Decimal 3 10" xfId="253" xr:uid="{00000000-0005-0000-0000-00009A000000}"/>
    <cellStyle name="Decimal 3 11" xfId="254" xr:uid="{00000000-0005-0000-0000-00009B000000}"/>
    <cellStyle name="Decimal 3 12" xfId="255" xr:uid="{00000000-0005-0000-0000-00009C000000}"/>
    <cellStyle name="Decimal 3 13" xfId="256" xr:uid="{00000000-0005-0000-0000-00009D000000}"/>
    <cellStyle name="Decimal 3 14" xfId="257" xr:uid="{00000000-0005-0000-0000-00009E000000}"/>
    <cellStyle name="Decimal 3 15" xfId="258" xr:uid="{00000000-0005-0000-0000-00009F000000}"/>
    <cellStyle name="Decimal 3 16" xfId="259" xr:uid="{00000000-0005-0000-0000-0000A0000000}"/>
    <cellStyle name="Decimal 3 17" xfId="260" xr:uid="{00000000-0005-0000-0000-0000A1000000}"/>
    <cellStyle name="Decimal 3 18" xfId="261" xr:uid="{00000000-0005-0000-0000-0000A2000000}"/>
    <cellStyle name="Decimal 3 19" xfId="262" xr:uid="{00000000-0005-0000-0000-0000A3000000}"/>
    <cellStyle name="Decimal 3 2" xfId="263" xr:uid="{00000000-0005-0000-0000-0000A4000000}"/>
    <cellStyle name="Decimal 3 2 10" xfId="264" xr:uid="{00000000-0005-0000-0000-0000A5000000}"/>
    <cellStyle name="Decimal 3 2 11" xfId="265" xr:uid="{00000000-0005-0000-0000-0000A6000000}"/>
    <cellStyle name="Decimal 3 2 12" xfId="266" xr:uid="{00000000-0005-0000-0000-0000A7000000}"/>
    <cellStyle name="Decimal 3 2 13" xfId="267" xr:uid="{00000000-0005-0000-0000-0000A8000000}"/>
    <cellStyle name="Decimal 3 2 14" xfId="268" xr:uid="{00000000-0005-0000-0000-0000A9000000}"/>
    <cellStyle name="Decimal 3 2 15" xfId="269" xr:uid="{00000000-0005-0000-0000-0000AA000000}"/>
    <cellStyle name="Decimal 3 2 16" xfId="270" xr:uid="{00000000-0005-0000-0000-0000AB000000}"/>
    <cellStyle name="Decimal 3 2 17" xfId="271" xr:uid="{00000000-0005-0000-0000-0000AC000000}"/>
    <cellStyle name="Decimal 3 2 18" xfId="272" xr:uid="{00000000-0005-0000-0000-0000AD000000}"/>
    <cellStyle name="Decimal 3 2 19" xfId="273" xr:uid="{00000000-0005-0000-0000-0000AE000000}"/>
    <cellStyle name="Decimal 3 2 2" xfId="274" xr:uid="{00000000-0005-0000-0000-0000AF000000}"/>
    <cellStyle name="Decimal 3 2 20" xfId="275" xr:uid="{00000000-0005-0000-0000-0000B0000000}"/>
    <cellStyle name="Decimal 3 2 21" xfId="276" xr:uid="{00000000-0005-0000-0000-0000B1000000}"/>
    <cellStyle name="Decimal 3 2 22" xfId="277" xr:uid="{00000000-0005-0000-0000-0000B2000000}"/>
    <cellStyle name="Decimal 3 2 23" xfId="278" xr:uid="{00000000-0005-0000-0000-0000B3000000}"/>
    <cellStyle name="Decimal 3 2 24" xfId="279" xr:uid="{00000000-0005-0000-0000-0000B4000000}"/>
    <cellStyle name="Decimal 3 2 25" xfId="280" xr:uid="{00000000-0005-0000-0000-0000B5000000}"/>
    <cellStyle name="Decimal 3 2 26" xfId="281" xr:uid="{00000000-0005-0000-0000-0000B6000000}"/>
    <cellStyle name="Decimal 3 2 27" xfId="282" xr:uid="{00000000-0005-0000-0000-0000B7000000}"/>
    <cellStyle name="Decimal 3 2 28" xfId="283" xr:uid="{00000000-0005-0000-0000-0000B8000000}"/>
    <cellStyle name="Decimal 3 2 29" xfId="284" xr:uid="{00000000-0005-0000-0000-0000B9000000}"/>
    <cellStyle name="Decimal 3 2 3" xfId="285" xr:uid="{00000000-0005-0000-0000-0000BA000000}"/>
    <cellStyle name="Decimal 3 2 30" xfId="286" xr:uid="{00000000-0005-0000-0000-0000BB000000}"/>
    <cellStyle name="Decimal 3 2 31" xfId="287" xr:uid="{00000000-0005-0000-0000-0000BC000000}"/>
    <cellStyle name="Decimal 3 2 32" xfId="288" xr:uid="{00000000-0005-0000-0000-0000BD000000}"/>
    <cellStyle name="Decimal 3 2 33" xfId="289" xr:uid="{00000000-0005-0000-0000-0000BE000000}"/>
    <cellStyle name="Decimal 3 2 34" xfId="290" xr:uid="{00000000-0005-0000-0000-0000BF000000}"/>
    <cellStyle name="Decimal 3 2 35" xfId="291" xr:uid="{00000000-0005-0000-0000-0000C0000000}"/>
    <cellStyle name="Decimal 3 2 36" xfId="292" xr:uid="{00000000-0005-0000-0000-0000C1000000}"/>
    <cellStyle name="Decimal 3 2 37" xfId="293" xr:uid="{00000000-0005-0000-0000-0000C2000000}"/>
    <cellStyle name="Decimal 3 2 38" xfId="294" xr:uid="{00000000-0005-0000-0000-0000C3000000}"/>
    <cellStyle name="Decimal 3 2 39" xfId="295" xr:uid="{00000000-0005-0000-0000-0000C4000000}"/>
    <cellStyle name="Decimal 3 2 4" xfId="296" xr:uid="{00000000-0005-0000-0000-0000C5000000}"/>
    <cellStyle name="Decimal 3 2 40" xfId="297" xr:uid="{00000000-0005-0000-0000-0000C6000000}"/>
    <cellStyle name="Decimal 3 2 41" xfId="298" xr:uid="{00000000-0005-0000-0000-0000C7000000}"/>
    <cellStyle name="Decimal 3 2 42" xfId="299" xr:uid="{00000000-0005-0000-0000-0000C8000000}"/>
    <cellStyle name="Decimal 3 2 43" xfId="300" xr:uid="{00000000-0005-0000-0000-0000C9000000}"/>
    <cellStyle name="Decimal 3 2 5" xfId="301" xr:uid="{00000000-0005-0000-0000-0000CA000000}"/>
    <cellStyle name="Decimal 3 2 6" xfId="302" xr:uid="{00000000-0005-0000-0000-0000CB000000}"/>
    <cellStyle name="Decimal 3 2 7" xfId="303" xr:uid="{00000000-0005-0000-0000-0000CC000000}"/>
    <cellStyle name="Decimal 3 2 8" xfId="304" xr:uid="{00000000-0005-0000-0000-0000CD000000}"/>
    <cellStyle name="Decimal 3 2 9" xfId="305" xr:uid="{00000000-0005-0000-0000-0000CE000000}"/>
    <cellStyle name="Decimal 3 20" xfId="306" xr:uid="{00000000-0005-0000-0000-0000CF000000}"/>
    <cellStyle name="Decimal 3 21" xfId="307" xr:uid="{00000000-0005-0000-0000-0000D0000000}"/>
    <cellStyle name="Decimal 3 22" xfId="308" xr:uid="{00000000-0005-0000-0000-0000D1000000}"/>
    <cellStyle name="Decimal 3 23" xfId="309" xr:uid="{00000000-0005-0000-0000-0000D2000000}"/>
    <cellStyle name="Decimal 3 24" xfId="310" xr:uid="{00000000-0005-0000-0000-0000D3000000}"/>
    <cellStyle name="Decimal 3 25" xfId="311" xr:uid="{00000000-0005-0000-0000-0000D4000000}"/>
    <cellStyle name="Decimal 3 26" xfId="312" xr:uid="{00000000-0005-0000-0000-0000D5000000}"/>
    <cellStyle name="Decimal 3 27" xfId="313" xr:uid="{00000000-0005-0000-0000-0000D6000000}"/>
    <cellStyle name="Decimal 3 28" xfId="314" xr:uid="{00000000-0005-0000-0000-0000D7000000}"/>
    <cellStyle name="Decimal 3 29" xfId="315" xr:uid="{00000000-0005-0000-0000-0000D8000000}"/>
    <cellStyle name="Decimal 3 3" xfId="316" xr:uid="{00000000-0005-0000-0000-0000D9000000}"/>
    <cellStyle name="Decimal 3 3 2" xfId="317" xr:uid="{00000000-0005-0000-0000-0000DA000000}"/>
    <cellStyle name="Decimal 3 3 3" xfId="318" xr:uid="{00000000-0005-0000-0000-0000DB000000}"/>
    <cellStyle name="Decimal 3 30" xfId="319" xr:uid="{00000000-0005-0000-0000-0000DC000000}"/>
    <cellStyle name="Decimal 3 31" xfId="320" xr:uid="{00000000-0005-0000-0000-0000DD000000}"/>
    <cellStyle name="Decimal 3 32" xfId="321" xr:uid="{00000000-0005-0000-0000-0000DE000000}"/>
    <cellStyle name="Decimal 3 33" xfId="322" xr:uid="{00000000-0005-0000-0000-0000DF000000}"/>
    <cellStyle name="Decimal 3 34" xfId="323" xr:uid="{00000000-0005-0000-0000-0000E0000000}"/>
    <cellStyle name="Decimal 3 35" xfId="324" xr:uid="{00000000-0005-0000-0000-0000E1000000}"/>
    <cellStyle name="Decimal 3 36" xfId="325" xr:uid="{00000000-0005-0000-0000-0000E2000000}"/>
    <cellStyle name="Decimal 3 37" xfId="326" xr:uid="{00000000-0005-0000-0000-0000E3000000}"/>
    <cellStyle name="Decimal 3 38" xfId="327" xr:uid="{00000000-0005-0000-0000-0000E4000000}"/>
    <cellStyle name="Decimal 3 4" xfId="328" xr:uid="{00000000-0005-0000-0000-0000E5000000}"/>
    <cellStyle name="Decimal 3 5" xfId="329" xr:uid="{00000000-0005-0000-0000-0000E6000000}"/>
    <cellStyle name="Decimal 3 6" xfId="330" xr:uid="{00000000-0005-0000-0000-0000E7000000}"/>
    <cellStyle name="Decimal 3 7" xfId="331" xr:uid="{00000000-0005-0000-0000-0000E8000000}"/>
    <cellStyle name="Decimal 3 8" xfId="332" xr:uid="{00000000-0005-0000-0000-0000E9000000}"/>
    <cellStyle name="Decimal 3 9" xfId="333" xr:uid="{00000000-0005-0000-0000-0000EA000000}"/>
    <cellStyle name="Explanatory Text" xfId="35" builtinId="53" customBuiltin="1"/>
    <cellStyle name="Explanatory Text 2" xfId="562" xr:uid="{00000000-0005-0000-0000-0000EC000000}"/>
    <cellStyle name="Fixed" xfId="36" xr:uid="{00000000-0005-0000-0000-0000ED000000}"/>
    <cellStyle name="Good" xfId="37" builtinId="26" customBuiltin="1"/>
    <cellStyle name="Good 2" xfId="563" xr:uid="{00000000-0005-0000-0000-0000EF000000}"/>
    <cellStyle name="Header" xfId="334" xr:uid="{00000000-0005-0000-0000-0000F0000000}"/>
    <cellStyle name="Heading 1" xfId="38" builtinId="16" customBuiltin="1"/>
    <cellStyle name="Heading 1 2" xfId="564" xr:uid="{00000000-0005-0000-0000-0000F2000000}"/>
    <cellStyle name="Heading 2" xfId="39" builtinId="17" customBuiltin="1"/>
    <cellStyle name="Heading 2 2" xfId="565" xr:uid="{00000000-0005-0000-0000-0000F4000000}"/>
    <cellStyle name="Heading 3" xfId="40" builtinId="18" customBuiltin="1"/>
    <cellStyle name="Heading 3 2" xfId="566" xr:uid="{00000000-0005-0000-0000-0000F6000000}"/>
    <cellStyle name="Heading 4" xfId="41" builtinId="19" customBuiltin="1"/>
    <cellStyle name="Heading 4 2" xfId="567" xr:uid="{00000000-0005-0000-0000-0000F8000000}"/>
    <cellStyle name="InfoDataColumn" xfId="42" xr:uid="{00000000-0005-0000-0000-0000F9000000}"/>
    <cellStyle name="InfoDataRow" xfId="43" xr:uid="{00000000-0005-0000-0000-0000FA000000}"/>
    <cellStyle name="InfoLabelColumn" xfId="44" xr:uid="{00000000-0005-0000-0000-0000FB000000}"/>
    <cellStyle name="InfoLabelRow" xfId="45" xr:uid="{00000000-0005-0000-0000-0000FC000000}"/>
    <cellStyle name="InfolDataColumn" xfId="46" xr:uid="{00000000-0005-0000-0000-0000FD000000}"/>
    <cellStyle name="InformationalData" xfId="47" xr:uid="{00000000-0005-0000-0000-0000FE000000}"/>
    <cellStyle name="InformationalLabel" xfId="48" xr:uid="{00000000-0005-0000-0000-0000FF000000}"/>
    <cellStyle name="InformationalLabelTop" xfId="49" xr:uid="{00000000-0005-0000-0000-000000010000}"/>
    <cellStyle name="Input" xfId="50" builtinId="20" customBuiltin="1"/>
    <cellStyle name="Input %" xfId="336" xr:uid="{00000000-0005-0000-0000-000002010000}"/>
    <cellStyle name="Input 1" xfId="337" xr:uid="{00000000-0005-0000-0000-000003010000}"/>
    <cellStyle name="Input 2" xfId="335" xr:uid="{00000000-0005-0000-0000-000004010000}"/>
    <cellStyle name="Input 3" xfId="338" xr:uid="{00000000-0005-0000-0000-000005010000}"/>
    <cellStyle name="Input 4" xfId="568" xr:uid="{00000000-0005-0000-0000-000006010000}"/>
    <cellStyle name="InputData" xfId="51" xr:uid="{00000000-0005-0000-0000-000007010000}"/>
    <cellStyle name="InputData 2" xfId="120" xr:uid="{00000000-0005-0000-0000-000008010000}"/>
    <cellStyle name="InputData 3" xfId="116" xr:uid="{00000000-0005-0000-0000-000009010000}"/>
    <cellStyle name="InputData 4" xfId="117" xr:uid="{00000000-0005-0000-0000-00000A010000}"/>
    <cellStyle name="InputData 5" xfId="112" xr:uid="{00000000-0005-0000-0000-00000B010000}"/>
    <cellStyle name="InputData 6" xfId="143" xr:uid="{00000000-0005-0000-0000-00000C010000}"/>
    <cellStyle name="InputData 7" xfId="153" xr:uid="{00000000-0005-0000-0000-00000D010000}"/>
    <cellStyle name="InputDataColumn" xfId="52" xr:uid="{00000000-0005-0000-0000-00000E010000}"/>
    <cellStyle name="InputDataColumn 2" xfId="121" xr:uid="{00000000-0005-0000-0000-00000F010000}"/>
    <cellStyle name="InputDataColumn 3" xfId="115" xr:uid="{00000000-0005-0000-0000-000010010000}"/>
    <cellStyle name="InputDataColumn 4" xfId="118" xr:uid="{00000000-0005-0000-0000-000011010000}"/>
    <cellStyle name="InputDataColumn 5" xfId="111" xr:uid="{00000000-0005-0000-0000-000012010000}"/>
    <cellStyle name="InputDataColumn 6" xfId="144" xr:uid="{00000000-0005-0000-0000-000013010000}"/>
    <cellStyle name="InputDataColumn 7" xfId="154" xr:uid="{00000000-0005-0000-0000-000014010000}"/>
    <cellStyle name="InputDataRow" xfId="53" xr:uid="{00000000-0005-0000-0000-000015010000}"/>
    <cellStyle name="InputDataRow 2" xfId="122" xr:uid="{00000000-0005-0000-0000-000016010000}"/>
    <cellStyle name="InputDataRow 3" xfId="114" xr:uid="{00000000-0005-0000-0000-000017010000}"/>
    <cellStyle name="InputDataRow 4" xfId="119" xr:uid="{00000000-0005-0000-0000-000018010000}"/>
    <cellStyle name="InputDataRow 5" xfId="110" xr:uid="{00000000-0005-0000-0000-000019010000}"/>
    <cellStyle name="InputDataRow 6" xfId="145" xr:uid="{00000000-0005-0000-0000-00001A010000}"/>
    <cellStyle name="InputDataRow 7" xfId="155" xr:uid="{00000000-0005-0000-0000-00001B010000}"/>
    <cellStyle name="InputLabel" xfId="54" xr:uid="{00000000-0005-0000-0000-00001C010000}"/>
    <cellStyle name="InputLabelColumn" xfId="55" xr:uid="{00000000-0005-0000-0000-00001D010000}"/>
    <cellStyle name="InputLabelRow" xfId="56" xr:uid="{00000000-0005-0000-0000-00001E010000}"/>
    <cellStyle name="InputLabelTop" xfId="57" xr:uid="{00000000-0005-0000-0000-00001F010000}"/>
    <cellStyle name="IntermediateData" xfId="58" xr:uid="{00000000-0005-0000-0000-000020010000}"/>
    <cellStyle name="IntermediateDataColumn" xfId="59" xr:uid="{00000000-0005-0000-0000-000021010000}"/>
    <cellStyle name="IntermediateDataRow" xfId="60" xr:uid="{00000000-0005-0000-0000-000022010000}"/>
    <cellStyle name="IntermediateLabel" xfId="61" xr:uid="{00000000-0005-0000-0000-000023010000}"/>
    <cellStyle name="IntermediateLabelColumn" xfId="62" xr:uid="{00000000-0005-0000-0000-000024010000}"/>
    <cellStyle name="IntermediateLabelRow" xfId="63" xr:uid="{00000000-0005-0000-0000-000025010000}"/>
    <cellStyle name="InvalidCell" xfId="64" xr:uid="{00000000-0005-0000-0000-000026010000}"/>
    <cellStyle name="InvalidCell 2" xfId="123" xr:uid="{00000000-0005-0000-0000-000027010000}"/>
    <cellStyle name="InvalidCell 3" xfId="113" xr:uid="{00000000-0005-0000-0000-000028010000}"/>
    <cellStyle name="InvalidCell 4" xfId="124" xr:uid="{00000000-0005-0000-0000-000029010000}"/>
    <cellStyle name="InvalidCell 5" xfId="133" xr:uid="{00000000-0005-0000-0000-00002A010000}"/>
    <cellStyle name="InvalidCell 6" xfId="146" xr:uid="{00000000-0005-0000-0000-00002B010000}"/>
    <cellStyle name="InvalidCell 7" xfId="156" xr:uid="{00000000-0005-0000-0000-00002C010000}"/>
    <cellStyle name="Issuer" xfId="339" xr:uid="{00000000-0005-0000-0000-00002D010000}"/>
    <cellStyle name="Linked Cell" xfId="65" builtinId="24" customBuiltin="1"/>
    <cellStyle name="Linked Cell 2" xfId="569" xr:uid="{00000000-0005-0000-0000-00002F010000}"/>
    <cellStyle name="Maturity" xfId="340" xr:uid="{00000000-0005-0000-0000-000030010000}"/>
    <cellStyle name="Milliers [0]_Open&amp;Close" xfId="341" xr:uid="{00000000-0005-0000-0000-000031010000}"/>
    <cellStyle name="Milliers_Open&amp;Close" xfId="342" xr:uid="{00000000-0005-0000-0000-000032010000}"/>
    <cellStyle name="Monétaire [0]_Open&amp;Close" xfId="343" xr:uid="{00000000-0005-0000-0000-000033010000}"/>
    <cellStyle name="Monétaire_Open&amp;Close" xfId="344" xr:uid="{00000000-0005-0000-0000-000034010000}"/>
    <cellStyle name="Month" xfId="345" xr:uid="{00000000-0005-0000-0000-000035010000}"/>
    <cellStyle name="Neutral" xfId="66" builtinId="28" customBuiltin="1"/>
    <cellStyle name="Neutral 2" xfId="570" xr:uid="{00000000-0005-0000-0000-000037010000}"/>
    <cellStyle name="NewSheet" xfId="67" xr:uid="{00000000-0005-0000-0000-000038010000}"/>
    <cellStyle name="Normal" xfId="0" builtinId="0"/>
    <cellStyle name="Normal - Style1" xfId="68" xr:uid="{00000000-0005-0000-0000-00003A010000}"/>
    <cellStyle name="Normal 10" xfId="585" xr:uid="{00000000-0005-0000-0000-00003B010000}"/>
    <cellStyle name="Normal 11" xfId="346" xr:uid="{00000000-0005-0000-0000-00003C010000}"/>
    <cellStyle name="Normal 2" xfId="152" xr:uid="{00000000-0005-0000-0000-00003D010000}"/>
    <cellStyle name="Normal 2 10" xfId="348" xr:uid="{00000000-0005-0000-0000-00003E010000}"/>
    <cellStyle name="Normal 2 11" xfId="349" xr:uid="{00000000-0005-0000-0000-00003F010000}"/>
    <cellStyle name="Normal 2 12" xfId="350" xr:uid="{00000000-0005-0000-0000-000040010000}"/>
    <cellStyle name="Normal 2 13" xfId="351" xr:uid="{00000000-0005-0000-0000-000041010000}"/>
    <cellStyle name="Normal 2 14" xfId="352" xr:uid="{00000000-0005-0000-0000-000042010000}"/>
    <cellStyle name="Normal 2 15" xfId="353" xr:uid="{00000000-0005-0000-0000-000043010000}"/>
    <cellStyle name="Normal 2 16" xfId="354" xr:uid="{00000000-0005-0000-0000-000044010000}"/>
    <cellStyle name="Normal 2 17" xfId="355" xr:uid="{00000000-0005-0000-0000-000045010000}"/>
    <cellStyle name="Normal 2 18" xfId="356" xr:uid="{00000000-0005-0000-0000-000046010000}"/>
    <cellStyle name="Normal 2 19" xfId="357" xr:uid="{00000000-0005-0000-0000-000047010000}"/>
    <cellStyle name="Normal 2 2" xfId="347" xr:uid="{00000000-0005-0000-0000-000048010000}"/>
    <cellStyle name="Normal 2 20" xfId="358" xr:uid="{00000000-0005-0000-0000-000049010000}"/>
    <cellStyle name="Normal 2 21" xfId="359" xr:uid="{00000000-0005-0000-0000-00004A010000}"/>
    <cellStyle name="Normal 2 22" xfId="360" xr:uid="{00000000-0005-0000-0000-00004B010000}"/>
    <cellStyle name="Normal 2 23" xfId="361" xr:uid="{00000000-0005-0000-0000-00004C010000}"/>
    <cellStyle name="Normal 2 24" xfId="362" xr:uid="{00000000-0005-0000-0000-00004D010000}"/>
    <cellStyle name="Normal 2 25" xfId="363" xr:uid="{00000000-0005-0000-0000-00004E010000}"/>
    <cellStyle name="Normal 2 26" xfId="364" xr:uid="{00000000-0005-0000-0000-00004F010000}"/>
    <cellStyle name="Normal 2 27" xfId="365" xr:uid="{00000000-0005-0000-0000-000050010000}"/>
    <cellStyle name="Normal 2 28" xfId="366" xr:uid="{00000000-0005-0000-0000-000051010000}"/>
    <cellStyle name="Normal 2 29" xfId="367" xr:uid="{00000000-0005-0000-0000-000052010000}"/>
    <cellStyle name="Normal 2 3" xfId="368" xr:uid="{00000000-0005-0000-0000-000053010000}"/>
    <cellStyle name="Normal 2 30" xfId="369" xr:uid="{00000000-0005-0000-0000-000054010000}"/>
    <cellStyle name="Normal 2 31" xfId="370" xr:uid="{00000000-0005-0000-0000-000055010000}"/>
    <cellStyle name="Normal 2 32" xfId="371" xr:uid="{00000000-0005-0000-0000-000056010000}"/>
    <cellStyle name="Normal 2 33" xfId="372" xr:uid="{00000000-0005-0000-0000-000057010000}"/>
    <cellStyle name="Normal 2 34" xfId="373" xr:uid="{00000000-0005-0000-0000-000058010000}"/>
    <cellStyle name="Normal 2 35" xfId="374" xr:uid="{00000000-0005-0000-0000-000059010000}"/>
    <cellStyle name="Normal 2 36" xfId="375" xr:uid="{00000000-0005-0000-0000-00005A010000}"/>
    <cellStyle name="Normal 2 37" xfId="376" xr:uid="{00000000-0005-0000-0000-00005B010000}"/>
    <cellStyle name="Normal 2 38" xfId="377" xr:uid="{00000000-0005-0000-0000-00005C010000}"/>
    <cellStyle name="Normal 2 39" xfId="378" xr:uid="{00000000-0005-0000-0000-00005D010000}"/>
    <cellStyle name="Normal 2 4" xfId="379" xr:uid="{00000000-0005-0000-0000-00005E010000}"/>
    <cellStyle name="Normal 2 40" xfId="380" xr:uid="{00000000-0005-0000-0000-00005F010000}"/>
    <cellStyle name="Normal 2 41" xfId="381" xr:uid="{00000000-0005-0000-0000-000060010000}"/>
    <cellStyle name="Normal 2 42" xfId="382" xr:uid="{00000000-0005-0000-0000-000061010000}"/>
    <cellStyle name="Normal 2 43" xfId="383" xr:uid="{00000000-0005-0000-0000-000062010000}"/>
    <cellStyle name="Normal 2 5" xfId="384" xr:uid="{00000000-0005-0000-0000-000063010000}"/>
    <cellStyle name="Normal 2 6" xfId="385" xr:uid="{00000000-0005-0000-0000-000064010000}"/>
    <cellStyle name="Normal 2 7" xfId="386" xr:uid="{00000000-0005-0000-0000-000065010000}"/>
    <cellStyle name="Normal 2 8" xfId="387" xr:uid="{00000000-0005-0000-0000-000066010000}"/>
    <cellStyle name="Normal 2 9" xfId="388" xr:uid="{00000000-0005-0000-0000-000067010000}"/>
    <cellStyle name="Normal 3" xfId="162" xr:uid="{00000000-0005-0000-0000-000068010000}"/>
    <cellStyle name="Normal 4" xfId="531" xr:uid="{00000000-0005-0000-0000-000069010000}"/>
    <cellStyle name="Normal 4 2" xfId="389" xr:uid="{00000000-0005-0000-0000-00006A010000}"/>
    <cellStyle name="Normal 5" xfId="390" xr:uid="{00000000-0005-0000-0000-00006B010000}"/>
    <cellStyle name="Normal 6" xfId="391" xr:uid="{00000000-0005-0000-0000-00006C010000}"/>
    <cellStyle name="Normal 7" xfId="532" xr:uid="{00000000-0005-0000-0000-00006D010000}"/>
    <cellStyle name="Normal 7 2" xfId="584" xr:uid="{00000000-0005-0000-0000-00006E010000}"/>
    <cellStyle name="Normal 7 2 2" xfId="593" xr:uid="{00000000-0005-0000-0000-00006F010000}"/>
    <cellStyle name="Normal 7 3" xfId="586" xr:uid="{00000000-0005-0000-0000-000070010000}"/>
    <cellStyle name="Normal 8" xfId="579" xr:uid="{00000000-0005-0000-0000-000071010000}"/>
    <cellStyle name="Normal 8 2" xfId="589" xr:uid="{00000000-0005-0000-0000-000072010000}"/>
    <cellStyle name="Normal 9" xfId="582" xr:uid="{00000000-0005-0000-0000-000073010000}"/>
    <cellStyle name="Normal 9 2" xfId="592" xr:uid="{00000000-0005-0000-0000-000074010000}"/>
    <cellStyle name="Normal_CurveCalQ - Publisher" xfId="69" xr:uid="{00000000-0005-0000-0000-000075010000}"/>
    <cellStyle name="Normal_Models" xfId="70" xr:uid="{00000000-0005-0000-0000-000076010000}"/>
    <cellStyle name="Normal_Sheet1" xfId="71" xr:uid="{00000000-0005-0000-0000-000077010000}"/>
    <cellStyle name="Normal_Sheet1 2" xfId="72" xr:uid="{00000000-0005-0000-0000-000078010000}"/>
    <cellStyle name="Note" xfId="73" builtinId="10" customBuiltin="1"/>
    <cellStyle name="Note 2" xfId="571" xr:uid="{00000000-0005-0000-0000-00007A010000}"/>
    <cellStyle name="ObjectDataColumn" xfId="74" xr:uid="{00000000-0005-0000-0000-00007B010000}"/>
    <cellStyle name="ObjectDataRow" xfId="75" xr:uid="{00000000-0005-0000-0000-00007C010000}"/>
    <cellStyle name="ObjectLabelColumn" xfId="76" xr:uid="{00000000-0005-0000-0000-00007D010000}"/>
    <cellStyle name="ObjectLabelRow" xfId="77" xr:uid="{00000000-0005-0000-0000-00007E010000}"/>
    <cellStyle name="Output" xfId="78" builtinId="21" customBuiltin="1"/>
    <cellStyle name="Output 2" xfId="572" xr:uid="{00000000-0005-0000-0000-000080010000}"/>
    <cellStyle name="OutputData" xfId="79" xr:uid="{00000000-0005-0000-0000-000081010000}"/>
    <cellStyle name="OutputData 2" xfId="125" xr:uid="{00000000-0005-0000-0000-000082010000}"/>
    <cellStyle name="OutputData 3" xfId="109" xr:uid="{00000000-0005-0000-0000-000083010000}"/>
    <cellStyle name="OutputData 4" xfId="128" xr:uid="{00000000-0005-0000-0000-000084010000}"/>
    <cellStyle name="OutputData 5" xfId="138" xr:uid="{00000000-0005-0000-0000-000085010000}"/>
    <cellStyle name="OutputData 6" xfId="147" xr:uid="{00000000-0005-0000-0000-000086010000}"/>
    <cellStyle name="OutputData 7" xfId="157" xr:uid="{00000000-0005-0000-0000-000087010000}"/>
    <cellStyle name="OutputDataColumn" xfId="80" xr:uid="{00000000-0005-0000-0000-000088010000}"/>
    <cellStyle name="OutputDataColumn 2" xfId="126" xr:uid="{00000000-0005-0000-0000-000089010000}"/>
    <cellStyle name="OutputDataColumn 3" xfId="108" xr:uid="{00000000-0005-0000-0000-00008A010000}"/>
    <cellStyle name="OutputDataColumn 4" xfId="129" xr:uid="{00000000-0005-0000-0000-00008B010000}"/>
    <cellStyle name="OutputDataColumn 5" xfId="139" xr:uid="{00000000-0005-0000-0000-00008C010000}"/>
    <cellStyle name="OutputDataColumn 6" xfId="148" xr:uid="{00000000-0005-0000-0000-00008D010000}"/>
    <cellStyle name="OutputDataColumn 7" xfId="158" xr:uid="{00000000-0005-0000-0000-00008E010000}"/>
    <cellStyle name="OutputDataRow" xfId="81" xr:uid="{00000000-0005-0000-0000-00008F010000}"/>
    <cellStyle name="OutputDataRow 2" xfId="127" xr:uid="{00000000-0005-0000-0000-000090010000}"/>
    <cellStyle name="OutputDataRow 3" xfId="107" xr:uid="{00000000-0005-0000-0000-000091010000}"/>
    <cellStyle name="OutputDataRow 4" xfId="130" xr:uid="{00000000-0005-0000-0000-000092010000}"/>
    <cellStyle name="OutputDataRow 5" xfId="140" xr:uid="{00000000-0005-0000-0000-000093010000}"/>
    <cellStyle name="OutputDataRow 6" xfId="149" xr:uid="{00000000-0005-0000-0000-000094010000}"/>
    <cellStyle name="OutputDataRow 7" xfId="159" xr:uid="{00000000-0005-0000-0000-000095010000}"/>
    <cellStyle name="OutputLabel" xfId="82" xr:uid="{00000000-0005-0000-0000-000096010000}"/>
    <cellStyle name="OutputLabelColumn" xfId="83" xr:uid="{00000000-0005-0000-0000-000097010000}"/>
    <cellStyle name="OutputLabelRow" xfId="84" xr:uid="{00000000-0005-0000-0000-000098010000}"/>
    <cellStyle name="PanelLabel" xfId="85" xr:uid="{00000000-0005-0000-0000-000099010000}"/>
    <cellStyle name="Percent" xfId="86" builtinId="5"/>
    <cellStyle name="Percent ()" xfId="392" xr:uid="{00000000-0005-0000-0000-00009B010000}"/>
    <cellStyle name="Percent () 10" xfId="393" xr:uid="{00000000-0005-0000-0000-00009C010000}"/>
    <cellStyle name="Percent () 11" xfId="394" xr:uid="{00000000-0005-0000-0000-00009D010000}"/>
    <cellStyle name="Percent () 12" xfId="395" xr:uid="{00000000-0005-0000-0000-00009E010000}"/>
    <cellStyle name="Percent () 13" xfId="396" xr:uid="{00000000-0005-0000-0000-00009F010000}"/>
    <cellStyle name="Percent () 14" xfId="397" xr:uid="{00000000-0005-0000-0000-0000A0010000}"/>
    <cellStyle name="Percent () 15" xfId="398" xr:uid="{00000000-0005-0000-0000-0000A1010000}"/>
    <cellStyle name="Percent () 16" xfId="399" xr:uid="{00000000-0005-0000-0000-0000A2010000}"/>
    <cellStyle name="Percent () 17" xfId="400" xr:uid="{00000000-0005-0000-0000-0000A3010000}"/>
    <cellStyle name="Percent () 18" xfId="401" xr:uid="{00000000-0005-0000-0000-0000A4010000}"/>
    <cellStyle name="Percent () 19" xfId="402" xr:uid="{00000000-0005-0000-0000-0000A5010000}"/>
    <cellStyle name="Percent () 2" xfId="403" xr:uid="{00000000-0005-0000-0000-0000A6010000}"/>
    <cellStyle name="Percent () 20" xfId="404" xr:uid="{00000000-0005-0000-0000-0000A7010000}"/>
    <cellStyle name="Percent () 21" xfId="405" xr:uid="{00000000-0005-0000-0000-0000A8010000}"/>
    <cellStyle name="Percent () 22" xfId="406" xr:uid="{00000000-0005-0000-0000-0000A9010000}"/>
    <cellStyle name="Percent () 23" xfId="407" xr:uid="{00000000-0005-0000-0000-0000AA010000}"/>
    <cellStyle name="Percent () 24" xfId="408" xr:uid="{00000000-0005-0000-0000-0000AB010000}"/>
    <cellStyle name="Percent () 25" xfId="409" xr:uid="{00000000-0005-0000-0000-0000AC010000}"/>
    <cellStyle name="Percent () 26" xfId="410" xr:uid="{00000000-0005-0000-0000-0000AD010000}"/>
    <cellStyle name="Percent () 27" xfId="411" xr:uid="{00000000-0005-0000-0000-0000AE010000}"/>
    <cellStyle name="Percent () 28" xfId="412" xr:uid="{00000000-0005-0000-0000-0000AF010000}"/>
    <cellStyle name="Percent () 29" xfId="413" xr:uid="{00000000-0005-0000-0000-0000B0010000}"/>
    <cellStyle name="Percent () 3" xfId="414" xr:uid="{00000000-0005-0000-0000-0000B1010000}"/>
    <cellStyle name="Percent () 30" xfId="415" xr:uid="{00000000-0005-0000-0000-0000B2010000}"/>
    <cellStyle name="Percent () 31" xfId="416" xr:uid="{00000000-0005-0000-0000-0000B3010000}"/>
    <cellStyle name="Percent () 32" xfId="417" xr:uid="{00000000-0005-0000-0000-0000B4010000}"/>
    <cellStyle name="Percent () 33" xfId="418" xr:uid="{00000000-0005-0000-0000-0000B5010000}"/>
    <cellStyle name="Percent () 34" xfId="419" xr:uid="{00000000-0005-0000-0000-0000B6010000}"/>
    <cellStyle name="Percent () 35" xfId="420" xr:uid="{00000000-0005-0000-0000-0000B7010000}"/>
    <cellStyle name="Percent () 36" xfId="421" xr:uid="{00000000-0005-0000-0000-0000B8010000}"/>
    <cellStyle name="Percent () 37" xfId="422" xr:uid="{00000000-0005-0000-0000-0000B9010000}"/>
    <cellStyle name="Percent () 38" xfId="423" xr:uid="{00000000-0005-0000-0000-0000BA010000}"/>
    <cellStyle name="Percent () 39" xfId="424" xr:uid="{00000000-0005-0000-0000-0000BB010000}"/>
    <cellStyle name="Percent () 4" xfId="425" xr:uid="{00000000-0005-0000-0000-0000BC010000}"/>
    <cellStyle name="Percent () 40" xfId="426" xr:uid="{00000000-0005-0000-0000-0000BD010000}"/>
    <cellStyle name="Percent () 41" xfId="427" xr:uid="{00000000-0005-0000-0000-0000BE010000}"/>
    <cellStyle name="Percent () 42" xfId="428" xr:uid="{00000000-0005-0000-0000-0000BF010000}"/>
    <cellStyle name="Percent () 43" xfId="429" xr:uid="{00000000-0005-0000-0000-0000C0010000}"/>
    <cellStyle name="Percent () 44" xfId="430" xr:uid="{00000000-0005-0000-0000-0000C1010000}"/>
    <cellStyle name="Percent () 5" xfId="431" xr:uid="{00000000-0005-0000-0000-0000C2010000}"/>
    <cellStyle name="Percent () 6" xfId="432" xr:uid="{00000000-0005-0000-0000-0000C3010000}"/>
    <cellStyle name="Percent () 7" xfId="433" xr:uid="{00000000-0005-0000-0000-0000C4010000}"/>
    <cellStyle name="Percent () 8" xfId="434" xr:uid="{00000000-0005-0000-0000-0000C5010000}"/>
    <cellStyle name="Percent () 9" xfId="435" xr:uid="{00000000-0005-0000-0000-0000C6010000}"/>
    <cellStyle name="Percent 1" xfId="436" xr:uid="{00000000-0005-0000-0000-0000C7010000}"/>
    <cellStyle name="Percent 2" xfId="437" xr:uid="{00000000-0005-0000-0000-0000C8010000}"/>
    <cellStyle name="Percent 2 2" xfId="573" xr:uid="{00000000-0005-0000-0000-0000C9010000}"/>
    <cellStyle name="Percent 2 3" xfId="578" xr:uid="{00000000-0005-0000-0000-0000CA010000}"/>
    <cellStyle name="Percent 3" xfId="533" xr:uid="{00000000-0005-0000-0000-0000CB010000}"/>
    <cellStyle name="Percent 3 2" xfId="583" xr:uid="{00000000-0005-0000-0000-0000CC010000}"/>
    <cellStyle name="Percent 3 3" xfId="587" xr:uid="{00000000-0005-0000-0000-0000CD010000}"/>
    <cellStyle name="Percent 4" xfId="580" xr:uid="{00000000-0005-0000-0000-0000CE010000}"/>
    <cellStyle name="Percent 4 2" xfId="590" xr:uid="{00000000-0005-0000-0000-0000CF010000}"/>
    <cellStyle name="Percent 5" xfId="581" xr:uid="{00000000-0005-0000-0000-0000D0010000}"/>
    <cellStyle name="Percent 5 2" xfId="591" xr:uid="{00000000-0005-0000-0000-0000D1010000}"/>
    <cellStyle name="PersonalDataColumn" xfId="87" xr:uid="{00000000-0005-0000-0000-0000D2010000}"/>
    <cellStyle name="PersonalDataRow" xfId="88" xr:uid="{00000000-0005-0000-0000-0000D3010000}"/>
    <cellStyle name="PersonalLabelColumn" xfId="89" xr:uid="{00000000-0005-0000-0000-0000D4010000}"/>
    <cellStyle name="PersonalLabelRow" xfId="90" xr:uid="{00000000-0005-0000-0000-0000D5010000}"/>
    <cellStyle name="result" xfId="91" xr:uid="{00000000-0005-0000-0000-0000D6010000}"/>
    <cellStyle name="RowHead" xfId="92" xr:uid="{00000000-0005-0000-0000-0000D7010000}"/>
    <cellStyle name="spreads" xfId="93" xr:uid="{00000000-0005-0000-0000-0000D8010000}"/>
    <cellStyle name="Style 1" xfId="94" xr:uid="{00000000-0005-0000-0000-0000D9010000}"/>
    <cellStyle name="Sum" xfId="438" xr:uid="{00000000-0005-0000-0000-0000DA010000}"/>
    <cellStyle name="Sum %of HV" xfId="439" xr:uid="{00000000-0005-0000-0000-0000DB010000}"/>
    <cellStyle name="swaptn" xfId="95" xr:uid="{00000000-0005-0000-0000-0000DC010000}"/>
    <cellStyle name="TableDataColumn" xfId="96" xr:uid="{00000000-0005-0000-0000-0000DD010000}"/>
    <cellStyle name="TableDataColumn 2" xfId="131" xr:uid="{00000000-0005-0000-0000-0000DE010000}"/>
    <cellStyle name="TableDataColumn 3" xfId="134" xr:uid="{00000000-0005-0000-0000-0000DF010000}"/>
    <cellStyle name="TableDataColumn 4" xfId="136" xr:uid="{00000000-0005-0000-0000-0000E0010000}"/>
    <cellStyle name="TableDataColumn 5" xfId="141" xr:uid="{00000000-0005-0000-0000-0000E1010000}"/>
    <cellStyle name="TableDataColumn 6" xfId="150" xr:uid="{00000000-0005-0000-0000-0000E2010000}"/>
    <cellStyle name="TableDataColumn 7" xfId="160" xr:uid="{00000000-0005-0000-0000-0000E3010000}"/>
    <cellStyle name="TableDataRow" xfId="97" xr:uid="{00000000-0005-0000-0000-0000E4010000}"/>
    <cellStyle name="TableDataRow 2" xfId="132" xr:uid="{00000000-0005-0000-0000-0000E5010000}"/>
    <cellStyle name="TableDataRow 3" xfId="135" xr:uid="{00000000-0005-0000-0000-0000E6010000}"/>
    <cellStyle name="TableDataRow 4" xfId="137" xr:uid="{00000000-0005-0000-0000-0000E7010000}"/>
    <cellStyle name="TableDataRow 5" xfId="142" xr:uid="{00000000-0005-0000-0000-0000E8010000}"/>
    <cellStyle name="TableDataRow 6" xfId="151" xr:uid="{00000000-0005-0000-0000-0000E9010000}"/>
    <cellStyle name="TableDataRow 7" xfId="161" xr:uid="{00000000-0005-0000-0000-0000EA010000}"/>
    <cellStyle name="TableHead" xfId="98" xr:uid="{00000000-0005-0000-0000-0000EB010000}"/>
    <cellStyle name="TableLabelColumn" xfId="99" xr:uid="{00000000-0005-0000-0000-0000EC010000}"/>
    <cellStyle name="TableLabelRow" xfId="100" xr:uid="{00000000-0005-0000-0000-0000ED010000}"/>
    <cellStyle name="TableLabelTop" xfId="101" xr:uid="{00000000-0005-0000-0000-0000EE010000}"/>
    <cellStyle name="time" xfId="440" xr:uid="{00000000-0005-0000-0000-0000EF010000}"/>
    <cellStyle name="Title" xfId="102" builtinId="15" customBuiltin="1"/>
    <cellStyle name="Title 2" xfId="574" xr:uid="{00000000-0005-0000-0000-0000F1010000}"/>
    <cellStyle name="Total" xfId="103" builtinId="25" customBuiltin="1"/>
    <cellStyle name="Total 2" xfId="575" xr:uid="{00000000-0005-0000-0000-0000F3010000}"/>
    <cellStyle name="Underline 2" xfId="441" xr:uid="{00000000-0005-0000-0000-0000F4010000}"/>
    <cellStyle name="Warning Text" xfId="104" builtinId="11" customBuiltin="1"/>
    <cellStyle name="Warning Text 2" xfId="576" xr:uid="{00000000-0005-0000-0000-0000F6010000}"/>
    <cellStyle name="Year" xfId="442" xr:uid="{00000000-0005-0000-0000-0000F7010000}"/>
    <cellStyle name="Year 10" xfId="443" xr:uid="{00000000-0005-0000-0000-0000F8010000}"/>
    <cellStyle name="Year 11" xfId="444" xr:uid="{00000000-0005-0000-0000-0000F9010000}"/>
    <cellStyle name="Year 12" xfId="445" xr:uid="{00000000-0005-0000-0000-0000FA010000}"/>
    <cellStyle name="Year 13" xfId="446" xr:uid="{00000000-0005-0000-0000-0000FB010000}"/>
    <cellStyle name="Year 14" xfId="447" xr:uid="{00000000-0005-0000-0000-0000FC010000}"/>
    <cellStyle name="Year 15" xfId="448" xr:uid="{00000000-0005-0000-0000-0000FD010000}"/>
    <cellStyle name="Year 16" xfId="449" xr:uid="{00000000-0005-0000-0000-0000FE010000}"/>
    <cellStyle name="Year 17" xfId="450" xr:uid="{00000000-0005-0000-0000-0000FF010000}"/>
    <cellStyle name="Year 18" xfId="451" xr:uid="{00000000-0005-0000-0000-000000020000}"/>
    <cellStyle name="Year 19" xfId="452" xr:uid="{00000000-0005-0000-0000-000001020000}"/>
    <cellStyle name="Year 2" xfId="453" xr:uid="{00000000-0005-0000-0000-000002020000}"/>
    <cellStyle name="Year 2 10" xfId="454" xr:uid="{00000000-0005-0000-0000-000003020000}"/>
    <cellStyle name="Year 2 11" xfId="455" xr:uid="{00000000-0005-0000-0000-000004020000}"/>
    <cellStyle name="Year 2 12" xfId="456" xr:uid="{00000000-0005-0000-0000-000005020000}"/>
    <cellStyle name="Year 2 13" xfId="457" xr:uid="{00000000-0005-0000-0000-000006020000}"/>
    <cellStyle name="Year 2 14" xfId="458" xr:uid="{00000000-0005-0000-0000-000007020000}"/>
    <cellStyle name="Year 2 15" xfId="459" xr:uid="{00000000-0005-0000-0000-000008020000}"/>
    <cellStyle name="Year 2 16" xfId="460" xr:uid="{00000000-0005-0000-0000-000009020000}"/>
    <cellStyle name="Year 2 17" xfId="461" xr:uid="{00000000-0005-0000-0000-00000A020000}"/>
    <cellStyle name="Year 2 18" xfId="462" xr:uid="{00000000-0005-0000-0000-00000B020000}"/>
    <cellStyle name="Year 2 19" xfId="463" xr:uid="{00000000-0005-0000-0000-00000C020000}"/>
    <cellStyle name="Year 2 2" xfId="464" xr:uid="{00000000-0005-0000-0000-00000D020000}"/>
    <cellStyle name="Year 2 20" xfId="465" xr:uid="{00000000-0005-0000-0000-00000E020000}"/>
    <cellStyle name="Year 2 21" xfId="466" xr:uid="{00000000-0005-0000-0000-00000F020000}"/>
    <cellStyle name="Year 2 22" xfId="467" xr:uid="{00000000-0005-0000-0000-000010020000}"/>
    <cellStyle name="Year 2 23" xfId="468" xr:uid="{00000000-0005-0000-0000-000011020000}"/>
    <cellStyle name="Year 2 24" xfId="469" xr:uid="{00000000-0005-0000-0000-000012020000}"/>
    <cellStyle name="Year 2 25" xfId="470" xr:uid="{00000000-0005-0000-0000-000013020000}"/>
    <cellStyle name="Year 2 26" xfId="471" xr:uid="{00000000-0005-0000-0000-000014020000}"/>
    <cellStyle name="Year 2 27" xfId="472" xr:uid="{00000000-0005-0000-0000-000015020000}"/>
    <cellStyle name="Year 2 28" xfId="473" xr:uid="{00000000-0005-0000-0000-000016020000}"/>
    <cellStyle name="Year 2 29" xfId="474" xr:uid="{00000000-0005-0000-0000-000017020000}"/>
    <cellStyle name="Year 2 3" xfId="475" xr:uid="{00000000-0005-0000-0000-000018020000}"/>
    <cellStyle name="Year 2 30" xfId="476" xr:uid="{00000000-0005-0000-0000-000019020000}"/>
    <cellStyle name="Year 2 31" xfId="477" xr:uid="{00000000-0005-0000-0000-00001A020000}"/>
    <cellStyle name="Year 2 32" xfId="478" xr:uid="{00000000-0005-0000-0000-00001B020000}"/>
    <cellStyle name="Year 2 33" xfId="479" xr:uid="{00000000-0005-0000-0000-00001C020000}"/>
    <cellStyle name="Year 2 34" xfId="480" xr:uid="{00000000-0005-0000-0000-00001D020000}"/>
    <cellStyle name="Year 2 35" xfId="481" xr:uid="{00000000-0005-0000-0000-00001E020000}"/>
    <cellStyle name="Year 2 36" xfId="482" xr:uid="{00000000-0005-0000-0000-00001F020000}"/>
    <cellStyle name="Year 2 37" xfId="483" xr:uid="{00000000-0005-0000-0000-000020020000}"/>
    <cellStyle name="Year 2 38" xfId="484" xr:uid="{00000000-0005-0000-0000-000021020000}"/>
    <cellStyle name="Year 2 39" xfId="485" xr:uid="{00000000-0005-0000-0000-000022020000}"/>
    <cellStyle name="Year 2 4" xfId="486" xr:uid="{00000000-0005-0000-0000-000023020000}"/>
    <cellStyle name="Year 2 40" xfId="487" xr:uid="{00000000-0005-0000-0000-000024020000}"/>
    <cellStyle name="Year 2 41" xfId="488" xr:uid="{00000000-0005-0000-0000-000025020000}"/>
    <cellStyle name="Year 2 42" xfId="489" xr:uid="{00000000-0005-0000-0000-000026020000}"/>
    <cellStyle name="Year 2 43" xfId="490" xr:uid="{00000000-0005-0000-0000-000027020000}"/>
    <cellStyle name="Year 2 5" xfId="491" xr:uid="{00000000-0005-0000-0000-000028020000}"/>
    <cellStyle name="Year 2 6" xfId="492" xr:uid="{00000000-0005-0000-0000-000029020000}"/>
    <cellStyle name="Year 2 7" xfId="493" xr:uid="{00000000-0005-0000-0000-00002A020000}"/>
    <cellStyle name="Year 2 8" xfId="494" xr:uid="{00000000-0005-0000-0000-00002B020000}"/>
    <cellStyle name="Year 2 9" xfId="495" xr:uid="{00000000-0005-0000-0000-00002C020000}"/>
    <cellStyle name="Year 20" xfId="496" xr:uid="{00000000-0005-0000-0000-00002D020000}"/>
    <cellStyle name="Year 21" xfId="497" xr:uid="{00000000-0005-0000-0000-00002E020000}"/>
    <cellStyle name="Year 22" xfId="498" xr:uid="{00000000-0005-0000-0000-00002F020000}"/>
    <cellStyle name="Year 23" xfId="499" xr:uid="{00000000-0005-0000-0000-000030020000}"/>
    <cellStyle name="Year 24" xfId="500" xr:uid="{00000000-0005-0000-0000-000031020000}"/>
    <cellStyle name="Year 25" xfId="501" xr:uid="{00000000-0005-0000-0000-000032020000}"/>
    <cellStyle name="Year 26" xfId="502" xr:uid="{00000000-0005-0000-0000-000033020000}"/>
    <cellStyle name="Year 27" xfId="503" xr:uid="{00000000-0005-0000-0000-000034020000}"/>
    <cellStyle name="Year 28" xfId="504" xr:uid="{00000000-0005-0000-0000-000035020000}"/>
    <cellStyle name="Year 29" xfId="505" xr:uid="{00000000-0005-0000-0000-000036020000}"/>
    <cellStyle name="Year 3" xfId="506" xr:uid="{00000000-0005-0000-0000-000037020000}"/>
    <cellStyle name="Year 30" xfId="507" xr:uid="{00000000-0005-0000-0000-000038020000}"/>
    <cellStyle name="Year 31" xfId="508" xr:uid="{00000000-0005-0000-0000-000039020000}"/>
    <cellStyle name="Year 32" xfId="509" xr:uid="{00000000-0005-0000-0000-00003A020000}"/>
    <cellStyle name="Year 33" xfId="510" xr:uid="{00000000-0005-0000-0000-00003B020000}"/>
    <cellStyle name="Year 34" xfId="511" xr:uid="{00000000-0005-0000-0000-00003C020000}"/>
    <cellStyle name="Year 35" xfId="512" xr:uid="{00000000-0005-0000-0000-00003D020000}"/>
    <cellStyle name="Year 36" xfId="513" xr:uid="{00000000-0005-0000-0000-00003E020000}"/>
    <cellStyle name="Year 37" xfId="514" xr:uid="{00000000-0005-0000-0000-00003F020000}"/>
    <cellStyle name="Year 38" xfId="515" xr:uid="{00000000-0005-0000-0000-000040020000}"/>
    <cellStyle name="Year 39" xfId="516" xr:uid="{00000000-0005-0000-0000-000041020000}"/>
    <cellStyle name="Year 4" xfId="517" xr:uid="{00000000-0005-0000-0000-000042020000}"/>
    <cellStyle name="Year 40" xfId="518" xr:uid="{00000000-0005-0000-0000-000043020000}"/>
    <cellStyle name="Year 41" xfId="519" xr:uid="{00000000-0005-0000-0000-000044020000}"/>
    <cellStyle name="Year 42" xfId="520" xr:uid="{00000000-0005-0000-0000-000045020000}"/>
    <cellStyle name="Year 43" xfId="521" xr:uid="{00000000-0005-0000-0000-000046020000}"/>
    <cellStyle name="Year 44" xfId="522" xr:uid="{00000000-0005-0000-0000-000047020000}"/>
    <cellStyle name="Year 45" xfId="523" xr:uid="{00000000-0005-0000-0000-000048020000}"/>
    <cellStyle name="Year 5" xfId="524" xr:uid="{00000000-0005-0000-0000-000049020000}"/>
    <cellStyle name="Year 6" xfId="525" xr:uid="{00000000-0005-0000-0000-00004A020000}"/>
    <cellStyle name="Year 7" xfId="526" xr:uid="{00000000-0005-0000-0000-00004B020000}"/>
    <cellStyle name="Year 8" xfId="527" xr:uid="{00000000-0005-0000-0000-00004C020000}"/>
    <cellStyle name="Year 9" xfId="528" xr:uid="{00000000-0005-0000-0000-00004D020000}"/>
    <cellStyle name="Yield3dp" xfId="529" xr:uid="{00000000-0005-0000-0000-00004E020000}"/>
    <cellStyle name="Yield4dp" xfId="530" xr:uid="{00000000-0005-0000-0000-00004F020000}"/>
    <cellStyle name="桁区切り_NewDemo" xfId="105" xr:uid="{00000000-0005-0000-0000-000050020000}"/>
    <cellStyle name="標準_NewDemo" xfId="106" xr:uid="{00000000-0005-0000-0000-00005102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59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Corporates!$W$38:$W$57</c:f>
              <c:numCache>
                <c:formatCode>0.00%</c:formatCode>
                <c:ptCount val="20"/>
                <c:pt idx="0">
                  <c:v>4.7791800513162563E-2</c:v>
                </c:pt>
                <c:pt idx="1">
                  <c:v>4.7791800513162563E-2</c:v>
                </c:pt>
                <c:pt idx="2">
                  <c:v>4.8374077918454716E-2</c:v>
                </c:pt>
                <c:pt idx="3">
                  <c:v>4.917590089179491E-2</c:v>
                </c:pt>
                <c:pt idx="4">
                  <c:v>4.9867168915731952E-2</c:v>
                </c:pt>
                <c:pt idx="5">
                  <c:v>4.9982378055328347E-2</c:v>
                </c:pt>
                <c:pt idx="6">
                  <c:v>5.0510026676209741E-2</c:v>
                </c:pt>
                <c:pt idx="7">
                  <c:v>5.0907678744707141E-2</c:v>
                </c:pt>
                <c:pt idx="8">
                  <c:v>5.134001157086221E-2</c:v>
                </c:pt>
                <c:pt idx="9">
                  <c:v>5.1680391430173778E-2</c:v>
                </c:pt>
                <c:pt idx="10">
                  <c:v>5.1980396713991794E-2</c:v>
                </c:pt>
                <c:pt idx="11">
                  <c:v>5.224921064315069E-2</c:v>
                </c:pt>
                <c:pt idx="12">
                  <c:v>5.2485242645560426E-2</c:v>
                </c:pt>
                <c:pt idx="13">
                  <c:v>5.3238296139693553E-2</c:v>
                </c:pt>
                <c:pt idx="14">
                  <c:v>5.4705046902417287E-2</c:v>
                </c:pt>
                <c:pt idx="15">
                  <c:v>5.5917618036484207E-2</c:v>
                </c:pt>
                <c:pt idx="16">
                  <c:v>5.6961439189751495E-2</c:v>
                </c:pt>
                <c:pt idx="17">
                  <c:v>5.7719863576596531E-2</c:v>
                </c:pt>
                <c:pt idx="18">
                  <c:v>5.8228660036789393E-2</c:v>
                </c:pt>
                <c:pt idx="19">
                  <c:v>5.85900042801617E-2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6C-4383-95C1-6ED94E14BC5D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6C-4383-95C1-6ED94E14BC5D}"/>
            </c:ext>
          </c:extLst>
        </c:ser>
        <c:ser>
          <c:idx val="2"/>
          <c:order val="2"/>
          <c:tx>
            <c:strRef>
              <c:f>Corporates!$AA$37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Corporates!$AA$38:$AA$57</c:f>
              <c:numCache>
                <c:formatCode>0.00%</c:formatCode>
                <c:ptCount val="20"/>
                <c:pt idx="0">
                  <c:v>4.7390266399819581E-2</c:v>
                </c:pt>
                <c:pt idx="1">
                  <c:v>4.7390266399819581E-2</c:v>
                </c:pt>
                <c:pt idx="2">
                  <c:v>4.7974164928027641E-2</c:v>
                </c:pt>
                <c:pt idx="3">
                  <c:v>4.8777485328528769E-2</c:v>
                </c:pt>
                <c:pt idx="4">
                  <c:v>4.9470449291340479E-2</c:v>
                </c:pt>
                <c:pt idx="5">
                  <c:v>4.9584996223221545E-2</c:v>
                </c:pt>
                <c:pt idx="6">
                  <c:v>5.0112959049242178E-2</c:v>
                </c:pt>
                <c:pt idx="7">
                  <c:v>5.0510730305689755E-2</c:v>
                </c:pt>
                <c:pt idx="8">
                  <c:v>5.09431513666323E-2</c:v>
                </c:pt>
                <c:pt idx="9">
                  <c:v>5.1283587607882986E-2</c:v>
                </c:pt>
                <c:pt idx="10">
                  <c:v>5.1583635538368533E-2</c:v>
                </c:pt>
                <c:pt idx="11">
                  <c:v>5.1852483615038913E-2</c:v>
                </c:pt>
                <c:pt idx="12">
                  <c:v>5.2088543542393673E-2</c:v>
                </c:pt>
                <c:pt idx="13">
                  <c:v>5.2841261121047367E-2</c:v>
                </c:pt>
                <c:pt idx="14">
                  <c:v>5.3673360165448436E-2</c:v>
                </c:pt>
                <c:pt idx="15">
                  <c:v>5.4893532580424065E-2</c:v>
                </c:pt>
                <c:pt idx="16">
                  <c:v>5.5941907075722774E-2</c:v>
                </c:pt>
                <c:pt idx="17">
                  <c:v>5.6703639788223903E-2</c:v>
                </c:pt>
                <c:pt idx="18">
                  <c:v>5.7215181012992389E-2</c:v>
                </c:pt>
                <c:pt idx="19">
                  <c:v>5.7578741123878174E-2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6C-4383-95C1-6ED94E14B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7344"/>
        <c:axId val="219998464"/>
      </c:scatterChart>
      <c:valAx>
        <c:axId val="21597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9998464"/>
        <c:crosses val="autoZero"/>
        <c:crossBetween val="midCat"/>
      </c:valAx>
      <c:valAx>
        <c:axId val="219998464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597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84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Corporates!$W$67:$W$81</c:f>
              <c:numCache>
                <c:formatCode>0.00%</c:formatCode>
                <c:ptCount val="15"/>
                <c:pt idx="0">
                  <c:v>4.9011800571614472E-2</c:v>
                </c:pt>
                <c:pt idx="1">
                  <c:v>4.9011800571614472E-2</c:v>
                </c:pt>
                <c:pt idx="2">
                  <c:v>4.9589068990944618E-2</c:v>
                </c:pt>
                <c:pt idx="3">
                  <c:v>5.0386268294581704E-2</c:v>
                </c:pt>
                <c:pt idx="4">
                  <c:v>5.1072302870907471E-2</c:v>
                </c:pt>
                <c:pt idx="5">
                  <c:v>5.1624307001248759E-2</c:v>
                </c:pt>
                <c:pt idx="6">
                  <c:v>5.2091926718487613E-2</c:v>
                </c:pt>
                <c:pt idx="7">
                  <c:v>5.324210445900146E-2</c:v>
                </c:pt>
                <c:pt idx="8">
                  <c:v>5.4003951017389973E-2</c:v>
                </c:pt>
                <c:pt idx="9">
                  <c:v>5.5147847913712411E-2</c:v>
                </c:pt>
                <c:pt idx="10">
                  <c:v>5.6310602929463549E-2</c:v>
                </c:pt>
                <c:pt idx="11">
                  <c:v>5.7330755804092526E-2</c:v>
                </c:pt>
                <c:pt idx="12">
                  <c:v>5.8063663866521509E-2</c:v>
                </c:pt>
                <c:pt idx="13">
                  <c:v>5.8566053209714752E-2</c:v>
                </c:pt>
                <c:pt idx="14">
                  <c:v>5.8919989073611845E-2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47-41A1-B33A-076970DBDC1C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47-41A1-B33A-076970DBDC1C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Corporates!$AA$67:$AA$81</c:f>
              <c:numCache>
                <c:formatCode>0.000%</c:formatCode>
                <c:ptCount val="15"/>
                <c:pt idx="0">
                  <c:v>4.7907504764808984E-2</c:v>
                </c:pt>
                <c:pt idx="1">
                  <c:v>4.7907504764808984E-2</c:v>
                </c:pt>
                <c:pt idx="2">
                  <c:v>4.8489312510011651E-2</c:v>
                </c:pt>
                <c:pt idx="3">
                  <c:v>4.9290701751501409E-2</c:v>
                </c:pt>
                <c:pt idx="4">
                  <c:v>4.9981478626570208E-2</c:v>
                </c:pt>
                <c:pt idx="5">
                  <c:v>5.0542097873574221E-2</c:v>
                </c:pt>
                <c:pt idx="6">
                  <c:v>5.1402277591284573E-2</c:v>
                </c:pt>
                <c:pt idx="7">
                  <c:v>5.2550251525389058E-2</c:v>
                </c:pt>
                <c:pt idx="8">
                  <c:v>5.3310872610412119E-2</c:v>
                </c:pt>
                <c:pt idx="9">
                  <c:v>5.4468245150426142E-2</c:v>
                </c:pt>
                <c:pt idx="10">
                  <c:v>5.5629607477117204E-2</c:v>
                </c:pt>
                <c:pt idx="11">
                  <c:v>5.6648413307640588E-2</c:v>
                </c:pt>
                <c:pt idx="12">
                  <c:v>5.7380290702544912E-2</c:v>
                </c:pt>
                <c:pt idx="13">
                  <c:v>5.7881952871364106E-2</c:v>
                </c:pt>
                <c:pt idx="14">
                  <c:v>5.8235346551350098E-2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47-41A1-B33A-076970DBD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8672"/>
        <c:axId val="225800192"/>
      </c:scatterChart>
      <c:valAx>
        <c:axId val="2257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800192"/>
        <c:crosses val="autoZero"/>
        <c:crossBetween val="midCat"/>
      </c:valAx>
      <c:valAx>
        <c:axId val="2258001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578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Corporates!$W$66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Corporates!$V$92:$V$106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Corporates!$W$92:$W$106</c:f>
              <c:numCache>
                <c:formatCode>0.00%</c:formatCode>
                <c:ptCount val="15"/>
                <c:pt idx="0">
                  <c:v>4.7992572423368962E-2</c:v>
                </c:pt>
                <c:pt idx="1">
                  <c:v>4.7992572423368962E-2</c:v>
                </c:pt>
                <c:pt idx="2">
                  <c:v>4.8574034146088962E-2</c:v>
                </c:pt>
                <c:pt idx="3">
                  <c:v>4.9962977124762276E-2</c:v>
                </c:pt>
                <c:pt idx="4">
                  <c:v>5.1046374709484255E-2</c:v>
                </c:pt>
                <c:pt idx="5">
                  <c:v>5.1686417817203179E-2</c:v>
                </c:pt>
                <c:pt idx="6">
                  <c:v>5.0172909580016523E-2</c:v>
                </c:pt>
                <c:pt idx="7">
                  <c:v>5.1257305172788037E-2</c:v>
                </c:pt>
                <c:pt idx="8">
                  <c:v>5.2022852304965284E-2</c:v>
                </c:pt>
                <c:pt idx="9">
                  <c:v>5.3490235214357362E-2</c:v>
                </c:pt>
                <c:pt idx="10">
                  <c:v>5.4730460426251959E-2</c:v>
                </c:pt>
                <c:pt idx="11">
                  <c:v>5.5830922550912376E-2</c:v>
                </c:pt>
                <c:pt idx="12">
                  <c:v>5.6647367562115747E-2</c:v>
                </c:pt>
                <c:pt idx="13">
                  <c:v>5.7205488048468034E-2</c:v>
                </c:pt>
                <c:pt idx="14">
                  <c:v>5.7617568568769428E-2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4-498E-A233-4F02AE183B5B}"/>
            </c:ext>
          </c:extLst>
        </c:ser>
        <c:ser>
          <c:idx val="1"/>
          <c:order val="1"/>
          <c:tx>
            <c:strRef>
              <c:f>Corporates!$Y$37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Corporates!$X$92:$X$106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4-498E-A233-4F02AE183B5B}"/>
            </c:ext>
          </c:extLst>
        </c:ser>
        <c:ser>
          <c:idx val="2"/>
          <c:order val="2"/>
          <c:tx>
            <c:strRef>
              <c:f>Corporates!$AA$66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Corporates!$Z$92:$Z$106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Corporates!$AA$92:$AA$106</c:f>
              <c:numCache>
                <c:formatCode>0.000%</c:formatCode>
                <c:ptCount val="15"/>
                <c:pt idx="0">
                  <c:v>4.6888366958601324E-2</c:v>
                </c:pt>
                <c:pt idx="1">
                  <c:v>4.6888366958601324E-2</c:v>
                </c:pt>
                <c:pt idx="2">
                  <c:v>4.7474272686810259E-2</c:v>
                </c:pt>
                <c:pt idx="3">
                  <c:v>4.8867374840482647E-2</c:v>
                </c:pt>
                <c:pt idx="4">
                  <c:v>4.9955548681693607E-2</c:v>
                </c:pt>
                <c:pt idx="5">
                  <c:v>5.0604239832259701E-2</c:v>
                </c:pt>
                <c:pt idx="6">
                  <c:v>4.948096160901283E-2</c:v>
                </c:pt>
                <c:pt idx="7">
                  <c:v>5.0562966077453808E-2</c:v>
                </c:pt>
                <c:pt idx="8">
                  <c:v>5.1327185425020794E-2</c:v>
                </c:pt>
                <c:pt idx="9">
                  <c:v>5.2160574599248832E-2</c:v>
                </c:pt>
                <c:pt idx="10">
                  <c:v>5.3407147863826943E-2</c:v>
                </c:pt>
                <c:pt idx="11">
                  <c:v>5.4510958298388701E-2</c:v>
                </c:pt>
                <c:pt idx="12">
                  <c:v>5.5329725334567037E-2</c:v>
                </c:pt>
                <c:pt idx="13">
                  <c:v>5.5889857988802305E-2</c:v>
                </c:pt>
                <c:pt idx="14">
                  <c:v>5.6303524701864838E-2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A4-498E-A233-4F02AE183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13216"/>
        <c:axId val="227115008"/>
      </c:scatterChart>
      <c:valAx>
        <c:axId val="22711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115008"/>
        <c:crosses val="autoZero"/>
        <c:crossBetween val="midCat"/>
      </c:valAx>
      <c:valAx>
        <c:axId val="22711500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11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3M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64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Retail!$W$37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Retail!$V$38:$V$57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Retail!$W$38:$W$57</c:f>
              <c:numCache>
                <c:formatCode>0.00%</c:formatCode>
                <c:ptCount val="20"/>
                <c:pt idx="0">
                  <c:v>4.7841993187520693E-2</c:v>
                </c:pt>
                <c:pt idx="1">
                  <c:v>4.7841993187520693E-2</c:v>
                </c:pt>
                <c:pt idx="2">
                  <c:v>4.842406699210855E-2</c:v>
                </c:pt>
                <c:pt idx="3">
                  <c:v>4.9225701935779576E-2</c:v>
                </c:pt>
                <c:pt idx="4">
                  <c:v>4.9916757039704329E-2</c:v>
                </c:pt>
                <c:pt idx="5">
                  <c:v>5.0032049341708351E-2</c:v>
                </c:pt>
                <c:pt idx="6">
                  <c:v>5.0559658524195861E-2</c:v>
                </c:pt>
                <c:pt idx="7">
                  <c:v>5.0957295640024824E-2</c:v>
                </c:pt>
                <c:pt idx="8">
                  <c:v>5.1389617402003651E-2</c:v>
                </c:pt>
                <c:pt idx="9">
                  <c:v>5.1729990193771336E-2</c:v>
                </c:pt>
                <c:pt idx="10">
                  <c:v>5.2029990133397597E-2</c:v>
                </c:pt>
                <c:pt idx="11">
                  <c:v>5.2298799784522565E-2</c:v>
                </c:pt>
                <c:pt idx="12">
                  <c:v>5.2534828289087621E-2</c:v>
                </c:pt>
                <c:pt idx="13">
                  <c:v>5.3445493959395129E-2</c:v>
                </c:pt>
                <c:pt idx="14">
                  <c:v>5.4854198588720315E-2</c:v>
                </c:pt>
                <c:pt idx="15">
                  <c:v>5.6066624789287367E-2</c:v>
                </c:pt>
                <c:pt idx="16">
                  <c:v>5.7110436340446213E-2</c:v>
                </c:pt>
                <c:pt idx="17">
                  <c:v>5.7986855767102163E-2</c:v>
                </c:pt>
                <c:pt idx="18">
                  <c:v>5.8493473909957849E-2</c:v>
                </c:pt>
                <c:pt idx="19">
                  <c:v>5.8853085182411391E-2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C-4A5E-B5B6-6FF359B6BF13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Retail!$X$38:$X$57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Retail!$Y$38:$Y$57</c:f>
              <c:numCache>
                <c:formatCode>0.00%</c:formatCode>
                <c:ptCount val="20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4.8976694712730584E-2</c:v>
                </c:pt>
                <c:pt idx="4">
                  <c:v>4.9668812355349701E-2</c:v>
                </c:pt>
                <c:pt idx="5">
                  <c:v>4.9783689704039347E-2</c:v>
                </c:pt>
                <c:pt idx="6">
                  <c:v>5.0311495716833576E-2</c:v>
                </c:pt>
                <c:pt idx="7">
                  <c:v>5.0709207475623685E-2</c:v>
                </c:pt>
                <c:pt idx="8">
                  <c:v>5.1141584481092295E-2</c:v>
                </c:pt>
                <c:pt idx="9">
                  <c:v>5.1481992566582591E-2</c:v>
                </c:pt>
                <c:pt idx="10">
                  <c:v>5.1782019197482043E-2</c:v>
                </c:pt>
                <c:pt idx="11">
                  <c:v>5.2050850217455036E-2</c:v>
                </c:pt>
                <c:pt idx="12">
                  <c:v>5.228689619518434E-2</c:v>
                </c:pt>
                <c:pt idx="13">
                  <c:v>5.3039781882037396E-2</c:v>
                </c:pt>
                <c:pt idx="14">
                  <c:v>5.4029052524993126E-2</c:v>
                </c:pt>
                <c:pt idx="15">
                  <c:v>5.5247540435358289E-2</c:v>
                </c:pt>
                <c:pt idx="16">
                  <c:v>5.6294980342815215E-2</c:v>
                </c:pt>
                <c:pt idx="17">
                  <c:v>5.7056043447262006E-2</c:v>
                </c:pt>
                <c:pt idx="18">
                  <c:v>5.7567004511657416E-2</c:v>
                </c:pt>
                <c:pt idx="19">
                  <c:v>5.7930089616935021E-2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0C-4A5E-B5B6-6FF359B6BF13}"/>
            </c:ext>
          </c:extLst>
        </c:ser>
        <c:ser>
          <c:idx val="2"/>
          <c:order val="2"/>
          <c:tx>
            <c:strRef>
              <c:f>Retail!$AA$37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Retail!$Z$38:$Z$57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107</c:v>
                </c:pt>
                <c:pt idx="6">
                  <c:v>198</c:v>
                </c:pt>
                <c:pt idx="7">
                  <c:v>282</c:v>
                </c:pt>
                <c:pt idx="8">
                  <c:v>380</c:v>
                </c:pt>
                <c:pt idx="9">
                  <c:v>471</c:v>
                </c:pt>
                <c:pt idx="10">
                  <c:v>562</c:v>
                </c:pt>
                <c:pt idx="11">
                  <c:v>653</c:v>
                </c:pt>
                <c:pt idx="12">
                  <c:v>744</c:v>
                </c:pt>
                <c:pt idx="13">
                  <c:v>1098</c:v>
                </c:pt>
                <c:pt idx="14">
                  <c:v>1462</c:v>
                </c:pt>
                <c:pt idx="15">
                  <c:v>1827</c:v>
                </c:pt>
                <c:pt idx="16">
                  <c:v>2192</c:v>
                </c:pt>
                <c:pt idx="17">
                  <c:v>2558</c:v>
                </c:pt>
                <c:pt idx="18">
                  <c:v>2925</c:v>
                </c:pt>
                <c:pt idx="19">
                  <c:v>3289</c:v>
                </c:pt>
              </c:numCache>
            </c:numRef>
          </c:xVal>
          <c:yVal>
            <c:numRef>
              <c:f>Retail!$AA$38:$AA$57</c:f>
              <c:numCache>
                <c:formatCode>0.00%</c:formatCode>
                <c:ptCount val="20"/>
                <c:pt idx="0">
                  <c:v>4.7340075545749372E-2</c:v>
                </c:pt>
                <c:pt idx="1">
                  <c:v>4.7340075545749372E-2</c:v>
                </c:pt>
                <c:pt idx="2">
                  <c:v>4.79241757540807E-2</c:v>
                </c:pt>
                <c:pt idx="3">
                  <c:v>4.8727682481660928E-2</c:v>
                </c:pt>
                <c:pt idx="4">
                  <c:v>4.942085750908376E-2</c:v>
                </c:pt>
                <c:pt idx="5">
                  <c:v>4.9535322051469599E-2</c:v>
                </c:pt>
                <c:pt idx="6">
                  <c:v>5.006332399037916E-2</c:v>
                </c:pt>
                <c:pt idx="7">
                  <c:v>5.0461110091139183E-2</c:v>
                </c:pt>
                <c:pt idx="8">
                  <c:v>5.0893542146601689E-2</c:v>
                </c:pt>
                <c:pt idx="9">
                  <c:v>5.1233985415790606E-2</c:v>
                </c:pt>
                <c:pt idx="10">
                  <c:v>5.1534038663750614E-2</c:v>
                </c:pt>
                <c:pt idx="11">
                  <c:v>5.1802890999264939E-2</c:v>
                </c:pt>
                <c:pt idx="12">
                  <c:v>5.2038954410009275E-2</c:v>
                </c:pt>
                <c:pt idx="13">
                  <c:v>5.2634181835632177E-2</c:v>
                </c:pt>
                <c:pt idx="14">
                  <c:v>5.3630868071991245E-2</c:v>
                </c:pt>
                <c:pt idx="15">
                  <c:v>5.4849792830849786E-2</c:v>
                </c:pt>
                <c:pt idx="16">
                  <c:v>5.5897294415956367E-2</c:v>
                </c:pt>
                <c:pt idx="17">
                  <c:v>5.6540931169488218E-2</c:v>
                </c:pt>
                <c:pt idx="18">
                  <c:v>5.7054058448219536E-2</c:v>
                </c:pt>
                <c:pt idx="19">
                  <c:v>5.7418879978628823E-2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0C-4A5E-B5B6-6FF359B6B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293056"/>
        <c:axId val="227294592"/>
      </c:scatterChart>
      <c:valAx>
        <c:axId val="22729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294592"/>
        <c:crosses val="autoZero"/>
        <c:crossBetween val="midCat"/>
      </c:valAx>
      <c:valAx>
        <c:axId val="227294592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293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396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6M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2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Retail!$V$67:$V$81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Retail!$W$67:$W$81</c:f>
              <c:numCache>
                <c:formatCode>0.00%</c:formatCode>
                <c:ptCount val="15"/>
                <c:pt idx="0">
                  <c:v>4.9112195953473048E-2</c:v>
                </c:pt>
                <c:pt idx="1">
                  <c:v>4.9112195953473048E-2</c:v>
                </c:pt>
                <c:pt idx="2">
                  <c:v>4.9689046585406516E-2</c:v>
                </c:pt>
                <c:pt idx="3">
                  <c:v>5.0485860446669584E-2</c:v>
                </c:pt>
                <c:pt idx="4">
                  <c:v>5.117145896026809E-2</c:v>
                </c:pt>
                <c:pt idx="5">
                  <c:v>5.1722852855400347E-2</c:v>
                </c:pt>
                <c:pt idx="6">
                  <c:v>5.2140928458798363E-2</c:v>
                </c:pt>
                <c:pt idx="7">
                  <c:v>5.3291376167674542E-2</c:v>
                </c:pt>
                <c:pt idx="8">
                  <c:v>5.4211032016146632E-2</c:v>
                </c:pt>
                <c:pt idx="9">
                  <c:v>5.5188458433768517E-2</c:v>
                </c:pt>
                <c:pt idx="10">
                  <c:v>5.6352523398604859E-2</c:v>
                </c:pt>
                <c:pt idx="11">
                  <c:v>5.7373583068901723E-2</c:v>
                </c:pt>
                <c:pt idx="12">
                  <c:v>5.8225166124136862E-2</c:v>
                </c:pt>
                <c:pt idx="13">
                  <c:v>5.8725910090689837E-2</c:v>
                </c:pt>
                <c:pt idx="14">
                  <c:v>5.9078539075006375E-2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9-4328-9B2E-60E89E0290C0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Retail!$X$67:$X$81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Retail!$Y$67:$Y$81</c:f>
              <c:numCache>
                <c:formatCode>0.00%</c:formatCode>
                <c:ptCount val="15"/>
                <c:pt idx="0">
                  <c:v>4.8610227134529893E-2</c:v>
                </c:pt>
                <c:pt idx="1">
                  <c:v>4.8610227134529893E-2</c:v>
                </c:pt>
                <c:pt idx="2">
                  <c:v>4.918915816734426E-2</c:v>
                </c:pt>
                <c:pt idx="3">
                  <c:v>4.9987891676090968E-2</c:v>
                </c:pt>
                <c:pt idx="4">
                  <c:v>5.0675662263335752E-2</c:v>
                </c:pt>
                <c:pt idx="5">
                  <c:v>5.1230089901692644E-2</c:v>
                </c:pt>
                <c:pt idx="6">
                  <c:v>5.189590252713927E-2</c:v>
                </c:pt>
                <c:pt idx="7">
                  <c:v>5.3045007052901383E-2</c:v>
                </c:pt>
                <c:pt idx="8">
                  <c:v>5.3806297514614521E-2</c:v>
                </c:pt>
                <c:pt idx="9">
                  <c:v>5.4797050769739286E-2</c:v>
                </c:pt>
                <c:pt idx="10">
                  <c:v>5.5961503611255736E-2</c:v>
                </c:pt>
                <c:pt idx="11">
                  <c:v>5.6982606155776772E-2</c:v>
                </c:pt>
                <c:pt idx="12">
                  <c:v>5.7716203428454627E-2</c:v>
                </c:pt>
                <c:pt idx="13">
                  <c:v>5.8219162789027834E-2</c:v>
                </c:pt>
                <c:pt idx="14">
                  <c:v>5.8573562479190322E-2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9-4328-9B2E-60E89E0290C0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Retail!$Z$67:$Z$81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Retail!$AA$67:$AA$81</c:f>
              <c:numCache>
                <c:formatCode>0.000%</c:formatCode>
                <c:ptCount val="15"/>
                <c:pt idx="0">
                  <c:v>4.7706734225705816E-2</c:v>
                </c:pt>
                <c:pt idx="1">
                  <c:v>4.7706734225705816E-2</c:v>
                </c:pt>
                <c:pt idx="2">
                  <c:v>4.8289356206747236E-2</c:v>
                </c:pt>
                <c:pt idx="3">
                  <c:v>4.9091497419527563E-2</c:v>
                </c:pt>
                <c:pt idx="4">
                  <c:v>4.9783125814411022E-2</c:v>
                </c:pt>
                <c:pt idx="5">
                  <c:v>5.0345590641298621E-2</c:v>
                </c:pt>
                <c:pt idx="6">
                  <c:v>5.1254057536521458E-2</c:v>
                </c:pt>
                <c:pt idx="7">
                  <c:v>5.240174744941406E-2</c:v>
                </c:pt>
                <c:pt idx="8">
                  <c:v>5.3004695619637943E-2</c:v>
                </c:pt>
                <c:pt idx="9">
                  <c:v>5.4434791014887018E-2</c:v>
                </c:pt>
                <c:pt idx="10">
                  <c:v>5.5593279658324057E-2</c:v>
                </c:pt>
                <c:pt idx="11">
                  <c:v>5.6610118037195178E-2</c:v>
                </c:pt>
                <c:pt idx="12">
                  <c:v>5.7222823849489401E-2</c:v>
                </c:pt>
                <c:pt idx="13">
                  <c:v>5.7725480720450584E-2</c:v>
                </c:pt>
                <c:pt idx="14">
                  <c:v>5.8079669490915364E-2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9-4328-9B2E-60E89E029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86112"/>
        <c:axId val="227387648"/>
      </c:scatterChart>
      <c:valAx>
        <c:axId val="22738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387648"/>
        <c:crosses val="autoZero"/>
        <c:crossBetween val="midCat"/>
      </c:valAx>
      <c:valAx>
        <c:axId val="227387648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86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07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1M Curve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544663167104278"/>
          <c:y val="5.1400554097404488E-2"/>
          <c:w val="0.82089370078740143"/>
          <c:h val="0.79822506561679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Retail!$W$66</c:f>
              <c:strCache>
                <c:ptCount val="1"/>
                <c:pt idx="0">
                  <c:v>Offer</c:v>
                </c:pt>
              </c:strCache>
            </c:strRef>
          </c:tx>
          <c:marker>
            <c:symbol val="none"/>
          </c:marker>
          <c:xVal>
            <c:numRef>
              <c:f>Retail!$V$92:$V$106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Retail!$W$92:$W$106</c:f>
              <c:numCache>
                <c:formatCode>0.00%</c:formatCode>
                <c:ptCount val="15"/>
                <c:pt idx="0">
                  <c:v>4.8092959592093365E-2</c:v>
                </c:pt>
                <c:pt idx="1">
                  <c:v>4.8092959592093365E-2</c:v>
                </c:pt>
                <c:pt idx="2">
                  <c:v>4.8674012193092864E-2</c:v>
                </c:pt>
                <c:pt idx="3">
                  <c:v>5.0062572525539473E-2</c:v>
                </c:pt>
                <c:pt idx="4">
                  <c:v>5.1145530960928554E-2</c:v>
                </c:pt>
                <c:pt idx="5">
                  <c:v>5.1784960836291916E-2</c:v>
                </c:pt>
                <c:pt idx="6">
                  <c:v>5.0221895227973157E-2</c:v>
                </c:pt>
                <c:pt idx="7">
                  <c:v>5.1306570153376363E-2</c:v>
                </c:pt>
                <c:pt idx="8">
                  <c:v>5.2229572942799507E-2</c:v>
                </c:pt>
                <c:pt idx="9">
                  <c:v>5.3639143369723641E-2</c:v>
                </c:pt>
                <c:pt idx="10">
                  <c:v>5.4879276391448073E-2</c:v>
                </c:pt>
                <c:pt idx="11">
                  <c:v>5.5979780362088505E-2</c:v>
                </c:pt>
                <c:pt idx="12">
                  <c:v>5.6913879640998921E-2</c:v>
                </c:pt>
                <c:pt idx="13">
                  <c:v>5.7469945436658953E-2</c:v>
                </c:pt>
                <c:pt idx="14">
                  <c:v>5.7880405519264322E-2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B3-4838-9133-A5AE162FA2D1}"/>
            </c:ext>
          </c:extLst>
        </c:ser>
        <c:ser>
          <c:idx val="1"/>
          <c:order val="1"/>
          <c:tx>
            <c:strRef>
              <c:f>Retail!$Y$37</c:f>
              <c:strCache>
                <c:ptCount val="1"/>
                <c:pt idx="0">
                  <c:v>Mid</c:v>
                </c:pt>
              </c:strCache>
            </c:strRef>
          </c:tx>
          <c:marker>
            <c:symbol val="none"/>
          </c:marker>
          <c:xVal>
            <c:numRef>
              <c:f>Retail!$X$92:$X$106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Retail!$Y$92:$Y$106</c:f>
              <c:numCache>
                <c:formatCode>0.00%</c:formatCode>
                <c:ptCount val="15"/>
                <c:pt idx="0">
                  <c:v>4.7591031838797093E-2</c:v>
                </c:pt>
                <c:pt idx="1">
                  <c:v>4.7591031838797093E-2</c:v>
                </c:pt>
                <c:pt idx="2">
                  <c:v>4.8174121512400525E-2</c:v>
                </c:pt>
                <c:pt idx="3">
                  <c:v>4.956458751288384E-2</c:v>
                </c:pt>
                <c:pt idx="4">
                  <c:v>5.0649733473687064E-2</c:v>
                </c:pt>
                <c:pt idx="5">
                  <c:v>5.1292212060240594E-2</c:v>
                </c:pt>
                <c:pt idx="6">
                  <c:v>4.9976949300786444E-2</c:v>
                </c:pt>
                <c:pt idx="7">
                  <c:v>5.1060234452629416E-2</c:v>
                </c:pt>
                <c:pt idx="8">
                  <c:v>5.1825209606123579E-2</c:v>
                </c:pt>
                <c:pt idx="9">
                  <c:v>5.2815949943743945E-2</c:v>
                </c:pt>
                <c:pt idx="10">
                  <c:v>5.4061721468511514E-2</c:v>
                </c:pt>
                <c:pt idx="11">
                  <c:v>5.5165471805090682E-2</c:v>
                </c:pt>
                <c:pt idx="12">
                  <c:v>5.5984275421972818E-2</c:v>
                </c:pt>
                <c:pt idx="13">
                  <c:v>5.6544332839724376E-2</c:v>
                </c:pt>
                <c:pt idx="14">
                  <c:v>5.6957936366016426E-2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B3-4838-9133-A5AE162FA2D1}"/>
            </c:ext>
          </c:extLst>
        </c:ser>
        <c:ser>
          <c:idx val="2"/>
          <c:order val="2"/>
          <c:tx>
            <c:strRef>
              <c:f>Retail!$AA$66</c:f>
              <c:strCache>
                <c:ptCount val="1"/>
                <c:pt idx="0">
                  <c:v>Bid</c:v>
                </c:pt>
              </c:strCache>
            </c:strRef>
          </c:tx>
          <c:marker>
            <c:symbol val="none"/>
          </c:marker>
          <c:xVal>
            <c:numRef>
              <c:f>Retail!$Z$92:$Z$106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34</c:v>
                </c:pt>
                <c:pt idx="3">
                  <c:v>62</c:v>
                </c:pt>
                <c:pt idx="4">
                  <c:v>93</c:v>
                </c:pt>
                <c:pt idx="5">
                  <c:v>185</c:v>
                </c:pt>
                <c:pt idx="6">
                  <c:v>366</c:v>
                </c:pt>
                <c:pt idx="7">
                  <c:v>731</c:v>
                </c:pt>
                <c:pt idx="8">
                  <c:v>1098</c:v>
                </c:pt>
                <c:pt idx="9">
                  <c:v>1462</c:v>
                </c:pt>
                <c:pt idx="10">
                  <c:v>1827</c:v>
                </c:pt>
                <c:pt idx="11">
                  <c:v>2192</c:v>
                </c:pt>
                <c:pt idx="12">
                  <c:v>2558</c:v>
                </c:pt>
                <c:pt idx="13">
                  <c:v>2925</c:v>
                </c:pt>
                <c:pt idx="14">
                  <c:v>3289</c:v>
                </c:pt>
              </c:numCache>
            </c:numRef>
          </c:xVal>
          <c:yVal>
            <c:numRef>
              <c:f>Retail!$AA$92:$AA$106</c:f>
              <c:numCache>
                <c:formatCode>0.000%</c:formatCode>
                <c:ptCount val="15"/>
                <c:pt idx="0">
                  <c:v>4.6386487739545679E-2</c:v>
                </c:pt>
                <c:pt idx="1">
                  <c:v>4.6386487739545679E-2</c:v>
                </c:pt>
                <c:pt idx="2">
                  <c:v>4.6974379331023108E-2</c:v>
                </c:pt>
                <c:pt idx="3">
                  <c:v>4.8369341751707928E-2</c:v>
                </c:pt>
                <c:pt idx="4">
                  <c:v>4.9459653646399815E-2</c:v>
                </c:pt>
                <c:pt idx="5">
                  <c:v>5.0113965755978818E-2</c:v>
                </c:pt>
                <c:pt idx="6">
                  <c:v>4.9031953615994439E-2</c:v>
                </c:pt>
                <c:pt idx="7">
                  <c:v>5.0113447175466952E-2</c:v>
                </c:pt>
                <c:pt idx="8">
                  <c:v>5.0720199395200893E-2</c:v>
                </c:pt>
                <c:pt idx="9">
                  <c:v>5.1717083463257651E-2</c:v>
                </c:pt>
                <c:pt idx="10">
                  <c:v>5.2961527750923665E-2</c:v>
                </c:pt>
                <c:pt idx="11">
                  <c:v>5.4063550434322316E-2</c:v>
                </c:pt>
                <c:pt idx="12">
                  <c:v>5.476413861665641E-2</c:v>
                </c:pt>
                <c:pt idx="13">
                  <c:v>5.5325238807334642E-2</c:v>
                </c:pt>
                <c:pt idx="14">
                  <c:v>5.5739680056269947E-2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B3-4838-9133-A5AE162F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96992"/>
        <c:axId val="227406976"/>
      </c:scatterChart>
      <c:valAx>
        <c:axId val="22739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406976"/>
        <c:crosses val="autoZero"/>
        <c:crossBetween val="midCat"/>
      </c:valAx>
      <c:valAx>
        <c:axId val="227406976"/>
        <c:scaling>
          <c:orientation val="minMax"/>
          <c:min val="4.200000000000002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27396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17222222222226"/>
          <c:y val="0.39294254884806418"/>
          <c:w val="0.14216666666666666"/>
          <c:h val="0.2511515748031495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171450</xdr:colOff>
      <xdr:row>38</xdr:row>
      <xdr:rowOff>0</xdr:rowOff>
    </xdr:from>
    <xdr:to>
      <xdr:col>30</xdr:col>
      <xdr:colOff>2705100</xdr:colOff>
      <xdr:row>54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123825</xdr:colOff>
      <xdr:row>55</xdr:row>
      <xdr:rowOff>47625</xdr:rowOff>
    </xdr:from>
    <xdr:to>
      <xdr:col>30</xdr:col>
      <xdr:colOff>2657475</xdr:colOff>
      <xdr:row>72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85725</xdr:colOff>
      <xdr:row>73</xdr:row>
      <xdr:rowOff>9525</xdr:rowOff>
    </xdr:from>
    <xdr:to>
      <xdr:col>30</xdr:col>
      <xdr:colOff>2619375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52"/>
  <sheetViews>
    <sheetView workbookViewId="0">
      <selection activeCell="Y11" sqref="Y11"/>
    </sheetView>
  </sheetViews>
  <sheetFormatPr defaultColWidth="8" defaultRowHeight="11.25"/>
  <cols>
    <col min="1" max="1" width="2.7109375" style="2" customWidth="1"/>
    <col min="2" max="2" width="15" style="2" bestFit="1" customWidth="1"/>
    <col min="3" max="3" width="5.140625" style="3" bestFit="1" customWidth="1"/>
    <col min="4" max="4" width="2.7109375" style="2" customWidth="1"/>
    <col min="5" max="5" width="15" style="2" bestFit="1" customWidth="1"/>
    <col min="6" max="6" width="6" style="3" bestFit="1" customWidth="1"/>
    <col min="7" max="7" width="8.85546875" style="3" hidden="1" customWidth="1"/>
    <col min="8" max="8" width="10" style="3" hidden="1" customWidth="1"/>
    <col min="9" max="9" width="2.7109375" style="2" customWidth="1"/>
    <col min="10" max="10" width="10" style="2" bestFit="1" customWidth="1"/>
    <col min="11" max="11" width="9.7109375" style="3" bestFit="1" customWidth="1"/>
    <col min="12" max="12" width="9.7109375" style="2" bestFit="1" customWidth="1"/>
    <col min="13" max="13" width="2.7109375" style="2" hidden="1" customWidth="1"/>
    <col min="14" max="14" width="8" style="2" hidden="1" customWidth="1"/>
    <col min="15" max="15" width="9.28515625" style="2" hidden="1" customWidth="1"/>
    <col min="16" max="16" width="12" style="2" hidden="1" customWidth="1"/>
    <col min="17" max="17" width="8.85546875" style="2" hidden="1" customWidth="1"/>
    <col min="18" max="18" width="9.42578125" style="2" hidden="1" customWidth="1"/>
    <col min="19" max="19" width="10.28515625" style="2" hidden="1" customWidth="1"/>
    <col min="20" max="20" width="3.85546875" style="2" customWidth="1"/>
    <col min="21" max="21" width="15" style="2" bestFit="1" customWidth="1"/>
    <col min="22" max="22" width="6" style="2" bestFit="1" customWidth="1"/>
    <col min="23" max="16384" width="8" style="2"/>
  </cols>
  <sheetData>
    <row r="2" spans="2:22" ht="28.5">
      <c r="B2" s="374" t="s">
        <v>61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</row>
    <row r="4" spans="2:22" ht="15.75">
      <c r="B4" s="42" t="s">
        <v>62</v>
      </c>
      <c r="C4" s="39" t="s">
        <v>18</v>
      </c>
      <c r="D4" s="41"/>
      <c r="E4" s="42" t="s">
        <v>63</v>
      </c>
      <c r="F4" s="375" t="s">
        <v>18</v>
      </c>
      <c r="G4" s="378"/>
      <c r="H4" s="40"/>
      <c r="I4" s="41"/>
      <c r="J4" s="375" t="s">
        <v>64</v>
      </c>
      <c r="K4" s="376"/>
      <c r="L4" s="377"/>
      <c r="O4" s="15"/>
      <c r="P4" s="15"/>
      <c r="U4" s="366" t="s">
        <v>78</v>
      </c>
      <c r="V4" s="367"/>
    </row>
    <row r="5" spans="2:22" ht="12.75">
      <c r="B5" s="7" t="s">
        <v>23</v>
      </c>
      <c r="C5" s="50"/>
      <c r="E5" s="7" t="s">
        <v>23</v>
      </c>
      <c r="F5" s="50"/>
      <c r="G5" s="12"/>
      <c r="H5" s="30"/>
      <c r="J5" s="46" t="s">
        <v>62</v>
      </c>
      <c r="K5" s="44" t="s">
        <v>15</v>
      </c>
      <c r="L5" s="47" t="s">
        <v>16</v>
      </c>
      <c r="O5" s="19"/>
      <c r="P5" s="20"/>
      <c r="U5" s="7" t="s">
        <v>23</v>
      </c>
      <c r="V5" s="50"/>
    </row>
    <row r="6" spans="2:22">
      <c r="B6" s="11" t="s">
        <v>24</v>
      </c>
      <c r="C6" s="51"/>
      <c r="E6" s="11" t="s">
        <v>24</v>
      </c>
      <c r="F6" s="51"/>
      <c r="G6" s="12"/>
      <c r="H6" s="30"/>
      <c r="J6" s="13" t="s">
        <v>65</v>
      </c>
      <c r="K6" s="51">
        <v>0</v>
      </c>
      <c r="L6" s="51">
        <v>3</v>
      </c>
      <c r="O6" s="19"/>
      <c r="P6" s="20"/>
      <c r="U6" s="11" t="s">
        <v>24</v>
      </c>
      <c r="V6" s="51"/>
    </row>
    <row r="7" spans="2:22">
      <c r="B7" s="11" t="s">
        <v>27</v>
      </c>
      <c r="C7" s="51"/>
      <c r="E7" s="11" t="s">
        <v>27</v>
      </c>
      <c r="F7" s="51"/>
      <c r="G7" s="12"/>
      <c r="H7" s="30"/>
      <c r="J7" s="13" t="s">
        <v>66</v>
      </c>
      <c r="K7" s="51">
        <v>-3</v>
      </c>
      <c r="L7" s="51">
        <v>0</v>
      </c>
      <c r="O7" s="21"/>
      <c r="P7" s="19"/>
      <c r="U7" s="11" t="s">
        <v>27</v>
      </c>
      <c r="V7" s="51"/>
    </row>
    <row r="8" spans="2:22" ht="12.75">
      <c r="B8" s="11" t="s">
        <v>29</v>
      </c>
      <c r="C8" s="51"/>
      <c r="E8" s="11" t="s">
        <v>29</v>
      </c>
      <c r="F8" s="51"/>
      <c r="G8" s="12"/>
      <c r="H8" s="30"/>
      <c r="J8" s="43" t="s">
        <v>63</v>
      </c>
      <c r="K8" s="44" t="s">
        <v>15</v>
      </c>
      <c r="L8" s="45" t="s">
        <v>16</v>
      </c>
      <c r="O8" s="19"/>
      <c r="P8" s="22"/>
      <c r="Q8" s="1"/>
      <c r="U8" s="11" t="s">
        <v>29</v>
      </c>
      <c r="V8" s="51"/>
    </row>
    <row r="9" spans="2:22">
      <c r="B9" s="315" t="str">
        <f>"AUD-IRFuture-IR-1"</f>
        <v>AUD-IRFuture-IR-1</v>
      </c>
      <c r="C9" s="51">
        <v>2</v>
      </c>
      <c r="E9" s="11" t="str">
        <f>B9</f>
        <v>AUD-IRFuture-IR-1</v>
      </c>
      <c r="F9" s="51">
        <v>2.5</v>
      </c>
      <c r="G9" s="12"/>
      <c r="H9" s="30"/>
      <c r="J9" s="13" t="s">
        <v>65</v>
      </c>
      <c r="K9" s="51">
        <v>0</v>
      </c>
      <c r="L9" s="51">
        <v>7</v>
      </c>
      <c r="O9" s="19"/>
      <c r="P9" s="19"/>
      <c r="U9" s="11" t="str">
        <f>B9</f>
        <v>AUD-IRFuture-IR-1</v>
      </c>
      <c r="V9" s="51">
        <v>2.5</v>
      </c>
    </row>
    <row r="10" spans="2:22">
      <c r="B10" s="315" t="str">
        <f>"AUD-IRFuture-IR-2"</f>
        <v>AUD-IRFuture-IR-2</v>
      </c>
      <c r="C10" s="51">
        <v>2</v>
      </c>
      <c r="E10" s="11" t="str">
        <f t="shared" ref="E10:E16" si="0">B10</f>
        <v>AUD-IRFuture-IR-2</v>
      </c>
      <c r="F10" s="51">
        <v>2.5</v>
      </c>
      <c r="G10" s="12"/>
      <c r="H10" s="30"/>
      <c r="J10" s="27" t="s">
        <v>66</v>
      </c>
      <c r="K10" s="52">
        <v>-4</v>
      </c>
      <c r="L10" s="52">
        <v>0</v>
      </c>
      <c r="O10" s="19"/>
      <c r="P10" s="19"/>
      <c r="U10" s="11" t="str">
        <f t="shared" ref="U10:U16" si="1">B10</f>
        <v>AUD-IRFuture-IR-2</v>
      </c>
      <c r="V10" s="51">
        <v>2.5</v>
      </c>
    </row>
    <row r="11" spans="2:22">
      <c r="B11" s="315" t="str">
        <f>"AUD-IRFuture-IR-3"</f>
        <v>AUD-IRFuture-IR-3</v>
      </c>
      <c r="C11" s="51">
        <v>2</v>
      </c>
      <c r="E11" s="11" t="str">
        <f t="shared" si="0"/>
        <v>AUD-IRFuture-IR-3</v>
      </c>
      <c r="F11" s="51">
        <v>2.5</v>
      </c>
      <c r="G11" s="12"/>
      <c r="H11" s="30"/>
      <c r="J11" s="48"/>
      <c r="K11" s="49"/>
      <c r="L11" s="49"/>
      <c r="O11" s="19"/>
      <c r="P11" s="21"/>
      <c r="U11" s="11" t="str">
        <f t="shared" si="1"/>
        <v>AUD-IRFuture-IR-3</v>
      </c>
      <c r="V11" s="51">
        <v>2.5</v>
      </c>
    </row>
    <row r="12" spans="2:22" ht="15.75">
      <c r="B12" s="315" t="str">
        <f>"AUD-IRFuture-IR-4"</f>
        <v>AUD-IRFuture-IR-4</v>
      </c>
      <c r="C12" s="51">
        <v>2</v>
      </c>
      <c r="E12" s="11" t="str">
        <f t="shared" si="0"/>
        <v>AUD-IRFuture-IR-4</v>
      </c>
      <c r="F12" s="51">
        <v>2.5</v>
      </c>
      <c r="G12" s="12"/>
      <c r="H12" s="30"/>
      <c r="J12" s="375" t="s">
        <v>67</v>
      </c>
      <c r="K12" s="376"/>
      <c r="L12" s="377"/>
      <c r="N12" s="371" t="s">
        <v>74</v>
      </c>
      <c r="O12" s="372"/>
      <c r="P12" s="373"/>
      <c r="U12" s="11" t="str">
        <f t="shared" si="1"/>
        <v>AUD-IRFuture-IR-4</v>
      </c>
      <c r="V12" s="51">
        <v>2.5</v>
      </c>
    </row>
    <row r="13" spans="2:22" ht="12.75">
      <c r="B13" s="315" t="str">
        <f>"AUD-IRFuture-IR-5"</f>
        <v>AUD-IRFuture-IR-5</v>
      </c>
      <c r="C13" s="51">
        <v>2</v>
      </c>
      <c r="E13" s="11" t="str">
        <f t="shared" si="0"/>
        <v>AUD-IRFuture-IR-5</v>
      </c>
      <c r="F13" s="51">
        <v>2.5</v>
      </c>
      <c r="G13" s="12"/>
      <c r="H13" s="30"/>
      <c r="K13" s="44" t="s">
        <v>69</v>
      </c>
      <c r="L13" s="47" t="s">
        <v>70</v>
      </c>
      <c r="O13" s="44" t="s">
        <v>26</v>
      </c>
      <c r="P13" s="47" t="s">
        <v>75</v>
      </c>
      <c r="U13" s="11" t="str">
        <f t="shared" si="1"/>
        <v>AUD-IRFuture-IR-5</v>
      </c>
      <c r="V13" s="51">
        <v>2.5</v>
      </c>
    </row>
    <row r="14" spans="2:22" ht="12.75">
      <c r="B14" s="315" t="str">
        <f>"AUD-IRFuture-IR-6"</f>
        <v>AUD-IRFuture-IR-6</v>
      </c>
      <c r="C14" s="51">
        <v>2</v>
      </c>
      <c r="E14" s="11" t="str">
        <f t="shared" si="0"/>
        <v>AUD-IRFuture-IR-6</v>
      </c>
      <c r="F14" s="51">
        <v>2.5</v>
      </c>
      <c r="G14" s="12"/>
      <c r="H14" s="30"/>
      <c r="J14" s="60" t="s">
        <v>0</v>
      </c>
      <c r="K14" s="57">
        <f>MarketDataAUD!F45</f>
        <v>28.083333333333332</v>
      </c>
      <c r="L14" s="51"/>
      <c r="N14" s="61" t="s">
        <v>0</v>
      </c>
      <c r="O14" s="66">
        <f>MarketDataAUD!O90</f>
        <v>0</v>
      </c>
      <c r="P14" s="66">
        <f>MarketDataAUD!H65/100</f>
        <v>5.324999999999995E-2</v>
      </c>
      <c r="Q14" s="69" t="str">
        <f t="shared" ref="Q14:Q26" si="2">IF(S14&gt;1,"ERROR","")</f>
        <v>ERROR</v>
      </c>
      <c r="R14" s="67">
        <f t="shared" ref="R14:R26" si="3">(O14-P14)*10000</f>
        <v>-532.49999999999955</v>
      </c>
      <c r="S14" s="68">
        <f t="shared" ref="S14:S26" si="4">IF(R14&lt;0,R14*-1,R14)</f>
        <v>532.49999999999955</v>
      </c>
      <c r="U14" s="11" t="str">
        <f t="shared" si="1"/>
        <v>AUD-IRFuture-IR-6</v>
      </c>
      <c r="V14" s="51">
        <v>2.5</v>
      </c>
    </row>
    <row r="15" spans="2:22" ht="12.75">
      <c r="B15" s="315" t="str">
        <f>"AUD-IRFuture-IR-7"</f>
        <v>AUD-IRFuture-IR-7</v>
      </c>
      <c r="C15" s="51">
        <v>2</v>
      </c>
      <c r="E15" s="11" t="str">
        <f t="shared" si="0"/>
        <v>AUD-IRFuture-IR-7</v>
      </c>
      <c r="F15" s="51">
        <v>2.5</v>
      </c>
      <c r="G15" s="12"/>
      <c r="H15" s="30"/>
      <c r="J15" s="61" t="s">
        <v>1</v>
      </c>
      <c r="K15" s="58">
        <f>MarketDataAUD!F46</f>
        <v>48.833333333333336</v>
      </c>
      <c r="L15" s="51"/>
      <c r="N15" s="61" t="s">
        <v>1</v>
      </c>
      <c r="O15" s="66">
        <f>MarketDataAUD!R86</f>
        <v>0</v>
      </c>
      <c r="P15" s="66">
        <f>MarketDataAUD!H66/100</f>
        <v>5.5312499999999945E-2</v>
      </c>
      <c r="Q15" s="69" t="str">
        <f t="shared" si="2"/>
        <v>ERROR</v>
      </c>
      <c r="R15" s="67">
        <f t="shared" si="3"/>
        <v>-553.12499999999943</v>
      </c>
      <c r="S15" s="68">
        <f t="shared" si="4"/>
        <v>553.12499999999943</v>
      </c>
      <c r="T15" s="17"/>
      <c r="U15" s="11" t="str">
        <f t="shared" si="1"/>
        <v>AUD-IRFuture-IR-7</v>
      </c>
      <c r="V15" s="51">
        <v>2.5</v>
      </c>
    </row>
    <row r="16" spans="2:22" ht="12.75">
      <c r="B16" s="315" t="str">
        <f>"AUD-IRFuture-IR-8"</f>
        <v>AUD-IRFuture-IR-8</v>
      </c>
      <c r="C16" s="51">
        <v>2</v>
      </c>
      <c r="E16" s="11" t="str">
        <f t="shared" si="0"/>
        <v>AUD-IRFuture-IR-8</v>
      </c>
      <c r="F16" s="51">
        <v>2.5</v>
      </c>
      <c r="G16" s="12"/>
      <c r="H16" s="30"/>
      <c r="J16" s="61" t="s">
        <v>2</v>
      </c>
      <c r="K16" s="58">
        <f>MarketDataAUD!F47</f>
        <v>59.666666666666664</v>
      </c>
      <c r="L16" s="51"/>
      <c r="N16" s="61" t="s">
        <v>2</v>
      </c>
      <c r="O16" s="66">
        <f>MarketDataAUD!R87</f>
        <v>0</v>
      </c>
      <c r="P16" s="66">
        <f>MarketDataAUD!H67/100</f>
        <v>5.6387499999999945E-2</v>
      </c>
      <c r="Q16" s="69" t="str">
        <f t="shared" si="2"/>
        <v>ERROR</v>
      </c>
      <c r="R16" s="67">
        <f t="shared" si="3"/>
        <v>-563.87499999999943</v>
      </c>
      <c r="S16" s="68">
        <f t="shared" si="4"/>
        <v>563.87499999999943</v>
      </c>
      <c r="T16" s="17"/>
      <c r="U16" s="11" t="str">
        <f t="shared" si="1"/>
        <v>AUD-IRFuture-IR-8</v>
      </c>
      <c r="V16" s="51">
        <v>2.5</v>
      </c>
    </row>
    <row r="17" spans="2:22" ht="12.75">
      <c r="B17" s="11" t="s">
        <v>37</v>
      </c>
      <c r="C17" s="51">
        <v>2</v>
      </c>
      <c r="E17" s="11" t="s">
        <v>37</v>
      </c>
      <c r="F17" s="51">
        <v>4</v>
      </c>
      <c r="G17" s="12"/>
      <c r="H17" s="30"/>
      <c r="J17" s="61" t="s">
        <v>3</v>
      </c>
      <c r="K17" s="58">
        <f>MarketDataAUD!F48</f>
        <v>36.5</v>
      </c>
      <c r="L17" s="51"/>
      <c r="N17" s="61" t="s">
        <v>3</v>
      </c>
      <c r="O17" s="66">
        <f>MarketDataAUD!R88</f>
        <v>0</v>
      </c>
      <c r="P17" s="66">
        <f>MarketDataAUD!H68/100</f>
        <v>5.732500000000007E-2</v>
      </c>
      <c r="Q17" s="69" t="str">
        <f t="shared" si="2"/>
        <v>ERROR</v>
      </c>
      <c r="R17" s="67">
        <f t="shared" si="3"/>
        <v>-573.25000000000068</v>
      </c>
      <c r="S17" s="68">
        <f t="shared" si="4"/>
        <v>573.25000000000068</v>
      </c>
      <c r="T17" s="17"/>
      <c r="U17" s="11" t="s">
        <v>37</v>
      </c>
      <c r="V17" s="51">
        <v>4</v>
      </c>
    </row>
    <row r="18" spans="2:22" ht="12.75">
      <c r="B18" s="11" t="s">
        <v>40</v>
      </c>
      <c r="C18" s="51">
        <v>3.5</v>
      </c>
      <c r="E18" s="11" t="s">
        <v>40</v>
      </c>
      <c r="F18" s="51">
        <v>4</v>
      </c>
      <c r="G18" s="12"/>
      <c r="H18" s="30"/>
      <c r="J18" s="61" t="s">
        <v>4</v>
      </c>
      <c r="K18" s="58">
        <f>MarketDataAUD!F49</f>
        <v>43.166666666666664</v>
      </c>
      <c r="L18" s="51"/>
      <c r="N18" s="61" t="s">
        <v>4</v>
      </c>
      <c r="O18" s="66">
        <f>MarketDataAUD!R89</f>
        <v>0</v>
      </c>
      <c r="P18" s="66">
        <f>MarketDataAUD!H69/100</f>
        <v>5.7975000000000068E-2</v>
      </c>
      <c r="Q18" s="69" t="str">
        <f t="shared" si="2"/>
        <v>ERROR</v>
      </c>
      <c r="R18" s="67">
        <f t="shared" si="3"/>
        <v>-579.75000000000068</v>
      </c>
      <c r="S18" s="68">
        <f t="shared" si="4"/>
        <v>579.75000000000068</v>
      </c>
      <c r="T18" s="17"/>
      <c r="U18" s="11" t="s">
        <v>40</v>
      </c>
      <c r="V18" s="51">
        <v>4</v>
      </c>
    </row>
    <row r="19" spans="2:22" ht="12.75">
      <c r="B19" s="11" t="s">
        <v>42</v>
      </c>
      <c r="C19" s="51">
        <v>3.5</v>
      </c>
      <c r="E19" s="11" t="s">
        <v>42</v>
      </c>
      <c r="F19" s="51">
        <v>4</v>
      </c>
      <c r="G19" s="12"/>
      <c r="H19" s="30"/>
      <c r="J19" s="61" t="s">
        <v>5</v>
      </c>
      <c r="K19" s="58">
        <f>MarketDataAUD!F50</f>
        <v>47.75</v>
      </c>
      <c r="L19" s="51"/>
      <c r="N19" s="61" t="s">
        <v>5</v>
      </c>
      <c r="O19" s="66">
        <f>MarketDataAUD!R90</f>
        <v>0</v>
      </c>
      <c r="P19" s="66">
        <f>MarketDataAUD!H70/100</f>
        <v>5.8462500000000063E-2</v>
      </c>
      <c r="Q19" s="69" t="str">
        <f t="shared" si="2"/>
        <v>ERROR</v>
      </c>
      <c r="R19" s="67">
        <f t="shared" si="3"/>
        <v>-584.62500000000068</v>
      </c>
      <c r="S19" s="68">
        <f t="shared" si="4"/>
        <v>584.62500000000068</v>
      </c>
      <c r="T19" s="17"/>
      <c r="U19" s="11" t="s">
        <v>42</v>
      </c>
      <c r="V19" s="51">
        <v>4</v>
      </c>
    </row>
    <row r="20" spans="2:22" ht="12.75">
      <c r="B20" s="11" t="s">
        <v>51</v>
      </c>
      <c r="C20" s="51">
        <v>3.5</v>
      </c>
      <c r="E20" s="11" t="s">
        <v>51</v>
      </c>
      <c r="F20" s="51">
        <v>4</v>
      </c>
      <c r="G20" s="12"/>
      <c r="H20" s="30"/>
      <c r="J20" s="61" t="s">
        <v>6</v>
      </c>
      <c r="K20" s="58">
        <f>MarketDataAUD!F51</f>
        <v>50.991666666666667</v>
      </c>
      <c r="L20" s="51"/>
      <c r="N20" s="61" t="s">
        <v>6</v>
      </c>
      <c r="O20" s="66">
        <f>MarketDataAUD!R91</f>
        <v>0</v>
      </c>
      <c r="P20" s="66">
        <f>MarketDataAUD!H71/100</f>
        <v>5.8787500000000062E-2</v>
      </c>
      <c r="Q20" s="69" t="str">
        <f t="shared" si="2"/>
        <v>ERROR</v>
      </c>
      <c r="R20" s="67">
        <f t="shared" si="3"/>
        <v>-587.87500000000057</v>
      </c>
      <c r="S20" s="68">
        <f t="shared" si="4"/>
        <v>587.87500000000057</v>
      </c>
      <c r="T20" s="17"/>
      <c r="U20" s="11" t="s">
        <v>51</v>
      </c>
      <c r="V20" s="51">
        <v>4</v>
      </c>
    </row>
    <row r="21" spans="2:22" ht="12.75">
      <c r="B21" s="11" t="s">
        <v>44</v>
      </c>
      <c r="C21" s="51">
        <v>3.5</v>
      </c>
      <c r="E21" s="11" t="s">
        <v>44</v>
      </c>
      <c r="F21" s="51">
        <v>5</v>
      </c>
      <c r="G21" s="12"/>
      <c r="H21" s="30"/>
      <c r="J21" s="61" t="s">
        <v>7</v>
      </c>
      <c r="K21" s="58">
        <f>MarketDataAUD!F52</f>
        <v>54</v>
      </c>
      <c r="L21" s="51"/>
      <c r="N21" s="61" t="s">
        <v>7</v>
      </c>
      <c r="O21" s="66">
        <f>MarketDataAUD!R92</f>
        <v>0</v>
      </c>
      <c r="P21" s="66">
        <f>MarketDataAUD!H72/100</f>
        <v>5.9075000000000072E-2</v>
      </c>
      <c r="Q21" s="69" t="str">
        <f t="shared" si="2"/>
        <v>ERROR</v>
      </c>
      <c r="R21" s="67">
        <f t="shared" si="3"/>
        <v>-590.75000000000068</v>
      </c>
      <c r="S21" s="68">
        <f t="shared" si="4"/>
        <v>590.75000000000068</v>
      </c>
      <c r="T21" s="17"/>
      <c r="U21" s="11" t="s">
        <v>44</v>
      </c>
      <c r="V21" s="51">
        <v>5</v>
      </c>
    </row>
    <row r="22" spans="2:22" ht="12.75">
      <c r="B22" s="11" t="s">
        <v>52</v>
      </c>
      <c r="C22" s="51">
        <v>3.5</v>
      </c>
      <c r="E22" s="11" t="s">
        <v>52</v>
      </c>
      <c r="F22" s="51">
        <v>5</v>
      </c>
      <c r="G22" s="12"/>
      <c r="H22" s="30"/>
      <c r="J22" s="61" t="s">
        <v>8</v>
      </c>
      <c r="K22" s="58">
        <f>MarketDataAUD!F53</f>
        <v>59.166666666666664</v>
      </c>
      <c r="L22" s="51"/>
      <c r="N22" s="61" t="s">
        <v>8</v>
      </c>
      <c r="O22" s="66">
        <f>MarketDataAUD!R93</f>
        <v>0</v>
      </c>
      <c r="P22" s="66">
        <f>MarketDataAUD!H73/100</f>
        <v>5.9600000000000063E-2</v>
      </c>
      <c r="Q22" s="69" t="str">
        <f t="shared" si="2"/>
        <v>ERROR</v>
      </c>
      <c r="R22" s="67">
        <f t="shared" si="3"/>
        <v>-596.00000000000068</v>
      </c>
      <c r="S22" s="68">
        <f t="shared" si="4"/>
        <v>596.00000000000068</v>
      </c>
      <c r="T22" s="17"/>
      <c r="U22" s="11" t="s">
        <v>52</v>
      </c>
      <c r="V22" s="51">
        <v>5</v>
      </c>
    </row>
    <row r="23" spans="2:22" ht="12.75">
      <c r="B23" s="11" t="s">
        <v>53</v>
      </c>
      <c r="C23" s="51">
        <v>3.5</v>
      </c>
      <c r="E23" s="11" t="s">
        <v>53</v>
      </c>
      <c r="F23" s="51">
        <v>5</v>
      </c>
      <c r="G23" s="12"/>
      <c r="H23" s="30"/>
      <c r="J23" s="61" t="s">
        <v>9</v>
      </c>
      <c r="K23" s="58">
        <f>MarketDataAUD!F54</f>
        <v>62.074999999999996</v>
      </c>
      <c r="L23" s="51"/>
      <c r="N23" s="61" t="s">
        <v>9</v>
      </c>
      <c r="O23" s="66">
        <f>MarketDataAUD!R94</f>
        <v>0</v>
      </c>
      <c r="P23" s="66">
        <f>MarketDataAUD!H74/100</f>
        <v>5.9900000000000071E-2</v>
      </c>
      <c r="Q23" s="69" t="str">
        <f t="shared" si="2"/>
        <v>ERROR</v>
      </c>
      <c r="R23" s="67">
        <f t="shared" si="3"/>
        <v>-599.00000000000068</v>
      </c>
      <c r="S23" s="68">
        <f t="shared" si="4"/>
        <v>599.00000000000068</v>
      </c>
      <c r="T23" s="17"/>
      <c r="U23" s="11" t="s">
        <v>53</v>
      </c>
      <c r="V23" s="51">
        <v>5</v>
      </c>
    </row>
    <row r="24" spans="2:22" ht="12.75">
      <c r="B24" s="11" t="s">
        <v>45</v>
      </c>
      <c r="C24" s="51">
        <v>4</v>
      </c>
      <c r="E24" s="11" t="s">
        <v>45</v>
      </c>
      <c r="F24" s="51">
        <v>5</v>
      </c>
      <c r="G24" s="12"/>
      <c r="H24" s="30"/>
      <c r="J24" s="61" t="s">
        <v>11</v>
      </c>
      <c r="K24" s="58">
        <f>MarketDataAUD!F55</f>
        <v>52.658333333333331</v>
      </c>
      <c r="L24" s="51"/>
      <c r="N24" s="61" t="s">
        <v>11</v>
      </c>
      <c r="O24" s="66">
        <f>MarketDataAUD!R95</f>
        <v>0</v>
      </c>
      <c r="P24" s="66">
        <f>MarketDataAUD!H75/100</f>
        <v>5.8937500000000059E-2</v>
      </c>
      <c r="Q24" s="69" t="str">
        <f t="shared" si="2"/>
        <v>ERROR</v>
      </c>
      <c r="R24" s="67">
        <f t="shared" si="3"/>
        <v>-589.37500000000057</v>
      </c>
      <c r="S24" s="68">
        <f t="shared" si="4"/>
        <v>589.37500000000057</v>
      </c>
      <c r="T24" s="17"/>
      <c r="U24" s="11" t="s">
        <v>45</v>
      </c>
      <c r="V24" s="51">
        <v>5</v>
      </c>
    </row>
    <row r="25" spans="2:22" ht="12.75">
      <c r="B25" s="11" t="s">
        <v>46</v>
      </c>
      <c r="C25" s="51">
        <v>5</v>
      </c>
      <c r="E25" s="11" t="s">
        <v>46</v>
      </c>
      <c r="F25" s="51">
        <v>6</v>
      </c>
      <c r="G25" s="12"/>
      <c r="H25" s="30"/>
      <c r="J25" s="61" t="s">
        <v>68</v>
      </c>
      <c r="K25" s="58">
        <f>MarketDataAUD!F56</f>
        <v>38.699999999999996</v>
      </c>
      <c r="L25" s="51"/>
      <c r="N25" s="61" t="s">
        <v>68</v>
      </c>
      <c r="O25" s="66">
        <f>MarketDataAUD!R96</f>
        <v>0</v>
      </c>
      <c r="P25" s="66">
        <f>MarketDataAUD!H76/100</f>
        <v>5.7543750000000067E-2</v>
      </c>
      <c r="Q25" s="69" t="str">
        <f t="shared" si="2"/>
        <v>ERROR</v>
      </c>
      <c r="R25" s="67">
        <f t="shared" si="3"/>
        <v>-575.43750000000068</v>
      </c>
      <c r="S25" s="68">
        <f t="shared" si="4"/>
        <v>575.43750000000068</v>
      </c>
      <c r="T25" s="17"/>
      <c r="U25" s="11" t="s">
        <v>46</v>
      </c>
      <c r="V25" s="51">
        <v>6</v>
      </c>
    </row>
    <row r="26" spans="2:22" ht="12.75">
      <c r="B26" s="11" t="s">
        <v>47</v>
      </c>
      <c r="C26" s="51">
        <v>5</v>
      </c>
      <c r="E26" s="11" t="s">
        <v>47</v>
      </c>
      <c r="F26" s="51">
        <v>7</v>
      </c>
      <c r="G26" s="12"/>
      <c r="H26" s="30"/>
      <c r="J26" s="62" t="s">
        <v>12</v>
      </c>
      <c r="K26" s="59">
        <f>MarketDataAUD!F57</f>
        <v>24.666666666666668</v>
      </c>
      <c r="L26" s="52"/>
      <c r="N26" s="62" t="s">
        <v>12</v>
      </c>
      <c r="O26" s="66">
        <f>MarketDataAUD!R97</f>
        <v>0</v>
      </c>
      <c r="P26" s="66">
        <f>MarketDataAUD!H77/100</f>
        <v>5.6125000000000064E-2</v>
      </c>
      <c r="Q26" s="69" t="str">
        <f t="shared" si="2"/>
        <v>ERROR</v>
      </c>
      <c r="R26" s="67">
        <f t="shared" si="3"/>
        <v>-561.25000000000068</v>
      </c>
      <c r="S26" s="68">
        <f t="shared" si="4"/>
        <v>561.25000000000068</v>
      </c>
      <c r="T26" s="17"/>
      <c r="U26" s="11" t="s">
        <v>47</v>
      </c>
      <c r="V26" s="51">
        <v>7</v>
      </c>
    </row>
    <row r="27" spans="2:22">
      <c r="B27" s="11" t="s">
        <v>48</v>
      </c>
      <c r="C27" s="51">
        <v>5</v>
      </c>
      <c r="E27" s="11" t="s">
        <v>48</v>
      </c>
      <c r="F27" s="51">
        <v>10</v>
      </c>
      <c r="G27" s="12"/>
      <c r="H27" s="30"/>
      <c r="J27" s="48"/>
      <c r="K27" s="49"/>
      <c r="L27" s="49"/>
      <c r="T27" s="17"/>
      <c r="U27" s="11" t="s">
        <v>48</v>
      </c>
      <c r="V27" s="51">
        <v>10</v>
      </c>
    </row>
    <row r="28" spans="2:22" ht="15.75">
      <c r="B28" s="11" t="s">
        <v>49</v>
      </c>
      <c r="C28" s="51">
        <v>5</v>
      </c>
      <c r="E28" s="11" t="s">
        <v>49</v>
      </c>
      <c r="F28" s="51">
        <v>10</v>
      </c>
      <c r="G28" s="12"/>
      <c r="H28" s="30"/>
      <c r="J28" s="368" t="s">
        <v>71</v>
      </c>
      <c r="K28" s="369"/>
      <c r="L28" s="370"/>
      <c r="T28" s="17"/>
      <c r="U28" s="11" t="s">
        <v>49</v>
      </c>
      <c r="V28" s="51">
        <v>10</v>
      </c>
    </row>
    <row r="29" spans="2:22" ht="12.75">
      <c r="B29" s="11" t="s">
        <v>50</v>
      </c>
      <c r="C29" s="51">
        <v>5</v>
      </c>
      <c r="E29" s="11" t="s">
        <v>50</v>
      </c>
      <c r="F29" s="51">
        <v>10</v>
      </c>
      <c r="G29" s="12"/>
      <c r="H29" s="30"/>
      <c r="K29" s="47" t="s">
        <v>73</v>
      </c>
      <c r="L29" s="47" t="s">
        <v>70</v>
      </c>
      <c r="O29" s="19"/>
      <c r="P29" s="20"/>
      <c r="Q29" s="16"/>
      <c r="R29" s="16"/>
      <c r="S29" s="17"/>
      <c r="T29" s="17"/>
      <c r="U29" s="11" t="s">
        <v>50</v>
      </c>
      <c r="V29" s="51">
        <v>10</v>
      </c>
    </row>
    <row r="30" spans="2:22" ht="12.75">
      <c r="B30" s="13"/>
      <c r="C30" s="51"/>
      <c r="E30" s="11"/>
      <c r="F30" s="51"/>
      <c r="G30" s="8"/>
      <c r="H30" s="8"/>
      <c r="J30" s="60" t="s">
        <v>72</v>
      </c>
      <c r="K30" s="64">
        <f>MarketDataAUD!N61</f>
        <v>94.960000000000008</v>
      </c>
      <c r="L30" s="51">
        <v>0</v>
      </c>
      <c r="O30" s="19"/>
      <c r="P30" s="20"/>
      <c r="Q30" s="16"/>
      <c r="R30" s="16"/>
      <c r="S30" s="17"/>
      <c r="T30" s="17"/>
      <c r="U30" s="11"/>
      <c r="V30" s="51"/>
    </row>
    <row r="31" spans="2:22" ht="12.75">
      <c r="B31" s="13"/>
      <c r="C31" s="51"/>
      <c r="E31" s="11"/>
      <c r="F31" s="51"/>
      <c r="G31" s="8"/>
      <c r="H31" s="8"/>
      <c r="J31" s="63" t="s">
        <v>14</v>
      </c>
      <c r="K31" s="65">
        <f>MarketDataAUD!N62</f>
        <v>94.634999999999991</v>
      </c>
      <c r="L31" s="52">
        <v>0</v>
      </c>
      <c r="O31" s="21"/>
      <c r="P31" s="19"/>
      <c r="Q31" s="16"/>
      <c r="R31" s="16"/>
      <c r="S31" s="17"/>
      <c r="T31" s="17"/>
      <c r="U31" s="11"/>
      <c r="V31" s="51"/>
    </row>
    <row r="32" spans="2:22">
      <c r="B32" s="13"/>
      <c r="C32" s="51"/>
      <c r="E32" s="11"/>
      <c r="F32" s="51"/>
      <c r="G32" s="8"/>
      <c r="H32" s="8"/>
      <c r="J32" s="48"/>
      <c r="K32" s="49"/>
      <c r="L32" s="49"/>
      <c r="O32" s="19"/>
      <c r="P32" s="22"/>
      <c r="Q32" s="16"/>
      <c r="R32" s="16"/>
      <c r="S32" s="17"/>
      <c r="T32" s="17"/>
      <c r="U32" s="11"/>
      <c r="V32" s="51"/>
    </row>
    <row r="33" spans="2:22" ht="15.75">
      <c r="B33" s="13"/>
      <c r="C33" s="51"/>
      <c r="E33" s="11"/>
      <c r="F33" s="51"/>
      <c r="G33" s="8"/>
      <c r="H33" s="8"/>
      <c r="J33" s="368" t="s">
        <v>76</v>
      </c>
      <c r="K33" s="369"/>
      <c r="L33" s="370"/>
      <c r="O33" s="19"/>
      <c r="P33" s="19"/>
      <c r="Q33" s="16"/>
      <c r="R33" s="16"/>
      <c r="S33" s="17"/>
      <c r="T33" s="17"/>
      <c r="U33" s="11"/>
      <c r="V33" s="51"/>
    </row>
    <row r="34" spans="2:22" ht="12.75">
      <c r="B34" s="13"/>
      <c r="C34" s="51"/>
      <c r="E34" s="11"/>
      <c r="F34" s="51"/>
      <c r="G34" s="8"/>
      <c r="H34" s="8"/>
      <c r="J34" s="48"/>
      <c r="K34" s="75" t="s">
        <v>69</v>
      </c>
      <c r="L34" s="75" t="s">
        <v>70</v>
      </c>
      <c r="O34" s="19"/>
      <c r="P34" s="19"/>
      <c r="Q34" s="16"/>
      <c r="R34" s="16"/>
      <c r="S34" s="17"/>
      <c r="T34" s="17"/>
      <c r="U34" s="11"/>
      <c r="V34" s="51"/>
    </row>
    <row r="35" spans="2:22" ht="12.75">
      <c r="B35" s="13"/>
      <c r="C35" s="51"/>
      <c r="E35" s="11"/>
      <c r="F35" s="51"/>
      <c r="G35" s="8"/>
      <c r="H35" s="8"/>
      <c r="J35" s="71" t="s">
        <v>17</v>
      </c>
      <c r="K35" s="76">
        <f>MarketDataAUD!D23</f>
        <v>4.82</v>
      </c>
      <c r="L35" s="79">
        <v>0</v>
      </c>
      <c r="O35" s="19"/>
      <c r="P35" s="19"/>
      <c r="Q35" s="16"/>
      <c r="R35" s="16"/>
      <c r="S35" s="17"/>
      <c r="T35" s="17"/>
      <c r="U35" s="11"/>
      <c r="V35" s="51"/>
    </row>
    <row r="36" spans="2:22" ht="12.75">
      <c r="B36" s="13"/>
      <c r="C36" s="51"/>
      <c r="E36" s="11"/>
      <c r="F36" s="51"/>
      <c r="G36" s="8"/>
      <c r="H36" s="8"/>
      <c r="J36" s="72" t="s">
        <v>77</v>
      </c>
      <c r="K36" s="77">
        <f>MarketDataAUD!D24</f>
        <v>4.91</v>
      </c>
      <c r="L36" s="73">
        <v>0</v>
      </c>
      <c r="O36" s="19"/>
      <c r="P36" s="19"/>
      <c r="Q36" s="16"/>
      <c r="R36" s="16"/>
      <c r="S36" s="17"/>
      <c r="T36" s="17"/>
      <c r="U36" s="11"/>
      <c r="V36" s="51"/>
    </row>
    <row r="37" spans="2:22" ht="12.75">
      <c r="B37" s="13"/>
      <c r="C37" s="51"/>
      <c r="E37" s="11"/>
      <c r="F37" s="51"/>
      <c r="G37" s="8"/>
      <c r="H37" s="8"/>
      <c r="J37" s="72" t="s">
        <v>18</v>
      </c>
      <c r="K37" s="78">
        <f>MarketDataAUD!D25</f>
        <v>4.99</v>
      </c>
      <c r="L37" s="74">
        <v>0</v>
      </c>
      <c r="O37" s="24"/>
      <c r="P37" s="24"/>
      <c r="Q37" s="16"/>
      <c r="R37" s="16"/>
      <c r="S37" s="17"/>
      <c r="T37" s="17"/>
      <c r="U37" s="11"/>
      <c r="V37" s="51"/>
    </row>
    <row r="38" spans="2:22" ht="12.75">
      <c r="B38" s="13"/>
      <c r="C38" s="51"/>
      <c r="E38" s="11"/>
      <c r="F38" s="51"/>
      <c r="G38" s="8"/>
      <c r="H38" s="8"/>
      <c r="J38" s="70"/>
      <c r="K38" s="49"/>
      <c r="L38" s="49"/>
      <c r="O38" s="16"/>
      <c r="P38" s="16"/>
      <c r="Q38" s="16"/>
      <c r="R38" s="16"/>
      <c r="S38" s="17"/>
      <c r="T38" s="17"/>
      <c r="U38" s="11"/>
      <c r="V38" s="51"/>
    </row>
    <row r="39" spans="2:22">
      <c r="B39" s="13"/>
      <c r="C39" s="51"/>
      <c r="E39" s="11"/>
      <c r="F39" s="51"/>
      <c r="G39" s="8"/>
      <c r="H39" s="8"/>
      <c r="J39" s="48"/>
      <c r="K39" s="49"/>
      <c r="L39" s="49"/>
      <c r="O39" s="15"/>
      <c r="P39" s="15"/>
      <c r="Q39" s="16"/>
      <c r="R39" s="16"/>
      <c r="S39" s="17"/>
      <c r="T39" s="17"/>
      <c r="U39" s="11"/>
      <c r="V39" s="51"/>
    </row>
    <row r="40" spans="2:22">
      <c r="B40" s="13"/>
      <c r="C40" s="51"/>
      <c r="E40" s="11"/>
      <c r="F40" s="51"/>
      <c r="G40" s="8"/>
      <c r="H40" s="8"/>
      <c r="J40" s="48"/>
      <c r="K40" s="49"/>
      <c r="L40" s="49"/>
      <c r="O40" s="18"/>
      <c r="P40" s="18"/>
      <c r="Q40" s="16"/>
      <c r="R40" s="16"/>
      <c r="S40" s="17"/>
      <c r="T40" s="17"/>
      <c r="U40" s="11"/>
      <c r="V40" s="51"/>
    </row>
    <row r="41" spans="2:22">
      <c r="B41" s="13"/>
      <c r="C41" s="51"/>
      <c r="E41" s="11"/>
      <c r="F41" s="51"/>
      <c r="G41" s="8"/>
      <c r="H41" s="8"/>
      <c r="J41" s="48"/>
      <c r="K41" s="49"/>
      <c r="L41" s="49"/>
      <c r="O41" s="19"/>
      <c r="P41" s="20"/>
      <c r="Q41" s="16"/>
      <c r="R41" s="16"/>
      <c r="S41" s="17"/>
      <c r="T41" s="17"/>
      <c r="U41" s="11"/>
      <c r="V41" s="51"/>
    </row>
    <row r="42" spans="2:22">
      <c r="B42" s="13"/>
      <c r="C42" s="51"/>
      <c r="E42" s="11"/>
      <c r="F42" s="51"/>
      <c r="G42" s="8"/>
      <c r="H42" s="8"/>
      <c r="J42" s="48"/>
      <c r="K42" s="49"/>
      <c r="L42" s="49"/>
      <c r="O42" s="19"/>
      <c r="P42" s="20"/>
      <c r="Q42" s="16"/>
      <c r="R42" s="16"/>
      <c r="S42" s="17"/>
      <c r="T42" s="17"/>
      <c r="U42" s="11"/>
      <c r="V42" s="51"/>
    </row>
    <row r="43" spans="2:22">
      <c r="B43" s="13"/>
      <c r="C43" s="51"/>
      <c r="E43" s="11"/>
      <c r="F43" s="51"/>
      <c r="G43" s="8"/>
      <c r="H43" s="8"/>
      <c r="J43" s="48"/>
      <c r="K43" s="49"/>
      <c r="L43" s="49"/>
      <c r="O43" s="21"/>
      <c r="P43" s="19"/>
      <c r="Q43" s="16"/>
      <c r="R43" s="16"/>
      <c r="S43" s="17"/>
      <c r="T43" s="17"/>
      <c r="U43" s="11"/>
      <c r="V43" s="51"/>
    </row>
    <row r="44" spans="2:22">
      <c r="B44" s="27"/>
      <c r="C44" s="52"/>
      <c r="E44" s="25"/>
      <c r="F44" s="52"/>
      <c r="G44" s="26"/>
      <c r="H44" s="26"/>
      <c r="J44" s="48"/>
      <c r="K44" s="49"/>
      <c r="L44" s="49"/>
      <c r="O44" s="19"/>
      <c r="P44" s="22"/>
      <c r="Q44" s="16"/>
      <c r="R44" s="16"/>
      <c r="S44" s="17"/>
      <c r="T44" s="17"/>
      <c r="U44" s="25"/>
      <c r="V44" s="52"/>
    </row>
    <row r="45" spans="2:22">
      <c r="O45" s="19"/>
      <c r="P45" s="19"/>
      <c r="Q45" s="16"/>
      <c r="R45" s="16"/>
      <c r="S45" s="17"/>
      <c r="T45" s="17"/>
    </row>
    <row r="46" spans="2:22">
      <c r="O46" s="19"/>
      <c r="P46" s="19"/>
      <c r="Q46" s="16"/>
      <c r="R46" s="16"/>
      <c r="S46" s="17"/>
      <c r="T46" s="17"/>
    </row>
    <row r="47" spans="2:22">
      <c r="O47" s="19"/>
      <c r="P47" s="19"/>
      <c r="Q47" s="16"/>
      <c r="R47" s="16"/>
      <c r="S47" s="17"/>
      <c r="T47" s="17"/>
    </row>
    <row r="48" spans="2:22">
      <c r="O48" s="19"/>
      <c r="P48" s="19"/>
      <c r="Q48" s="16"/>
      <c r="R48" s="16"/>
      <c r="S48" s="17"/>
      <c r="T48" s="17"/>
    </row>
    <row r="49" spans="15:20">
      <c r="O49" s="24"/>
      <c r="P49" s="24"/>
      <c r="Q49" s="16"/>
      <c r="R49" s="16"/>
      <c r="S49" s="17"/>
      <c r="T49" s="17"/>
    </row>
    <row r="50" spans="15:20">
      <c r="O50" s="17"/>
      <c r="P50" s="17"/>
      <c r="Q50" s="17"/>
      <c r="R50" s="17"/>
      <c r="S50" s="17"/>
      <c r="T50" s="17"/>
    </row>
    <row r="51" spans="15:20">
      <c r="O51" s="17"/>
      <c r="P51" s="17"/>
      <c r="Q51" s="17"/>
      <c r="R51" s="17"/>
      <c r="S51" s="17"/>
      <c r="T51" s="17"/>
    </row>
    <row r="52" spans="15:20">
      <c r="O52" s="17"/>
      <c r="P52" s="17"/>
      <c r="Q52" s="17"/>
      <c r="R52" s="17"/>
      <c r="S52" s="17"/>
      <c r="T52" s="17"/>
    </row>
  </sheetData>
  <mergeCells count="8">
    <mergeCell ref="U4:V4"/>
    <mergeCell ref="J33:L33"/>
    <mergeCell ref="N12:P12"/>
    <mergeCell ref="B2:M2"/>
    <mergeCell ref="J4:L4"/>
    <mergeCell ref="F4:G4"/>
    <mergeCell ref="J12:L12"/>
    <mergeCell ref="J28:L28"/>
  </mergeCell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1:AP499"/>
  <sheetViews>
    <sheetView tabSelected="1" zoomScale="85" zoomScaleNormal="85" workbookViewId="0">
      <pane ySplit="1" topLeftCell="A2" activePane="bottomLeft" state="frozen"/>
      <selection pane="bottomLeft" activeCell="AL20" sqref="AL20"/>
    </sheetView>
  </sheetViews>
  <sheetFormatPr defaultRowHeight="15"/>
  <cols>
    <col min="1" max="1" width="2.28515625" style="118" customWidth="1"/>
    <col min="2" max="2" width="9.140625" style="118"/>
    <col min="3" max="3" width="10.7109375" style="118" bestFit="1" customWidth="1"/>
    <col min="4" max="4" width="11.7109375" style="118" customWidth="1"/>
    <col min="5" max="5" width="10" style="118" bestFit="1" customWidth="1"/>
    <col min="6" max="11" width="9.140625" style="118"/>
    <col min="12" max="12" width="1.85546875" style="118" customWidth="1"/>
    <col min="13" max="13" width="24.42578125" style="118" bestFit="1" customWidth="1"/>
    <col min="14" max="14" width="10.42578125" style="118" customWidth="1"/>
    <col min="15" max="15" width="10.140625" style="118" customWidth="1"/>
    <col min="16" max="16" width="11.7109375" style="118" customWidth="1"/>
    <col min="17" max="17" width="24.42578125" style="118" bestFit="1" customWidth="1"/>
    <col min="18" max="18" width="9.140625" style="118"/>
    <col min="19" max="19" width="10.28515625" style="118" customWidth="1"/>
    <col min="20" max="20" width="9.140625" style="118"/>
    <col min="21" max="21" width="22" style="118" bestFit="1" customWidth="1"/>
    <col min="22" max="22" width="53.7109375" style="118" bestFit="1" customWidth="1"/>
    <col min="23" max="23" width="2.42578125" style="118" customWidth="1"/>
    <col min="24" max="24" width="5.85546875" style="362" bestFit="1" customWidth="1"/>
    <col min="25" max="25" width="10.140625" style="118" bestFit="1" customWidth="1"/>
    <col min="26" max="26" width="10.7109375" style="118" bestFit="1" customWidth="1"/>
    <col min="27" max="27" width="16.42578125" style="118" bestFit="1" customWidth="1"/>
    <col min="28" max="28" width="9.140625" style="118"/>
    <col min="29" max="29" width="10.140625" style="118" bestFit="1" customWidth="1"/>
    <col min="30" max="31" width="10.7109375" style="118" bestFit="1" customWidth="1"/>
    <col min="32" max="32" width="11.140625" style="118" customWidth="1"/>
    <col min="33" max="33" width="9.28515625" style="118" bestFit="1" customWidth="1"/>
    <col min="34" max="34" width="10.85546875" style="118" bestFit="1" customWidth="1"/>
    <col min="35" max="35" width="9.7109375" style="118" bestFit="1" customWidth="1"/>
    <col min="36" max="37" width="9.28515625" style="118" customWidth="1"/>
    <col min="38" max="38" width="10.28515625" style="118" bestFit="1" customWidth="1"/>
    <col min="39" max="40" width="9.28515625" style="118" customWidth="1"/>
    <col min="41" max="41" width="9.7109375" style="118" bestFit="1" customWidth="1"/>
    <col min="42" max="42" width="9.28515625" style="118" customWidth="1"/>
    <col min="43" max="16384" width="9.140625" style="118"/>
  </cols>
  <sheetData>
    <row r="1" spans="2:42" ht="24" thickBot="1">
      <c r="B1" s="379" t="s">
        <v>203</v>
      </c>
      <c r="C1" s="380"/>
      <c r="D1" s="380"/>
      <c r="E1" s="380"/>
      <c r="F1" s="380"/>
      <c r="G1" s="380"/>
      <c r="H1" s="380"/>
      <c r="I1" s="380"/>
      <c r="J1" s="380"/>
      <c r="K1" s="380"/>
      <c r="M1" s="379" t="s">
        <v>204</v>
      </c>
      <c r="N1" s="380"/>
      <c r="O1" s="380"/>
      <c r="P1" s="380"/>
      <c r="Q1" s="380"/>
      <c r="R1" s="380"/>
      <c r="S1" s="380"/>
      <c r="T1" s="380"/>
      <c r="U1" s="380"/>
      <c r="V1" s="381"/>
      <c r="Y1" s="379" t="s">
        <v>205</v>
      </c>
      <c r="Z1" s="380"/>
      <c r="AA1" s="380"/>
      <c r="AB1" s="380"/>
      <c r="AC1" s="380"/>
      <c r="AD1" s="380"/>
      <c r="AE1" s="380"/>
      <c r="AF1" s="380"/>
      <c r="AG1" s="380"/>
      <c r="AH1" s="380"/>
      <c r="AI1" s="380"/>
      <c r="AJ1" s="380"/>
      <c r="AK1" s="380"/>
      <c r="AL1" s="380"/>
      <c r="AM1" s="380"/>
      <c r="AN1" s="380"/>
      <c r="AO1" s="381"/>
      <c r="AP1" s="119"/>
    </row>
    <row r="2" spans="2:42" ht="24" thickBot="1">
      <c r="M2" s="119"/>
      <c r="N2" s="119"/>
      <c r="O2" s="119"/>
      <c r="P2" s="119"/>
      <c r="Q2" s="119"/>
      <c r="R2" s="119"/>
      <c r="S2" s="119"/>
      <c r="T2" s="119"/>
      <c r="U2" s="119"/>
      <c r="V2" s="119"/>
    </row>
    <row r="3" spans="2:42" ht="15.75" thickBot="1">
      <c r="C3" s="120" t="s">
        <v>190</v>
      </c>
      <c r="D3" s="121">
        <v>41513</v>
      </c>
      <c r="M3" s="382" t="s">
        <v>206</v>
      </c>
      <c r="N3" s="383"/>
      <c r="O3" s="383"/>
      <c r="P3" s="383"/>
      <c r="Q3" s="383"/>
      <c r="R3" s="383"/>
      <c r="S3" s="383"/>
      <c r="T3" s="383"/>
      <c r="U3" s="383"/>
      <c r="V3" s="384"/>
    </row>
    <row r="4" spans="2:42" ht="15.75" thickBot="1">
      <c r="Z4" s="385" t="s">
        <v>207</v>
      </c>
      <c r="AA4" s="386"/>
      <c r="AC4" s="382" t="s">
        <v>208</v>
      </c>
      <c r="AD4" s="384"/>
      <c r="AF4" s="385" t="s">
        <v>209</v>
      </c>
      <c r="AG4" s="387"/>
      <c r="AH4" s="386"/>
      <c r="AJ4" s="382" t="s">
        <v>210</v>
      </c>
      <c r="AK4" s="384"/>
    </row>
    <row r="5" spans="2:42" ht="15.75" thickBot="1">
      <c r="B5" s="382" t="s">
        <v>211</v>
      </c>
      <c r="C5" s="383"/>
      <c r="D5" s="383"/>
      <c r="E5" s="384"/>
      <c r="H5" s="382" t="s">
        <v>212</v>
      </c>
      <c r="I5" s="383"/>
      <c r="J5" s="383"/>
      <c r="K5" s="384"/>
      <c r="N5" s="388" t="s">
        <v>213</v>
      </c>
      <c r="O5" s="389"/>
      <c r="P5" s="388" t="s">
        <v>214</v>
      </c>
      <c r="Q5" s="390"/>
      <c r="R5" s="389"/>
    </row>
    <row r="6" spans="2:42" ht="15.75" thickBot="1">
      <c r="M6" s="120" t="s">
        <v>19</v>
      </c>
      <c r="N6" s="120" t="s">
        <v>216</v>
      </c>
      <c r="O6" s="122" t="s">
        <v>217</v>
      </c>
      <c r="P6" s="120" t="s">
        <v>218</v>
      </c>
      <c r="Q6" s="123" t="s">
        <v>219</v>
      </c>
      <c r="R6" s="122" t="s">
        <v>20</v>
      </c>
      <c r="S6" s="122" t="s">
        <v>220</v>
      </c>
      <c r="U6" s="120" t="s">
        <v>221</v>
      </c>
      <c r="V6" s="122" t="str">
        <f>_xll.HLV5r3.Financial.Cache.CreateCurve_Old(U7:V13, M7:M32, O7:O32, S7:S32)</f>
        <v>Market.TemporaryCurve.RateCurve.AUD-BBR-BBSW-3M</v>
      </c>
      <c r="Z6" s="120" t="s">
        <v>222</v>
      </c>
      <c r="AA6" s="122" t="s">
        <v>223</v>
      </c>
      <c r="AC6" s="120" t="s">
        <v>224</v>
      </c>
      <c r="AD6" s="122" t="s">
        <v>79</v>
      </c>
      <c r="AF6" s="120" t="s">
        <v>225</v>
      </c>
      <c r="AG6" s="123" t="s">
        <v>226</v>
      </c>
      <c r="AH6" s="122" t="s">
        <v>227</v>
      </c>
      <c r="AJ6" s="120" t="s">
        <v>228</v>
      </c>
      <c r="AK6" s="122" t="s">
        <v>229</v>
      </c>
    </row>
    <row r="7" spans="2:42" ht="15.75" thickBot="1">
      <c r="B7" s="120" t="s">
        <v>224</v>
      </c>
      <c r="C7" s="123" t="s">
        <v>230</v>
      </c>
      <c r="D7" s="123" t="s">
        <v>94</v>
      </c>
      <c r="E7" s="122" t="s">
        <v>20</v>
      </c>
      <c r="J7" s="124" t="s">
        <v>231</v>
      </c>
      <c r="K7" s="125">
        <v>1.8E-3</v>
      </c>
      <c r="M7" s="126" t="s">
        <v>23</v>
      </c>
      <c r="N7" s="127">
        <f>D8</f>
        <v>4.7500000000000001E-2</v>
      </c>
      <c r="O7" s="127">
        <f>N7</f>
        <v>4.7500000000000001E-2</v>
      </c>
      <c r="P7" s="128">
        <f>N7*100</f>
        <v>4.75</v>
      </c>
      <c r="Q7" s="129"/>
      <c r="R7" s="129"/>
      <c r="S7" s="130">
        <v>0</v>
      </c>
      <c r="U7" s="131" t="s">
        <v>21</v>
      </c>
      <c r="V7" s="132" t="s">
        <v>22</v>
      </c>
      <c r="Z7" s="131" t="s">
        <v>232</v>
      </c>
      <c r="AA7" s="133" t="s">
        <v>233</v>
      </c>
      <c r="AC7" s="126" t="s">
        <v>13</v>
      </c>
      <c r="AD7" s="134">
        <f>(AM19-AM20)/AO20</f>
        <v>5.0784740204185906E-2</v>
      </c>
      <c r="AF7" s="135">
        <v>10</v>
      </c>
      <c r="AG7" s="128">
        <f t="shared" ref="AG7:AG13" si="0">VLOOKUP(AF7*12,$Y$20:$AC$499,5)</f>
        <v>7.6224624201182358</v>
      </c>
      <c r="AH7" s="128">
        <f t="shared" ref="AH7:AH13" si="1">VLOOKUP(AF7*4,$AE$20:$AI$179,5)</f>
        <v>7.5854471728141526</v>
      </c>
      <c r="AJ7" s="136">
        <v>29.5</v>
      </c>
      <c r="AK7" s="137">
        <f>(AM77/AM78-1)/AN78</f>
        <v>3.7780663790722716E-2</v>
      </c>
    </row>
    <row r="8" spans="2:42" ht="15.75" thickBot="1">
      <c r="B8" s="131" t="s">
        <v>236</v>
      </c>
      <c r="C8" s="138">
        <f>MarketDataAUD!B14/100</f>
        <v>4.7500000000000001E-2</v>
      </c>
      <c r="D8" s="139">
        <f>C8+E8/10000</f>
        <v>4.7500000000000001E-2</v>
      </c>
      <c r="E8" s="140">
        <v>0</v>
      </c>
      <c r="H8" s="120" t="s">
        <v>237</v>
      </c>
      <c r="I8" s="123" t="s">
        <v>230</v>
      </c>
      <c r="J8" s="123" t="s">
        <v>94</v>
      </c>
      <c r="K8" s="141" t="s">
        <v>219</v>
      </c>
      <c r="M8" s="131" t="s">
        <v>24</v>
      </c>
      <c r="N8" s="127">
        <f>D9</f>
        <v>4.82E-2</v>
      </c>
      <c r="O8" s="127">
        <f t="shared" ref="O8:O19" si="2">N8</f>
        <v>4.82E-2</v>
      </c>
      <c r="P8" s="128">
        <f t="shared" ref="P8:P10" si="3">N8*100</f>
        <v>4.82</v>
      </c>
      <c r="Q8" s="142"/>
      <c r="R8" s="142"/>
      <c r="S8" s="130">
        <v>0</v>
      </c>
      <c r="U8" s="131" t="s">
        <v>306</v>
      </c>
      <c r="V8" s="360">
        <f>Today</f>
        <v>41513</v>
      </c>
      <c r="Z8" s="131" t="s">
        <v>238</v>
      </c>
      <c r="AA8" s="133" t="s">
        <v>239</v>
      </c>
      <c r="AC8" s="126" t="s">
        <v>127</v>
      </c>
      <c r="AD8" s="134">
        <f>(AG19-AG23)/AI23</f>
        <v>5.1293411895540292E-2</v>
      </c>
      <c r="AF8" s="135">
        <v>12</v>
      </c>
      <c r="AG8" s="128">
        <f t="shared" si="0"/>
        <v>8.6652632613523561</v>
      </c>
      <c r="AH8" s="128">
        <f t="shared" si="1"/>
        <v>8.6228279025745866</v>
      </c>
      <c r="AJ8" s="136">
        <v>30</v>
      </c>
      <c r="AK8" s="137">
        <f>(AM78/AM79-1)/AN79</f>
        <v>3.7231097912064373E-2</v>
      </c>
    </row>
    <row r="9" spans="2:42">
      <c r="B9" s="131" t="s">
        <v>134</v>
      </c>
      <c r="C9" s="138">
        <f>MarketDataAUD!D23/100</f>
        <v>4.82E-2</v>
      </c>
      <c r="D9" s="139">
        <f>C9+E9/10000</f>
        <v>4.82E-2</v>
      </c>
      <c r="E9" s="140">
        <v>0</v>
      </c>
      <c r="H9" s="131">
        <v>1</v>
      </c>
      <c r="I9" s="146">
        <f>MarketDataAUD!E31</f>
        <v>5.0349999999999964E-2</v>
      </c>
      <c r="J9" s="139">
        <f t="shared" ref="J9:J16" si="4">I9-K9/10000</f>
        <v>5.0349999999999964E-2</v>
      </c>
      <c r="K9" s="136">
        <f>_xll.HLV5r3.Analytics.Futures.FuturesMarginConvexityAdjustment(I9, MarketDataAUD!P30, $K$7)*10000*10000</f>
        <v>0</v>
      </c>
      <c r="M9" s="131" t="s">
        <v>27</v>
      </c>
      <c r="N9" s="127">
        <f>D10</f>
        <v>4.9100000000000005E-2</v>
      </c>
      <c r="O9" s="127">
        <f t="shared" si="2"/>
        <v>4.9100000000000005E-2</v>
      </c>
      <c r="P9" s="128">
        <f t="shared" si="3"/>
        <v>4.91</v>
      </c>
      <c r="Q9" s="142"/>
      <c r="R9" s="142"/>
      <c r="S9" s="130">
        <v>0</v>
      </c>
      <c r="U9" s="131" t="s">
        <v>25</v>
      </c>
      <c r="V9" s="132" t="s">
        <v>354</v>
      </c>
      <c r="W9" s="144"/>
      <c r="Z9" s="131" t="s">
        <v>240</v>
      </c>
      <c r="AA9" s="133" t="s">
        <v>241</v>
      </c>
      <c r="AC9" s="126" t="s">
        <v>113</v>
      </c>
      <c r="AD9" s="134">
        <f>(AG19-AG27)/AI27</f>
        <v>5.2446530628058492E-2</v>
      </c>
      <c r="AF9" s="135">
        <v>15</v>
      </c>
      <c r="AG9" s="128">
        <f t="shared" si="0"/>
        <v>10.006928611607412</v>
      </c>
      <c r="AH9" s="128">
        <f t="shared" si="1"/>
        <v>9.9576949919263154</v>
      </c>
      <c r="AJ9" s="136" t="s">
        <v>242</v>
      </c>
      <c r="AK9" s="137">
        <f>0.5*(AK7+AK8)</f>
        <v>3.7505880851393544E-2</v>
      </c>
    </row>
    <row r="10" spans="2:42">
      <c r="B10" s="131" t="s">
        <v>133</v>
      </c>
      <c r="C10" s="138">
        <f>MarketDataAUD!D24/100</f>
        <v>4.9100000000000005E-2</v>
      </c>
      <c r="D10" s="139">
        <f>C10+E10/10000</f>
        <v>4.9100000000000005E-2</v>
      </c>
      <c r="E10" s="140">
        <v>0</v>
      </c>
      <c r="H10" s="131">
        <v>2</v>
      </c>
      <c r="I10" s="146">
        <f>MarketDataAUD!E32</f>
        <v>5.1150000000000091E-2</v>
      </c>
      <c r="J10" s="139">
        <f t="shared" si="4"/>
        <v>5.1150000000000091E-2</v>
      </c>
      <c r="K10" s="136">
        <f>_xll.HLV5r3.Analytics.Futures.FuturesMarginConvexityAdjustment(I10, MarketDataAUD!P31, $K$7)*10000*10000</f>
        <v>0</v>
      </c>
      <c r="M10" s="131" t="s">
        <v>29</v>
      </c>
      <c r="N10" s="127">
        <f>D11</f>
        <v>4.99E-2</v>
      </c>
      <c r="O10" s="127">
        <f t="shared" si="2"/>
        <v>4.99E-2</v>
      </c>
      <c r="P10" s="128">
        <f t="shared" si="3"/>
        <v>4.99</v>
      </c>
      <c r="Q10" s="142"/>
      <c r="R10" s="142"/>
      <c r="S10" s="130">
        <v>0</v>
      </c>
      <c r="U10" s="131" t="s">
        <v>41</v>
      </c>
      <c r="V10" s="132" t="str">
        <f>V11&amp;"-"&amp;V12</f>
        <v>AUD-BBR-BBSW-3M</v>
      </c>
      <c r="Z10" s="148" t="s">
        <v>243</v>
      </c>
      <c r="AA10" s="149" t="s">
        <v>244</v>
      </c>
      <c r="AC10" s="126" t="s">
        <v>245</v>
      </c>
      <c r="AD10" s="134">
        <f>(AM19-AM99)/AO99</f>
        <v>5.4121239984281082E-2</v>
      </c>
      <c r="AF10" s="135">
        <v>20</v>
      </c>
      <c r="AG10" s="128">
        <f t="shared" si="0"/>
        <v>11.795805891188509</v>
      </c>
      <c r="AH10" s="128">
        <f t="shared" si="1"/>
        <v>11.73868864166727</v>
      </c>
    </row>
    <row r="11" spans="2:42">
      <c r="B11" s="131" t="s">
        <v>10</v>
      </c>
      <c r="C11" s="138">
        <f>MarketDataAUD!D25/100</f>
        <v>4.99E-2</v>
      </c>
      <c r="D11" s="139">
        <f>C11+E11/10000</f>
        <v>4.99E-2</v>
      </c>
      <c r="E11" s="140">
        <v>0</v>
      </c>
      <c r="H11" s="131">
        <v>3</v>
      </c>
      <c r="I11" s="146">
        <f>MarketDataAUD!E33</f>
        <v>5.1850000000000021E-2</v>
      </c>
      <c r="J11" s="139">
        <f t="shared" si="4"/>
        <v>5.1849842770000022E-2</v>
      </c>
      <c r="K11" s="136">
        <f>_xll.HLV5r3.Analytics.Futures.FuturesMarginConvexityAdjustment(I11, MarketDataAUD!P32, $K$7)*10000*10000</f>
        <v>1.5723000000000002E-3</v>
      </c>
      <c r="M11" s="131" t="str">
        <f>Spreads!B9</f>
        <v>AUD-IRFuture-IR-1</v>
      </c>
      <c r="N11" s="127">
        <f t="shared" ref="N11:N18" si="5">J9</f>
        <v>5.0349999999999964E-2</v>
      </c>
      <c r="O11" s="127">
        <f t="shared" si="2"/>
        <v>5.0349999999999964E-2</v>
      </c>
      <c r="P11" s="150">
        <f t="shared" ref="P11:P18" si="6">100-I9*100</f>
        <v>94.965000000000003</v>
      </c>
      <c r="Q11" s="150">
        <f t="shared" ref="Q11:Q18" si="7">K9</f>
        <v>0</v>
      </c>
      <c r="R11" s="142"/>
      <c r="S11" s="130">
        <v>0</v>
      </c>
      <c r="U11" s="131" t="s">
        <v>38</v>
      </c>
      <c r="V11" s="132" t="s">
        <v>499</v>
      </c>
      <c r="Z11" s="148" t="s">
        <v>247</v>
      </c>
      <c r="AA11" s="151">
        <f>_xll.HLV5r3.Financial.Cache.AddPeriod(D3, "1D",AA7,AA8, "Business")</f>
        <v>41514</v>
      </c>
      <c r="AF11" s="135">
        <v>25</v>
      </c>
      <c r="AG11" s="128">
        <f t="shared" si="0"/>
        <v>13.193808449189891</v>
      </c>
      <c r="AH11" s="128">
        <f t="shared" si="1"/>
        <v>13.131426674090196</v>
      </c>
    </row>
    <row r="12" spans="2:42">
      <c r="B12" s="131" t="s">
        <v>13</v>
      </c>
      <c r="C12" s="138">
        <f>MarketDataAUD!D28/100</f>
        <v>5.1799999999999999E-2</v>
      </c>
      <c r="D12" s="139">
        <f>C12+E12/10000</f>
        <v>5.1799999999999999E-2</v>
      </c>
      <c r="E12" s="140">
        <v>0</v>
      </c>
      <c r="H12" s="131">
        <v>4</v>
      </c>
      <c r="I12" s="146">
        <f>MarketDataAUD!E34</f>
        <v>5.2649999999999864E-2</v>
      </c>
      <c r="J12" s="139">
        <f t="shared" si="4"/>
        <v>5.2645764215999862E-2</v>
      </c>
      <c r="K12" s="136">
        <f>_xll.HLV5r3.Analytics.Futures.FuturesMarginConvexityAdjustment(I12, MarketDataAUD!P33, $K$7)*10000*10000</f>
        <v>4.2357839999999994E-2</v>
      </c>
      <c r="M12" s="131" t="str">
        <f>Spreads!B10</f>
        <v>AUD-IRFuture-IR-2</v>
      </c>
      <c r="N12" s="127">
        <f t="shared" si="5"/>
        <v>5.1150000000000091E-2</v>
      </c>
      <c r="O12" s="127">
        <f t="shared" si="2"/>
        <v>5.1150000000000091E-2</v>
      </c>
      <c r="P12" s="150">
        <f t="shared" si="6"/>
        <v>94.884999999999991</v>
      </c>
      <c r="Q12" s="150">
        <f t="shared" si="7"/>
        <v>0</v>
      </c>
      <c r="R12" s="142"/>
      <c r="S12" s="130">
        <v>0</v>
      </c>
      <c r="U12" s="131" t="s">
        <v>28</v>
      </c>
      <c r="V12" s="132" t="s">
        <v>10</v>
      </c>
      <c r="AF12" s="135">
        <v>30</v>
      </c>
      <c r="AG12" s="128">
        <f t="shared" si="0"/>
        <v>14.323320633104034</v>
      </c>
      <c r="AH12" s="128">
        <f t="shared" si="1"/>
        <v>14.257243908053681</v>
      </c>
      <c r="AO12" s="145"/>
    </row>
    <row r="13" spans="2:42" ht="15.75" thickBot="1">
      <c r="H13" s="131">
        <v>5</v>
      </c>
      <c r="I13" s="146">
        <f>MarketDataAUD!E35</f>
        <v>5.3149999999999975E-2</v>
      </c>
      <c r="J13" s="139">
        <f t="shared" si="4"/>
        <v>5.3136116282999975E-2</v>
      </c>
      <c r="K13" s="136">
        <f>_xll.HLV5r3.Analytics.Futures.FuturesMarginConvexityAdjustment(I13, MarketDataAUD!P34, $K$7)*10000*10000</f>
        <v>0.13883717000000001</v>
      </c>
      <c r="M13" s="131" t="str">
        <f>Spreads!B11</f>
        <v>AUD-IRFuture-IR-3</v>
      </c>
      <c r="N13" s="127">
        <f t="shared" si="5"/>
        <v>5.1849842770000022E-2</v>
      </c>
      <c r="O13" s="127">
        <f t="shared" si="2"/>
        <v>5.1849842770000022E-2</v>
      </c>
      <c r="P13" s="150">
        <f t="shared" si="6"/>
        <v>94.814999999999998</v>
      </c>
      <c r="Q13" s="150">
        <f t="shared" si="7"/>
        <v>1.5723000000000002E-3</v>
      </c>
      <c r="R13" s="142"/>
      <c r="S13" s="130">
        <v>0</v>
      </c>
      <c r="U13" s="131" t="s">
        <v>34</v>
      </c>
      <c r="V13" s="132" t="s">
        <v>246</v>
      </c>
      <c r="AD13" s="144"/>
      <c r="AF13" s="135">
        <v>40</v>
      </c>
      <c r="AG13" s="128">
        <f t="shared" si="0"/>
        <v>16.028261192742718</v>
      </c>
      <c r="AH13" s="128">
        <f t="shared" si="1"/>
        <v>15.956924157274806</v>
      </c>
    </row>
    <row r="14" spans="2:42" ht="15.75" thickBot="1">
      <c r="B14" s="382" t="s">
        <v>248</v>
      </c>
      <c r="C14" s="383"/>
      <c r="D14" s="383"/>
      <c r="E14" s="384"/>
      <c r="H14" s="131">
        <v>6</v>
      </c>
      <c r="I14" s="146">
        <f>MarketDataAUD!E36</f>
        <v>5.3600000000000134E-2</v>
      </c>
      <c r="J14" s="139">
        <f t="shared" si="4"/>
        <v>5.3570860767000135E-2</v>
      </c>
      <c r="K14" s="136">
        <f>_xll.HLV5r3.Analytics.Futures.FuturesMarginConvexityAdjustment(I14, MarketDataAUD!P35, $K$7)*10000*10000</f>
        <v>0.29139233000000003</v>
      </c>
      <c r="M14" s="131" t="str">
        <f>Spreads!B12</f>
        <v>AUD-IRFuture-IR-4</v>
      </c>
      <c r="N14" s="127">
        <f t="shared" si="5"/>
        <v>5.2645764215999862E-2</v>
      </c>
      <c r="O14" s="127">
        <f t="shared" si="2"/>
        <v>5.2645764215999862E-2</v>
      </c>
      <c r="P14" s="150">
        <f t="shared" si="6"/>
        <v>94.735000000000014</v>
      </c>
      <c r="Q14" s="150">
        <f t="shared" si="7"/>
        <v>4.2357839999999994E-2</v>
      </c>
      <c r="R14" s="142"/>
      <c r="S14" s="130">
        <v>0</v>
      </c>
      <c r="U14" s="391" t="s">
        <v>249</v>
      </c>
      <c r="V14" s="392"/>
    </row>
    <row r="15" spans="2:42" ht="15.75" thickBot="1">
      <c r="H15" s="131">
        <v>7</v>
      </c>
      <c r="I15" s="146">
        <f>MarketDataAUD!E37</f>
        <v>5.4000000000000055E-2</v>
      </c>
      <c r="J15" s="139">
        <f t="shared" si="4"/>
        <v>5.3950021843000052E-2</v>
      </c>
      <c r="K15" s="136">
        <f>_xll.HLV5r3.Analytics.Futures.FuturesMarginConvexityAdjustment(I15, MarketDataAUD!P36, $K$7)*10000*10000</f>
        <v>0.49978157000000006</v>
      </c>
      <c r="M15" s="131" t="str">
        <f>Spreads!B13</f>
        <v>AUD-IRFuture-IR-5</v>
      </c>
      <c r="N15" s="127">
        <f t="shared" si="5"/>
        <v>5.3136116282999975E-2</v>
      </c>
      <c r="O15" s="127">
        <f t="shared" si="2"/>
        <v>5.3136116282999975E-2</v>
      </c>
      <c r="P15" s="150">
        <f t="shared" si="6"/>
        <v>94.685000000000002</v>
      </c>
      <c r="Q15" s="150">
        <f t="shared" si="7"/>
        <v>0.13883717000000001</v>
      </c>
      <c r="R15" s="142"/>
      <c r="S15" s="130">
        <v>0</v>
      </c>
    </row>
    <row r="16" spans="2:42" ht="15.75" thickBot="1">
      <c r="B16" s="120" t="s">
        <v>224</v>
      </c>
      <c r="C16" s="123" t="s">
        <v>230</v>
      </c>
      <c r="D16" s="123" t="s">
        <v>94</v>
      </c>
      <c r="E16" s="122" t="s">
        <v>20</v>
      </c>
      <c r="H16" s="131">
        <v>8</v>
      </c>
      <c r="I16" s="146">
        <f>MarketDataAUD!E38</f>
        <v>5.430000000000007E-2</v>
      </c>
      <c r="J16" s="139">
        <f t="shared" si="4"/>
        <v>5.4221653546000073E-2</v>
      </c>
      <c r="K16" s="136">
        <f>_xll.HLV5r3.Analytics.Futures.FuturesMarginConvexityAdjustment(I16, MarketDataAUD!P37, $K$7)*10000*10000</f>
        <v>0.78346453999999999</v>
      </c>
      <c r="M16" s="131" t="str">
        <f>Spreads!B14</f>
        <v>AUD-IRFuture-IR-6</v>
      </c>
      <c r="N16" s="127">
        <f t="shared" si="5"/>
        <v>5.3570860767000135E-2</v>
      </c>
      <c r="O16" s="127">
        <f t="shared" si="2"/>
        <v>5.3570860767000135E-2</v>
      </c>
      <c r="P16" s="150">
        <f t="shared" si="6"/>
        <v>94.639999999999986</v>
      </c>
      <c r="Q16" s="150">
        <f t="shared" si="7"/>
        <v>0.29139233000000003</v>
      </c>
      <c r="R16" s="142"/>
      <c r="S16" s="130">
        <v>0</v>
      </c>
      <c r="U16" s="120" t="s">
        <v>221</v>
      </c>
      <c r="V16" s="122" t="str">
        <f>_xll.HLV5r3.Financial.Cache.CreateCurve_Old(U17:V23, M7:M31, N7:N31, S7:S31)</f>
        <v>Market.TemporaryCurve.RateCurve.AUD-40YExtrap</v>
      </c>
      <c r="Y16" s="385" t="s">
        <v>250</v>
      </c>
      <c r="Z16" s="387"/>
      <c r="AA16" s="387"/>
      <c r="AB16" s="387"/>
      <c r="AC16" s="386"/>
      <c r="AE16" s="385" t="s">
        <v>251</v>
      </c>
      <c r="AF16" s="387"/>
      <c r="AG16" s="387"/>
      <c r="AH16" s="387"/>
      <c r="AI16" s="386"/>
      <c r="AJ16" s="153"/>
      <c r="AK16" s="385" t="s">
        <v>252</v>
      </c>
      <c r="AL16" s="387"/>
      <c r="AM16" s="387"/>
      <c r="AN16" s="387"/>
      <c r="AO16" s="386"/>
    </row>
    <row r="17" spans="1:42" ht="15.75" thickBot="1">
      <c r="B17" s="131" t="s">
        <v>253</v>
      </c>
      <c r="C17" s="138">
        <f>MarketDataAUD!D100/100</f>
        <v>4.8499999999999995E-2</v>
      </c>
      <c r="D17" s="139">
        <f>C17+E17/10000</f>
        <v>4.8499999999999995E-2</v>
      </c>
      <c r="E17" s="140">
        <v>0</v>
      </c>
      <c r="M17" s="131" t="str">
        <f>Spreads!B15</f>
        <v>AUD-IRFuture-IR-7</v>
      </c>
      <c r="N17" s="127">
        <f t="shared" si="5"/>
        <v>5.3950021843000052E-2</v>
      </c>
      <c r="O17" s="127">
        <f t="shared" si="2"/>
        <v>5.3950021843000052E-2</v>
      </c>
      <c r="P17" s="150">
        <f t="shared" si="6"/>
        <v>94.6</v>
      </c>
      <c r="Q17" s="150">
        <f t="shared" si="7"/>
        <v>0.49978157000000006</v>
      </c>
      <c r="R17" s="142"/>
      <c r="S17" s="130">
        <v>0</v>
      </c>
      <c r="U17" s="131" t="s">
        <v>21</v>
      </c>
      <c r="V17" s="133" t="s">
        <v>22</v>
      </c>
      <c r="AJ17" s="153"/>
    </row>
    <row r="18" spans="1:42" ht="15.75" thickBot="1">
      <c r="B18" s="131" t="s">
        <v>254</v>
      </c>
      <c r="C18" s="138">
        <f>MarketDataAUD!D101/100</f>
        <v>4.8900000000000006E-2</v>
      </c>
      <c r="D18" s="139">
        <f>C18+E18/10000</f>
        <v>4.8900000000000006E-2</v>
      </c>
      <c r="E18" s="140">
        <v>0</v>
      </c>
      <c r="M18" s="131" t="str">
        <f>Spreads!B16</f>
        <v>AUD-IRFuture-IR-8</v>
      </c>
      <c r="N18" s="127">
        <f t="shared" si="5"/>
        <v>5.4221653546000073E-2</v>
      </c>
      <c r="O18" s="127">
        <f t="shared" si="2"/>
        <v>5.4221653546000073E-2</v>
      </c>
      <c r="P18" s="150">
        <f t="shared" si="6"/>
        <v>94.57</v>
      </c>
      <c r="Q18" s="150">
        <f t="shared" si="7"/>
        <v>0.78346453999999999</v>
      </c>
      <c r="R18" s="142"/>
      <c r="S18" s="130">
        <v>0</v>
      </c>
      <c r="U18" s="131" t="s">
        <v>306</v>
      </c>
      <c r="V18" s="360">
        <f>Today</f>
        <v>41513</v>
      </c>
      <c r="Y18" s="120" t="s">
        <v>255</v>
      </c>
      <c r="Z18" s="123" t="s">
        <v>234</v>
      </c>
      <c r="AA18" s="123" t="s">
        <v>256</v>
      </c>
      <c r="AB18" s="123" t="s">
        <v>257</v>
      </c>
      <c r="AC18" s="122" t="s">
        <v>209</v>
      </c>
      <c r="AE18" s="120" t="s">
        <v>258</v>
      </c>
      <c r="AF18" s="123" t="s">
        <v>234</v>
      </c>
      <c r="AG18" s="123" t="s">
        <v>256</v>
      </c>
      <c r="AH18" s="123" t="s">
        <v>257</v>
      </c>
      <c r="AI18" s="122" t="s">
        <v>209</v>
      </c>
      <c r="AJ18" s="153"/>
      <c r="AK18" s="120" t="s">
        <v>259</v>
      </c>
      <c r="AL18" s="123" t="s">
        <v>234</v>
      </c>
      <c r="AM18" s="123" t="s">
        <v>256</v>
      </c>
      <c r="AN18" s="123" t="s">
        <v>257</v>
      </c>
      <c r="AO18" s="122" t="s">
        <v>209</v>
      </c>
    </row>
    <row r="19" spans="1:42">
      <c r="B19" s="131" t="s">
        <v>260</v>
      </c>
      <c r="C19" s="138">
        <f>MarketDataAUD!D104/100</f>
        <v>4.9700000000000008E-2</v>
      </c>
      <c r="D19" s="139">
        <f>C19+E19/10000</f>
        <v>4.9700000000000008E-2</v>
      </c>
      <c r="E19" s="140">
        <v>0</v>
      </c>
      <c r="M19" s="131" t="s">
        <v>37</v>
      </c>
      <c r="N19" s="127">
        <f t="shared" ref="N19:N32" si="8">D27</f>
        <v>5.320833333333326E-2</v>
      </c>
      <c r="O19" s="127">
        <f t="shared" si="2"/>
        <v>5.320833333333326E-2</v>
      </c>
      <c r="P19" s="128">
        <f t="shared" ref="P19:P32" si="9">N19*100</f>
        <v>5.3208333333333258</v>
      </c>
      <c r="Q19" s="142"/>
      <c r="R19" s="142"/>
      <c r="S19" s="130">
        <v>0</v>
      </c>
      <c r="U19" s="131" t="s">
        <v>25</v>
      </c>
      <c r="V19" s="132" t="str">
        <f>V9</f>
        <v>TemporaryCurve</v>
      </c>
      <c r="Y19" s="135">
        <v>0</v>
      </c>
      <c r="Z19" s="151">
        <f>AA11</f>
        <v>41514</v>
      </c>
      <c r="AA19" s="154">
        <f t="array" ref="AA19:AA499">_xll.HLV5r3.Financial.Cache.GetValues($V$25, Z19:Z499)</f>
        <v>0.99986987994712995</v>
      </c>
      <c r="AB19" s="154"/>
      <c r="AC19" s="154"/>
      <c r="AE19" s="135">
        <v>0</v>
      </c>
      <c r="AF19" s="151">
        <f>AA11</f>
        <v>41514</v>
      </c>
      <c r="AG19" s="154">
        <f t="array" ref="AG19:AG179">_xll.HLV5r3.Financial.Cache.GetValues($V$25, AF19:AF179)</f>
        <v>0.99986987994712995</v>
      </c>
      <c r="AH19" s="154"/>
      <c r="AI19" s="154"/>
      <c r="AJ19" s="153"/>
      <c r="AK19" s="135">
        <v>0</v>
      </c>
      <c r="AL19" s="151">
        <f>AA11</f>
        <v>41514</v>
      </c>
      <c r="AM19" s="154">
        <f t="array" ref="AM19:AM79">_xll.HLV5r3.Financial.Cache.GetValues($V$16, AL19:AL79)</f>
        <v>0.99986987994712995</v>
      </c>
      <c r="AN19" s="154"/>
      <c r="AO19" s="154"/>
    </row>
    <row r="20" spans="1:42" ht="15.75" thickBot="1">
      <c r="M20" s="131" t="s">
        <v>40</v>
      </c>
      <c r="N20" s="127">
        <f t="shared" si="8"/>
        <v>5.5283333333333254E-2</v>
      </c>
      <c r="O20" s="127">
        <f t="shared" ref="O20:O32" si="10">N20-G28</f>
        <v>5.4508333333333256E-2</v>
      </c>
      <c r="P20" s="128">
        <f t="shared" si="9"/>
        <v>5.5283333333333253</v>
      </c>
      <c r="Q20" s="142"/>
      <c r="R20" s="150">
        <f t="shared" ref="R20:R32" si="11">-G28*10000</f>
        <v>-7.75</v>
      </c>
      <c r="S20" s="130">
        <v>0</v>
      </c>
      <c r="U20" s="131" t="s">
        <v>41</v>
      </c>
      <c r="V20" s="132" t="s">
        <v>261</v>
      </c>
      <c r="X20" s="362" t="str">
        <f>Y20&amp;"M"</f>
        <v>1M</v>
      </c>
      <c r="Y20" s="135">
        <f>Y19+1</f>
        <v>1</v>
      </c>
      <c r="Z20" s="151">
        <f t="array" ref="Z20:Z499">_xll.HLV5r3.Financial.Cache.AddManyPeriods($Z$19, "Calendar", X20:X499, $AA$9,$AA$7)</f>
        <v>41547</v>
      </c>
      <c r="AA20" s="154">
        <v>0.99553154440049096</v>
      </c>
      <c r="AB20" s="154">
        <f t="array" ref="AB20:AB499">_xll.HLV5r3.Financial.Cache.YearFractions(Z19:Z498, Z20:Z499, $AA$10)</f>
        <v>9.0410958904109592E-2</v>
      </c>
      <c r="AC20" s="154">
        <f>AA20*AB20</f>
        <v>9.0006961548537545E-2</v>
      </c>
      <c r="AD20" s="361" t="str">
        <f>AE20*3&amp;"M"</f>
        <v>3M</v>
      </c>
      <c r="AE20" s="135">
        <f>AE19+1</f>
        <v>1</v>
      </c>
      <c r="AF20" s="151">
        <f t="array" ref="AF20:AF179">_xll.HLV5r3.Financial.Cache.AddManyPeriods($AF$19, "Calendar", AD20:AD179, $AA$9, $AA$7)</f>
        <v>41606</v>
      </c>
      <c r="AG20" s="154">
        <v>0.98745019134865508</v>
      </c>
      <c r="AH20" s="154">
        <f t="array" ref="AH20:AH179">_xll.HLV5r3.Financial.Cache.YearFractions(AF19:AF178, AF20:AF179, $AA$10)</f>
        <v>0.25205479452054796</v>
      </c>
      <c r="AI20" s="154">
        <f>AG20*AH20</f>
        <v>0.24889155507966101</v>
      </c>
      <c r="AJ20" s="361" t="str">
        <f>AK20*6&amp;"M"</f>
        <v>6M</v>
      </c>
      <c r="AK20" s="135">
        <f>AK19+1</f>
        <v>1</v>
      </c>
      <c r="AL20" s="151">
        <f t="array" ref="AL20:AL99">_xll.HLV5r3.Financial.Cache.AddManyPeriods($AL$19, "Calendar", AJ20:AJ99, $AA$9, $AA$7)</f>
        <v>41698</v>
      </c>
      <c r="AM20" s="154">
        <v>0.9749111080261329</v>
      </c>
      <c r="AN20" s="154">
        <f t="array" ref="AN20:AN99">_xll.HLV5r3.Financial.Cache.YearFractions(AL19:AL98, AL20:AL99, $AA$10)</f>
        <v>0.50410958904109593</v>
      </c>
      <c r="AO20" s="154">
        <f>AM20*AN20</f>
        <v>0.49146203801865335</v>
      </c>
      <c r="AP20" s="153"/>
    </row>
    <row r="21" spans="1:42" ht="15.75" thickBot="1">
      <c r="B21" s="382" t="s">
        <v>262</v>
      </c>
      <c r="C21" s="383"/>
      <c r="D21" s="383"/>
      <c r="E21" s="383"/>
      <c r="F21" s="383"/>
      <c r="G21" s="383"/>
      <c r="H21" s="383"/>
      <c r="I21" s="383"/>
      <c r="J21" s="383"/>
      <c r="K21" s="384"/>
      <c r="M21" s="131" t="s">
        <v>42</v>
      </c>
      <c r="N21" s="127">
        <f t="shared" si="8"/>
        <v>5.6366666666666586E-2</v>
      </c>
      <c r="O21" s="127">
        <f t="shared" si="10"/>
        <v>5.5641666666666589E-2</v>
      </c>
      <c r="P21" s="128">
        <f t="shared" si="9"/>
        <v>5.6366666666666587</v>
      </c>
      <c r="Q21" s="142"/>
      <c r="R21" s="150">
        <f t="shared" si="11"/>
        <v>-7.2499999999999991</v>
      </c>
      <c r="S21" s="130">
        <v>0</v>
      </c>
      <c r="U21" s="131" t="s">
        <v>38</v>
      </c>
      <c r="V21" s="132" t="str">
        <f>V11</f>
        <v>AUD-BBR-BBSW</v>
      </c>
      <c r="X21" s="362" t="str">
        <f t="shared" ref="X21:X84" si="12">Y21&amp;"M"</f>
        <v>2M</v>
      </c>
      <c r="Y21" s="135">
        <f>Y20+1</f>
        <v>2</v>
      </c>
      <c r="Z21" s="151">
        <v>41575</v>
      </c>
      <c r="AA21" s="154">
        <v>0.99173197192218698</v>
      </c>
      <c r="AB21" s="154">
        <v>7.6712328767123292E-2</v>
      </c>
      <c r="AC21" s="154">
        <f>AC20+AA21*AB21</f>
        <v>0.16608503062749985</v>
      </c>
      <c r="AD21" s="361" t="str">
        <f t="shared" ref="AD21:AD84" si="13">AE21*3&amp;"M"</f>
        <v>6M</v>
      </c>
      <c r="AE21" s="135">
        <f>AE20+1</f>
        <v>2</v>
      </c>
      <c r="AF21" s="151">
        <v>41698</v>
      </c>
      <c r="AG21" s="154">
        <v>0.9749111080261329</v>
      </c>
      <c r="AH21" s="154">
        <v>0.25205479452054796</v>
      </c>
      <c r="AI21" s="154">
        <f>AI20+AG21*AH21</f>
        <v>0.49462257408898769</v>
      </c>
      <c r="AJ21" s="361" t="str">
        <f t="shared" ref="AJ21:AJ84" si="14">AK21*6&amp;"M"</f>
        <v>12M</v>
      </c>
      <c r="AK21" s="135">
        <f>AK20+1</f>
        <v>2</v>
      </c>
      <c r="AL21" s="151">
        <v>41879</v>
      </c>
      <c r="AM21" s="154">
        <v>0.95017313942125392</v>
      </c>
      <c r="AN21" s="154">
        <v>0.49589041095890413</v>
      </c>
      <c r="AO21" s="154">
        <f>AO20+AM21*AN21</f>
        <v>0.96264378660837102</v>
      </c>
      <c r="AP21" s="153"/>
    </row>
    <row r="22" spans="1:42" ht="15.75" thickBot="1">
      <c r="M22" s="131" t="s">
        <v>51</v>
      </c>
      <c r="N22" s="127">
        <f t="shared" si="8"/>
        <v>5.7300000000000094E-2</v>
      </c>
      <c r="O22" s="127">
        <f t="shared" si="10"/>
        <v>5.6600000000000095E-2</v>
      </c>
      <c r="P22" s="128">
        <f t="shared" si="9"/>
        <v>5.7300000000000093</v>
      </c>
      <c r="Q22" s="142"/>
      <c r="R22" s="150">
        <f t="shared" si="11"/>
        <v>-7</v>
      </c>
      <c r="S22" s="130">
        <v>0</v>
      </c>
      <c r="U22" s="131" t="s">
        <v>28</v>
      </c>
      <c r="V22" s="132" t="s">
        <v>10</v>
      </c>
      <c r="X22" s="362" t="str">
        <f t="shared" si="12"/>
        <v>3M</v>
      </c>
      <c r="Y22" s="135">
        <f>Y21+1</f>
        <v>3</v>
      </c>
      <c r="Z22" s="151">
        <v>41606</v>
      </c>
      <c r="AA22" s="154">
        <v>0.98745019134865508</v>
      </c>
      <c r="AB22" s="154">
        <v>8.4931506849315067E-2</v>
      </c>
      <c r="AC22" s="154">
        <f t="shared" ref="AC22:AC85" si="15">AC21+AA22*AB22</f>
        <v>0.24995066331738564</v>
      </c>
      <c r="AD22" s="361" t="str">
        <f t="shared" si="13"/>
        <v>9M</v>
      </c>
      <c r="AE22" s="135">
        <f>AE21+1</f>
        <v>3</v>
      </c>
      <c r="AF22" s="151">
        <v>41787</v>
      </c>
      <c r="AG22" s="154">
        <v>0.96275326019266816</v>
      </c>
      <c r="AH22" s="154">
        <v>0.24383561643835616</v>
      </c>
      <c r="AI22" s="154">
        <f t="shared" ref="AI22:AI85" si="16">AI21+AG22*AH22</f>
        <v>0.72937610876610404</v>
      </c>
      <c r="AJ22" s="361" t="str">
        <f t="shared" si="14"/>
        <v>18M</v>
      </c>
      <c r="AK22" s="135">
        <f>AK21+1</f>
        <v>3</v>
      </c>
      <c r="AL22" s="151">
        <v>42062</v>
      </c>
      <c r="AM22" s="154">
        <v>0.92528444656880526</v>
      </c>
      <c r="AN22" s="154">
        <v>0.50136986301369868</v>
      </c>
      <c r="AO22" s="154">
        <f t="shared" ref="AO22:AO85" si="17">AO21+AM22*AN22</f>
        <v>1.4265535228332789</v>
      </c>
      <c r="AP22" s="153"/>
    </row>
    <row r="23" spans="1:42" ht="15.75" thickBot="1">
      <c r="C23" s="388" t="s">
        <v>263</v>
      </c>
      <c r="D23" s="390"/>
      <c r="E23" s="389"/>
      <c r="F23" s="388" t="s">
        <v>264</v>
      </c>
      <c r="G23" s="390"/>
      <c r="H23" s="389"/>
      <c r="I23" s="388" t="s">
        <v>254</v>
      </c>
      <c r="J23" s="390"/>
      <c r="K23" s="389"/>
      <c r="L23" s="156"/>
      <c r="M23" s="131" t="s">
        <v>44</v>
      </c>
      <c r="N23" s="127">
        <f t="shared" si="8"/>
        <v>5.7966666666666757E-2</v>
      </c>
      <c r="O23" s="127">
        <f t="shared" si="10"/>
        <v>5.7291666666666755E-2</v>
      </c>
      <c r="P23" s="128">
        <f t="shared" si="9"/>
        <v>5.7966666666666757</v>
      </c>
      <c r="Q23" s="142"/>
      <c r="R23" s="150">
        <f t="shared" si="11"/>
        <v>-6.75</v>
      </c>
      <c r="S23" s="130">
        <v>0</v>
      </c>
      <c r="U23" s="131" t="s">
        <v>34</v>
      </c>
      <c r="V23" s="132" t="s">
        <v>246</v>
      </c>
      <c r="X23" s="362" t="str">
        <f t="shared" si="12"/>
        <v>4M</v>
      </c>
      <c r="Y23" s="135">
        <f t="shared" ref="Y23:Y86" si="18">Y22+1</f>
        <v>4</v>
      </c>
      <c r="Z23" s="151">
        <v>41638</v>
      </c>
      <c r="AA23" s="154">
        <v>0.98309497303631188</v>
      </c>
      <c r="AB23" s="154">
        <v>8.7671232876712329E-2</v>
      </c>
      <c r="AC23" s="154">
        <f t="shared" si="15"/>
        <v>0.33613981163837736</v>
      </c>
      <c r="AD23" s="361" t="str">
        <f t="shared" si="13"/>
        <v>12M</v>
      </c>
      <c r="AE23" s="135">
        <f t="shared" ref="AE23:AE86" si="19">AE22+1</f>
        <v>4</v>
      </c>
      <c r="AF23" s="151">
        <v>41879</v>
      </c>
      <c r="AG23" s="154">
        <v>0.95017313942125392</v>
      </c>
      <c r="AH23" s="154">
        <v>0.25205479452054796</v>
      </c>
      <c r="AI23" s="154">
        <f t="shared" si="16"/>
        <v>0.96887180418187213</v>
      </c>
      <c r="AJ23" s="361" t="str">
        <f t="shared" si="14"/>
        <v>24M</v>
      </c>
      <c r="AK23" s="135">
        <f t="shared" ref="AK23:AK86" si="20">AK22+1</f>
        <v>4</v>
      </c>
      <c r="AL23" s="151">
        <v>42244</v>
      </c>
      <c r="AM23" s="154">
        <v>0.90084476698200089</v>
      </c>
      <c r="AN23" s="154">
        <v>0.49863013698630138</v>
      </c>
      <c r="AO23" s="154">
        <f t="shared" si="17"/>
        <v>1.8757418723969068</v>
      </c>
      <c r="AP23" s="153"/>
    </row>
    <row r="24" spans="1:42" ht="15.75" thickBot="1">
      <c r="B24" s="120" t="s">
        <v>224</v>
      </c>
      <c r="C24" s="123" t="s">
        <v>230</v>
      </c>
      <c r="D24" s="123" t="s">
        <v>94</v>
      </c>
      <c r="E24" s="122" t="s">
        <v>20</v>
      </c>
      <c r="F24" s="120" t="s">
        <v>230</v>
      </c>
      <c r="G24" s="123" t="s">
        <v>94</v>
      </c>
      <c r="H24" s="122" t="s">
        <v>20</v>
      </c>
      <c r="I24" s="120" t="s">
        <v>230</v>
      </c>
      <c r="J24" s="123" t="s">
        <v>94</v>
      </c>
      <c r="K24" s="122" t="s">
        <v>20</v>
      </c>
      <c r="L24" s="156"/>
      <c r="M24" s="131" t="s">
        <v>52</v>
      </c>
      <c r="N24" s="127">
        <f t="shared" si="8"/>
        <v>5.8425000000000088E-2</v>
      </c>
      <c r="O24" s="127">
        <f t="shared" si="10"/>
        <v>5.7758333333333418E-2</v>
      </c>
      <c r="P24" s="128">
        <f t="shared" si="9"/>
        <v>5.8425000000000091</v>
      </c>
      <c r="Q24" s="142"/>
      <c r="R24" s="150">
        <f t="shared" si="11"/>
        <v>-6.6666666666666661</v>
      </c>
      <c r="S24" s="130">
        <v>0</v>
      </c>
      <c r="X24" s="362" t="str">
        <f t="shared" si="12"/>
        <v>5M</v>
      </c>
      <c r="Y24" s="135">
        <f t="shared" si="18"/>
        <v>5</v>
      </c>
      <c r="Z24" s="151">
        <v>41667</v>
      </c>
      <c r="AA24" s="154">
        <v>0.97914482375663825</v>
      </c>
      <c r="AB24" s="154">
        <v>7.9452054794520555E-2</v>
      </c>
      <c r="AC24" s="154">
        <f t="shared" si="15"/>
        <v>0.41393487982726096</v>
      </c>
      <c r="AD24" s="361" t="str">
        <f t="shared" si="13"/>
        <v>15M</v>
      </c>
      <c r="AE24" s="135">
        <f t="shared" si="19"/>
        <v>5</v>
      </c>
      <c r="AF24" s="151">
        <v>41971</v>
      </c>
      <c r="AG24" s="154">
        <v>0.93762950873244577</v>
      </c>
      <c r="AH24" s="154">
        <v>0.25205479452054796</v>
      </c>
      <c r="AI24" s="154">
        <f t="shared" si="16"/>
        <v>1.205205817341831</v>
      </c>
      <c r="AJ24" s="361" t="str">
        <f t="shared" si="14"/>
        <v>30M</v>
      </c>
      <c r="AK24" s="135">
        <f t="shared" si="20"/>
        <v>5</v>
      </c>
      <c r="AL24" s="151">
        <v>42429</v>
      </c>
      <c r="AM24" s="154">
        <v>0.87647452765565725</v>
      </c>
      <c r="AN24" s="154">
        <v>0.50684931506849318</v>
      </c>
      <c r="AO24" s="154">
        <f t="shared" si="17"/>
        <v>2.319982386414158</v>
      </c>
      <c r="AP24" s="153"/>
    </row>
    <row r="25" spans="1:42" ht="15.75" thickBot="1">
      <c r="B25" s="131">
        <v>1</v>
      </c>
      <c r="C25" s="157" t="s">
        <v>265</v>
      </c>
      <c r="D25" s="158">
        <f>AD8</f>
        <v>5.1293411895540292E-2</v>
      </c>
      <c r="E25" s="158" t="s">
        <v>265</v>
      </c>
      <c r="F25" s="127">
        <f>MarketDataAUD!N18/100</f>
        <v>8.25E-4</v>
      </c>
      <c r="G25" s="139">
        <f>F25+H25/10000</f>
        <v>8.25E-4</v>
      </c>
      <c r="H25" s="140">
        <v>0</v>
      </c>
      <c r="I25" s="159">
        <f>MarketDataAUD!K18/100</f>
        <v>1.075E-3</v>
      </c>
      <c r="J25" s="139">
        <f>I25+K25/10000</f>
        <v>1.075E-3</v>
      </c>
      <c r="K25" s="140">
        <v>0</v>
      </c>
      <c r="L25" s="156"/>
      <c r="M25" s="131" t="s">
        <v>53</v>
      </c>
      <c r="N25" s="127">
        <f t="shared" si="8"/>
        <v>5.8749166666666755E-2</v>
      </c>
      <c r="O25" s="127">
        <f t="shared" si="10"/>
        <v>5.8090833333333425E-2</v>
      </c>
      <c r="P25" s="128">
        <f t="shared" si="9"/>
        <v>5.8749166666666754</v>
      </c>
      <c r="Q25" s="142"/>
      <c r="R25" s="150">
        <f t="shared" si="11"/>
        <v>-6.5833333333333339</v>
      </c>
      <c r="S25" s="130">
        <v>0</v>
      </c>
      <c r="T25" s="156"/>
      <c r="U25" s="120" t="s">
        <v>221</v>
      </c>
      <c r="V25" s="122" t="str">
        <f>_xll.HLV5r3.Financial.Cache.CreateCurve_Old(U26:V32, M7:M32, N7:N32, S7:S32)</f>
        <v>Market.TemporaryCurve.RateCurve.AUD-BasisExtrap</v>
      </c>
      <c r="X25" s="362" t="str">
        <f t="shared" si="12"/>
        <v>6M</v>
      </c>
      <c r="Y25" s="135">
        <f t="shared" si="18"/>
        <v>6</v>
      </c>
      <c r="Z25" s="151">
        <v>41698</v>
      </c>
      <c r="AA25" s="154">
        <v>0.9749111080261329</v>
      </c>
      <c r="AB25" s="154">
        <v>8.4931506849315067E-2</v>
      </c>
      <c r="AC25" s="154">
        <f t="shared" si="15"/>
        <v>0.49673554927605579</v>
      </c>
      <c r="AD25" s="361" t="str">
        <f t="shared" si="13"/>
        <v>18M</v>
      </c>
      <c r="AE25" s="135">
        <f t="shared" si="19"/>
        <v>6</v>
      </c>
      <c r="AF25" s="151">
        <v>42062</v>
      </c>
      <c r="AG25" s="154">
        <v>0.92528444656880526</v>
      </c>
      <c r="AH25" s="154">
        <v>0.24931506849315069</v>
      </c>
      <c r="AI25" s="154">
        <f t="shared" si="16"/>
        <v>1.4358931725137798</v>
      </c>
      <c r="AJ25" s="361" t="str">
        <f t="shared" si="14"/>
        <v>36M</v>
      </c>
      <c r="AK25" s="135">
        <f t="shared" si="20"/>
        <v>6</v>
      </c>
      <c r="AL25" s="151">
        <v>42611</v>
      </c>
      <c r="AM25" s="154">
        <v>0.85282261369548029</v>
      </c>
      <c r="AN25" s="154">
        <v>0.49863013698630138</v>
      </c>
      <c r="AO25" s="154">
        <f t="shared" si="17"/>
        <v>2.7452254431061509</v>
      </c>
      <c r="AP25" s="155"/>
    </row>
    <row r="26" spans="1:42">
      <c r="B26" s="131">
        <v>2</v>
      </c>
      <c r="C26" s="157" t="s">
        <v>265</v>
      </c>
      <c r="D26" s="158">
        <f>AD9</f>
        <v>5.2446530628058492E-2</v>
      </c>
      <c r="E26" s="158" t="s">
        <v>265</v>
      </c>
      <c r="F26" s="127">
        <f>MarketDataAUD!N19/100</f>
        <v>8.0000000000000004E-4</v>
      </c>
      <c r="G26" s="139">
        <f>F26+H26/10000</f>
        <v>8.0000000000000004E-4</v>
      </c>
      <c r="H26" s="140">
        <v>0</v>
      </c>
      <c r="I26" s="159">
        <f>MarketDataAUD!K19/100</f>
        <v>1.1749999999999998E-3</v>
      </c>
      <c r="J26" s="139">
        <f>I26+K26/10000</f>
        <v>1.1749999999999998E-3</v>
      </c>
      <c r="K26" s="140">
        <v>0</v>
      </c>
      <c r="L26" s="156"/>
      <c r="M26" s="131" t="s">
        <v>45</v>
      </c>
      <c r="N26" s="127">
        <f t="shared" si="8"/>
        <v>5.9050000000000089E-2</v>
      </c>
      <c r="O26" s="127">
        <f t="shared" si="10"/>
        <v>5.8400000000000091E-2</v>
      </c>
      <c r="P26" s="128">
        <f t="shared" si="9"/>
        <v>5.9050000000000091</v>
      </c>
      <c r="Q26" s="142"/>
      <c r="R26" s="150">
        <f t="shared" si="11"/>
        <v>-6.5</v>
      </c>
      <c r="S26" s="130">
        <v>0</v>
      </c>
      <c r="T26" s="156"/>
      <c r="U26" s="131" t="s">
        <v>21</v>
      </c>
      <c r="V26" s="133" t="s">
        <v>22</v>
      </c>
      <c r="X26" s="362" t="str">
        <f t="shared" si="12"/>
        <v>7M</v>
      </c>
      <c r="Y26" s="135">
        <f t="shared" si="18"/>
        <v>7</v>
      </c>
      <c r="Z26" s="151">
        <v>41726</v>
      </c>
      <c r="AA26" s="154">
        <v>0.97108647626101452</v>
      </c>
      <c r="AB26" s="154">
        <v>7.6712328767123292E-2</v>
      </c>
      <c r="AC26" s="154">
        <f t="shared" si="15"/>
        <v>0.57122985430429796</v>
      </c>
      <c r="AD26" s="361" t="str">
        <f t="shared" si="13"/>
        <v>21M</v>
      </c>
      <c r="AE26" s="135">
        <f t="shared" si="19"/>
        <v>7</v>
      </c>
      <c r="AF26" s="151">
        <v>42152</v>
      </c>
      <c r="AG26" s="154">
        <v>0.91314966333375325</v>
      </c>
      <c r="AH26" s="154">
        <v>0.24657534246575341</v>
      </c>
      <c r="AI26" s="154">
        <f t="shared" si="16"/>
        <v>1.6610533634727873</v>
      </c>
      <c r="AJ26" s="361" t="str">
        <f t="shared" si="14"/>
        <v>42M</v>
      </c>
      <c r="AK26" s="135">
        <f t="shared" si="20"/>
        <v>7</v>
      </c>
      <c r="AL26" s="151">
        <v>42794</v>
      </c>
      <c r="AM26" s="154">
        <v>0.8278455859469388</v>
      </c>
      <c r="AN26" s="154">
        <v>0.50136986301369868</v>
      </c>
      <c r="AO26" s="154">
        <f t="shared" si="17"/>
        <v>3.160282271128863</v>
      </c>
      <c r="AP26" s="155"/>
    </row>
    <row r="27" spans="1:42">
      <c r="A27" s="147"/>
      <c r="B27" s="131">
        <v>3</v>
      </c>
      <c r="C27" s="159">
        <f>MarketDataAUD!G45/100</f>
        <v>5.320833333333326E-2</v>
      </c>
      <c r="D27" s="139">
        <f>C27+E27/10000</f>
        <v>5.320833333333326E-2</v>
      </c>
      <c r="E27" s="160">
        <v>0</v>
      </c>
      <c r="F27" s="127">
        <f>MarketDataAUD!N20/100</f>
        <v>7.7499999999999997E-4</v>
      </c>
      <c r="G27" s="139">
        <f>F27+H27/10000</f>
        <v>7.7499999999999997E-4</v>
      </c>
      <c r="H27" s="140">
        <v>0</v>
      </c>
      <c r="I27" s="159">
        <f>MarketDataAUD!K20/100</f>
        <v>1.1999999999999999E-3</v>
      </c>
      <c r="J27" s="139">
        <f>I27+K27/10000</f>
        <v>1.1999999999999999E-3</v>
      </c>
      <c r="K27" s="140">
        <v>0</v>
      </c>
      <c r="L27" s="156"/>
      <c r="M27" s="131" t="s">
        <v>46</v>
      </c>
      <c r="N27" s="127">
        <f t="shared" si="8"/>
        <v>5.9566666666666761E-2</v>
      </c>
      <c r="O27" s="127">
        <f t="shared" si="10"/>
        <v>5.8966666666666757E-2</v>
      </c>
      <c r="P27" s="128">
        <f t="shared" si="9"/>
        <v>5.9566666666666759</v>
      </c>
      <c r="Q27" s="142"/>
      <c r="R27" s="150">
        <f t="shared" si="11"/>
        <v>-6.0000000000000009</v>
      </c>
      <c r="S27" s="130">
        <v>0</v>
      </c>
      <c r="T27" s="156"/>
      <c r="U27" s="131" t="s">
        <v>306</v>
      </c>
      <c r="V27" s="360">
        <f>Today</f>
        <v>41513</v>
      </c>
      <c r="X27" s="362" t="str">
        <f t="shared" si="12"/>
        <v>8M</v>
      </c>
      <c r="Y27" s="135">
        <f t="shared" si="18"/>
        <v>8</v>
      </c>
      <c r="Z27" s="151">
        <v>41757</v>
      </c>
      <c r="AA27" s="154">
        <v>0.9668542016052728</v>
      </c>
      <c r="AB27" s="154">
        <v>8.4931506849315067E-2</v>
      </c>
      <c r="AC27" s="154">
        <f t="shared" si="15"/>
        <v>0.65334623855022522</v>
      </c>
      <c r="AD27" s="361" t="str">
        <f t="shared" si="13"/>
        <v>24M</v>
      </c>
      <c r="AE27" s="135">
        <f t="shared" si="19"/>
        <v>8</v>
      </c>
      <c r="AF27" s="151">
        <v>42244</v>
      </c>
      <c r="AG27" s="154">
        <v>0.90084476698200089</v>
      </c>
      <c r="AH27" s="154">
        <v>0.25205479452054796</v>
      </c>
      <c r="AI27" s="154">
        <f t="shared" si="16"/>
        <v>1.8881156061093465</v>
      </c>
      <c r="AJ27" s="361" t="str">
        <f t="shared" si="14"/>
        <v>48M</v>
      </c>
      <c r="AK27" s="135">
        <f t="shared" si="20"/>
        <v>8</v>
      </c>
      <c r="AL27" s="151">
        <v>42975</v>
      </c>
      <c r="AM27" s="154">
        <v>0.80314123691845785</v>
      </c>
      <c r="AN27" s="154">
        <v>0.49589041095890413</v>
      </c>
      <c r="AO27" s="154">
        <f t="shared" si="17"/>
        <v>3.5585523091623994</v>
      </c>
      <c r="AP27" s="155"/>
    </row>
    <row r="28" spans="1:42">
      <c r="B28" s="131">
        <v>4</v>
      </c>
      <c r="C28" s="159">
        <f>MarketDataAUD!G46/100</f>
        <v>5.5283333333333254E-2</v>
      </c>
      <c r="D28" s="139">
        <f t="shared" ref="D28:D39" si="21">C28+E28/10000</f>
        <v>5.5283333333333254E-2</v>
      </c>
      <c r="E28" s="160">
        <v>0</v>
      </c>
      <c r="F28" s="127">
        <f>MarketDataAUD!N21/100</f>
        <v>7.7499999999999997E-4</v>
      </c>
      <c r="G28" s="139">
        <f>F28+H28/10000</f>
        <v>7.7499999999999997E-4</v>
      </c>
      <c r="H28" s="140">
        <v>0</v>
      </c>
      <c r="I28" s="159">
        <f>MarketDataAUD!K21/100</f>
        <v>1.1999999999999999E-3</v>
      </c>
      <c r="J28" s="139">
        <f>I28+K28/10000</f>
        <v>1.1999999999999999E-3</v>
      </c>
      <c r="K28" s="140">
        <v>0</v>
      </c>
      <c r="M28" s="131" t="s">
        <v>47</v>
      </c>
      <c r="N28" s="127">
        <f t="shared" si="8"/>
        <v>5.9857500000000091E-2</v>
      </c>
      <c r="O28" s="127">
        <f t="shared" si="10"/>
        <v>5.9332500000000093E-2</v>
      </c>
      <c r="P28" s="128">
        <f t="shared" si="9"/>
        <v>5.9857500000000092</v>
      </c>
      <c r="Q28" s="142"/>
      <c r="R28" s="150">
        <f t="shared" si="11"/>
        <v>-5.25</v>
      </c>
      <c r="S28" s="130">
        <v>0</v>
      </c>
      <c r="T28" s="156"/>
      <c r="U28" s="131" t="s">
        <v>25</v>
      </c>
      <c r="V28" s="132" t="str">
        <f>V9</f>
        <v>TemporaryCurve</v>
      </c>
      <c r="X28" s="362" t="str">
        <f t="shared" si="12"/>
        <v>9M</v>
      </c>
      <c r="Y28" s="135">
        <f t="shared" si="18"/>
        <v>9</v>
      </c>
      <c r="Z28" s="151">
        <v>41787</v>
      </c>
      <c r="AA28" s="154">
        <v>0.96275326019266816</v>
      </c>
      <c r="AB28" s="154">
        <v>8.2191780821917804E-2</v>
      </c>
      <c r="AC28" s="154">
        <f t="shared" si="15"/>
        <v>0.7324766434975678</v>
      </c>
      <c r="AD28" s="361" t="str">
        <f t="shared" si="13"/>
        <v>27M</v>
      </c>
      <c r="AE28" s="135">
        <f t="shared" si="19"/>
        <v>9</v>
      </c>
      <c r="AF28" s="151">
        <v>42338</v>
      </c>
      <c r="AG28" s="154">
        <v>0.8884173249650833</v>
      </c>
      <c r="AH28" s="154">
        <v>0.25753424657534246</v>
      </c>
      <c r="AI28" s="154">
        <f t="shared" si="16"/>
        <v>2.1169134925387105</v>
      </c>
      <c r="AJ28" s="361" t="str">
        <f t="shared" si="14"/>
        <v>54M</v>
      </c>
      <c r="AK28" s="135">
        <f t="shared" si="20"/>
        <v>9</v>
      </c>
      <c r="AL28" s="151">
        <v>43159</v>
      </c>
      <c r="AM28" s="154">
        <v>0.77925002826201073</v>
      </c>
      <c r="AN28" s="154">
        <v>0.50410958904109593</v>
      </c>
      <c r="AO28" s="154">
        <f t="shared" si="17"/>
        <v>3.951379720669824</v>
      </c>
      <c r="AP28" s="155"/>
    </row>
    <row r="29" spans="1:42">
      <c r="B29" s="131">
        <v>5</v>
      </c>
      <c r="C29" s="159">
        <f>MarketDataAUD!G47/100</f>
        <v>5.6366666666666586E-2</v>
      </c>
      <c r="D29" s="139">
        <f t="shared" si="21"/>
        <v>5.6366666666666586E-2</v>
      </c>
      <c r="E29" s="160">
        <v>0</v>
      </c>
      <c r="F29" s="127">
        <f>MarketDataAUD!N22/100</f>
        <v>7.2499999999999995E-4</v>
      </c>
      <c r="G29" s="139">
        <f>F29+H29/10000</f>
        <v>7.2499999999999995E-4</v>
      </c>
      <c r="H29" s="140">
        <v>0</v>
      </c>
      <c r="I29" s="159">
        <f>MarketDataAUD!K22/100</f>
        <v>1.1749999999999998E-3</v>
      </c>
      <c r="J29" s="139">
        <f>I29+K29/10000</f>
        <v>1.1749999999999998E-3</v>
      </c>
      <c r="K29" s="140">
        <v>0</v>
      </c>
      <c r="L29" s="156"/>
      <c r="M29" s="131" t="s">
        <v>48</v>
      </c>
      <c r="N29" s="127">
        <f t="shared" si="8"/>
        <v>5.8915833333333417E-2</v>
      </c>
      <c r="O29" s="127">
        <f t="shared" si="10"/>
        <v>5.8465833333333418E-2</v>
      </c>
      <c r="P29" s="128">
        <f t="shared" si="9"/>
        <v>5.8915833333333421</v>
      </c>
      <c r="Q29" s="142"/>
      <c r="R29" s="150">
        <f t="shared" si="11"/>
        <v>-4.5</v>
      </c>
      <c r="S29" s="130">
        <v>0</v>
      </c>
      <c r="T29" s="156"/>
      <c r="U29" s="131" t="s">
        <v>41</v>
      </c>
      <c r="V29" s="132" t="s">
        <v>266</v>
      </c>
      <c r="X29" s="362" t="str">
        <f t="shared" si="12"/>
        <v>10M</v>
      </c>
      <c r="Y29" s="135">
        <f t="shared" si="18"/>
        <v>10</v>
      </c>
      <c r="Z29" s="151">
        <v>41820</v>
      </c>
      <c r="AA29" s="154">
        <v>0.95824305092008322</v>
      </c>
      <c r="AB29" s="154">
        <v>9.0410958904109592E-2</v>
      </c>
      <c r="AC29" s="154">
        <f t="shared" si="15"/>
        <v>0.81911231659445205</v>
      </c>
      <c r="AD29" s="361" t="str">
        <f t="shared" si="13"/>
        <v>30M</v>
      </c>
      <c r="AE29" s="135">
        <f t="shared" si="19"/>
        <v>10</v>
      </c>
      <c r="AF29" s="151">
        <v>42429</v>
      </c>
      <c r="AG29" s="154">
        <v>0.87647452765565725</v>
      </c>
      <c r="AH29" s="154">
        <v>0.24931506849315069</v>
      </c>
      <c r="AI29" s="154">
        <f t="shared" si="16"/>
        <v>2.3354317994336826</v>
      </c>
      <c r="AJ29" s="361" t="str">
        <f t="shared" si="14"/>
        <v>60M</v>
      </c>
      <c r="AK29" s="135">
        <f t="shared" si="20"/>
        <v>10</v>
      </c>
      <c r="AL29" s="151">
        <v>43340</v>
      </c>
      <c r="AM29" s="154">
        <v>0.75601195121213782</v>
      </c>
      <c r="AN29" s="154">
        <v>0.49589041095890413</v>
      </c>
      <c r="AO29" s="154">
        <f t="shared" si="17"/>
        <v>4.3262787978462542</v>
      </c>
      <c r="AP29" s="155"/>
    </row>
    <row r="30" spans="1:42">
      <c r="B30" s="131">
        <v>6</v>
      </c>
      <c r="C30" s="159">
        <f>MarketDataAUD!G48/100</f>
        <v>5.7300000000000094E-2</v>
      </c>
      <c r="D30" s="139">
        <f t="shared" si="21"/>
        <v>5.7300000000000094E-2</v>
      </c>
      <c r="E30" s="160">
        <v>0</v>
      </c>
      <c r="F30" s="161" t="s">
        <v>265</v>
      </c>
      <c r="G30" s="158">
        <f>(G29*(B31-B30)+G31*(B30-B29))/(B31-B29)</f>
        <v>6.9999999999999999E-4</v>
      </c>
      <c r="H30" s="162" t="s">
        <v>265</v>
      </c>
      <c r="I30" s="163" t="s">
        <v>265</v>
      </c>
      <c r="J30" s="158">
        <f>(J29*(B31-B30)+J31*(B30-B29))/(B31-B29)</f>
        <v>1.1249999999999999E-3</v>
      </c>
      <c r="K30" s="162" t="s">
        <v>265</v>
      </c>
      <c r="M30" s="131" t="s">
        <v>49</v>
      </c>
      <c r="N30" s="127">
        <f t="shared" si="8"/>
        <v>5.7520000000000085E-2</v>
      </c>
      <c r="O30" s="127">
        <f t="shared" si="10"/>
        <v>5.7120000000000087E-2</v>
      </c>
      <c r="P30" s="128">
        <f t="shared" si="9"/>
        <v>5.7520000000000087</v>
      </c>
      <c r="Q30" s="142"/>
      <c r="R30" s="150">
        <f t="shared" si="11"/>
        <v>-4</v>
      </c>
      <c r="S30" s="130">
        <v>0</v>
      </c>
      <c r="U30" s="131" t="s">
        <v>38</v>
      </c>
      <c r="V30" s="132" t="str">
        <f>V21</f>
        <v>AUD-BBR-BBSW</v>
      </c>
      <c r="X30" s="362" t="str">
        <f t="shared" si="12"/>
        <v>11M</v>
      </c>
      <c r="Y30" s="135">
        <f t="shared" si="18"/>
        <v>11</v>
      </c>
      <c r="Z30" s="151">
        <v>41848</v>
      </c>
      <c r="AA30" s="154">
        <v>0.95441472230525171</v>
      </c>
      <c r="AB30" s="154">
        <v>7.6712328767123292E-2</v>
      </c>
      <c r="AC30" s="154">
        <f t="shared" si="15"/>
        <v>0.89232769255211519</v>
      </c>
      <c r="AD30" s="361" t="str">
        <f t="shared" si="13"/>
        <v>33M</v>
      </c>
      <c r="AE30" s="135">
        <f t="shared" si="19"/>
        <v>11</v>
      </c>
      <c r="AF30" s="151">
        <v>42520</v>
      </c>
      <c r="AG30" s="154">
        <v>0.86460921691536297</v>
      </c>
      <c r="AH30" s="154">
        <v>0.24931506849315069</v>
      </c>
      <c r="AI30" s="154">
        <f t="shared" si="16"/>
        <v>2.5509919055687456</v>
      </c>
      <c r="AJ30" s="361" t="str">
        <f t="shared" si="14"/>
        <v>66M</v>
      </c>
      <c r="AK30" s="135">
        <f t="shared" si="20"/>
        <v>11</v>
      </c>
      <c r="AL30" s="151">
        <v>43524</v>
      </c>
      <c r="AM30" s="154">
        <v>0.73295785525959922</v>
      </c>
      <c r="AN30" s="154">
        <v>0.50410958904109593</v>
      </c>
      <c r="AO30" s="154">
        <f t="shared" si="17"/>
        <v>4.6957698810456137</v>
      </c>
      <c r="AP30" s="155"/>
    </row>
    <row r="31" spans="1:42">
      <c r="B31" s="131">
        <v>7</v>
      </c>
      <c r="C31" s="159">
        <f>MarketDataAUD!G49/100</f>
        <v>5.7966666666666757E-2</v>
      </c>
      <c r="D31" s="139">
        <f t="shared" si="21"/>
        <v>5.7966666666666757E-2</v>
      </c>
      <c r="E31" s="160">
        <v>0</v>
      </c>
      <c r="F31" s="146">
        <f>MarketDataAUD!N23/100</f>
        <v>6.7500000000000004E-4</v>
      </c>
      <c r="G31" s="139">
        <f>F31+H31/10000</f>
        <v>6.7500000000000004E-4</v>
      </c>
      <c r="H31" s="140">
        <v>0</v>
      </c>
      <c r="I31" s="159">
        <f>MarketDataAUD!K23/100</f>
        <v>1.075E-3</v>
      </c>
      <c r="J31" s="139">
        <f>I31+K31/10000</f>
        <v>1.075E-3</v>
      </c>
      <c r="K31" s="140">
        <v>0</v>
      </c>
      <c r="M31" s="131" t="s">
        <v>50</v>
      </c>
      <c r="N31" s="127">
        <f t="shared" si="8"/>
        <v>5.6116666666666759E-2</v>
      </c>
      <c r="O31" s="127">
        <f t="shared" si="10"/>
        <v>5.5741666666666759E-2</v>
      </c>
      <c r="P31" s="128">
        <f t="shared" si="9"/>
        <v>5.6116666666666761</v>
      </c>
      <c r="Q31" s="142"/>
      <c r="R31" s="150">
        <f t="shared" si="11"/>
        <v>-3.75</v>
      </c>
      <c r="S31" s="130">
        <v>0</v>
      </c>
      <c r="T31" s="156"/>
      <c r="U31" s="131" t="s">
        <v>28</v>
      </c>
      <c r="V31" s="132" t="s">
        <v>10</v>
      </c>
      <c r="X31" s="362" t="str">
        <f t="shared" si="12"/>
        <v>12M</v>
      </c>
      <c r="Y31" s="135">
        <f t="shared" si="18"/>
        <v>12</v>
      </c>
      <c r="Z31" s="151">
        <v>41879</v>
      </c>
      <c r="AA31" s="154">
        <v>0.95017313942125392</v>
      </c>
      <c r="AB31" s="154">
        <v>8.4931506849315067E-2</v>
      </c>
      <c r="AC31" s="154">
        <f t="shared" si="15"/>
        <v>0.97302732905090661</v>
      </c>
      <c r="AD31" s="361" t="str">
        <f t="shared" si="13"/>
        <v>36M</v>
      </c>
      <c r="AE31" s="135">
        <f t="shared" si="19"/>
        <v>12</v>
      </c>
      <c r="AF31" s="151">
        <v>42611</v>
      </c>
      <c r="AG31" s="154">
        <v>0.85282261369548029</v>
      </c>
      <c r="AH31" s="154">
        <v>0.24931506849315069</v>
      </c>
      <c r="AI31" s="154">
        <f t="shared" si="16"/>
        <v>2.7636134339147418</v>
      </c>
      <c r="AJ31" s="361" t="str">
        <f t="shared" si="14"/>
        <v>72M</v>
      </c>
      <c r="AK31" s="135">
        <f t="shared" si="20"/>
        <v>12</v>
      </c>
      <c r="AL31" s="151">
        <v>43705</v>
      </c>
      <c r="AM31" s="154">
        <v>0.71061058882210826</v>
      </c>
      <c r="AN31" s="154">
        <v>0.49589041095890413</v>
      </c>
      <c r="AO31" s="154">
        <f t="shared" si="17"/>
        <v>5.0481548579683579</v>
      </c>
      <c r="AP31" s="155"/>
    </row>
    <row r="32" spans="1:42">
      <c r="B32" s="131">
        <v>8</v>
      </c>
      <c r="C32" s="159">
        <f>MarketDataAUD!G50/100</f>
        <v>5.8425000000000088E-2</v>
      </c>
      <c r="D32" s="139">
        <f t="shared" si="21"/>
        <v>5.8425000000000088E-2</v>
      </c>
      <c r="E32" s="160">
        <v>0</v>
      </c>
      <c r="F32" s="161" t="s">
        <v>265</v>
      </c>
      <c r="G32" s="158">
        <f>(G31*(B34-B32)+G34*(B32-B31))/(B34-B31)</f>
        <v>6.6666666666666664E-4</v>
      </c>
      <c r="H32" s="162" t="s">
        <v>265</v>
      </c>
      <c r="I32" s="164" t="s">
        <v>265</v>
      </c>
      <c r="J32" s="158">
        <f>(J31*(B34-B32)+J34*(B32-B31))/(B34-B31)</f>
        <v>1.0333333333333334E-3</v>
      </c>
      <c r="K32" s="162" t="s">
        <v>265</v>
      </c>
      <c r="L32" s="156"/>
      <c r="M32" s="131" t="s">
        <v>267</v>
      </c>
      <c r="N32" s="127">
        <f t="shared" si="8"/>
        <v>5.4121239984281082E-2</v>
      </c>
      <c r="O32" s="127">
        <f t="shared" si="10"/>
        <v>5.3812249315795556E-2</v>
      </c>
      <c r="P32" s="128">
        <f t="shared" si="9"/>
        <v>5.4121239984281084</v>
      </c>
      <c r="Q32" s="142"/>
      <c r="R32" s="150">
        <f t="shared" si="11"/>
        <v>-3.0899066848552716</v>
      </c>
      <c r="S32" s="130">
        <v>0</v>
      </c>
      <c r="U32" s="131" t="s">
        <v>34</v>
      </c>
      <c r="V32" s="132" t="s">
        <v>246</v>
      </c>
      <c r="X32" s="362" t="str">
        <f t="shared" si="12"/>
        <v>13M</v>
      </c>
      <c r="Y32" s="135">
        <f t="shared" si="18"/>
        <v>13</v>
      </c>
      <c r="Z32" s="151">
        <v>41911</v>
      </c>
      <c r="AA32" s="154">
        <v>0.94580396041736725</v>
      </c>
      <c r="AB32" s="154">
        <v>8.7671232876712329E-2</v>
      </c>
      <c r="AC32" s="154">
        <f t="shared" si="15"/>
        <v>1.0559471283203745</v>
      </c>
      <c r="AD32" s="361" t="str">
        <f t="shared" si="13"/>
        <v>39M</v>
      </c>
      <c r="AE32" s="135">
        <f t="shared" si="19"/>
        <v>13</v>
      </c>
      <c r="AF32" s="151">
        <v>42702</v>
      </c>
      <c r="AG32" s="154">
        <v>0.84040523631544051</v>
      </c>
      <c r="AH32" s="154">
        <v>0.24931506849315069</v>
      </c>
      <c r="AI32" s="154">
        <f t="shared" si="16"/>
        <v>2.9731391229687283</v>
      </c>
      <c r="AJ32" s="361" t="str">
        <f t="shared" si="14"/>
        <v>78M</v>
      </c>
      <c r="AK32" s="135">
        <f t="shared" si="20"/>
        <v>13</v>
      </c>
      <c r="AL32" s="151">
        <v>43889</v>
      </c>
      <c r="AM32" s="154">
        <v>0.68888726449241899</v>
      </c>
      <c r="AN32" s="154">
        <v>0.50410958904109593</v>
      </c>
      <c r="AO32" s="154">
        <f t="shared" si="17"/>
        <v>5.3954295337672757</v>
      </c>
      <c r="AP32" s="155"/>
    </row>
    <row r="33" spans="2:42">
      <c r="B33" s="131">
        <v>9</v>
      </c>
      <c r="C33" s="159">
        <f>MarketDataAUD!G51/100</f>
        <v>5.8749166666666755E-2</v>
      </c>
      <c r="D33" s="139">
        <f t="shared" si="21"/>
        <v>5.8749166666666755E-2</v>
      </c>
      <c r="E33" s="160">
        <v>0</v>
      </c>
      <c r="F33" s="161" t="s">
        <v>265</v>
      </c>
      <c r="G33" s="158">
        <f>(G31*(B34-B33)+G34*(B33-B31))/(B34-B31)</f>
        <v>6.5833333333333336E-4</v>
      </c>
      <c r="H33" s="162" t="s">
        <v>265</v>
      </c>
      <c r="I33" s="164" t="s">
        <v>265</v>
      </c>
      <c r="J33" s="158">
        <f>(J31*(B34-B33)+J34*(B33-B31))/(B34-B31)</f>
        <v>9.9166666666666674E-4</v>
      </c>
      <c r="K33" s="162" t="s">
        <v>265</v>
      </c>
      <c r="X33" s="362" t="str">
        <f t="shared" si="12"/>
        <v>14M</v>
      </c>
      <c r="Y33" s="135">
        <f t="shared" si="18"/>
        <v>14</v>
      </c>
      <c r="Z33" s="151">
        <v>41940</v>
      </c>
      <c r="AA33" s="154">
        <v>0.94185275421011083</v>
      </c>
      <c r="AB33" s="154">
        <v>7.9452054794520555E-2</v>
      </c>
      <c r="AC33" s="154">
        <f t="shared" si="15"/>
        <v>1.1307792649562463</v>
      </c>
      <c r="AD33" s="361" t="str">
        <f t="shared" si="13"/>
        <v>42M</v>
      </c>
      <c r="AE33" s="135">
        <f t="shared" si="19"/>
        <v>14</v>
      </c>
      <c r="AF33" s="151">
        <v>42794</v>
      </c>
      <c r="AG33" s="154">
        <v>0.8278455859469388</v>
      </c>
      <c r="AH33" s="154">
        <v>0.25205479452054796</v>
      </c>
      <c r="AI33" s="154">
        <f t="shared" si="16"/>
        <v>3.1818015720293267</v>
      </c>
      <c r="AJ33" s="361" t="str">
        <f t="shared" si="14"/>
        <v>84M</v>
      </c>
      <c r="AK33" s="135">
        <f t="shared" si="20"/>
        <v>14</v>
      </c>
      <c r="AL33" s="151">
        <v>44071</v>
      </c>
      <c r="AM33" s="154">
        <v>0.6678123938794478</v>
      </c>
      <c r="AN33" s="154">
        <v>0.49863013698630138</v>
      </c>
      <c r="AO33" s="154">
        <f t="shared" si="17"/>
        <v>5.7284209192085349</v>
      </c>
      <c r="AP33" s="155"/>
    </row>
    <row r="34" spans="2:42" ht="15.75" thickBot="1">
      <c r="B34" s="131">
        <v>10</v>
      </c>
      <c r="C34" s="159">
        <f>MarketDataAUD!G52/100</f>
        <v>5.9050000000000089E-2</v>
      </c>
      <c r="D34" s="139">
        <f t="shared" si="21"/>
        <v>5.9050000000000089E-2</v>
      </c>
      <c r="E34" s="160">
        <v>0</v>
      </c>
      <c r="F34" s="146">
        <f>MarketDataAUD!N24/100</f>
        <v>6.4999999999999997E-4</v>
      </c>
      <c r="G34" s="139">
        <f>F34+H34/10000</f>
        <v>6.4999999999999997E-4</v>
      </c>
      <c r="H34" s="140">
        <v>0</v>
      </c>
      <c r="I34" s="159">
        <f>MarketDataAUD!K24/100</f>
        <v>9.5E-4</v>
      </c>
      <c r="J34" s="139">
        <f>I34+K34/10000</f>
        <v>9.5E-4</v>
      </c>
      <c r="K34" s="140">
        <v>0</v>
      </c>
      <c r="L34" s="156"/>
      <c r="M34" s="156"/>
      <c r="N34" s="156"/>
      <c r="O34" s="156"/>
      <c r="P34" s="156"/>
      <c r="Q34" s="156"/>
      <c r="R34" s="156"/>
      <c r="S34" s="156"/>
      <c r="T34" s="156"/>
      <c r="X34" s="362" t="str">
        <f t="shared" si="12"/>
        <v>15M</v>
      </c>
      <c r="Y34" s="135">
        <f t="shared" si="18"/>
        <v>15</v>
      </c>
      <c r="Z34" s="151">
        <v>41971</v>
      </c>
      <c r="AA34" s="154">
        <v>0.93762950873244577</v>
      </c>
      <c r="AB34" s="154">
        <v>8.4931506849315067E-2</v>
      </c>
      <c r="AC34" s="154">
        <f t="shared" si="15"/>
        <v>1.2104135519992758</v>
      </c>
      <c r="AD34" s="361" t="str">
        <f t="shared" si="13"/>
        <v>45M</v>
      </c>
      <c r="AE34" s="135">
        <f t="shared" si="19"/>
        <v>15</v>
      </c>
      <c r="AF34" s="151">
        <v>42884</v>
      </c>
      <c r="AG34" s="154">
        <v>0.81555891952145143</v>
      </c>
      <c r="AH34" s="154">
        <v>0.24657534246575341</v>
      </c>
      <c r="AI34" s="154">
        <f t="shared" si="16"/>
        <v>3.3828982919113284</v>
      </c>
      <c r="AJ34" s="361" t="str">
        <f t="shared" si="14"/>
        <v>90M</v>
      </c>
      <c r="AK34" s="135">
        <f t="shared" si="20"/>
        <v>15</v>
      </c>
      <c r="AL34" s="151">
        <v>44253</v>
      </c>
      <c r="AM34" s="154">
        <v>0.64770501422076743</v>
      </c>
      <c r="AN34" s="154">
        <v>0.49863013698630138</v>
      </c>
      <c r="AO34" s="154">
        <f t="shared" si="17"/>
        <v>6.0513861591761504</v>
      </c>
      <c r="AP34" s="155"/>
    </row>
    <row r="35" spans="2:42" ht="15.75" thickBot="1">
      <c r="B35" s="131">
        <v>12</v>
      </c>
      <c r="C35" s="159">
        <f>MarketDataAUD!G53/100</f>
        <v>5.9566666666666761E-2</v>
      </c>
      <c r="D35" s="139">
        <f t="shared" si="21"/>
        <v>5.9566666666666761E-2</v>
      </c>
      <c r="E35" s="160">
        <v>0</v>
      </c>
      <c r="F35" s="161" t="s">
        <v>265</v>
      </c>
      <c r="G35" s="158">
        <f>(G34*(B36-B35)+G36*(B35-B34))/(B36-B34)</f>
        <v>6.0000000000000006E-4</v>
      </c>
      <c r="H35" s="162" t="s">
        <v>265</v>
      </c>
      <c r="I35" s="164" t="s">
        <v>265</v>
      </c>
      <c r="J35" s="158">
        <f t="shared" ref="J35:J40" si="22">$J$34*$AG$7/AG8</f>
        <v>8.3567447182005114E-4</v>
      </c>
      <c r="K35" s="162" t="s">
        <v>265</v>
      </c>
      <c r="L35" s="156"/>
      <c r="M35" s="382" t="s">
        <v>268</v>
      </c>
      <c r="N35" s="383"/>
      <c r="O35" s="383"/>
      <c r="P35" s="383"/>
      <c r="Q35" s="383"/>
      <c r="R35" s="383"/>
      <c r="S35" s="383"/>
      <c r="T35" s="383"/>
      <c r="U35" s="383"/>
      <c r="V35" s="384"/>
      <c r="X35" s="362" t="str">
        <f t="shared" si="12"/>
        <v>16M</v>
      </c>
      <c r="Y35" s="135">
        <f t="shared" si="18"/>
        <v>16</v>
      </c>
      <c r="Z35" s="151">
        <v>42002</v>
      </c>
      <c r="AA35" s="154">
        <v>0.93341683814834053</v>
      </c>
      <c r="AB35" s="154">
        <v>8.4931506849315067E-2</v>
      </c>
      <c r="AC35" s="154">
        <f t="shared" si="15"/>
        <v>1.2896900505817377</v>
      </c>
      <c r="AD35" s="361" t="str">
        <f t="shared" si="13"/>
        <v>48M</v>
      </c>
      <c r="AE35" s="135">
        <f t="shared" si="19"/>
        <v>16</v>
      </c>
      <c r="AF35" s="151">
        <v>42975</v>
      </c>
      <c r="AG35" s="154">
        <v>0.80314123691845785</v>
      </c>
      <c r="AH35" s="154">
        <v>0.24931506849315069</v>
      </c>
      <c r="AI35" s="154">
        <f t="shared" si="16"/>
        <v>3.5831335044033277</v>
      </c>
      <c r="AJ35" s="361" t="str">
        <f t="shared" si="14"/>
        <v>96M</v>
      </c>
      <c r="AK35" s="135">
        <f t="shared" si="20"/>
        <v>16</v>
      </c>
      <c r="AL35" s="151">
        <v>44438</v>
      </c>
      <c r="AM35" s="154">
        <v>0.62772889290390887</v>
      </c>
      <c r="AN35" s="154">
        <v>0.50684931506849318</v>
      </c>
      <c r="AO35" s="154">
        <f t="shared" si="17"/>
        <v>6.3695501185932004</v>
      </c>
      <c r="AP35" s="155"/>
    </row>
    <row r="36" spans="2:42" ht="15.75" thickBot="1">
      <c r="B36" s="131">
        <v>15</v>
      </c>
      <c r="C36" s="159">
        <f>MarketDataAUD!G54/100</f>
        <v>5.9857500000000091E-2</v>
      </c>
      <c r="D36" s="139">
        <f t="shared" si="21"/>
        <v>5.9857500000000091E-2</v>
      </c>
      <c r="E36" s="160">
        <v>0</v>
      </c>
      <c r="F36" s="146">
        <f>MarketDataAUD!N25/100</f>
        <v>5.2499999999999997E-4</v>
      </c>
      <c r="G36" s="139">
        <f>F36+H36/10000</f>
        <v>5.2499999999999997E-4</v>
      </c>
      <c r="H36" s="140">
        <v>0</v>
      </c>
      <c r="I36" s="164" t="s">
        <v>265</v>
      </c>
      <c r="J36" s="158">
        <f t="shared" si="22"/>
        <v>7.2363255302059643E-4</v>
      </c>
      <c r="K36" s="162" t="s">
        <v>265</v>
      </c>
      <c r="L36" s="156"/>
      <c r="O36" s="156"/>
      <c r="P36" s="156"/>
      <c r="Q36" s="156"/>
      <c r="R36" s="156"/>
      <c r="S36" s="156"/>
      <c r="T36" s="156"/>
      <c r="X36" s="362" t="str">
        <f t="shared" si="12"/>
        <v>17M</v>
      </c>
      <c r="Y36" s="135">
        <f t="shared" si="18"/>
        <v>17</v>
      </c>
      <c r="Z36" s="151">
        <v>42032</v>
      </c>
      <c r="AA36" s="154">
        <v>0.92934926808740248</v>
      </c>
      <c r="AB36" s="154">
        <v>8.2191780821917804E-2</v>
      </c>
      <c r="AC36" s="154">
        <f t="shared" si="15"/>
        <v>1.3660749219313872</v>
      </c>
      <c r="AD36" s="361" t="str">
        <f t="shared" si="13"/>
        <v>51M</v>
      </c>
      <c r="AE36" s="135">
        <f t="shared" si="19"/>
        <v>17</v>
      </c>
      <c r="AF36" s="151">
        <v>43067</v>
      </c>
      <c r="AG36" s="154">
        <v>0.7911630777369294</v>
      </c>
      <c r="AH36" s="154">
        <v>0.25205479452054796</v>
      </c>
      <c r="AI36" s="154">
        <f t="shared" si="16"/>
        <v>3.7825499513945537</v>
      </c>
      <c r="AJ36" s="361" t="str">
        <f t="shared" si="14"/>
        <v>102M</v>
      </c>
      <c r="AK36" s="135">
        <f t="shared" si="20"/>
        <v>17</v>
      </c>
      <c r="AL36" s="151">
        <v>44620</v>
      </c>
      <c r="AM36" s="154">
        <v>0.60889733662975076</v>
      </c>
      <c r="AN36" s="154">
        <v>0.49863013698630138</v>
      </c>
      <c r="AO36" s="154">
        <f t="shared" si="17"/>
        <v>6.6731646809674867</v>
      </c>
      <c r="AP36" s="155"/>
    </row>
    <row r="37" spans="2:42" ht="15.75" thickBot="1">
      <c r="B37" s="131">
        <v>20</v>
      </c>
      <c r="C37" s="159">
        <f>MarketDataAUD!G55/100</f>
        <v>5.8915833333333417E-2</v>
      </c>
      <c r="D37" s="139">
        <f t="shared" si="21"/>
        <v>5.8915833333333417E-2</v>
      </c>
      <c r="E37" s="160">
        <v>0</v>
      </c>
      <c r="F37" s="146">
        <f>MarketDataAUD!N26/100</f>
        <v>4.4999999999999999E-4</v>
      </c>
      <c r="G37" s="139">
        <f>F37+H37/10000</f>
        <v>4.4999999999999999E-4</v>
      </c>
      <c r="H37" s="140">
        <v>0</v>
      </c>
      <c r="I37" s="164" t="s">
        <v>265</v>
      </c>
      <c r="J37" s="158">
        <f t="shared" si="22"/>
        <v>6.1389101905463014E-4</v>
      </c>
      <c r="K37" s="162" t="s">
        <v>265</v>
      </c>
      <c r="L37" s="156"/>
      <c r="M37" s="120" t="s">
        <v>19</v>
      </c>
      <c r="N37" s="123" t="s">
        <v>235</v>
      </c>
      <c r="O37" s="122" t="s">
        <v>215</v>
      </c>
      <c r="Q37" s="120" t="s">
        <v>19</v>
      </c>
      <c r="R37" s="123" t="s">
        <v>235</v>
      </c>
      <c r="S37" s="122" t="s">
        <v>215</v>
      </c>
      <c r="T37" s="156"/>
      <c r="U37" s="120" t="s">
        <v>221</v>
      </c>
      <c r="V37" s="364" t="str">
        <f>_xll.HLV5r3.Financial.Cache.CreateRateBasisCurve(U38:V46, M38:M58, N38:N58)</f>
        <v>Market.TemporaryCurve.RateCurve.AUD-LIBOR-BBA-6M</v>
      </c>
      <c r="X37" s="362" t="str">
        <f t="shared" si="12"/>
        <v>18M</v>
      </c>
      <c r="Y37" s="135">
        <f t="shared" si="18"/>
        <v>18</v>
      </c>
      <c r="Z37" s="151">
        <v>42062</v>
      </c>
      <c r="AA37" s="154">
        <v>0.92528444656880526</v>
      </c>
      <c r="AB37" s="154">
        <v>8.2191780821917804E-2</v>
      </c>
      <c r="AC37" s="154">
        <f t="shared" si="15"/>
        <v>1.4421256983616999</v>
      </c>
      <c r="AD37" s="361" t="str">
        <f t="shared" si="13"/>
        <v>54M</v>
      </c>
      <c r="AE37" s="135">
        <f t="shared" si="19"/>
        <v>18</v>
      </c>
      <c r="AF37" s="151">
        <v>43159</v>
      </c>
      <c r="AG37" s="154">
        <v>0.77925002826201073</v>
      </c>
      <c r="AH37" s="154">
        <v>0.25205479452054796</v>
      </c>
      <c r="AI37" s="154">
        <f t="shared" si="16"/>
        <v>3.9789636571482658</v>
      </c>
      <c r="AJ37" s="361" t="str">
        <f t="shared" si="14"/>
        <v>108M</v>
      </c>
      <c r="AK37" s="135">
        <f t="shared" si="20"/>
        <v>18</v>
      </c>
      <c r="AL37" s="151">
        <v>44802</v>
      </c>
      <c r="AM37" s="154">
        <v>0.5905280044683805</v>
      </c>
      <c r="AN37" s="154">
        <v>0.49863013698630138</v>
      </c>
      <c r="AO37" s="154">
        <f t="shared" si="17"/>
        <v>6.9676197407298028</v>
      </c>
      <c r="AP37" s="155"/>
    </row>
    <row r="38" spans="2:42">
      <c r="B38" s="131">
        <v>25</v>
      </c>
      <c r="C38" s="159">
        <f>MarketDataAUD!G56/100</f>
        <v>5.7520000000000085E-2</v>
      </c>
      <c r="D38" s="139">
        <f t="shared" si="21"/>
        <v>5.7520000000000085E-2</v>
      </c>
      <c r="E38" s="160">
        <v>0</v>
      </c>
      <c r="F38" s="146">
        <f>MarketDataAUD!N27/100</f>
        <v>4.0000000000000002E-4</v>
      </c>
      <c r="G38" s="139">
        <f>F38+H38/10000</f>
        <v>4.0000000000000002E-4</v>
      </c>
      <c r="H38" s="140">
        <v>0</v>
      </c>
      <c r="I38" s="164" t="s">
        <v>265</v>
      </c>
      <c r="J38" s="158">
        <f t="shared" si="22"/>
        <v>5.4884374947530379E-4</v>
      </c>
      <c r="K38" s="162" t="s">
        <v>265</v>
      </c>
      <c r="M38" s="126" t="s">
        <v>355</v>
      </c>
      <c r="N38" s="127">
        <f>O38/100</f>
        <v>1.0152597958140927E-3</v>
      </c>
      <c r="O38" s="128">
        <f>$O$42</f>
        <v>0.10152597958140927</v>
      </c>
      <c r="Q38" s="126" t="s">
        <v>360</v>
      </c>
      <c r="R38" s="127">
        <v>0</v>
      </c>
      <c r="S38" s="150">
        <v>0</v>
      </c>
      <c r="T38" s="156"/>
      <c r="U38" s="131" t="s">
        <v>21</v>
      </c>
      <c r="V38" s="132" t="s">
        <v>269</v>
      </c>
      <c r="X38" s="362" t="str">
        <f t="shared" si="12"/>
        <v>19M</v>
      </c>
      <c r="Y38" s="135">
        <f t="shared" si="18"/>
        <v>19</v>
      </c>
      <c r="Z38" s="151">
        <v>42093</v>
      </c>
      <c r="AA38" s="154">
        <v>0.92109613451648065</v>
      </c>
      <c r="AB38" s="154">
        <v>8.4931506849315067E-2</v>
      </c>
      <c r="AC38" s="154">
        <f t="shared" si="15"/>
        <v>1.5203557810192641</v>
      </c>
      <c r="AD38" s="361" t="str">
        <f t="shared" si="13"/>
        <v>57M</v>
      </c>
      <c r="AE38" s="135">
        <f t="shared" si="19"/>
        <v>19</v>
      </c>
      <c r="AF38" s="151">
        <v>43248</v>
      </c>
      <c r="AG38" s="154">
        <v>0.76778973895584768</v>
      </c>
      <c r="AH38" s="154">
        <v>0.24383561643835616</v>
      </c>
      <c r="AI38" s="154">
        <f t="shared" si="16"/>
        <v>4.1661781414416099</v>
      </c>
      <c r="AJ38" s="361" t="str">
        <f t="shared" si="14"/>
        <v>114M</v>
      </c>
      <c r="AK38" s="135">
        <f t="shared" si="20"/>
        <v>19</v>
      </c>
      <c r="AL38" s="151">
        <v>44985</v>
      </c>
      <c r="AM38" s="154">
        <v>0.57255414954855943</v>
      </c>
      <c r="AN38" s="154">
        <v>0.50136986301369868</v>
      </c>
      <c r="AO38" s="154">
        <f t="shared" si="17"/>
        <v>7.254681136256889</v>
      </c>
      <c r="AP38" s="155"/>
    </row>
    <row r="39" spans="2:42">
      <c r="B39" s="131">
        <v>30</v>
      </c>
      <c r="C39" s="159">
        <f>MarketDataAUD!G57/100</f>
        <v>5.6116666666666759E-2</v>
      </c>
      <c r="D39" s="139">
        <f t="shared" si="21"/>
        <v>5.6116666666666759E-2</v>
      </c>
      <c r="E39" s="160">
        <v>0</v>
      </c>
      <c r="F39" s="146">
        <f>MarketDataAUD!N28/100</f>
        <v>3.7500000000000001E-4</v>
      </c>
      <c r="G39" s="139">
        <f>F39+H39/10000</f>
        <v>3.7500000000000001E-4</v>
      </c>
      <c r="H39" s="140">
        <v>0</v>
      </c>
      <c r="I39" s="164" t="s">
        <v>265</v>
      </c>
      <c r="J39" s="158">
        <f t="shared" si="22"/>
        <v>5.0556288479475578E-4</v>
      </c>
      <c r="K39" s="162" t="s">
        <v>265</v>
      </c>
      <c r="M39" s="126" t="s">
        <v>356</v>
      </c>
      <c r="N39" s="127">
        <f t="shared" ref="N39:N42" si="23">O39/100</f>
        <v>1.0152597958140927E-3</v>
      </c>
      <c r="O39" s="150">
        <f>$O$42</f>
        <v>0.10152597958140927</v>
      </c>
      <c r="Q39" s="126" t="s">
        <v>361</v>
      </c>
      <c r="R39" s="127">
        <v>0</v>
      </c>
      <c r="S39" s="150">
        <v>0</v>
      </c>
      <c r="T39" s="156"/>
      <c r="U39" s="131" t="s">
        <v>306</v>
      </c>
      <c r="V39" s="360">
        <f>Today</f>
        <v>41513</v>
      </c>
      <c r="X39" s="362" t="str">
        <f t="shared" si="12"/>
        <v>20M</v>
      </c>
      <c r="Y39" s="135">
        <f t="shared" si="18"/>
        <v>20</v>
      </c>
      <c r="Z39" s="151">
        <v>42122</v>
      </c>
      <c r="AA39" s="154">
        <v>0.91718806660790086</v>
      </c>
      <c r="AB39" s="154">
        <v>7.9452054794520555E-2</v>
      </c>
      <c r="AC39" s="154">
        <f t="shared" si="15"/>
        <v>1.5932282575442753</v>
      </c>
      <c r="AD39" s="361" t="str">
        <f t="shared" si="13"/>
        <v>60M</v>
      </c>
      <c r="AE39" s="135">
        <f t="shared" si="19"/>
        <v>20</v>
      </c>
      <c r="AF39" s="151">
        <v>43340</v>
      </c>
      <c r="AG39" s="154">
        <v>0.75601195121213782</v>
      </c>
      <c r="AH39" s="154">
        <v>0.25205479452054796</v>
      </c>
      <c r="AI39" s="154">
        <f t="shared" si="16"/>
        <v>4.3567345784594638</v>
      </c>
      <c r="AJ39" s="361" t="str">
        <f t="shared" si="14"/>
        <v>120M</v>
      </c>
      <c r="AK39" s="135">
        <f t="shared" si="20"/>
        <v>20</v>
      </c>
      <c r="AL39" s="151">
        <v>45166</v>
      </c>
      <c r="AM39" s="154">
        <v>0.55522272183243893</v>
      </c>
      <c r="AN39" s="154">
        <v>0.49589041095890413</v>
      </c>
      <c r="AO39" s="154">
        <f t="shared" si="17"/>
        <v>7.5300107599600983</v>
      </c>
      <c r="AP39" s="155"/>
    </row>
    <row r="40" spans="2:42">
      <c r="B40" s="131">
        <v>40</v>
      </c>
      <c r="C40" s="159" t="s">
        <v>265</v>
      </c>
      <c r="D40" s="139">
        <f>AD10</f>
        <v>5.4121239984281082E-2</v>
      </c>
      <c r="E40" s="139" t="s">
        <v>265</v>
      </c>
      <c r="F40" s="161" t="s">
        <v>265</v>
      </c>
      <c r="G40" s="158">
        <f>$G$34*$AH$7/AH13</f>
        <v>3.0899066848552717E-4</v>
      </c>
      <c r="H40" s="162" t="s">
        <v>265</v>
      </c>
      <c r="I40" s="164" t="s">
        <v>265</v>
      </c>
      <c r="J40" s="158">
        <f t="shared" si="22"/>
        <v>4.5178570601226911E-4</v>
      </c>
      <c r="K40" s="162" t="s">
        <v>265</v>
      </c>
      <c r="M40" s="126" t="s">
        <v>357</v>
      </c>
      <c r="N40" s="127">
        <f t="shared" si="23"/>
        <v>1.0152597958140927E-3</v>
      </c>
      <c r="O40" s="150">
        <f>$O$42</f>
        <v>0.10152597958140927</v>
      </c>
      <c r="Q40" s="126" t="s">
        <v>362</v>
      </c>
      <c r="R40" s="127">
        <f>D10-D17</f>
        <v>6.0000000000001025E-4</v>
      </c>
      <c r="S40" s="150">
        <f>100*(D10-D17)</f>
        <v>6.0000000000001025E-2</v>
      </c>
      <c r="U40" s="131" t="s">
        <v>25</v>
      </c>
      <c r="V40" s="132" t="str">
        <f>V9</f>
        <v>TemporaryCurve</v>
      </c>
      <c r="X40" s="362" t="str">
        <f t="shared" si="12"/>
        <v>21M</v>
      </c>
      <c r="Y40" s="135">
        <f t="shared" si="18"/>
        <v>21</v>
      </c>
      <c r="Z40" s="151">
        <v>42152</v>
      </c>
      <c r="AA40" s="154">
        <v>0.91314966333375325</v>
      </c>
      <c r="AB40" s="154">
        <v>8.2191780821917804E-2</v>
      </c>
      <c r="AC40" s="154">
        <f t="shared" si="15"/>
        <v>1.6682816545306112</v>
      </c>
      <c r="AD40" s="361" t="str">
        <f t="shared" si="13"/>
        <v>63M</v>
      </c>
      <c r="AE40" s="135">
        <f t="shared" si="19"/>
        <v>21</v>
      </c>
      <c r="AF40" s="151">
        <v>43432</v>
      </c>
      <c r="AG40" s="154">
        <v>0.74444330917136792</v>
      </c>
      <c r="AH40" s="154">
        <v>0.25205479452054796</v>
      </c>
      <c r="AI40" s="154">
        <f t="shared" si="16"/>
        <v>4.5443750837848498</v>
      </c>
      <c r="AJ40" s="361" t="str">
        <f t="shared" si="14"/>
        <v>126M</v>
      </c>
      <c r="AK40" s="135">
        <f t="shared" si="20"/>
        <v>21</v>
      </c>
      <c r="AL40" s="151">
        <v>45350</v>
      </c>
      <c r="AM40" s="154">
        <v>0.5381574845735918</v>
      </c>
      <c r="AN40" s="154">
        <v>0.50410958904109593</v>
      </c>
      <c r="AO40" s="154">
        <f t="shared" si="17"/>
        <v>7.8013011083478814</v>
      </c>
      <c r="AP40" s="155"/>
    </row>
    <row r="41" spans="2:42">
      <c r="L41" s="152"/>
      <c r="M41" s="126" t="s">
        <v>358</v>
      </c>
      <c r="N41" s="127">
        <f t="shared" si="23"/>
        <v>1.0152597958140927E-3</v>
      </c>
      <c r="O41" s="150">
        <f>$O$42</f>
        <v>0.10152597958140927</v>
      </c>
      <c r="Q41" s="126" t="s">
        <v>363</v>
      </c>
      <c r="R41" s="127">
        <f>D11-D18</f>
        <v>9.9999999999999395E-4</v>
      </c>
      <c r="S41" s="150">
        <f>100*(D11-D18)</f>
        <v>9.9999999999999395E-2</v>
      </c>
      <c r="U41" s="131" t="s">
        <v>270</v>
      </c>
      <c r="V41" s="132" t="str">
        <f>V6</f>
        <v>Market.TemporaryCurve.RateCurve.AUD-BBR-BBSW-3M</v>
      </c>
      <c r="X41" s="362" t="str">
        <f t="shared" si="12"/>
        <v>22M</v>
      </c>
      <c r="Y41" s="135">
        <f t="shared" si="18"/>
        <v>22</v>
      </c>
      <c r="Z41" s="151">
        <v>42184</v>
      </c>
      <c r="AA41" s="154">
        <v>0.90885788708905701</v>
      </c>
      <c r="AB41" s="154">
        <v>8.7671232876712329E-2</v>
      </c>
      <c r="AC41" s="154">
        <f t="shared" si="15"/>
        <v>1.7479623460014326</v>
      </c>
      <c r="AD41" s="361" t="str">
        <f t="shared" si="13"/>
        <v>66M</v>
      </c>
      <c r="AE41" s="135">
        <f t="shared" si="19"/>
        <v>22</v>
      </c>
      <c r="AF41" s="151">
        <v>43524</v>
      </c>
      <c r="AG41" s="154">
        <v>0.73295785525959922</v>
      </c>
      <c r="AH41" s="154">
        <v>0.25205479452054796</v>
      </c>
      <c r="AI41" s="154">
        <f t="shared" si="16"/>
        <v>4.7291206253845299</v>
      </c>
      <c r="AJ41" s="361" t="str">
        <f t="shared" si="14"/>
        <v>132M</v>
      </c>
      <c r="AK41" s="135">
        <f t="shared" si="20"/>
        <v>22</v>
      </c>
      <c r="AL41" s="151">
        <v>45532</v>
      </c>
      <c r="AM41" s="154">
        <v>0.52171597608057552</v>
      </c>
      <c r="AN41" s="154">
        <v>0.49863013698630138</v>
      </c>
      <c r="AO41" s="154">
        <f t="shared" si="17"/>
        <v>8.0614444169688806</v>
      </c>
      <c r="AP41" s="155"/>
    </row>
    <row r="42" spans="2:42">
      <c r="L42" s="152"/>
      <c r="M42" s="126" t="s">
        <v>359</v>
      </c>
      <c r="N42" s="127">
        <f t="shared" si="23"/>
        <v>1.0152597958140927E-3</v>
      </c>
      <c r="O42" s="150">
        <f>(D12-AD7)*100</f>
        <v>0.10152597958140927</v>
      </c>
      <c r="Q42" s="126" t="s">
        <v>364</v>
      </c>
      <c r="R42" s="127">
        <f>AD7-D19</f>
        <v>1.0847402041858981E-3</v>
      </c>
      <c r="S42" s="150">
        <f>100*(AD7-D19)</f>
        <v>0.10847402041858981</v>
      </c>
      <c r="U42" s="131" t="s">
        <v>38</v>
      </c>
      <c r="V42" s="132" t="s">
        <v>39</v>
      </c>
      <c r="X42" s="362" t="str">
        <f t="shared" si="12"/>
        <v>23M</v>
      </c>
      <c r="Y42" s="135">
        <f t="shared" si="18"/>
        <v>23</v>
      </c>
      <c r="Z42" s="151">
        <v>42213</v>
      </c>
      <c r="AA42" s="154">
        <v>0.90498177358771525</v>
      </c>
      <c r="AB42" s="154">
        <v>7.9452054794520555E-2</v>
      </c>
      <c r="AC42" s="154">
        <f t="shared" si="15"/>
        <v>1.8198650074645661</v>
      </c>
      <c r="AD42" s="361" t="str">
        <f t="shared" si="13"/>
        <v>69M</v>
      </c>
      <c r="AE42" s="135">
        <f t="shared" si="19"/>
        <v>23</v>
      </c>
      <c r="AF42" s="151">
        <v>43613</v>
      </c>
      <c r="AG42" s="154">
        <v>0.72192763750432065</v>
      </c>
      <c r="AH42" s="154">
        <v>0.24383561643835616</v>
      </c>
      <c r="AI42" s="154">
        <f t="shared" si="16"/>
        <v>4.9051522958992821</v>
      </c>
      <c r="AJ42" s="361" t="str">
        <f t="shared" si="14"/>
        <v>138M</v>
      </c>
      <c r="AK42" s="135">
        <f t="shared" si="20"/>
        <v>23</v>
      </c>
      <c r="AL42" s="151">
        <v>45716</v>
      </c>
      <c r="AM42" s="154">
        <v>0.50552813242506767</v>
      </c>
      <c r="AN42" s="154">
        <v>0.50410958904109593</v>
      </c>
      <c r="AO42" s="154">
        <f t="shared" si="17"/>
        <v>8.3162859960543933</v>
      </c>
      <c r="AP42" s="155"/>
    </row>
    <row r="43" spans="2:42">
      <c r="L43" s="152"/>
      <c r="M43" s="126" t="s">
        <v>271</v>
      </c>
      <c r="N43" s="127">
        <f t="shared" ref="N43:N58" si="24">G25</f>
        <v>8.25E-4</v>
      </c>
      <c r="O43" s="166">
        <f t="shared" ref="O43:O58" si="25">G25*100</f>
        <v>8.2500000000000004E-2</v>
      </c>
      <c r="Q43" s="126" t="s">
        <v>272</v>
      </c>
      <c r="R43" s="127">
        <f t="shared" ref="R43:R58" si="26">J25</f>
        <v>1.075E-3</v>
      </c>
      <c r="S43" s="166">
        <f t="shared" ref="S43:S58" si="27">J25*100</f>
        <v>0.1075</v>
      </c>
      <c r="T43" s="167">
        <f>-S43</f>
        <v>-0.1075</v>
      </c>
      <c r="U43" s="131" t="s">
        <v>28</v>
      </c>
      <c r="V43" s="132" t="s">
        <v>13</v>
      </c>
      <c r="X43" s="362" t="str">
        <f t="shared" si="12"/>
        <v>24M</v>
      </c>
      <c r="Y43" s="135">
        <f t="shared" si="18"/>
        <v>24</v>
      </c>
      <c r="Z43" s="151">
        <v>42244</v>
      </c>
      <c r="AA43" s="154">
        <v>0.90084476698200089</v>
      </c>
      <c r="AB43" s="154">
        <v>8.4931506849315067E-2</v>
      </c>
      <c r="AC43" s="154">
        <f t="shared" si="15"/>
        <v>1.8963751109616676</v>
      </c>
      <c r="AD43" s="361" t="str">
        <f t="shared" si="13"/>
        <v>72M</v>
      </c>
      <c r="AE43" s="135">
        <f t="shared" si="19"/>
        <v>24</v>
      </c>
      <c r="AF43" s="151">
        <v>43705</v>
      </c>
      <c r="AG43" s="154">
        <v>0.71061058882210826</v>
      </c>
      <c r="AH43" s="154">
        <v>0.25205479452054796</v>
      </c>
      <c r="AI43" s="154">
        <f t="shared" si="16"/>
        <v>5.0842651018489642</v>
      </c>
      <c r="AJ43" s="361" t="str">
        <f t="shared" si="14"/>
        <v>144M</v>
      </c>
      <c r="AK43" s="135">
        <f t="shared" si="20"/>
        <v>24</v>
      </c>
      <c r="AL43" s="151">
        <v>45897</v>
      </c>
      <c r="AM43" s="154">
        <v>0.49002188591145968</v>
      </c>
      <c r="AN43" s="154">
        <v>0.49589041095890413</v>
      </c>
      <c r="AO43" s="154">
        <f t="shared" si="17"/>
        <v>8.559283150437885</v>
      </c>
      <c r="AP43" s="155"/>
    </row>
    <row r="44" spans="2:42">
      <c r="L44" s="152"/>
      <c r="M44" s="126" t="s">
        <v>273</v>
      </c>
      <c r="N44" s="127">
        <f t="shared" si="24"/>
        <v>8.0000000000000004E-4</v>
      </c>
      <c r="O44" s="166">
        <f t="shared" si="25"/>
        <v>0.08</v>
      </c>
      <c r="Q44" s="126" t="s">
        <v>274</v>
      </c>
      <c r="R44" s="127">
        <f t="shared" si="26"/>
        <v>1.1749999999999998E-3</v>
      </c>
      <c r="S44" s="166">
        <f t="shared" si="27"/>
        <v>0.11749999999999998</v>
      </c>
      <c r="T44" s="167">
        <f t="shared" ref="T44:T58" si="28">-S44</f>
        <v>-0.11749999999999998</v>
      </c>
      <c r="U44" s="131" t="s">
        <v>41</v>
      </c>
      <c r="V44" s="132" t="str">
        <f>V42&amp;"-"&amp;V43</f>
        <v>AUD-LIBOR-BBA-6M</v>
      </c>
      <c r="X44" s="362" t="str">
        <f t="shared" si="12"/>
        <v>25M</v>
      </c>
      <c r="Y44" s="135">
        <f t="shared" si="18"/>
        <v>25</v>
      </c>
      <c r="Z44" s="151">
        <v>42275</v>
      </c>
      <c r="AA44" s="154">
        <v>0.89673014594455069</v>
      </c>
      <c r="AB44" s="154">
        <v>8.4931506849315067E-2</v>
      </c>
      <c r="AC44" s="154">
        <f t="shared" si="15"/>
        <v>1.9725357534939445</v>
      </c>
      <c r="AD44" s="361" t="str">
        <f t="shared" si="13"/>
        <v>75M</v>
      </c>
      <c r="AE44" s="135">
        <f t="shared" si="19"/>
        <v>25</v>
      </c>
      <c r="AF44" s="151">
        <v>43797</v>
      </c>
      <c r="AG44" s="154">
        <v>0.69969670779754278</v>
      </c>
      <c r="AH44" s="154">
        <v>0.25205479452054796</v>
      </c>
      <c r="AI44" s="154">
        <f t="shared" si="16"/>
        <v>5.2606270117595777</v>
      </c>
      <c r="AJ44" s="361" t="str">
        <f t="shared" si="14"/>
        <v>150M</v>
      </c>
      <c r="AK44" s="135">
        <f t="shared" si="20"/>
        <v>25</v>
      </c>
      <c r="AL44" s="151">
        <v>46080</v>
      </c>
      <c r="AM44" s="154">
        <v>0.47536376311743017</v>
      </c>
      <c r="AN44" s="154">
        <v>0.50136986301369868</v>
      </c>
      <c r="AO44" s="154">
        <f t="shared" si="17"/>
        <v>8.7976162152337469</v>
      </c>
      <c r="AP44" s="155"/>
    </row>
    <row r="45" spans="2:42">
      <c r="L45" s="152"/>
      <c r="M45" s="126" t="s">
        <v>275</v>
      </c>
      <c r="N45" s="127">
        <f t="shared" si="24"/>
        <v>7.7499999999999997E-4</v>
      </c>
      <c r="O45" s="166">
        <f t="shared" si="25"/>
        <v>7.7499999999999999E-2</v>
      </c>
      <c r="Q45" s="126" t="s">
        <v>276</v>
      </c>
      <c r="R45" s="127">
        <f t="shared" si="26"/>
        <v>1.1999999999999999E-3</v>
      </c>
      <c r="S45" s="166">
        <f t="shared" si="27"/>
        <v>0.12</v>
      </c>
      <c r="T45" s="167">
        <f t="shared" si="28"/>
        <v>-0.12</v>
      </c>
      <c r="U45" s="131" t="s">
        <v>34</v>
      </c>
      <c r="V45" s="132" t="s">
        <v>246</v>
      </c>
      <c r="X45" s="362" t="str">
        <f t="shared" si="12"/>
        <v>26M</v>
      </c>
      <c r="Y45" s="135">
        <f t="shared" si="18"/>
        <v>26</v>
      </c>
      <c r="Z45" s="151">
        <v>42305</v>
      </c>
      <c r="AA45" s="154">
        <v>0.89276713019421539</v>
      </c>
      <c r="AB45" s="154">
        <v>8.2191780821917804E-2</v>
      </c>
      <c r="AC45" s="154">
        <f t="shared" si="15"/>
        <v>2.04591387378388</v>
      </c>
      <c r="AD45" s="361" t="str">
        <f t="shared" si="13"/>
        <v>78M</v>
      </c>
      <c r="AE45" s="135">
        <f t="shared" si="19"/>
        <v>26</v>
      </c>
      <c r="AF45" s="151">
        <v>43889</v>
      </c>
      <c r="AG45" s="154">
        <v>0.68888726449241899</v>
      </c>
      <c r="AH45" s="154">
        <v>0.25205479452054796</v>
      </c>
      <c r="AI45" s="154">
        <f t="shared" si="16"/>
        <v>5.4342643496590366</v>
      </c>
      <c r="AJ45" s="361" t="str">
        <f t="shared" si="14"/>
        <v>156M</v>
      </c>
      <c r="AK45" s="135">
        <f t="shared" si="20"/>
        <v>26</v>
      </c>
      <c r="AL45" s="151">
        <v>46262</v>
      </c>
      <c r="AM45" s="154">
        <v>0.46119885886716988</v>
      </c>
      <c r="AN45" s="154">
        <v>0.49863013698630138</v>
      </c>
      <c r="AO45" s="154">
        <f t="shared" si="17"/>
        <v>9.0275838654086105</v>
      </c>
      <c r="AP45" s="155"/>
    </row>
    <row r="46" spans="2:42">
      <c r="L46" s="152"/>
      <c r="M46" s="126" t="s">
        <v>277</v>
      </c>
      <c r="N46" s="127">
        <f t="shared" si="24"/>
        <v>7.7499999999999997E-4</v>
      </c>
      <c r="O46" s="166">
        <f t="shared" si="25"/>
        <v>7.7499999999999999E-2</v>
      </c>
      <c r="Q46" s="126" t="s">
        <v>278</v>
      </c>
      <c r="R46" s="127">
        <f t="shared" si="26"/>
        <v>1.1999999999999999E-3</v>
      </c>
      <c r="S46" s="166">
        <f t="shared" si="27"/>
        <v>0.12</v>
      </c>
      <c r="T46" s="167">
        <f t="shared" si="28"/>
        <v>-0.12</v>
      </c>
      <c r="U46" s="131" t="s">
        <v>30</v>
      </c>
      <c r="V46" s="132" t="str">
        <f>MID(V42,1,3)</f>
        <v>AUD</v>
      </c>
      <c r="X46" s="362" t="str">
        <f t="shared" si="12"/>
        <v>27M</v>
      </c>
      <c r="Y46" s="135">
        <f t="shared" si="18"/>
        <v>27</v>
      </c>
      <c r="Z46" s="151">
        <v>42338</v>
      </c>
      <c r="AA46" s="154">
        <v>0.8884173249650833</v>
      </c>
      <c r="AB46" s="154">
        <v>9.0410958904109592E-2</v>
      </c>
      <c r="AC46" s="154">
        <f t="shared" si="15"/>
        <v>2.1262365360409969</v>
      </c>
      <c r="AD46" s="361" t="str">
        <f t="shared" si="13"/>
        <v>81M</v>
      </c>
      <c r="AE46" s="135">
        <f t="shared" si="19"/>
        <v>27</v>
      </c>
      <c r="AF46" s="151">
        <v>43979</v>
      </c>
      <c r="AG46" s="154">
        <v>0.67841421011366065</v>
      </c>
      <c r="AH46" s="154">
        <v>0.24657534246575341</v>
      </c>
      <c r="AI46" s="154">
        <f t="shared" si="16"/>
        <v>5.6015445658514462</v>
      </c>
      <c r="AJ46" s="361" t="str">
        <f t="shared" si="14"/>
        <v>162M</v>
      </c>
      <c r="AK46" s="135">
        <f t="shared" si="20"/>
        <v>27</v>
      </c>
      <c r="AL46" s="151">
        <v>46444</v>
      </c>
      <c r="AM46" s="154">
        <v>0.44743496116158193</v>
      </c>
      <c r="AN46" s="154">
        <v>0.49863013698630138</v>
      </c>
      <c r="AO46" s="154">
        <f t="shared" si="17"/>
        <v>9.2506884213850711</v>
      </c>
      <c r="AP46" s="155"/>
    </row>
    <row r="47" spans="2:42">
      <c r="L47" s="152"/>
      <c r="M47" s="126" t="s">
        <v>279</v>
      </c>
      <c r="N47" s="127">
        <f t="shared" si="24"/>
        <v>7.2499999999999995E-4</v>
      </c>
      <c r="O47" s="166">
        <f t="shared" si="25"/>
        <v>7.2499999999999995E-2</v>
      </c>
      <c r="Q47" s="126" t="s">
        <v>280</v>
      </c>
      <c r="R47" s="127">
        <f t="shared" si="26"/>
        <v>1.1749999999999998E-3</v>
      </c>
      <c r="S47" s="166">
        <f t="shared" si="27"/>
        <v>0.11749999999999998</v>
      </c>
      <c r="T47" s="167">
        <f t="shared" si="28"/>
        <v>-0.11749999999999998</v>
      </c>
      <c r="X47" s="362" t="str">
        <f t="shared" si="12"/>
        <v>28M</v>
      </c>
      <c r="Y47" s="135">
        <f t="shared" si="18"/>
        <v>28</v>
      </c>
      <c r="Z47" s="151">
        <v>42367</v>
      </c>
      <c r="AA47" s="154">
        <v>0.88460304238369347</v>
      </c>
      <c r="AB47" s="154">
        <v>7.9452054794520555E-2</v>
      </c>
      <c r="AC47" s="154">
        <f t="shared" si="15"/>
        <v>2.1965200654358656</v>
      </c>
      <c r="AD47" s="361" t="str">
        <f t="shared" si="13"/>
        <v>84M</v>
      </c>
      <c r="AE47" s="135">
        <f t="shared" si="19"/>
        <v>28</v>
      </c>
      <c r="AF47" s="151">
        <v>44071</v>
      </c>
      <c r="AG47" s="154">
        <v>0.6678123938794478</v>
      </c>
      <c r="AH47" s="154">
        <v>0.25205479452054796</v>
      </c>
      <c r="AI47" s="154">
        <f t="shared" si="16"/>
        <v>5.7698698815690053</v>
      </c>
      <c r="AJ47" s="361" t="str">
        <f t="shared" si="14"/>
        <v>168M</v>
      </c>
      <c r="AK47" s="135">
        <f t="shared" si="20"/>
        <v>28</v>
      </c>
      <c r="AL47" s="151">
        <v>46629</v>
      </c>
      <c r="AM47" s="154">
        <v>0.43384414753360884</v>
      </c>
      <c r="AN47" s="154">
        <v>0.50684931506849318</v>
      </c>
      <c r="AO47" s="154">
        <f t="shared" si="17"/>
        <v>9.4705820304089556</v>
      </c>
      <c r="AP47" s="155"/>
    </row>
    <row r="48" spans="2:42" ht="15.75" thickBot="1">
      <c r="L48" s="152"/>
      <c r="M48" s="126" t="s">
        <v>281</v>
      </c>
      <c r="N48" s="127">
        <f t="shared" si="24"/>
        <v>6.9999999999999999E-4</v>
      </c>
      <c r="O48" s="166">
        <f t="shared" si="25"/>
        <v>6.9999999999999993E-2</v>
      </c>
      <c r="Q48" s="126" t="s">
        <v>282</v>
      </c>
      <c r="R48" s="127">
        <f t="shared" si="26"/>
        <v>1.1249999999999999E-3</v>
      </c>
      <c r="S48" s="166">
        <f t="shared" si="27"/>
        <v>0.11249999999999999</v>
      </c>
      <c r="T48" s="167">
        <f t="shared" si="28"/>
        <v>-0.11249999999999999</v>
      </c>
      <c r="X48" s="362" t="str">
        <f t="shared" si="12"/>
        <v>29M</v>
      </c>
      <c r="Y48" s="135">
        <f t="shared" si="18"/>
        <v>29</v>
      </c>
      <c r="Z48" s="151">
        <v>42397</v>
      </c>
      <c r="AA48" s="154">
        <v>0.88066542339178389</v>
      </c>
      <c r="AB48" s="154">
        <v>8.2191780821917804E-2</v>
      </c>
      <c r="AC48" s="154">
        <f t="shared" si="15"/>
        <v>2.2689035248927247</v>
      </c>
      <c r="AD48" s="361" t="str">
        <f t="shared" si="13"/>
        <v>87M</v>
      </c>
      <c r="AE48" s="135">
        <f t="shared" si="19"/>
        <v>29</v>
      </c>
      <c r="AF48" s="151">
        <v>44165</v>
      </c>
      <c r="AG48" s="154">
        <v>0.65737063628440395</v>
      </c>
      <c r="AH48" s="154">
        <v>0.25753424657534246</v>
      </c>
      <c r="AI48" s="154">
        <f t="shared" si="16"/>
        <v>5.9391653331052625</v>
      </c>
      <c r="AJ48" s="361" t="str">
        <f t="shared" si="14"/>
        <v>174M</v>
      </c>
      <c r="AK48" s="135">
        <f t="shared" si="20"/>
        <v>29</v>
      </c>
      <c r="AL48" s="151">
        <v>46811</v>
      </c>
      <c r="AM48" s="154">
        <v>0.42085663484386798</v>
      </c>
      <c r="AN48" s="154">
        <v>0.49863013698630138</v>
      </c>
      <c r="AO48" s="154">
        <f t="shared" si="17"/>
        <v>9.6804338318927474</v>
      </c>
      <c r="AP48" s="155"/>
    </row>
    <row r="49" spans="12:42" ht="15.75" thickBot="1">
      <c r="L49" s="152"/>
      <c r="M49" s="126" t="s">
        <v>283</v>
      </c>
      <c r="N49" s="127">
        <f t="shared" si="24"/>
        <v>6.7500000000000004E-4</v>
      </c>
      <c r="O49" s="166">
        <f t="shared" si="25"/>
        <v>6.7500000000000004E-2</v>
      </c>
      <c r="Q49" s="126" t="s">
        <v>284</v>
      </c>
      <c r="R49" s="127">
        <f t="shared" si="26"/>
        <v>1.075E-3</v>
      </c>
      <c r="S49" s="166">
        <f t="shared" si="27"/>
        <v>0.1075</v>
      </c>
      <c r="T49" s="167">
        <f t="shared" si="28"/>
        <v>-0.1075</v>
      </c>
      <c r="U49" s="120" t="s">
        <v>221</v>
      </c>
      <c r="V49" s="364" t="str">
        <f>_xll.HLV5r3.Financial.Cache.CreateRateBasisCurve(U50:V58, Q38:Q58, R38:R58)</f>
        <v>Market.TemporaryCurve.RateCurve.AUD-LIBOR-BBA-1M</v>
      </c>
      <c r="X49" s="362" t="str">
        <f t="shared" si="12"/>
        <v>30M</v>
      </c>
      <c r="Y49" s="135">
        <f t="shared" si="18"/>
        <v>30</v>
      </c>
      <c r="Z49" s="151">
        <v>42429</v>
      </c>
      <c r="AA49" s="154">
        <v>0.87647452765565725</v>
      </c>
      <c r="AB49" s="154">
        <v>8.7671232876712329E-2</v>
      </c>
      <c r="AC49" s="154">
        <f t="shared" si="15"/>
        <v>2.3457451273173304</v>
      </c>
      <c r="AD49" s="361" t="str">
        <f t="shared" si="13"/>
        <v>90M</v>
      </c>
      <c r="AE49" s="135">
        <f t="shared" si="19"/>
        <v>30</v>
      </c>
      <c r="AF49" s="151">
        <v>44253</v>
      </c>
      <c r="AG49" s="154">
        <v>0.64770501422076743</v>
      </c>
      <c r="AH49" s="154">
        <v>0.24109589041095891</v>
      </c>
      <c r="AI49" s="154">
        <f t="shared" si="16"/>
        <v>6.0953243502324614</v>
      </c>
      <c r="AJ49" s="361" t="str">
        <f t="shared" si="14"/>
        <v>180M</v>
      </c>
      <c r="AK49" s="135">
        <f t="shared" si="20"/>
        <v>30</v>
      </c>
      <c r="AL49" s="151">
        <v>46993</v>
      </c>
      <c r="AM49" s="154">
        <v>0.40823868290812126</v>
      </c>
      <c r="AN49" s="154">
        <v>0.49863013698630138</v>
      </c>
      <c r="AO49" s="154">
        <f t="shared" si="17"/>
        <v>9.8839939422743317</v>
      </c>
      <c r="AP49" s="155"/>
    </row>
    <row r="50" spans="12:42">
      <c r="L50" s="152"/>
      <c r="M50" s="126" t="s">
        <v>285</v>
      </c>
      <c r="N50" s="127">
        <f t="shared" si="24"/>
        <v>6.6666666666666664E-4</v>
      </c>
      <c r="O50" s="166">
        <f t="shared" si="25"/>
        <v>6.6666666666666666E-2</v>
      </c>
      <c r="Q50" s="126" t="s">
        <v>286</v>
      </c>
      <c r="R50" s="127">
        <f t="shared" si="26"/>
        <v>1.0333333333333334E-3</v>
      </c>
      <c r="S50" s="166">
        <f t="shared" si="27"/>
        <v>0.10333333333333333</v>
      </c>
      <c r="T50" s="167">
        <f t="shared" si="28"/>
        <v>-0.10333333333333333</v>
      </c>
      <c r="U50" s="131" t="s">
        <v>21</v>
      </c>
      <c r="V50" s="132" t="s">
        <v>269</v>
      </c>
      <c r="X50" s="362" t="str">
        <f t="shared" si="12"/>
        <v>31M</v>
      </c>
      <c r="Y50" s="135">
        <f t="shared" si="18"/>
        <v>31</v>
      </c>
      <c r="Z50" s="151">
        <v>42458</v>
      </c>
      <c r="AA50" s="154">
        <v>0.87268480365007217</v>
      </c>
      <c r="AB50" s="154">
        <v>7.9452054794520555E-2</v>
      </c>
      <c r="AC50" s="154">
        <f t="shared" si="15"/>
        <v>2.4150817281552812</v>
      </c>
      <c r="AD50" s="361" t="str">
        <f t="shared" si="13"/>
        <v>93M</v>
      </c>
      <c r="AE50" s="135">
        <f t="shared" si="19"/>
        <v>31</v>
      </c>
      <c r="AF50" s="151">
        <v>44344</v>
      </c>
      <c r="AG50" s="154">
        <v>0.63782089375876982</v>
      </c>
      <c r="AH50" s="154">
        <v>0.24931506849315069</v>
      </c>
      <c r="AI50" s="154">
        <f t="shared" si="16"/>
        <v>6.2543427100462914</v>
      </c>
      <c r="AJ50" s="361" t="str">
        <f t="shared" si="14"/>
        <v>186M</v>
      </c>
      <c r="AK50" s="135">
        <f t="shared" si="20"/>
        <v>31</v>
      </c>
      <c r="AL50" s="151">
        <v>47177</v>
      </c>
      <c r="AM50" s="154">
        <v>0.39719487202066828</v>
      </c>
      <c r="AN50" s="154">
        <v>0.50410958904109593</v>
      </c>
      <c r="AO50" s="154">
        <f t="shared" si="17"/>
        <v>10.084223685977902</v>
      </c>
      <c r="AP50" s="155"/>
    </row>
    <row r="51" spans="12:42">
      <c r="L51" s="152"/>
      <c r="M51" s="126" t="s">
        <v>287</v>
      </c>
      <c r="N51" s="127">
        <f t="shared" si="24"/>
        <v>6.5833333333333336E-4</v>
      </c>
      <c r="O51" s="166">
        <f t="shared" si="25"/>
        <v>6.5833333333333341E-2</v>
      </c>
      <c r="Q51" s="126" t="s">
        <v>288</v>
      </c>
      <c r="R51" s="127">
        <f t="shared" si="26"/>
        <v>9.9166666666666674E-4</v>
      </c>
      <c r="S51" s="166">
        <f t="shared" si="27"/>
        <v>9.9166666666666681E-2</v>
      </c>
      <c r="T51" s="167">
        <f t="shared" si="28"/>
        <v>-9.9166666666666681E-2</v>
      </c>
      <c r="U51" s="131" t="s">
        <v>306</v>
      </c>
      <c r="V51" s="360">
        <f>Today</f>
        <v>41513</v>
      </c>
      <c r="X51" s="362" t="str">
        <f t="shared" si="12"/>
        <v>32M</v>
      </c>
      <c r="Y51" s="135">
        <f t="shared" si="18"/>
        <v>32</v>
      </c>
      <c r="Z51" s="151">
        <v>42488</v>
      </c>
      <c r="AA51" s="154">
        <v>0.86877272342007095</v>
      </c>
      <c r="AB51" s="154">
        <v>8.2191780821917804E-2</v>
      </c>
      <c r="AC51" s="154">
        <f t="shared" si="15"/>
        <v>2.4864877054226842</v>
      </c>
      <c r="AD51" s="361" t="str">
        <f t="shared" si="13"/>
        <v>96M</v>
      </c>
      <c r="AE51" s="135">
        <f t="shared" si="19"/>
        <v>32</v>
      </c>
      <c r="AF51" s="151">
        <v>44438</v>
      </c>
      <c r="AG51" s="154">
        <v>0.62772889290390887</v>
      </c>
      <c r="AH51" s="154">
        <v>0.25753424657534246</v>
      </c>
      <c r="AI51" s="154">
        <f t="shared" si="16"/>
        <v>6.4160043975338734</v>
      </c>
      <c r="AJ51" s="361" t="str">
        <f t="shared" si="14"/>
        <v>192M</v>
      </c>
      <c r="AK51" s="135">
        <f t="shared" si="20"/>
        <v>32</v>
      </c>
      <c r="AL51" s="151">
        <v>47358</v>
      </c>
      <c r="AM51" s="154">
        <v>0.38668781550808518</v>
      </c>
      <c r="AN51" s="154">
        <v>0.49589041095890413</v>
      </c>
      <c r="AO51" s="154">
        <f t="shared" si="17"/>
        <v>10.275978465723007</v>
      </c>
      <c r="AP51" s="155"/>
    </row>
    <row r="52" spans="12:42">
      <c r="L52" s="152"/>
      <c r="M52" s="126" t="s">
        <v>289</v>
      </c>
      <c r="N52" s="127">
        <f t="shared" si="24"/>
        <v>6.4999999999999997E-4</v>
      </c>
      <c r="O52" s="166">
        <f t="shared" si="25"/>
        <v>6.5000000000000002E-2</v>
      </c>
      <c r="Q52" s="126" t="s">
        <v>290</v>
      </c>
      <c r="R52" s="127">
        <f t="shared" si="26"/>
        <v>9.5E-4</v>
      </c>
      <c r="S52" s="166">
        <f t="shared" si="27"/>
        <v>9.5000000000000001E-2</v>
      </c>
      <c r="T52" s="167">
        <f t="shared" si="28"/>
        <v>-9.5000000000000001E-2</v>
      </c>
      <c r="U52" s="131" t="s">
        <v>25</v>
      </c>
      <c r="V52" s="132" t="str">
        <f>V9</f>
        <v>TemporaryCurve</v>
      </c>
      <c r="X52" s="362" t="str">
        <f t="shared" si="12"/>
        <v>33M</v>
      </c>
      <c r="Y52" s="135">
        <f t="shared" si="18"/>
        <v>33</v>
      </c>
      <c r="Z52" s="151">
        <v>42520</v>
      </c>
      <c r="AA52" s="154">
        <v>0.86460921691536297</v>
      </c>
      <c r="AB52" s="154">
        <v>8.7671232876712329E-2</v>
      </c>
      <c r="AC52" s="154">
        <f t="shared" si="15"/>
        <v>2.562289061426223</v>
      </c>
      <c r="AD52" s="361" t="str">
        <f t="shared" si="13"/>
        <v>99M</v>
      </c>
      <c r="AE52" s="135">
        <f t="shared" si="19"/>
        <v>33</v>
      </c>
      <c r="AF52" s="151">
        <v>44529</v>
      </c>
      <c r="AG52" s="154">
        <v>0.61825485918263323</v>
      </c>
      <c r="AH52" s="154">
        <v>0.24931506849315069</v>
      </c>
      <c r="AI52" s="154">
        <f t="shared" si="16"/>
        <v>6.5701446500972152</v>
      </c>
      <c r="AJ52" s="361" t="str">
        <f t="shared" si="14"/>
        <v>198M</v>
      </c>
      <c r="AK52" s="135">
        <f t="shared" si="20"/>
        <v>33</v>
      </c>
      <c r="AL52" s="151">
        <v>47542</v>
      </c>
      <c r="AM52" s="154">
        <v>0.37635592949073393</v>
      </c>
      <c r="AN52" s="154">
        <v>0.50410958904109593</v>
      </c>
      <c r="AO52" s="154">
        <f t="shared" si="17"/>
        <v>10.46570309867176</v>
      </c>
      <c r="AP52" s="155"/>
    </row>
    <row r="53" spans="12:42">
      <c r="L53" s="152"/>
      <c r="M53" s="126" t="s">
        <v>291</v>
      </c>
      <c r="N53" s="127">
        <f t="shared" si="24"/>
        <v>6.0000000000000006E-4</v>
      </c>
      <c r="O53" s="166">
        <f t="shared" si="25"/>
        <v>6.0000000000000005E-2</v>
      </c>
      <c r="Q53" s="126" t="s">
        <v>292</v>
      </c>
      <c r="R53" s="127">
        <f t="shared" si="26"/>
        <v>8.3567447182005114E-4</v>
      </c>
      <c r="S53" s="166">
        <f t="shared" si="27"/>
        <v>8.3567447182005108E-2</v>
      </c>
      <c r="T53" s="167">
        <f t="shared" si="28"/>
        <v>-8.3567447182005108E-2</v>
      </c>
      <c r="U53" s="131" t="s">
        <v>270</v>
      </c>
      <c r="V53" s="132" t="str">
        <f>V6</f>
        <v>Market.TemporaryCurve.RateCurve.AUD-BBR-BBSW-3M</v>
      </c>
      <c r="X53" s="362" t="str">
        <f t="shared" si="12"/>
        <v>34M</v>
      </c>
      <c r="Y53" s="135">
        <f t="shared" si="18"/>
        <v>34</v>
      </c>
      <c r="Z53" s="151">
        <v>42549</v>
      </c>
      <c r="AA53" s="154">
        <v>0.86084444485717826</v>
      </c>
      <c r="AB53" s="154">
        <v>7.9452054794520555E-2</v>
      </c>
      <c r="AC53" s="154">
        <f t="shared" si="15"/>
        <v>2.6306849214285744</v>
      </c>
      <c r="AD53" s="361" t="str">
        <f t="shared" si="13"/>
        <v>102M</v>
      </c>
      <c r="AE53" s="135">
        <f t="shared" si="19"/>
        <v>34</v>
      </c>
      <c r="AF53" s="151">
        <v>44620</v>
      </c>
      <c r="AG53" s="154">
        <v>0.60889733662975076</v>
      </c>
      <c r="AH53" s="154">
        <v>0.24931506849315069</v>
      </c>
      <c r="AI53" s="154">
        <f t="shared" si="16"/>
        <v>6.7219519312843587</v>
      </c>
      <c r="AJ53" s="361" t="str">
        <f t="shared" si="14"/>
        <v>204M</v>
      </c>
      <c r="AK53" s="135">
        <f t="shared" si="20"/>
        <v>34</v>
      </c>
      <c r="AL53" s="151">
        <v>47723</v>
      </c>
      <c r="AM53" s="154">
        <v>0.36652364520986908</v>
      </c>
      <c r="AN53" s="154">
        <v>0.49589041095890413</v>
      </c>
      <c r="AO53" s="154">
        <f t="shared" si="17"/>
        <v>10.647458659721037</v>
      </c>
      <c r="AP53" s="155"/>
    </row>
    <row r="54" spans="12:42">
      <c r="L54" s="152"/>
      <c r="M54" s="126" t="s">
        <v>293</v>
      </c>
      <c r="N54" s="127">
        <f t="shared" si="24"/>
        <v>5.2499999999999997E-4</v>
      </c>
      <c r="O54" s="166">
        <f t="shared" si="25"/>
        <v>5.2499999999999998E-2</v>
      </c>
      <c r="Q54" s="126" t="s">
        <v>294</v>
      </c>
      <c r="R54" s="127">
        <f t="shared" si="26"/>
        <v>7.2363255302059643E-4</v>
      </c>
      <c r="S54" s="166">
        <f t="shared" si="27"/>
        <v>7.2363255302059643E-2</v>
      </c>
      <c r="T54" s="167">
        <f t="shared" si="28"/>
        <v>-7.2363255302059643E-2</v>
      </c>
      <c r="U54" s="131" t="s">
        <v>38</v>
      </c>
      <c r="V54" s="132" t="s">
        <v>39</v>
      </c>
      <c r="X54" s="362" t="str">
        <f t="shared" si="12"/>
        <v>35M</v>
      </c>
      <c r="Y54" s="135">
        <f t="shared" si="18"/>
        <v>35</v>
      </c>
      <c r="Z54" s="151">
        <v>42579</v>
      </c>
      <c r="AA54" s="154">
        <v>0.85695830611370671</v>
      </c>
      <c r="AB54" s="154">
        <v>8.2191780821917804E-2</v>
      </c>
      <c r="AC54" s="154">
        <f t="shared" si="15"/>
        <v>2.7011198506981939</v>
      </c>
      <c r="AD54" s="361" t="str">
        <f t="shared" si="13"/>
        <v>105M</v>
      </c>
      <c r="AE54" s="135">
        <f t="shared" si="19"/>
        <v>35</v>
      </c>
      <c r="AF54" s="151">
        <v>44711</v>
      </c>
      <c r="AG54" s="154">
        <v>0.59965537023579563</v>
      </c>
      <c r="AH54" s="154">
        <v>0.24931506849315069</v>
      </c>
      <c r="AI54" s="154">
        <f t="shared" si="16"/>
        <v>6.8714550509869818</v>
      </c>
      <c r="AJ54" s="361" t="str">
        <f t="shared" si="14"/>
        <v>210M</v>
      </c>
      <c r="AK54" s="135">
        <f t="shared" si="20"/>
        <v>35</v>
      </c>
      <c r="AL54" s="151">
        <v>47907</v>
      </c>
      <c r="AM54" s="154">
        <v>0.35685278245759494</v>
      </c>
      <c r="AN54" s="154">
        <v>0.50410958904109593</v>
      </c>
      <c r="AO54" s="154">
        <f t="shared" si="17"/>
        <v>10.827351569233906</v>
      </c>
      <c r="AP54" s="155"/>
    </row>
    <row r="55" spans="12:42">
      <c r="L55" s="152"/>
      <c r="M55" s="126" t="s">
        <v>295</v>
      </c>
      <c r="N55" s="127">
        <f t="shared" si="24"/>
        <v>4.4999999999999999E-4</v>
      </c>
      <c r="O55" s="166">
        <f t="shared" si="25"/>
        <v>4.4999999999999998E-2</v>
      </c>
      <c r="Q55" s="126" t="s">
        <v>296</v>
      </c>
      <c r="R55" s="127">
        <f t="shared" si="26"/>
        <v>6.1389101905463014E-4</v>
      </c>
      <c r="S55" s="166">
        <f t="shared" si="27"/>
        <v>6.1389101905463012E-2</v>
      </c>
      <c r="T55" s="167">
        <f t="shared" si="28"/>
        <v>-6.1389101905463012E-2</v>
      </c>
      <c r="U55" s="131" t="s">
        <v>28</v>
      </c>
      <c r="V55" s="132" t="s">
        <v>134</v>
      </c>
      <c r="X55" s="362" t="str">
        <f t="shared" si="12"/>
        <v>36M</v>
      </c>
      <c r="Y55" s="135">
        <f t="shared" si="18"/>
        <v>36</v>
      </c>
      <c r="Z55" s="151">
        <v>42611</v>
      </c>
      <c r="AA55" s="154">
        <v>0.85282261369548029</v>
      </c>
      <c r="AB55" s="154">
        <v>8.7671232876712329E-2</v>
      </c>
      <c r="AC55" s="154">
        <f t="shared" si="15"/>
        <v>2.7758878606660167</v>
      </c>
      <c r="AD55" s="361" t="str">
        <f t="shared" si="13"/>
        <v>108M</v>
      </c>
      <c r="AE55" s="135">
        <f t="shared" si="19"/>
        <v>36</v>
      </c>
      <c r="AF55" s="151">
        <v>44802</v>
      </c>
      <c r="AG55" s="154">
        <v>0.5905280044683805</v>
      </c>
      <c r="AH55" s="154">
        <v>0.24931506849315069</v>
      </c>
      <c r="AI55" s="154">
        <f t="shared" si="16"/>
        <v>7.0186825808681395</v>
      </c>
      <c r="AJ55" s="361" t="str">
        <f t="shared" si="14"/>
        <v>216M</v>
      </c>
      <c r="AK55" s="135">
        <f t="shared" si="20"/>
        <v>36</v>
      </c>
      <c r="AL55" s="151">
        <v>48088</v>
      </c>
      <c r="AM55" s="154">
        <v>0.34764718731290112</v>
      </c>
      <c r="AN55" s="154">
        <v>0.49589041095890413</v>
      </c>
      <c r="AO55" s="154">
        <f t="shared" si="17"/>
        <v>10.999746475819208</v>
      </c>
      <c r="AP55" s="155"/>
    </row>
    <row r="56" spans="12:42">
      <c r="L56" s="152"/>
      <c r="M56" s="126" t="s">
        <v>297</v>
      </c>
      <c r="N56" s="127">
        <f t="shared" si="24"/>
        <v>4.0000000000000002E-4</v>
      </c>
      <c r="O56" s="166">
        <f t="shared" si="25"/>
        <v>0.04</v>
      </c>
      <c r="Q56" s="126" t="s">
        <v>298</v>
      </c>
      <c r="R56" s="127">
        <f t="shared" si="26"/>
        <v>5.4884374947530379E-4</v>
      </c>
      <c r="S56" s="166">
        <f t="shared" si="27"/>
        <v>5.488437494753038E-2</v>
      </c>
      <c r="T56" s="167">
        <f t="shared" si="28"/>
        <v>-5.488437494753038E-2</v>
      </c>
      <c r="U56" s="131" t="s">
        <v>41</v>
      </c>
      <c r="V56" s="132" t="str">
        <f>V54&amp;"-"&amp;V55</f>
        <v>AUD-LIBOR-BBA-1M</v>
      </c>
      <c r="X56" s="362" t="str">
        <f t="shared" si="12"/>
        <v>37M</v>
      </c>
      <c r="Y56" s="135">
        <f t="shared" si="18"/>
        <v>37</v>
      </c>
      <c r="Z56" s="151">
        <v>42641</v>
      </c>
      <c r="AA56" s="154">
        <v>0.84872995983965782</v>
      </c>
      <c r="AB56" s="154">
        <v>8.2191780821917804E-2</v>
      </c>
      <c r="AC56" s="154">
        <f t="shared" si="15"/>
        <v>2.8456464875021528</v>
      </c>
      <c r="AD56" s="361" t="str">
        <f t="shared" si="13"/>
        <v>111M</v>
      </c>
      <c r="AE56" s="135">
        <f t="shared" si="19"/>
        <v>37</v>
      </c>
      <c r="AF56" s="151">
        <v>44893</v>
      </c>
      <c r="AG56" s="154">
        <v>0.58153301216118269</v>
      </c>
      <c r="AH56" s="154">
        <v>0.24931506849315069</v>
      </c>
      <c r="AI56" s="154">
        <f t="shared" si="16"/>
        <v>7.1636675236261329</v>
      </c>
      <c r="AJ56" s="361" t="str">
        <f t="shared" si="14"/>
        <v>222M</v>
      </c>
      <c r="AK56" s="135">
        <f t="shared" si="20"/>
        <v>37</v>
      </c>
      <c r="AL56" s="151">
        <v>48271</v>
      </c>
      <c r="AM56" s="154">
        <v>0.33863882335152384</v>
      </c>
      <c r="AN56" s="154">
        <v>0.50136986301369868</v>
      </c>
      <c r="AO56" s="154">
        <f t="shared" si="17"/>
        <v>11.169529776294082</v>
      </c>
      <c r="AP56" s="155"/>
    </row>
    <row r="57" spans="12:42">
      <c r="M57" s="126" t="s">
        <v>299</v>
      </c>
      <c r="N57" s="127">
        <f t="shared" si="24"/>
        <v>3.7500000000000001E-4</v>
      </c>
      <c r="O57" s="166">
        <f t="shared" si="25"/>
        <v>3.7499999999999999E-2</v>
      </c>
      <c r="Q57" s="126" t="s">
        <v>300</v>
      </c>
      <c r="R57" s="127">
        <f t="shared" si="26"/>
        <v>5.0556288479475578E-4</v>
      </c>
      <c r="S57" s="166">
        <f t="shared" si="27"/>
        <v>5.0556288479475575E-2</v>
      </c>
      <c r="T57" s="167">
        <f t="shared" si="28"/>
        <v>-5.0556288479475575E-2</v>
      </c>
      <c r="U57" s="131" t="s">
        <v>34</v>
      </c>
      <c r="V57" s="132" t="s">
        <v>246</v>
      </c>
      <c r="X57" s="362" t="str">
        <f t="shared" si="12"/>
        <v>38M</v>
      </c>
      <c r="Y57" s="135">
        <f t="shared" si="18"/>
        <v>38</v>
      </c>
      <c r="Z57" s="151">
        <v>42671</v>
      </c>
      <c r="AA57" s="154">
        <v>0.84463626411511628</v>
      </c>
      <c r="AB57" s="154">
        <v>8.2191780821917804E-2</v>
      </c>
      <c r="AC57" s="154">
        <f t="shared" si="15"/>
        <v>2.9150686461965458</v>
      </c>
      <c r="AD57" s="361" t="str">
        <f t="shared" si="13"/>
        <v>114M</v>
      </c>
      <c r="AE57" s="135">
        <f t="shared" si="19"/>
        <v>38</v>
      </c>
      <c r="AF57" s="151">
        <v>44985</v>
      </c>
      <c r="AG57" s="154">
        <v>0.57255414954855943</v>
      </c>
      <c r="AH57" s="154">
        <v>0.25205479452054796</v>
      </c>
      <c r="AI57" s="154">
        <f t="shared" si="16"/>
        <v>7.307982542142482</v>
      </c>
      <c r="AJ57" s="361" t="str">
        <f t="shared" si="14"/>
        <v>228M</v>
      </c>
      <c r="AK57" s="135">
        <f t="shared" si="20"/>
        <v>38</v>
      </c>
      <c r="AL57" s="151">
        <v>48456</v>
      </c>
      <c r="AM57" s="154">
        <v>0.32982654455409854</v>
      </c>
      <c r="AN57" s="154">
        <v>0.50684931506849318</v>
      </c>
      <c r="AO57" s="154">
        <f t="shared" si="17"/>
        <v>11.336702134492734</v>
      </c>
      <c r="AP57" s="155"/>
    </row>
    <row r="58" spans="12:42">
      <c r="M58" s="126" t="s">
        <v>301</v>
      </c>
      <c r="N58" s="127">
        <f t="shared" si="24"/>
        <v>3.0899066848552717E-4</v>
      </c>
      <c r="O58" s="166">
        <f t="shared" si="25"/>
        <v>3.0899066848552717E-2</v>
      </c>
      <c r="Q58" s="126" t="s">
        <v>302</v>
      </c>
      <c r="R58" s="127">
        <f t="shared" si="26"/>
        <v>4.5178570601226911E-4</v>
      </c>
      <c r="S58" s="166">
        <f t="shared" si="27"/>
        <v>4.517857060122691E-2</v>
      </c>
      <c r="T58" s="167">
        <f t="shared" si="28"/>
        <v>-4.517857060122691E-2</v>
      </c>
      <c r="U58" s="131" t="s">
        <v>30</v>
      </c>
      <c r="V58" s="132" t="str">
        <f>MID(V54,1,3)</f>
        <v>AUD</v>
      </c>
      <c r="X58" s="362" t="str">
        <f t="shared" si="12"/>
        <v>39M</v>
      </c>
      <c r="Y58" s="135">
        <f t="shared" si="18"/>
        <v>39</v>
      </c>
      <c r="Z58" s="151">
        <v>42702</v>
      </c>
      <c r="AA58" s="154">
        <v>0.84040523631544051</v>
      </c>
      <c r="AB58" s="154">
        <v>8.4931506849315067E-2</v>
      </c>
      <c r="AC58" s="154">
        <f t="shared" si="15"/>
        <v>2.9864455292808709</v>
      </c>
      <c r="AD58" s="361" t="str">
        <f t="shared" si="13"/>
        <v>117M</v>
      </c>
      <c r="AE58" s="135">
        <f t="shared" si="19"/>
        <v>39</v>
      </c>
      <c r="AF58" s="151">
        <v>45075</v>
      </c>
      <c r="AG58" s="154">
        <v>0.5638813612045328</v>
      </c>
      <c r="AH58" s="154">
        <v>0.24657534246575341</v>
      </c>
      <c r="AI58" s="154">
        <f t="shared" si="16"/>
        <v>7.4470217818915447</v>
      </c>
      <c r="AJ58" s="361" t="str">
        <f t="shared" si="14"/>
        <v>234M</v>
      </c>
      <c r="AK58" s="135">
        <f t="shared" si="20"/>
        <v>39</v>
      </c>
      <c r="AL58" s="151">
        <v>48638</v>
      </c>
      <c r="AM58" s="154">
        <v>0.32143575269879088</v>
      </c>
      <c r="AN58" s="154">
        <v>0.49863013698630138</v>
      </c>
      <c r="AO58" s="154">
        <f t="shared" si="17"/>
        <v>11.496979687893226</v>
      </c>
      <c r="AP58" s="155"/>
    </row>
    <row r="59" spans="12:42">
      <c r="X59" s="362" t="str">
        <f t="shared" si="12"/>
        <v>40M</v>
      </c>
      <c r="Y59" s="135">
        <f t="shared" si="18"/>
        <v>40</v>
      </c>
      <c r="Z59" s="151">
        <v>42732</v>
      </c>
      <c r="AA59" s="154">
        <v>0.83631005691431959</v>
      </c>
      <c r="AB59" s="154">
        <v>8.2191780821917804E-2</v>
      </c>
      <c r="AC59" s="154">
        <f t="shared" si="15"/>
        <v>3.0551833421779384</v>
      </c>
      <c r="AD59" s="361" t="str">
        <f t="shared" si="13"/>
        <v>120M</v>
      </c>
      <c r="AE59" s="135">
        <f t="shared" si="19"/>
        <v>40</v>
      </c>
      <c r="AF59" s="151">
        <v>45166</v>
      </c>
      <c r="AG59" s="154">
        <v>0.55522272183243893</v>
      </c>
      <c r="AH59" s="154">
        <v>0.24931506849315069</v>
      </c>
      <c r="AI59" s="154">
        <f t="shared" si="16"/>
        <v>7.5854471728141526</v>
      </c>
      <c r="AJ59" s="361" t="str">
        <f t="shared" si="14"/>
        <v>240M</v>
      </c>
      <c r="AK59" s="135">
        <f t="shared" si="20"/>
        <v>40</v>
      </c>
      <c r="AL59" s="151">
        <v>48820</v>
      </c>
      <c r="AM59" s="154">
        <v>0.31331138747413917</v>
      </c>
      <c r="AN59" s="154">
        <v>0.49863013698630138</v>
      </c>
      <c r="AO59" s="154">
        <f t="shared" si="17"/>
        <v>11.653206187948825</v>
      </c>
      <c r="AP59" s="155"/>
    </row>
    <row r="60" spans="12:42">
      <c r="X60" s="362" t="str">
        <f t="shared" si="12"/>
        <v>41M</v>
      </c>
      <c r="Y60" s="135">
        <f t="shared" si="18"/>
        <v>41</v>
      </c>
      <c r="Z60" s="151">
        <v>42765</v>
      </c>
      <c r="AA60" s="154">
        <v>0.83180488294841681</v>
      </c>
      <c r="AB60" s="154">
        <v>9.0410958904109592E-2</v>
      </c>
      <c r="AC60" s="154">
        <f t="shared" si="15"/>
        <v>3.1303876192664255</v>
      </c>
      <c r="AD60" s="361" t="str">
        <f t="shared" si="13"/>
        <v>123M</v>
      </c>
      <c r="AE60" s="135">
        <f t="shared" si="19"/>
        <v>41</v>
      </c>
      <c r="AF60" s="151">
        <v>45258</v>
      </c>
      <c r="AG60" s="154">
        <v>0.54663387061183821</v>
      </c>
      <c r="AH60" s="154">
        <v>0.25205479452054796</v>
      </c>
      <c r="AI60" s="154">
        <f t="shared" si="16"/>
        <v>7.7232288607491917</v>
      </c>
      <c r="AJ60" s="361" t="str">
        <f t="shared" si="14"/>
        <v>246M</v>
      </c>
      <c r="AK60" s="135">
        <f t="shared" si="20"/>
        <v>41</v>
      </c>
      <c r="AL60" s="151">
        <v>49003</v>
      </c>
      <c r="AM60" s="154">
        <v>0.30594242181298559</v>
      </c>
      <c r="AN60" s="154">
        <v>0.50136986301369868</v>
      </c>
      <c r="AO60" s="154">
        <f t="shared" si="17"/>
        <v>11.806596498063282</v>
      </c>
      <c r="AP60" s="155"/>
    </row>
    <row r="61" spans="12:42">
      <c r="X61" s="362" t="str">
        <f t="shared" si="12"/>
        <v>42M</v>
      </c>
      <c r="Y61" s="135">
        <f t="shared" si="18"/>
        <v>42</v>
      </c>
      <c r="Z61" s="151">
        <v>42794</v>
      </c>
      <c r="AA61" s="154">
        <v>0.8278455859469388</v>
      </c>
      <c r="AB61" s="154">
        <v>7.9452054794520555E-2</v>
      </c>
      <c r="AC61" s="154">
        <f t="shared" si="15"/>
        <v>3.1961616521224836</v>
      </c>
      <c r="AD61" s="361" t="str">
        <f t="shared" si="13"/>
        <v>126M</v>
      </c>
      <c r="AE61" s="135">
        <f t="shared" si="19"/>
        <v>42</v>
      </c>
      <c r="AF61" s="151">
        <v>45350</v>
      </c>
      <c r="AG61" s="154">
        <v>0.5381574845735918</v>
      </c>
      <c r="AH61" s="154">
        <v>0.25205479452054796</v>
      </c>
      <c r="AI61" s="154">
        <f t="shared" si="16"/>
        <v>7.8588740349430832</v>
      </c>
      <c r="AJ61" s="361" t="str">
        <f t="shared" si="14"/>
        <v>252M</v>
      </c>
      <c r="AK61" s="135">
        <f t="shared" si="20"/>
        <v>42</v>
      </c>
      <c r="AL61" s="151">
        <v>49184</v>
      </c>
      <c r="AM61" s="154">
        <v>0.29890022512821557</v>
      </c>
      <c r="AN61" s="154">
        <v>0.49589041095890413</v>
      </c>
      <c r="AO61" s="154">
        <f t="shared" si="17"/>
        <v>11.954818253537821</v>
      </c>
      <c r="AP61" s="155"/>
    </row>
    <row r="62" spans="12:42">
      <c r="X62" s="362" t="str">
        <f t="shared" si="12"/>
        <v>43M</v>
      </c>
      <c r="Y62" s="135">
        <f t="shared" si="18"/>
        <v>43</v>
      </c>
      <c r="Z62" s="151">
        <v>42822</v>
      </c>
      <c r="AA62" s="154">
        <v>0.82402281397676902</v>
      </c>
      <c r="AB62" s="154">
        <v>7.6712328767123292E-2</v>
      </c>
      <c r="AC62" s="154">
        <f t="shared" si="15"/>
        <v>3.2593743611398796</v>
      </c>
      <c r="AD62" s="361" t="str">
        <f t="shared" si="13"/>
        <v>129M</v>
      </c>
      <c r="AE62" s="135">
        <f t="shared" si="19"/>
        <v>43</v>
      </c>
      <c r="AF62" s="151">
        <v>45440</v>
      </c>
      <c r="AG62" s="154">
        <v>0.52997312990836942</v>
      </c>
      <c r="AH62" s="154">
        <v>0.24657534246575341</v>
      </c>
      <c r="AI62" s="154">
        <f t="shared" si="16"/>
        <v>7.9895523409478866</v>
      </c>
      <c r="AJ62" s="361" t="str">
        <f t="shared" si="14"/>
        <v>258M</v>
      </c>
      <c r="AK62" s="135">
        <f t="shared" si="20"/>
        <v>43</v>
      </c>
      <c r="AL62" s="151">
        <v>49368</v>
      </c>
      <c r="AM62" s="154">
        <v>0.29198285754151421</v>
      </c>
      <c r="AN62" s="154">
        <v>0.50410958904109593</v>
      </c>
      <c r="AO62" s="154">
        <f t="shared" si="17"/>
        <v>12.102009611860119</v>
      </c>
      <c r="AP62" s="155"/>
    </row>
    <row r="63" spans="12:42">
      <c r="X63" s="362" t="str">
        <f t="shared" si="12"/>
        <v>44M</v>
      </c>
      <c r="Y63" s="135">
        <f t="shared" si="18"/>
        <v>44</v>
      </c>
      <c r="Z63" s="151">
        <v>42853</v>
      </c>
      <c r="AA63" s="154">
        <v>0.81979065635335668</v>
      </c>
      <c r="AB63" s="154">
        <v>8.4931506849315067E-2</v>
      </c>
      <c r="AC63" s="154">
        <f t="shared" si="15"/>
        <v>3.3290004168849592</v>
      </c>
      <c r="AD63" s="361" t="str">
        <f t="shared" si="13"/>
        <v>132M</v>
      </c>
      <c r="AE63" s="135">
        <f t="shared" si="19"/>
        <v>44</v>
      </c>
      <c r="AF63" s="151">
        <v>45532</v>
      </c>
      <c r="AG63" s="154">
        <v>0.52171597608057552</v>
      </c>
      <c r="AH63" s="154">
        <v>0.25205479452054796</v>
      </c>
      <c r="AI63" s="154">
        <f t="shared" si="16"/>
        <v>8.1210533540969632</v>
      </c>
      <c r="AJ63" s="361" t="str">
        <f t="shared" si="14"/>
        <v>264M</v>
      </c>
      <c r="AK63" s="135">
        <f t="shared" si="20"/>
        <v>44</v>
      </c>
      <c r="AL63" s="151">
        <v>49549</v>
      </c>
      <c r="AM63" s="154">
        <v>0.28540701417602393</v>
      </c>
      <c r="AN63" s="154">
        <v>0.49589041095890413</v>
      </c>
      <c r="AO63" s="154">
        <f t="shared" si="17"/>
        <v>12.243540213410421</v>
      </c>
      <c r="AP63" s="155"/>
    </row>
    <row r="64" spans="12:42">
      <c r="X64" s="362" t="str">
        <f t="shared" si="12"/>
        <v>45M</v>
      </c>
      <c r="Y64" s="135">
        <f t="shared" si="18"/>
        <v>45</v>
      </c>
      <c r="Z64" s="151">
        <v>42884</v>
      </c>
      <c r="AA64" s="154">
        <v>0.81555891952145143</v>
      </c>
      <c r="AB64" s="154">
        <v>8.4931506849315067E-2</v>
      </c>
      <c r="AC64" s="154">
        <f t="shared" si="15"/>
        <v>3.3982670648443154</v>
      </c>
      <c r="AD64" s="361" t="str">
        <f t="shared" si="13"/>
        <v>135M</v>
      </c>
      <c r="AE64" s="135">
        <f t="shared" si="19"/>
        <v>45</v>
      </c>
      <c r="AF64" s="151">
        <v>45624</v>
      </c>
      <c r="AG64" s="154">
        <v>0.51356800755883802</v>
      </c>
      <c r="AH64" s="154">
        <v>0.25205479452054796</v>
      </c>
      <c r="AI64" s="154">
        <f t="shared" si="16"/>
        <v>8.2505006327145338</v>
      </c>
      <c r="AJ64" s="361" t="str">
        <f t="shared" si="14"/>
        <v>270M</v>
      </c>
      <c r="AK64" s="135">
        <f t="shared" si="20"/>
        <v>45</v>
      </c>
      <c r="AL64" s="151">
        <v>49733</v>
      </c>
      <c r="AM64" s="154">
        <v>0.27894602722422412</v>
      </c>
      <c r="AN64" s="154">
        <v>0.50410958904109593</v>
      </c>
      <c r="AO64" s="154">
        <f t="shared" si="17"/>
        <v>12.384159580559071</v>
      </c>
      <c r="AP64" s="155"/>
    </row>
    <row r="65" spans="16:42">
      <c r="X65" s="362" t="str">
        <f t="shared" si="12"/>
        <v>46M</v>
      </c>
      <c r="Y65" s="135">
        <f t="shared" si="18"/>
        <v>46</v>
      </c>
      <c r="Z65" s="151">
        <v>42914</v>
      </c>
      <c r="AA65" s="154">
        <v>0.81146429790037278</v>
      </c>
      <c r="AB65" s="154">
        <v>8.2191780821917804E-2</v>
      </c>
      <c r="AC65" s="154">
        <f t="shared" si="15"/>
        <v>3.4649627605621545</v>
      </c>
      <c r="AD65" s="361" t="str">
        <f t="shared" si="13"/>
        <v>138M</v>
      </c>
      <c r="AE65" s="135">
        <f t="shared" si="19"/>
        <v>46</v>
      </c>
      <c r="AF65" s="151">
        <v>45716</v>
      </c>
      <c r="AG65" s="154">
        <v>0.50552813242506767</v>
      </c>
      <c r="AH65" s="154">
        <v>0.25205479452054796</v>
      </c>
      <c r="AI65" s="154">
        <f t="shared" si="16"/>
        <v>8.3779214222572911</v>
      </c>
      <c r="AJ65" s="361" t="str">
        <f t="shared" si="14"/>
        <v>276M</v>
      </c>
      <c r="AK65" s="135">
        <f t="shared" si="20"/>
        <v>46</v>
      </c>
      <c r="AL65" s="151">
        <v>49915</v>
      </c>
      <c r="AM65" s="154">
        <v>0.27276907081410467</v>
      </c>
      <c r="AN65" s="154">
        <v>0.49863013698630138</v>
      </c>
      <c r="AO65" s="154">
        <f t="shared" si="17"/>
        <v>12.520170459704735</v>
      </c>
      <c r="AP65" s="155"/>
    </row>
    <row r="66" spans="16:42">
      <c r="X66" s="362" t="str">
        <f t="shared" si="12"/>
        <v>47M</v>
      </c>
      <c r="Y66" s="135">
        <f t="shared" si="18"/>
        <v>47</v>
      </c>
      <c r="Z66" s="151">
        <v>42944</v>
      </c>
      <c r="AA66" s="154">
        <v>0.80737047412013674</v>
      </c>
      <c r="AB66" s="154">
        <v>8.2191780821917804E-2</v>
      </c>
      <c r="AC66" s="154">
        <f t="shared" si="15"/>
        <v>3.5313219776131248</v>
      </c>
      <c r="AD66" s="361" t="str">
        <f t="shared" si="13"/>
        <v>141M</v>
      </c>
      <c r="AE66" s="135">
        <f t="shared" si="19"/>
        <v>47</v>
      </c>
      <c r="AF66" s="151">
        <v>45805</v>
      </c>
      <c r="AG66" s="154">
        <v>0.49785226755009965</v>
      </c>
      <c r="AH66" s="154">
        <v>0.24383561643835616</v>
      </c>
      <c r="AI66" s="154">
        <f t="shared" si="16"/>
        <v>8.4993155368106024</v>
      </c>
      <c r="AJ66" s="361" t="str">
        <f t="shared" si="14"/>
        <v>282M</v>
      </c>
      <c r="AK66" s="135">
        <f t="shared" si="20"/>
        <v>47</v>
      </c>
      <c r="AL66" s="151">
        <v>50098</v>
      </c>
      <c r="AM66" s="154">
        <v>0.26676464052908905</v>
      </c>
      <c r="AN66" s="154">
        <v>0.50136986301369868</v>
      </c>
      <c r="AO66" s="154">
        <f t="shared" si="17"/>
        <v>12.653918210983703</v>
      </c>
      <c r="AP66" s="155"/>
    </row>
    <row r="67" spans="16:42">
      <c r="X67" s="362" t="str">
        <f t="shared" si="12"/>
        <v>48M</v>
      </c>
      <c r="Y67" s="135">
        <f t="shared" si="18"/>
        <v>48</v>
      </c>
      <c r="Z67" s="151">
        <v>42975</v>
      </c>
      <c r="AA67" s="154">
        <v>0.80314123691845785</v>
      </c>
      <c r="AB67" s="154">
        <v>8.4931506849315067E-2</v>
      </c>
      <c r="AC67" s="154">
        <f t="shared" si="15"/>
        <v>3.5995339730774321</v>
      </c>
      <c r="AD67" s="361" t="str">
        <f t="shared" si="13"/>
        <v>144M</v>
      </c>
      <c r="AE67" s="135">
        <f t="shared" si="19"/>
        <v>48</v>
      </c>
      <c r="AF67" s="151">
        <v>45897</v>
      </c>
      <c r="AG67" s="154">
        <v>0.49002188591145968</v>
      </c>
      <c r="AH67" s="154">
        <v>0.25205479452054796</v>
      </c>
      <c r="AI67" s="154">
        <f t="shared" si="16"/>
        <v>8.6228279025745866</v>
      </c>
      <c r="AJ67" s="361" t="str">
        <f t="shared" si="14"/>
        <v>288M</v>
      </c>
      <c r="AK67" s="135">
        <f t="shared" si="20"/>
        <v>48</v>
      </c>
      <c r="AL67" s="151">
        <v>50280</v>
      </c>
      <c r="AM67" s="154">
        <v>0.26099083566398107</v>
      </c>
      <c r="AN67" s="154">
        <v>0.49863013698630138</v>
      </c>
      <c r="AO67" s="154">
        <f t="shared" si="17"/>
        <v>12.784056107123003</v>
      </c>
      <c r="AP67" s="155"/>
    </row>
    <row r="68" spans="16:42">
      <c r="P68" s="167"/>
      <c r="X68" s="362" t="str">
        <f t="shared" si="12"/>
        <v>49M</v>
      </c>
      <c r="Y68" s="135">
        <f t="shared" si="18"/>
        <v>49</v>
      </c>
      <c r="Z68" s="151">
        <v>43006</v>
      </c>
      <c r="AA68" s="154">
        <v>0.79909800088189664</v>
      </c>
      <c r="AB68" s="154">
        <v>8.4931506849315067E-2</v>
      </c>
      <c r="AC68" s="154">
        <f t="shared" si="15"/>
        <v>3.667402570412607</v>
      </c>
      <c r="AD68" s="361" t="str">
        <f t="shared" si="13"/>
        <v>147M</v>
      </c>
      <c r="AE68" s="135">
        <f t="shared" si="19"/>
        <v>49</v>
      </c>
      <c r="AF68" s="151">
        <v>45989</v>
      </c>
      <c r="AG68" s="154">
        <v>0.48260000715392487</v>
      </c>
      <c r="AH68" s="154">
        <v>0.25205479452054796</v>
      </c>
      <c r="AI68" s="154">
        <f t="shared" si="16"/>
        <v>8.7444695482133845</v>
      </c>
      <c r="AJ68" s="361" t="str">
        <f t="shared" si="14"/>
        <v>294M</v>
      </c>
      <c r="AK68" s="135">
        <f t="shared" si="20"/>
        <v>49</v>
      </c>
      <c r="AL68" s="151">
        <v>50462</v>
      </c>
      <c r="AM68" s="154">
        <v>0.25540711374899105</v>
      </c>
      <c r="AN68" s="154">
        <v>0.49863013698630138</v>
      </c>
      <c r="AO68" s="154">
        <f t="shared" si="17"/>
        <v>12.911409791238938</v>
      </c>
      <c r="AP68" s="155"/>
    </row>
    <row r="69" spans="16:42">
      <c r="P69" s="167"/>
      <c r="X69" s="362" t="str">
        <f t="shared" si="12"/>
        <v>50M</v>
      </c>
      <c r="Y69" s="135">
        <f t="shared" si="18"/>
        <v>50</v>
      </c>
      <c r="Z69" s="151">
        <v>43038</v>
      </c>
      <c r="AA69" s="154">
        <v>0.79493189370005446</v>
      </c>
      <c r="AB69" s="154">
        <v>8.7671232876712329E-2</v>
      </c>
      <c r="AC69" s="154">
        <f t="shared" si="15"/>
        <v>3.7370952295863105</v>
      </c>
      <c r="AD69" s="361" t="str">
        <f t="shared" si="13"/>
        <v>150M</v>
      </c>
      <c r="AE69" s="135">
        <f t="shared" si="19"/>
        <v>50</v>
      </c>
      <c r="AF69" s="151">
        <v>46080</v>
      </c>
      <c r="AG69" s="154">
        <v>0.47536376311743017</v>
      </c>
      <c r="AH69" s="154">
        <v>0.24931506849315069</v>
      </c>
      <c r="AI69" s="154">
        <f t="shared" si="16"/>
        <v>8.8629848973741687</v>
      </c>
      <c r="AJ69" s="361" t="str">
        <f t="shared" si="14"/>
        <v>300M</v>
      </c>
      <c r="AK69" s="135">
        <f t="shared" si="20"/>
        <v>50</v>
      </c>
      <c r="AL69" s="151">
        <v>50647</v>
      </c>
      <c r="AM69" s="154">
        <v>0.24991907460296622</v>
      </c>
      <c r="AN69" s="154">
        <v>0.50684931506849318</v>
      </c>
      <c r="AO69" s="154">
        <f t="shared" si="17"/>
        <v>13.038081103024004</v>
      </c>
      <c r="AP69" s="155"/>
    </row>
    <row r="70" spans="16:42">
      <c r="P70" s="167"/>
      <c r="X70" s="362" t="str">
        <f t="shared" si="12"/>
        <v>51M</v>
      </c>
      <c r="Y70" s="135">
        <f t="shared" si="18"/>
        <v>51</v>
      </c>
      <c r="Z70" s="151">
        <v>43067</v>
      </c>
      <c r="AA70" s="154">
        <v>0.7911630777369294</v>
      </c>
      <c r="AB70" s="154">
        <v>7.9452054794520555E-2</v>
      </c>
      <c r="AC70" s="154">
        <f t="shared" si="15"/>
        <v>3.7999547617900666</v>
      </c>
      <c r="AD70" s="361" t="str">
        <f t="shared" si="13"/>
        <v>153M</v>
      </c>
      <c r="AE70" s="135">
        <f t="shared" si="19"/>
        <v>51</v>
      </c>
      <c r="AF70" s="151">
        <v>46170</v>
      </c>
      <c r="AG70" s="154">
        <v>0.46830833932589594</v>
      </c>
      <c r="AH70" s="154">
        <v>0.24657534246575341</v>
      </c>
      <c r="AI70" s="154">
        <f t="shared" si="16"/>
        <v>8.9784581865230191</v>
      </c>
      <c r="AJ70" s="361" t="str">
        <f t="shared" si="14"/>
        <v>306M</v>
      </c>
      <c r="AK70" s="135">
        <f t="shared" si="20"/>
        <v>51</v>
      </c>
      <c r="AL70" s="151">
        <v>50829</v>
      </c>
      <c r="AM70" s="154">
        <v>0.24477320855311974</v>
      </c>
      <c r="AN70" s="154">
        <v>0.49863013698630138</v>
      </c>
      <c r="AO70" s="154">
        <f t="shared" si="17"/>
        <v>13.160132401535423</v>
      </c>
      <c r="AP70" s="155"/>
    </row>
    <row r="71" spans="16:42">
      <c r="P71" s="167"/>
      <c r="X71" s="362" t="str">
        <f t="shared" si="12"/>
        <v>52M</v>
      </c>
      <c r="Y71" s="135">
        <f t="shared" si="18"/>
        <v>52</v>
      </c>
      <c r="Z71" s="151">
        <v>43097</v>
      </c>
      <c r="AA71" s="154">
        <v>0.78727111197963162</v>
      </c>
      <c r="AB71" s="154">
        <v>8.2191780821917804E-2</v>
      </c>
      <c r="AC71" s="154">
        <f t="shared" si="15"/>
        <v>3.8646619764733239</v>
      </c>
      <c r="AD71" s="361" t="str">
        <f t="shared" si="13"/>
        <v>156M</v>
      </c>
      <c r="AE71" s="135">
        <f t="shared" si="19"/>
        <v>52</v>
      </c>
      <c r="AF71" s="151">
        <v>46262</v>
      </c>
      <c r="AG71" s="154">
        <v>0.46119885886716988</v>
      </c>
      <c r="AH71" s="154">
        <v>0.25205479452054796</v>
      </c>
      <c r="AI71" s="154">
        <f t="shared" si="16"/>
        <v>9.0947055701278945</v>
      </c>
      <c r="AJ71" s="361" t="str">
        <f t="shared" si="14"/>
        <v>312M</v>
      </c>
      <c r="AK71" s="135">
        <f t="shared" si="20"/>
        <v>52</v>
      </c>
      <c r="AL71" s="151">
        <v>51011</v>
      </c>
      <c r="AM71" s="154">
        <v>0.23979733763291261</v>
      </c>
      <c r="AN71" s="154">
        <v>0.49863013698630138</v>
      </c>
      <c r="AO71" s="154">
        <f t="shared" si="17"/>
        <v>13.279702580848273</v>
      </c>
      <c r="AP71" s="155"/>
    </row>
    <row r="72" spans="16:42">
      <c r="P72" s="167"/>
      <c r="X72" s="362" t="str">
        <f t="shared" si="12"/>
        <v>53M</v>
      </c>
      <c r="Y72" s="135">
        <f t="shared" si="18"/>
        <v>53</v>
      </c>
      <c r="Z72" s="151">
        <v>43129</v>
      </c>
      <c r="AA72" s="154">
        <v>0.78312741104777706</v>
      </c>
      <c r="AB72" s="154">
        <v>8.7671232876712329E-2</v>
      </c>
      <c r="AC72" s="154">
        <f t="shared" si="15"/>
        <v>3.9333197220994305</v>
      </c>
      <c r="AD72" s="361" t="str">
        <f t="shared" si="13"/>
        <v>159M</v>
      </c>
      <c r="AE72" s="135">
        <f t="shared" si="19"/>
        <v>53</v>
      </c>
      <c r="AF72" s="151">
        <v>46356</v>
      </c>
      <c r="AG72" s="154">
        <v>0.45404064222388912</v>
      </c>
      <c r="AH72" s="154">
        <v>0.25753424657534246</v>
      </c>
      <c r="AI72" s="154">
        <f t="shared" si="16"/>
        <v>9.2116365848376081</v>
      </c>
      <c r="AJ72" s="361" t="str">
        <f t="shared" si="14"/>
        <v>318M</v>
      </c>
      <c r="AK72" s="135">
        <f t="shared" si="20"/>
        <v>53</v>
      </c>
      <c r="AL72" s="151">
        <v>51194</v>
      </c>
      <c r="AM72" s="154">
        <v>0.23495938355021612</v>
      </c>
      <c r="AN72" s="154">
        <v>0.50136986301369868</v>
      </c>
      <c r="AO72" s="154">
        <f t="shared" si="17"/>
        <v>13.397504134792628</v>
      </c>
      <c r="AP72" s="155"/>
    </row>
    <row r="73" spans="16:42">
      <c r="P73" s="167"/>
      <c r="X73" s="362" t="str">
        <f t="shared" si="12"/>
        <v>54M</v>
      </c>
      <c r="Y73" s="135">
        <f t="shared" si="18"/>
        <v>54</v>
      </c>
      <c r="Z73" s="151">
        <v>43159</v>
      </c>
      <c r="AA73" s="154">
        <v>0.77925002826201073</v>
      </c>
      <c r="AB73" s="154">
        <v>8.2191780821917804E-2</v>
      </c>
      <c r="AC73" s="154">
        <f t="shared" si="15"/>
        <v>3.9973676696278151</v>
      </c>
      <c r="AD73" s="361" t="str">
        <f t="shared" si="13"/>
        <v>162M</v>
      </c>
      <c r="AE73" s="135">
        <f t="shared" si="19"/>
        <v>54</v>
      </c>
      <c r="AF73" s="151">
        <v>46444</v>
      </c>
      <c r="AG73" s="154">
        <v>0.44743496116158193</v>
      </c>
      <c r="AH73" s="154">
        <v>0.24109589041095891</v>
      </c>
      <c r="AI73" s="154">
        <f t="shared" si="16"/>
        <v>9.3195113151998523</v>
      </c>
      <c r="AJ73" s="361" t="str">
        <f t="shared" si="14"/>
        <v>324M</v>
      </c>
      <c r="AK73" s="135">
        <f t="shared" si="20"/>
        <v>54</v>
      </c>
      <c r="AL73" s="151">
        <v>51376</v>
      </c>
      <c r="AM73" s="154">
        <v>0.23030636568196169</v>
      </c>
      <c r="AN73" s="154">
        <v>0.49863013698630138</v>
      </c>
      <c r="AO73" s="154">
        <f t="shared" si="17"/>
        <v>13.512341829461443</v>
      </c>
      <c r="AP73" s="155"/>
    </row>
    <row r="74" spans="16:42">
      <c r="P74" s="167"/>
      <c r="X74" s="362" t="str">
        <f t="shared" si="12"/>
        <v>55M</v>
      </c>
      <c r="Y74" s="135">
        <f t="shared" si="18"/>
        <v>55</v>
      </c>
      <c r="Z74" s="151">
        <v>43187</v>
      </c>
      <c r="AA74" s="154">
        <v>0.77563762037741013</v>
      </c>
      <c r="AB74" s="154">
        <v>7.6712328767123292E-2</v>
      </c>
      <c r="AC74" s="154">
        <f t="shared" si="15"/>
        <v>4.0568686377663559</v>
      </c>
      <c r="AD74" s="361" t="str">
        <f t="shared" si="13"/>
        <v>165M</v>
      </c>
      <c r="AE74" s="135">
        <f t="shared" si="19"/>
        <v>55</v>
      </c>
      <c r="AF74" s="151">
        <v>46535</v>
      </c>
      <c r="AG74" s="154">
        <v>0.44070003881847353</v>
      </c>
      <c r="AH74" s="154">
        <v>0.24931506849315069</v>
      </c>
      <c r="AI74" s="154">
        <f t="shared" si="16"/>
        <v>9.4293844755628147</v>
      </c>
      <c r="AJ74" s="361" t="str">
        <f t="shared" si="14"/>
        <v>330M</v>
      </c>
      <c r="AK74" s="135">
        <f t="shared" si="20"/>
        <v>55</v>
      </c>
      <c r="AL74" s="151">
        <v>51560</v>
      </c>
      <c r="AM74" s="154">
        <v>0.22575718670675782</v>
      </c>
      <c r="AN74" s="154">
        <v>0.50410958904109593</v>
      </c>
      <c r="AO74" s="154">
        <f t="shared" si="17"/>
        <v>13.626148192075261</v>
      </c>
      <c r="AP74" s="155"/>
    </row>
    <row r="75" spans="16:42">
      <c r="P75" s="167"/>
      <c r="X75" s="362" t="str">
        <f t="shared" si="12"/>
        <v>56M</v>
      </c>
      <c r="Y75" s="135">
        <f t="shared" si="18"/>
        <v>56</v>
      </c>
      <c r="Z75" s="151">
        <v>43220</v>
      </c>
      <c r="AA75" s="154">
        <v>0.7713882705461661</v>
      </c>
      <c r="AB75" s="154">
        <v>9.0410958904109592E-2</v>
      </c>
      <c r="AC75" s="154">
        <f t="shared" si="15"/>
        <v>4.1266105909938178</v>
      </c>
      <c r="AD75" s="361" t="str">
        <f t="shared" si="13"/>
        <v>168M</v>
      </c>
      <c r="AE75" s="135">
        <f t="shared" si="19"/>
        <v>56</v>
      </c>
      <c r="AF75" s="151">
        <v>46629</v>
      </c>
      <c r="AG75" s="154">
        <v>0.43384414753360884</v>
      </c>
      <c r="AH75" s="154">
        <v>0.25753424657534246</v>
      </c>
      <c r="AI75" s="154">
        <f t="shared" si="16"/>
        <v>9.5411142012290036</v>
      </c>
      <c r="AJ75" s="361" t="str">
        <f t="shared" si="14"/>
        <v>336M</v>
      </c>
      <c r="AK75" s="135">
        <f t="shared" si="20"/>
        <v>56</v>
      </c>
      <c r="AL75" s="151">
        <v>51741</v>
      </c>
      <c r="AM75" s="154">
        <v>0.22142885753313502</v>
      </c>
      <c r="AN75" s="154">
        <v>0.49589041095890413</v>
      </c>
      <c r="AO75" s="154">
        <f t="shared" si="17"/>
        <v>13.735952639235528</v>
      </c>
      <c r="AP75" s="155"/>
    </row>
    <row r="76" spans="16:42">
      <c r="P76" s="167"/>
      <c r="X76" s="362" t="str">
        <f t="shared" si="12"/>
        <v>57M</v>
      </c>
      <c r="Y76" s="135">
        <f t="shared" si="18"/>
        <v>57</v>
      </c>
      <c r="Z76" s="151">
        <v>43248</v>
      </c>
      <c r="AA76" s="154">
        <v>0.76778973895584768</v>
      </c>
      <c r="AB76" s="154">
        <v>7.6712328767123292E-2</v>
      </c>
      <c r="AC76" s="154">
        <f t="shared" si="15"/>
        <v>4.1855095298726228</v>
      </c>
      <c r="AD76" s="361" t="str">
        <f t="shared" si="13"/>
        <v>171M</v>
      </c>
      <c r="AE76" s="135">
        <f t="shared" si="19"/>
        <v>57</v>
      </c>
      <c r="AF76" s="151">
        <v>46720</v>
      </c>
      <c r="AG76" s="154">
        <v>0.42730356698735189</v>
      </c>
      <c r="AH76" s="154">
        <v>0.24931506849315069</v>
      </c>
      <c r="AI76" s="154">
        <f t="shared" si="16"/>
        <v>9.6476474192998225</v>
      </c>
      <c r="AJ76" s="361" t="str">
        <f t="shared" si="14"/>
        <v>342M</v>
      </c>
      <c r="AK76" s="135">
        <f t="shared" si="20"/>
        <v>57</v>
      </c>
      <c r="AL76" s="151">
        <v>51925</v>
      </c>
      <c r="AM76" s="154">
        <v>0.2171726652766815</v>
      </c>
      <c r="AN76" s="154">
        <v>0.50410958904109593</v>
      </c>
      <c r="AO76" s="154">
        <f t="shared" si="17"/>
        <v>13.845431462279116</v>
      </c>
      <c r="AP76" s="155"/>
    </row>
    <row r="77" spans="16:42">
      <c r="P77" s="167"/>
      <c r="X77" s="362" t="str">
        <f t="shared" si="12"/>
        <v>58M</v>
      </c>
      <c r="Y77" s="135">
        <f t="shared" si="18"/>
        <v>58</v>
      </c>
      <c r="Z77" s="151">
        <v>43279</v>
      </c>
      <c r="AA77" s="154">
        <v>0.76381320807738817</v>
      </c>
      <c r="AB77" s="154">
        <v>8.4931506849315067E-2</v>
      </c>
      <c r="AC77" s="154">
        <f t="shared" si="15"/>
        <v>4.2503813365860452</v>
      </c>
      <c r="AD77" s="361" t="str">
        <f t="shared" si="13"/>
        <v>174M</v>
      </c>
      <c r="AE77" s="135">
        <f t="shared" si="19"/>
        <v>58</v>
      </c>
      <c r="AF77" s="151">
        <v>46811</v>
      </c>
      <c r="AG77" s="154">
        <v>0.42085663484386798</v>
      </c>
      <c r="AH77" s="154">
        <v>0.24931506849315069</v>
      </c>
      <c r="AI77" s="154">
        <f t="shared" si="16"/>
        <v>9.7525733200417175</v>
      </c>
      <c r="AJ77" s="361" t="str">
        <f t="shared" si="14"/>
        <v>348M</v>
      </c>
      <c r="AK77" s="135">
        <f t="shared" si="20"/>
        <v>58</v>
      </c>
      <c r="AL77" s="151">
        <v>52106</v>
      </c>
      <c r="AM77" s="154">
        <v>0.21312249054449722</v>
      </c>
      <c r="AN77" s="154">
        <v>0.49589041095890413</v>
      </c>
      <c r="AO77" s="154">
        <f t="shared" si="17"/>
        <v>13.951116861699813</v>
      </c>
      <c r="AP77" s="155"/>
    </row>
    <row r="78" spans="16:42">
      <c r="P78" s="167"/>
      <c r="X78" s="362" t="str">
        <f t="shared" si="12"/>
        <v>59M</v>
      </c>
      <c r="Y78" s="135">
        <f t="shared" si="18"/>
        <v>59</v>
      </c>
      <c r="Z78" s="151">
        <v>43311</v>
      </c>
      <c r="AA78" s="154">
        <v>0.75971682526665651</v>
      </c>
      <c r="AB78" s="154">
        <v>8.7671232876712329E-2</v>
      </c>
      <c r="AC78" s="154">
        <f t="shared" si="15"/>
        <v>4.316986647294355</v>
      </c>
      <c r="AD78" s="361" t="str">
        <f t="shared" si="13"/>
        <v>177M</v>
      </c>
      <c r="AE78" s="135">
        <f t="shared" si="19"/>
        <v>59</v>
      </c>
      <c r="AF78" s="151">
        <v>46902</v>
      </c>
      <c r="AG78" s="154">
        <v>0.41450208893669482</v>
      </c>
      <c r="AH78" s="154">
        <v>0.24931506849315069</v>
      </c>
      <c r="AI78" s="154">
        <f t="shared" si="16"/>
        <v>9.8559149367355232</v>
      </c>
      <c r="AJ78" s="361" t="str">
        <f t="shared" si="14"/>
        <v>354M</v>
      </c>
      <c r="AK78" s="135">
        <f t="shared" si="20"/>
        <v>59</v>
      </c>
      <c r="AL78" s="151">
        <v>52289</v>
      </c>
      <c r="AM78" s="154">
        <v>0.20916055330796521</v>
      </c>
      <c r="AN78" s="154">
        <v>0.50136986301369868</v>
      </c>
      <c r="AO78" s="154">
        <f t="shared" si="17"/>
        <v>14.055983659659697</v>
      </c>
      <c r="AP78" s="155"/>
    </row>
    <row r="79" spans="16:42">
      <c r="P79" s="167"/>
      <c r="X79" s="362" t="str">
        <f t="shared" si="12"/>
        <v>60M</v>
      </c>
      <c r="Y79" s="135">
        <f t="shared" si="18"/>
        <v>60</v>
      </c>
      <c r="Z79" s="151">
        <v>43340</v>
      </c>
      <c r="AA79" s="154">
        <v>0.75601195121213782</v>
      </c>
      <c r="AB79" s="154">
        <v>7.9452054794520555E-2</v>
      </c>
      <c r="AC79" s="154">
        <f t="shared" si="15"/>
        <v>4.3770533502673743</v>
      </c>
      <c r="AD79" s="361" t="str">
        <f t="shared" si="13"/>
        <v>180M</v>
      </c>
      <c r="AE79" s="135">
        <f t="shared" si="19"/>
        <v>60</v>
      </c>
      <c r="AF79" s="151">
        <v>46993</v>
      </c>
      <c r="AG79" s="154">
        <v>0.40823868290812126</v>
      </c>
      <c r="AH79" s="154">
        <v>0.24931506849315069</v>
      </c>
      <c r="AI79" s="154">
        <f t="shared" si="16"/>
        <v>9.9576949919263154</v>
      </c>
      <c r="AJ79" s="361" t="str">
        <f t="shared" si="14"/>
        <v>360M</v>
      </c>
      <c r="AK79" s="135">
        <f t="shared" si="20"/>
        <v>60</v>
      </c>
      <c r="AL79" s="151">
        <v>52471</v>
      </c>
      <c r="AM79" s="154">
        <v>0.20534835404509608</v>
      </c>
      <c r="AN79" s="154">
        <v>0.49863013698630138</v>
      </c>
      <c r="AO79" s="154">
        <f t="shared" si="17"/>
        <v>14.158376537567115</v>
      </c>
      <c r="AP79" s="155"/>
    </row>
    <row r="80" spans="16:42">
      <c r="P80" s="167"/>
      <c r="X80" s="362" t="str">
        <f t="shared" si="12"/>
        <v>61M</v>
      </c>
      <c r="Y80" s="135">
        <f t="shared" si="18"/>
        <v>61</v>
      </c>
      <c r="Z80" s="151">
        <v>43371</v>
      </c>
      <c r="AA80" s="154">
        <v>0.75210463316976894</v>
      </c>
      <c r="AB80" s="154">
        <v>8.4931506849315067E-2</v>
      </c>
      <c r="AC80" s="154">
        <f t="shared" si="15"/>
        <v>4.4409307300708338</v>
      </c>
      <c r="AD80" s="361" t="str">
        <f t="shared" si="13"/>
        <v>183M</v>
      </c>
      <c r="AE80" s="135">
        <f t="shared" si="19"/>
        <v>61</v>
      </c>
      <c r="AF80" s="151">
        <v>47085</v>
      </c>
      <c r="AG80" s="154">
        <v>0.40267022551660397</v>
      </c>
      <c r="AH80" s="154">
        <v>0.25205479452054796</v>
      </c>
      <c r="AI80" s="154">
        <f t="shared" si="16"/>
        <v>10.059189952878446</v>
      </c>
      <c r="AJ80" s="361" t="str">
        <f t="shared" si="14"/>
        <v>366M</v>
      </c>
      <c r="AK80" s="135">
        <f t="shared" si="20"/>
        <v>61</v>
      </c>
      <c r="AL80" s="151">
        <v>52656</v>
      </c>
      <c r="AM80" s="154">
        <f t="shared" ref="AM80:AM99" si="29">AM79/(1+AN80*$AK$9)</f>
        <v>0.20151753986607859</v>
      </c>
      <c r="AN80" s="154">
        <v>0.50684931506849318</v>
      </c>
      <c r="AO80" s="154">
        <f t="shared" si="17"/>
        <v>14.260515564622525</v>
      </c>
      <c r="AP80" s="155"/>
    </row>
    <row r="81" spans="16:42">
      <c r="P81" s="167"/>
      <c r="X81" s="362" t="str">
        <f t="shared" si="12"/>
        <v>62M</v>
      </c>
      <c r="Y81" s="135">
        <f t="shared" si="18"/>
        <v>62</v>
      </c>
      <c r="Z81" s="151">
        <v>43402</v>
      </c>
      <c r="AA81" s="154">
        <v>0.74820663342450067</v>
      </c>
      <c r="AB81" s="154">
        <v>8.4931506849315067E-2</v>
      </c>
      <c r="AC81" s="154">
        <f t="shared" si="15"/>
        <v>4.5044770468822302</v>
      </c>
      <c r="AD81" s="361" t="str">
        <f t="shared" si="13"/>
        <v>186M</v>
      </c>
      <c r="AE81" s="135">
        <f t="shared" si="19"/>
        <v>62</v>
      </c>
      <c r="AF81" s="151">
        <v>47177</v>
      </c>
      <c r="AG81" s="154">
        <v>0.39719487202066828</v>
      </c>
      <c r="AH81" s="154">
        <v>0.25205479452054796</v>
      </c>
      <c r="AI81" s="154">
        <f t="shared" si="16"/>
        <v>10.159304824730231</v>
      </c>
      <c r="AJ81" s="361" t="str">
        <f t="shared" si="14"/>
        <v>372M</v>
      </c>
      <c r="AK81" s="135">
        <f t="shared" si="20"/>
        <v>62</v>
      </c>
      <c r="AL81" s="151">
        <v>52838</v>
      </c>
      <c r="AM81" s="154">
        <f t="shared" si="29"/>
        <v>0.19781803354674724</v>
      </c>
      <c r="AN81" s="154">
        <v>0.49863013698630138</v>
      </c>
      <c r="AO81" s="154">
        <f t="shared" si="17"/>
        <v>14.3591535977883</v>
      </c>
      <c r="AP81" s="155"/>
    </row>
    <row r="82" spans="16:42">
      <c r="P82" s="167"/>
      <c r="X82" s="362" t="str">
        <f t="shared" si="12"/>
        <v>63M</v>
      </c>
      <c r="Y82" s="135">
        <f t="shared" si="18"/>
        <v>63</v>
      </c>
      <c r="Z82" s="151">
        <v>43432</v>
      </c>
      <c r="AA82" s="154">
        <v>0.74444330917136792</v>
      </c>
      <c r="AB82" s="154">
        <v>8.2191780821917804E-2</v>
      </c>
      <c r="AC82" s="154">
        <f t="shared" si="15"/>
        <v>4.5656641681839867</v>
      </c>
      <c r="AD82" s="361" t="str">
        <f t="shared" si="13"/>
        <v>189M</v>
      </c>
      <c r="AE82" s="135">
        <f t="shared" si="19"/>
        <v>63</v>
      </c>
      <c r="AF82" s="151">
        <v>47266</v>
      </c>
      <c r="AG82" s="154">
        <v>0.39198502862645812</v>
      </c>
      <c r="AH82" s="154">
        <v>0.24383561643835616</v>
      </c>
      <c r="AI82" s="154">
        <f t="shared" si="16"/>
        <v>10.254884735819971</v>
      </c>
      <c r="AJ82" s="361" t="str">
        <f t="shared" si="14"/>
        <v>378M</v>
      </c>
      <c r="AK82" s="135">
        <f t="shared" si="20"/>
        <v>63</v>
      </c>
      <c r="AL82" s="151">
        <v>53021</v>
      </c>
      <c r="AM82" s="154">
        <f t="shared" si="29"/>
        <v>0.19416685813440329</v>
      </c>
      <c r="AN82" s="154">
        <v>0.50136986301369868</v>
      </c>
      <c r="AO82" s="154">
        <f t="shared" si="17"/>
        <v>14.456503008852946</v>
      </c>
      <c r="AP82" s="155"/>
    </row>
    <row r="83" spans="16:42">
      <c r="P83" s="167"/>
      <c r="X83" s="362" t="str">
        <f t="shared" si="12"/>
        <v>64M</v>
      </c>
      <c r="Y83" s="135">
        <f t="shared" si="18"/>
        <v>64</v>
      </c>
      <c r="Z83" s="151">
        <v>43462</v>
      </c>
      <c r="AA83" s="154">
        <v>0.74068883099827598</v>
      </c>
      <c r="AB83" s="154">
        <v>8.2191780821917804E-2</v>
      </c>
      <c r="AC83" s="154">
        <f t="shared" si="15"/>
        <v>4.6265427022386394</v>
      </c>
      <c r="AD83" s="361" t="str">
        <f t="shared" si="13"/>
        <v>192M</v>
      </c>
      <c r="AE83" s="135">
        <f t="shared" si="19"/>
        <v>64</v>
      </c>
      <c r="AF83" s="151">
        <v>47358</v>
      </c>
      <c r="AG83" s="154">
        <v>0.38668781550808518</v>
      </c>
      <c r="AH83" s="154">
        <v>0.25205479452054796</v>
      </c>
      <c r="AI83" s="154">
        <f t="shared" si="16"/>
        <v>10.35235125370146</v>
      </c>
      <c r="AJ83" s="361" t="str">
        <f t="shared" si="14"/>
        <v>384M</v>
      </c>
      <c r="AK83" s="135">
        <f t="shared" si="20"/>
        <v>64</v>
      </c>
      <c r="AL83" s="151">
        <v>53202</v>
      </c>
      <c r="AM83" s="154">
        <f t="shared" si="29"/>
        <v>0.19062152523956594</v>
      </c>
      <c r="AN83" s="154">
        <v>0.49589041095890413</v>
      </c>
      <c r="AO83" s="154">
        <f t="shared" si="17"/>
        <v>14.551030395341607</v>
      </c>
      <c r="AP83" s="155"/>
    </row>
    <row r="84" spans="16:42">
      <c r="X84" s="362" t="str">
        <f t="shared" si="12"/>
        <v>65M</v>
      </c>
      <c r="Y84" s="135">
        <f t="shared" si="18"/>
        <v>65</v>
      </c>
      <c r="Z84" s="151">
        <v>43494</v>
      </c>
      <c r="AA84" s="154">
        <v>0.73669386957447702</v>
      </c>
      <c r="AB84" s="154">
        <v>8.7671232876712329E-2</v>
      </c>
      <c r="AC84" s="154">
        <f t="shared" si="15"/>
        <v>4.6911295620369495</v>
      </c>
      <c r="AD84" s="361" t="str">
        <f t="shared" si="13"/>
        <v>195M</v>
      </c>
      <c r="AE84" s="135">
        <f t="shared" si="19"/>
        <v>65</v>
      </c>
      <c r="AF84" s="151">
        <v>47450</v>
      </c>
      <c r="AG84" s="154">
        <v>0.38147865998529673</v>
      </c>
      <c r="AH84" s="154">
        <v>0.25205479452054796</v>
      </c>
      <c r="AI84" s="154">
        <f t="shared" si="16"/>
        <v>10.448504778958029</v>
      </c>
      <c r="AJ84" s="361" t="str">
        <f t="shared" si="14"/>
        <v>390M</v>
      </c>
      <c r="AK84" s="135">
        <f t="shared" si="20"/>
        <v>65</v>
      </c>
      <c r="AL84" s="151">
        <v>53386</v>
      </c>
      <c r="AM84" s="154">
        <f t="shared" si="29"/>
        <v>0.18708430834331469</v>
      </c>
      <c r="AN84" s="154">
        <v>0.50410958904109593</v>
      </c>
      <c r="AO84" s="154">
        <f t="shared" si="17"/>
        <v>14.645341389136593</v>
      </c>
      <c r="AP84" s="155"/>
    </row>
    <row r="85" spans="16:42">
      <c r="X85" s="362" t="str">
        <f t="shared" ref="X85:X148" si="30">Y85&amp;"M"</f>
        <v>66M</v>
      </c>
      <c r="Y85" s="135">
        <f t="shared" si="18"/>
        <v>66</v>
      </c>
      <c r="Z85" s="151">
        <v>43524</v>
      </c>
      <c r="AA85" s="154">
        <v>0.73295785525959922</v>
      </c>
      <c r="AB85" s="154">
        <v>8.2191780821917804E-2</v>
      </c>
      <c r="AC85" s="154">
        <f t="shared" si="15"/>
        <v>4.7513726734281496</v>
      </c>
      <c r="AD85" s="361" t="str">
        <f t="shared" ref="AD85:AD148" si="31">AE85*3&amp;"M"</f>
        <v>198M</v>
      </c>
      <c r="AE85" s="135">
        <f t="shared" si="19"/>
        <v>66</v>
      </c>
      <c r="AF85" s="151">
        <v>47542</v>
      </c>
      <c r="AG85" s="154">
        <v>0.37635592949073393</v>
      </c>
      <c r="AH85" s="154">
        <v>0.25205479452054796</v>
      </c>
      <c r="AI85" s="154">
        <f t="shared" si="16"/>
        <v>10.543367095432405</v>
      </c>
      <c r="AJ85" s="361" t="str">
        <f t="shared" ref="AJ85:AJ148" si="32">AK85*6&amp;"M"</f>
        <v>396M</v>
      </c>
      <c r="AK85" s="135">
        <f t="shared" si="20"/>
        <v>66</v>
      </c>
      <c r="AL85" s="151">
        <v>53567</v>
      </c>
      <c r="AM85" s="154">
        <f t="shared" si="29"/>
        <v>0.18366829719264588</v>
      </c>
      <c r="AN85" s="154">
        <v>0.49589041095890413</v>
      </c>
      <c r="AO85" s="154">
        <f t="shared" si="17"/>
        <v>14.736420736511576</v>
      </c>
      <c r="AP85" s="155"/>
    </row>
    <row r="86" spans="16:42">
      <c r="X86" s="362" t="str">
        <f t="shared" si="30"/>
        <v>67M</v>
      </c>
      <c r="Y86" s="135">
        <f t="shared" si="18"/>
        <v>67</v>
      </c>
      <c r="Z86" s="151">
        <v>43552</v>
      </c>
      <c r="AA86" s="154">
        <v>0.72947904621406023</v>
      </c>
      <c r="AB86" s="154">
        <v>7.6712328767123292E-2</v>
      </c>
      <c r="AC86" s="154">
        <f t="shared" ref="AC86:AC149" si="33">AC85+AA86*AB86</f>
        <v>4.8073327098500505</v>
      </c>
      <c r="AD86" s="361" t="str">
        <f t="shared" si="31"/>
        <v>201M</v>
      </c>
      <c r="AE86" s="135">
        <f t="shared" si="19"/>
        <v>67</v>
      </c>
      <c r="AF86" s="151">
        <v>47631</v>
      </c>
      <c r="AG86" s="154">
        <v>0.37148098239413385</v>
      </c>
      <c r="AH86" s="154">
        <v>0.24383561643835616</v>
      </c>
      <c r="AI86" s="154">
        <f t="shared" ref="AI86:AI149" si="34">AI85+AG86*AH86</f>
        <v>10.633947389769604</v>
      </c>
      <c r="AJ86" s="361" t="str">
        <f t="shared" si="32"/>
        <v>402M</v>
      </c>
      <c r="AK86" s="135">
        <f t="shared" si="20"/>
        <v>67</v>
      </c>
      <c r="AL86" s="151">
        <v>53751</v>
      </c>
      <c r="AM86" s="154">
        <f t="shared" si="29"/>
        <v>0.18026010599640485</v>
      </c>
      <c r="AN86" s="154">
        <v>0.50410958904109593</v>
      </c>
      <c r="AO86" s="154">
        <f t="shared" ref="AO86:AO99" si="35">AO85+AM86*AN86</f>
        <v>14.827291584465929</v>
      </c>
      <c r="AP86" s="155"/>
    </row>
    <row r="87" spans="16:42">
      <c r="X87" s="362" t="str">
        <f t="shared" si="30"/>
        <v>68M</v>
      </c>
      <c r="Y87" s="135">
        <f t="shared" ref="Y87:Y150" si="36">Y86+1</f>
        <v>68</v>
      </c>
      <c r="Z87" s="151">
        <v>43584</v>
      </c>
      <c r="AA87" s="154">
        <v>0.72551294466945682</v>
      </c>
      <c r="AB87" s="154">
        <v>8.7671232876712329E-2</v>
      </c>
      <c r="AC87" s="154">
        <f t="shared" si="33"/>
        <v>4.8709393241772361</v>
      </c>
      <c r="AD87" s="361" t="str">
        <f t="shared" si="31"/>
        <v>204M</v>
      </c>
      <c r="AE87" s="135">
        <f t="shared" ref="AE87:AE150" si="37">AE86+1</f>
        <v>68</v>
      </c>
      <c r="AF87" s="151">
        <v>47723</v>
      </c>
      <c r="AG87" s="154">
        <v>0.36652364520986908</v>
      </c>
      <c r="AH87" s="154">
        <v>0.25205479452054796</v>
      </c>
      <c r="AI87" s="154">
        <f t="shared" si="34"/>
        <v>10.7263314318499</v>
      </c>
      <c r="AJ87" s="361" t="str">
        <f t="shared" si="32"/>
        <v>408M</v>
      </c>
      <c r="AK87" s="135">
        <f t="shared" ref="AK87:AK99" si="38">AK86+1</f>
        <v>68</v>
      </c>
      <c r="AL87" s="151">
        <v>53932</v>
      </c>
      <c r="AM87" s="154">
        <f t="shared" si="29"/>
        <v>0.1769686993703907</v>
      </c>
      <c r="AN87" s="154">
        <v>0.49589041095890413</v>
      </c>
      <c r="AO87" s="154">
        <f t="shared" si="35"/>
        <v>14.915048665523575</v>
      </c>
      <c r="AP87" s="155"/>
    </row>
    <row r="88" spans="16:42">
      <c r="X88" s="362" t="str">
        <f t="shared" si="30"/>
        <v>69M</v>
      </c>
      <c r="Y88" s="135">
        <f t="shared" si="36"/>
        <v>69</v>
      </c>
      <c r="Z88" s="151">
        <v>43613</v>
      </c>
      <c r="AA88" s="154">
        <v>0.72192763750432065</v>
      </c>
      <c r="AB88" s="154">
        <v>7.9452054794520555E-2</v>
      </c>
      <c r="AC88" s="154">
        <f t="shared" si="33"/>
        <v>4.9282979583899085</v>
      </c>
      <c r="AD88" s="361" t="str">
        <f t="shared" si="31"/>
        <v>207M</v>
      </c>
      <c r="AE88" s="135">
        <f t="shared" si="37"/>
        <v>69</v>
      </c>
      <c r="AF88" s="151">
        <v>47815</v>
      </c>
      <c r="AG88" s="154">
        <v>0.36164808042298074</v>
      </c>
      <c r="AH88" s="154">
        <v>0.25205479452054796</v>
      </c>
      <c r="AI88" s="154">
        <f t="shared" si="34"/>
        <v>10.817486564449664</v>
      </c>
      <c r="AJ88" s="361" t="str">
        <f t="shared" si="32"/>
        <v>414M</v>
      </c>
      <c r="AK88" s="135">
        <f t="shared" si="38"/>
        <v>69</v>
      </c>
      <c r="AL88" s="151">
        <v>54116</v>
      </c>
      <c r="AM88" s="154">
        <f t="shared" si="29"/>
        <v>0.17368482745333488</v>
      </c>
      <c r="AN88" s="154">
        <v>0.50410958904109593</v>
      </c>
      <c r="AO88" s="154">
        <f t="shared" si="35"/>
        <v>15.002604852513748</v>
      </c>
      <c r="AP88" s="155"/>
    </row>
    <row r="89" spans="16:42">
      <c r="X89" s="362" t="str">
        <f t="shared" si="30"/>
        <v>70M</v>
      </c>
      <c r="Y89" s="135">
        <f t="shared" si="36"/>
        <v>70</v>
      </c>
      <c r="Z89" s="151">
        <v>43644</v>
      </c>
      <c r="AA89" s="154">
        <v>0.71810455908370863</v>
      </c>
      <c r="AB89" s="154">
        <v>8.4931506849315067E-2</v>
      </c>
      <c r="AC89" s="154">
        <f t="shared" si="33"/>
        <v>4.9892876606682508</v>
      </c>
      <c r="AD89" s="361" t="str">
        <f t="shared" si="31"/>
        <v>210M</v>
      </c>
      <c r="AE89" s="135">
        <f t="shared" si="37"/>
        <v>70</v>
      </c>
      <c r="AF89" s="151">
        <v>47907</v>
      </c>
      <c r="AG89" s="154">
        <v>0.35685278245759494</v>
      </c>
      <c r="AH89" s="154">
        <v>0.25205479452054796</v>
      </c>
      <c r="AI89" s="154">
        <f t="shared" si="34"/>
        <v>10.907433019206099</v>
      </c>
      <c r="AJ89" s="361" t="str">
        <f t="shared" si="32"/>
        <v>420M</v>
      </c>
      <c r="AK89" s="135">
        <f t="shared" si="38"/>
        <v>70</v>
      </c>
      <c r="AL89" s="151">
        <v>54298</v>
      </c>
      <c r="AM89" s="154">
        <f t="shared" si="29"/>
        <v>0.17049628060444716</v>
      </c>
      <c r="AN89" s="154">
        <v>0.49863013698630138</v>
      </c>
      <c r="AO89" s="154">
        <f t="shared" si="35"/>
        <v>15.087619436267198</v>
      </c>
      <c r="AP89" s="155"/>
    </row>
    <row r="90" spans="16:42">
      <c r="X90" s="362" t="str">
        <f t="shared" si="30"/>
        <v>71M</v>
      </c>
      <c r="Y90" s="135">
        <f t="shared" si="36"/>
        <v>71</v>
      </c>
      <c r="Z90" s="151">
        <v>43675</v>
      </c>
      <c r="AA90" s="154">
        <v>0.71429134628571844</v>
      </c>
      <c r="AB90" s="154">
        <v>8.4931506849315067E-2</v>
      </c>
      <c r="AC90" s="154">
        <f t="shared" si="33"/>
        <v>5.0499535010377228</v>
      </c>
      <c r="AD90" s="361" t="str">
        <f t="shared" si="31"/>
        <v>213M</v>
      </c>
      <c r="AE90" s="135">
        <f t="shared" si="37"/>
        <v>71</v>
      </c>
      <c r="AF90" s="151">
        <v>47996</v>
      </c>
      <c r="AG90" s="154">
        <v>0.35228884744308531</v>
      </c>
      <c r="AH90" s="154">
        <v>0.24383561643835616</v>
      </c>
      <c r="AI90" s="154">
        <f t="shared" si="34"/>
        <v>10.993333587486742</v>
      </c>
      <c r="AJ90" s="361" t="str">
        <f t="shared" si="32"/>
        <v>426M</v>
      </c>
      <c r="AK90" s="135">
        <f t="shared" si="38"/>
        <v>71</v>
      </c>
      <c r="AL90" s="151">
        <v>54480</v>
      </c>
      <c r="AM90" s="154">
        <f t="shared" si="29"/>
        <v>0.16736626984737946</v>
      </c>
      <c r="AN90" s="154">
        <v>0.49863013698630138</v>
      </c>
      <c r="AO90" s="154">
        <f t="shared" si="35"/>
        <v>15.171073302328084</v>
      </c>
      <c r="AP90" s="155"/>
    </row>
    <row r="91" spans="16:42">
      <c r="X91" s="362" t="str">
        <f t="shared" si="30"/>
        <v>72M</v>
      </c>
      <c r="Y91" s="135">
        <f t="shared" si="36"/>
        <v>72</v>
      </c>
      <c r="Z91" s="151">
        <v>43705</v>
      </c>
      <c r="AA91" s="154">
        <v>0.71061058882210826</v>
      </c>
      <c r="AB91" s="154">
        <v>8.2191780821917804E-2</v>
      </c>
      <c r="AC91" s="154">
        <f t="shared" si="33"/>
        <v>5.1083598508039234</v>
      </c>
      <c r="AD91" s="361" t="str">
        <f t="shared" si="31"/>
        <v>216M</v>
      </c>
      <c r="AE91" s="135">
        <f t="shared" si="37"/>
        <v>72</v>
      </c>
      <c r="AF91" s="151">
        <v>48088</v>
      </c>
      <c r="AG91" s="154">
        <v>0.34764718731290112</v>
      </c>
      <c r="AH91" s="154">
        <v>0.25205479452054796</v>
      </c>
      <c r="AI91" s="154">
        <f t="shared" si="34"/>
        <v>11.080959727850541</v>
      </c>
      <c r="AJ91" s="361" t="str">
        <f t="shared" si="32"/>
        <v>432M</v>
      </c>
      <c r="AK91" s="135">
        <f t="shared" si="38"/>
        <v>72</v>
      </c>
      <c r="AL91" s="151">
        <v>54665</v>
      </c>
      <c r="AM91" s="154">
        <f t="shared" si="29"/>
        <v>0.16424401896496038</v>
      </c>
      <c r="AN91" s="154">
        <v>0.50684931506849318</v>
      </c>
      <c r="AO91" s="154">
        <f t="shared" si="35"/>
        <v>15.254320270844572</v>
      </c>
      <c r="AP91" s="155"/>
    </row>
    <row r="92" spans="16:42">
      <c r="X92" s="362" t="str">
        <f t="shared" si="30"/>
        <v>73M</v>
      </c>
      <c r="Y92" s="135">
        <f t="shared" si="36"/>
        <v>73</v>
      </c>
      <c r="Z92" s="151">
        <v>43738</v>
      </c>
      <c r="AA92" s="154">
        <v>0.7066838390608875</v>
      </c>
      <c r="AB92" s="154">
        <v>9.0410958904109592E-2</v>
      </c>
      <c r="AC92" s="154">
        <f t="shared" si="33"/>
        <v>5.1722518143354561</v>
      </c>
      <c r="AD92" s="361" t="str">
        <f t="shared" si="31"/>
        <v>219M</v>
      </c>
      <c r="AE92" s="135">
        <f t="shared" si="37"/>
        <v>73</v>
      </c>
      <c r="AF92" s="151">
        <v>48180</v>
      </c>
      <c r="AG92" s="154">
        <v>0.34308150225377604</v>
      </c>
      <c r="AH92" s="154">
        <v>0.25205479452054796</v>
      </c>
      <c r="AI92" s="154">
        <f t="shared" si="34"/>
        <v>11.167435065404916</v>
      </c>
      <c r="AJ92" s="361" t="str">
        <f t="shared" si="32"/>
        <v>438M</v>
      </c>
      <c r="AK92" s="135">
        <f t="shared" si="38"/>
        <v>73</v>
      </c>
      <c r="AL92" s="151">
        <v>54847</v>
      </c>
      <c r="AM92" s="154">
        <f t="shared" si="29"/>
        <v>0.16122878869529228</v>
      </c>
      <c r="AN92" s="154">
        <v>0.49863013698630138</v>
      </c>
      <c r="AO92" s="154">
        <f t="shared" si="35"/>
        <v>15.334713803837841</v>
      </c>
      <c r="AP92" s="155"/>
    </row>
    <row r="93" spans="16:42">
      <c r="X93" s="362" t="str">
        <f t="shared" si="30"/>
        <v>74M</v>
      </c>
      <c r="Y93" s="135">
        <f t="shared" si="36"/>
        <v>74</v>
      </c>
      <c r="Z93" s="151">
        <v>43766</v>
      </c>
      <c r="AA93" s="154">
        <v>0.70336256345072368</v>
      </c>
      <c r="AB93" s="154">
        <v>7.6712328767123292E-2</v>
      </c>
      <c r="AC93" s="154">
        <f t="shared" si="33"/>
        <v>5.2262083945453748</v>
      </c>
      <c r="AD93" s="361" t="str">
        <f t="shared" si="31"/>
        <v>222M</v>
      </c>
      <c r="AE93" s="135">
        <f t="shared" si="37"/>
        <v>74</v>
      </c>
      <c r="AF93" s="151">
        <v>48271</v>
      </c>
      <c r="AG93" s="154">
        <v>0.33863882335152384</v>
      </c>
      <c r="AH93" s="154">
        <v>0.24931506849315069</v>
      </c>
      <c r="AI93" s="154">
        <f t="shared" si="34"/>
        <v>11.251862826843242</v>
      </c>
      <c r="AJ93" s="361" t="str">
        <f t="shared" si="32"/>
        <v>444M</v>
      </c>
      <c r="AK93" s="135">
        <f t="shared" si="38"/>
        <v>74</v>
      </c>
      <c r="AL93" s="151">
        <v>55029</v>
      </c>
      <c r="AM93" s="154">
        <f t="shared" si="29"/>
        <v>0.15826891273098284</v>
      </c>
      <c r="AN93" s="154">
        <v>0.49863013698630138</v>
      </c>
      <c r="AO93" s="154">
        <f t="shared" si="35"/>
        <v>15.413631453473565</v>
      </c>
      <c r="AP93" s="155"/>
    </row>
    <row r="94" spans="16:42">
      <c r="X94" s="362" t="str">
        <f t="shared" si="30"/>
        <v>75M</v>
      </c>
      <c r="Y94" s="135">
        <f t="shared" si="36"/>
        <v>75</v>
      </c>
      <c r="Z94" s="151">
        <v>43797</v>
      </c>
      <c r="AA94" s="154">
        <v>0.69969670779754278</v>
      </c>
      <c r="AB94" s="154">
        <v>8.4931506849315067E-2</v>
      </c>
      <c r="AC94" s="154">
        <f t="shared" si="33"/>
        <v>5.2856346902761251</v>
      </c>
      <c r="AD94" s="361" t="str">
        <f t="shared" si="31"/>
        <v>225M</v>
      </c>
      <c r="AE94" s="135">
        <f t="shared" si="37"/>
        <v>75</v>
      </c>
      <c r="AF94" s="151">
        <v>48362</v>
      </c>
      <c r="AG94" s="154">
        <v>0.33426780014729573</v>
      </c>
      <c r="AH94" s="154">
        <v>0.24931506849315069</v>
      </c>
      <c r="AI94" s="154">
        <f t="shared" si="34"/>
        <v>11.33520082633202</v>
      </c>
      <c r="AJ94" s="361" t="str">
        <f t="shared" si="32"/>
        <v>450M</v>
      </c>
      <c r="AK94" s="135">
        <f t="shared" si="38"/>
        <v>75</v>
      </c>
      <c r="AL94" s="151">
        <v>55212</v>
      </c>
      <c r="AM94" s="154">
        <f t="shared" si="29"/>
        <v>0.15534770503145723</v>
      </c>
      <c r="AN94" s="154">
        <v>0.50136986301369868</v>
      </c>
      <c r="AO94" s="154">
        <f t="shared" si="35"/>
        <v>15.491518111064678</v>
      </c>
      <c r="AP94" s="155"/>
    </row>
    <row r="95" spans="16:42">
      <c r="X95" s="362" t="str">
        <f t="shared" si="30"/>
        <v>76M</v>
      </c>
      <c r="Y95" s="135">
        <f t="shared" si="36"/>
        <v>76</v>
      </c>
      <c r="Z95" s="151">
        <v>43829</v>
      </c>
      <c r="AA95" s="154">
        <v>0.69592503696518315</v>
      </c>
      <c r="AB95" s="154">
        <v>8.7671232876712329E-2</v>
      </c>
      <c r="AC95" s="154">
        <f t="shared" si="33"/>
        <v>5.3466472962566343</v>
      </c>
      <c r="AD95" s="361" t="str">
        <f t="shared" si="31"/>
        <v>228M</v>
      </c>
      <c r="AE95" s="135">
        <f t="shared" si="37"/>
        <v>76</v>
      </c>
      <c r="AF95" s="151">
        <v>48456</v>
      </c>
      <c r="AG95" s="154">
        <v>0.32982654455409854</v>
      </c>
      <c r="AH95" s="154">
        <v>0.25753424657534246</v>
      </c>
      <c r="AI95" s="154">
        <f t="shared" si="34"/>
        <v>11.420142456984308</v>
      </c>
      <c r="AJ95" s="361" t="str">
        <f t="shared" si="32"/>
        <v>456M</v>
      </c>
      <c r="AK95" s="135">
        <f t="shared" si="38"/>
        <v>76</v>
      </c>
      <c r="AL95" s="151">
        <v>55393</v>
      </c>
      <c r="AM95" s="154">
        <f t="shared" si="29"/>
        <v>0.15251117909661269</v>
      </c>
      <c r="AN95" s="154">
        <v>0.49589041095890413</v>
      </c>
      <c r="AO95" s="154">
        <f t="shared" si="35"/>
        <v>15.567146942342724</v>
      </c>
      <c r="AP95" s="155"/>
    </row>
    <row r="96" spans="16:42">
      <c r="X96" s="362" t="str">
        <f t="shared" si="30"/>
        <v>77M</v>
      </c>
      <c r="Y96" s="135">
        <f t="shared" si="36"/>
        <v>77</v>
      </c>
      <c r="Z96" s="151">
        <v>43858</v>
      </c>
      <c r="AA96" s="154">
        <v>0.69251788744600562</v>
      </c>
      <c r="AB96" s="154">
        <v>7.9452054794520555E-2</v>
      </c>
      <c r="AC96" s="154">
        <f t="shared" si="33"/>
        <v>5.4016692653961798</v>
      </c>
      <c r="AD96" s="361" t="str">
        <f t="shared" si="31"/>
        <v>231M</v>
      </c>
      <c r="AE96" s="135">
        <f t="shared" si="37"/>
        <v>77</v>
      </c>
      <c r="AF96" s="151">
        <v>48547</v>
      </c>
      <c r="AG96" s="154">
        <v>0.3255972403499664</v>
      </c>
      <c r="AH96" s="154">
        <v>0.24931506849315069</v>
      </c>
      <c r="AI96" s="154">
        <f t="shared" si="34"/>
        <v>11.501318755263341</v>
      </c>
      <c r="AJ96" s="361" t="str">
        <f t="shared" si="32"/>
        <v>462M</v>
      </c>
      <c r="AK96" s="135">
        <f t="shared" si="38"/>
        <v>77</v>
      </c>
      <c r="AL96" s="151">
        <v>55577</v>
      </c>
      <c r="AM96" s="154">
        <f t="shared" si="29"/>
        <v>0.14968114655495843</v>
      </c>
      <c r="AN96" s="154">
        <v>0.50410958904109593</v>
      </c>
      <c r="AO96" s="154">
        <f t="shared" si="35"/>
        <v>15.642602643619744</v>
      </c>
      <c r="AP96" s="155"/>
    </row>
    <row r="97" spans="24:42">
      <c r="X97" s="362" t="str">
        <f t="shared" si="30"/>
        <v>78M</v>
      </c>
      <c r="Y97" s="135">
        <f t="shared" si="36"/>
        <v>78</v>
      </c>
      <c r="Z97" s="151">
        <v>43889</v>
      </c>
      <c r="AA97" s="154">
        <v>0.68888726449241899</v>
      </c>
      <c r="AB97" s="154">
        <v>8.4931506849315067E-2</v>
      </c>
      <c r="AC97" s="154">
        <f t="shared" si="33"/>
        <v>5.4601774988188234</v>
      </c>
      <c r="AD97" s="361" t="str">
        <f t="shared" si="31"/>
        <v>234M</v>
      </c>
      <c r="AE97" s="135">
        <f t="shared" si="37"/>
        <v>78</v>
      </c>
      <c r="AF97" s="151">
        <v>48638</v>
      </c>
      <c r="AG97" s="154">
        <v>0.32143575269879088</v>
      </c>
      <c r="AH97" s="154">
        <v>0.24931506849315069</v>
      </c>
      <c r="AI97" s="154">
        <f t="shared" si="34"/>
        <v>11.581457531963588</v>
      </c>
      <c r="AJ97" s="361" t="str">
        <f t="shared" si="32"/>
        <v>468M</v>
      </c>
      <c r="AK97" s="135">
        <f t="shared" si="38"/>
        <v>78</v>
      </c>
      <c r="AL97" s="151">
        <v>55759</v>
      </c>
      <c r="AM97" s="154">
        <f t="shared" si="29"/>
        <v>0.14693326491680012</v>
      </c>
      <c r="AN97" s="154">
        <v>0.49863013698630138</v>
      </c>
      <c r="AO97" s="154">
        <f t="shared" si="35"/>
        <v>15.715867997633053</v>
      </c>
      <c r="AP97" s="155"/>
    </row>
    <row r="98" spans="24:42">
      <c r="X98" s="362" t="str">
        <f t="shared" si="30"/>
        <v>79M</v>
      </c>
      <c r="Y98" s="135">
        <f t="shared" si="36"/>
        <v>79</v>
      </c>
      <c r="Z98" s="151">
        <v>43920</v>
      </c>
      <c r="AA98" s="154">
        <v>0.68526854031646445</v>
      </c>
      <c r="AB98" s="154">
        <v>8.4931506849315067E-2</v>
      </c>
      <c r="AC98" s="154">
        <f t="shared" si="33"/>
        <v>5.5183783885443312</v>
      </c>
      <c r="AD98" s="361" t="str">
        <f t="shared" si="31"/>
        <v>237M</v>
      </c>
      <c r="AE98" s="135">
        <f t="shared" si="37"/>
        <v>79</v>
      </c>
      <c r="AF98" s="151">
        <v>48729</v>
      </c>
      <c r="AG98" s="154">
        <v>0.31734086573293241</v>
      </c>
      <c r="AH98" s="154">
        <v>0.24931506849315069</v>
      </c>
      <c r="AI98" s="154">
        <f t="shared" si="34"/>
        <v>11.660575391639471</v>
      </c>
      <c r="AJ98" s="361" t="str">
        <f t="shared" si="32"/>
        <v>474M</v>
      </c>
      <c r="AK98" s="135">
        <f t="shared" si="38"/>
        <v>79</v>
      </c>
      <c r="AL98" s="151">
        <v>55943</v>
      </c>
      <c r="AM98" s="154">
        <f t="shared" si="29"/>
        <v>0.14420673743449253</v>
      </c>
      <c r="AN98" s="154">
        <v>0.50410958904109593</v>
      </c>
      <c r="AO98" s="154">
        <f t="shared" si="35"/>
        <v>15.788563996778112</v>
      </c>
      <c r="AP98" s="155"/>
    </row>
    <row r="99" spans="24:42">
      <c r="X99" s="362" t="str">
        <f t="shared" si="30"/>
        <v>80M</v>
      </c>
      <c r="Y99" s="135">
        <f t="shared" si="36"/>
        <v>80</v>
      </c>
      <c r="Z99" s="151">
        <v>43949</v>
      </c>
      <c r="AA99" s="154">
        <v>0.68189406562485166</v>
      </c>
      <c r="AB99" s="154">
        <v>7.9452054794520555E-2</v>
      </c>
      <c r="AC99" s="154">
        <f t="shared" si="33"/>
        <v>5.5725562732104157</v>
      </c>
      <c r="AD99" s="361" t="str">
        <f t="shared" si="31"/>
        <v>240M</v>
      </c>
      <c r="AE99" s="135">
        <f t="shared" si="37"/>
        <v>80</v>
      </c>
      <c r="AF99" s="151">
        <v>48820</v>
      </c>
      <c r="AG99" s="154">
        <v>0.31331138747413917</v>
      </c>
      <c r="AH99" s="154">
        <v>0.24931506849315069</v>
      </c>
      <c r="AI99" s="154">
        <f t="shared" si="34"/>
        <v>11.73868864166727</v>
      </c>
      <c r="AJ99" s="361" t="str">
        <f t="shared" si="32"/>
        <v>480M</v>
      </c>
      <c r="AK99" s="135">
        <f t="shared" si="38"/>
        <v>80</v>
      </c>
      <c r="AL99" s="151">
        <v>56124</v>
      </c>
      <c r="AM99" s="154">
        <f t="shared" si="29"/>
        <v>0.14157363673545467</v>
      </c>
      <c r="AN99" s="154">
        <v>0.49589041095890413</v>
      </c>
      <c r="AO99" s="154">
        <f t="shared" si="35"/>
        <v>15.858769005679804</v>
      </c>
      <c r="AP99" s="155"/>
    </row>
    <row r="100" spans="24:42">
      <c r="X100" s="362" t="str">
        <f t="shared" si="30"/>
        <v>81M</v>
      </c>
      <c r="Y100" s="135">
        <f t="shared" si="36"/>
        <v>81</v>
      </c>
      <c r="Z100" s="151">
        <v>43979</v>
      </c>
      <c r="AA100" s="154">
        <v>0.67841421011366065</v>
      </c>
      <c r="AB100" s="154">
        <v>8.2191780821917804E-2</v>
      </c>
      <c r="AC100" s="154">
        <f t="shared" si="33"/>
        <v>5.6283163452745519</v>
      </c>
      <c r="AD100" s="361" t="str">
        <f t="shared" si="31"/>
        <v>243M</v>
      </c>
      <c r="AE100" s="135">
        <f t="shared" si="37"/>
        <v>81</v>
      </c>
      <c r="AF100" s="151">
        <v>48911</v>
      </c>
      <c r="AG100" s="154">
        <v>0.3096151459332494</v>
      </c>
      <c r="AH100" s="154">
        <v>0.24931506849315069</v>
      </c>
      <c r="AI100" s="154">
        <f t="shared" si="34"/>
        <v>11.815880362982135</v>
      </c>
      <c r="AJ100" s="361" t="str">
        <f t="shared" si="32"/>
        <v>0M</v>
      </c>
      <c r="AP100" s="155"/>
    </row>
    <row r="101" spans="24:42">
      <c r="X101" s="362" t="str">
        <f t="shared" si="30"/>
        <v>82M</v>
      </c>
      <c r="Y101" s="135">
        <f t="shared" si="36"/>
        <v>82</v>
      </c>
      <c r="Z101" s="151">
        <v>44011</v>
      </c>
      <c r="AA101" s="154">
        <v>0.67471468426671799</v>
      </c>
      <c r="AB101" s="154">
        <v>8.7671232876712329E-2</v>
      </c>
      <c r="AC101" s="154">
        <f t="shared" si="33"/>
        <v>5.6874694134842372</v>
      </c>
      <c r="AD101" s="361" t="str">
        <f t="shared" si="31"/>
        <v>246M</v>
      </c>
      <c r="AE101" s="135">
        <f t="shared" si="37"/>
        <v>82</v>
      </c>
      <c r="AF101" s="151">
        <v>49003</v>
      </c>
      <c r="AG101" s="154">
        <v>0.30594242181298559</v>
      </c>
      <c r="AH101" s="154">
        <v>0.25205479452054796</v>
      </c>
      <c r="AI101" s="154">
        <f t="shared" si="34"/>
        <v>11.892994617247325</v>
      </c>
      <c r="AJ101" s="361" t="str">
        <f t="shared" si="32"/>
        <v>0M</v>
      </c>
      <c r="AP101" s="155"/>
    </row>
    <row r="102" spans="24:42">
      <c r="X102" s="362" t="str">
        <f t="shared" si="30"/>
        <v>83M</v>
      </c>
      <c r="Y102" s="135">
        <f t="shared" si="36"/>
        <v>83</v>
      </c>
      <c r="Z102" s="151">
        <v>44040</v>
      </c>
      <c r="AA102" s="154">
        <v>0.67137298430866266</v>
      </c>
      <c r="AB102" s="154">
        <v>7.9452054794520555E-2</v>
      </c>
      <c r="AC102" s="154">
        <f t="shared" si="33"/>
        <v>5.7408113766210898</v>
      </c>
      <c r="AD102" s="361" t="str">
        <f t="shared" si="31"/>
        <v>249M</v>
      </c>
      <c r="AE102" s="135">
        <f t="shared" si="37"/>
        <v>83</v>
      </c>
      <c r="AF102" s="151">
        <v>49093</v>
      </c>
      <c r="AG102" s="154">
        <v>0.30241075150702657</v>
      </c>
      <c r="AH102" s="154">
        <v>0.24657534246575341</v>
      </c>
      <c r="AI102" s="154">
        <f t="shared" si="34"/>
        <v>11.967561651865497</v>
      </c>
      <c r="AJ102" s="361" t="str">
        <f t="shared" si="32"/>
        <v>0M</v>
      </c>
      <c r="AP102" s="155"/>
    </row>
    <row r="103" spans="24:42">
      <c r="X103" s="362" t="str">
        <f t="shared" si="30"/>
        <v>84M</v>
      </c>
      <c r="Y103" s="135">
        <f t="shared" si="36"/>
        <v>84</v>
      </c>
      <c r="Z103" s="151">
        <v>44071</v>
      </c>
      <c r="AA103" s="154">
        <v>0.6678123938794478</v>
      </c>
      <c r="AB103" s="154">
        <v>8.4931506849315067E-2</v>
      </c>
      <c r="AC103" s="154">
        <f t="shared" si="33"/>
        <v>5.7975296895259198</v>
      </c>
      <c r="AD103" s="361" t="str">
        <f t="shared" si="31"/>
        <v>252M</v>
      </c>
      <c r="AE103" s="135">
        <f t="shared" si="37"/>
        <v>84</v>
      </c>
      <c r="AF103" s="151">
        <v>49184</v>
      </c>
      <c r="AG103" s="154">
        <v>0.29890022512821557</v>
      </c>
      <c r="AH103" s="154">
        <v>0.24931506849315069</v>
      </c>
      <c r="AI103" s="154">
        <f t="shared" si="34"/>
        <v>12.042081981965955</v>
      </c>
      <c r="AJ103" s="361" t="str">
        <f t="shared" si="32"/>
        <v>0M</v>
      </c>
      <c r="AP103" s="155"/>
    </row>
    <row r="104" spans="24:42">
      <c r="X104" s="362" t="str">
        <f t="shared" si="30"/>
        <v>85M</v>
      </c>
      <c r="Y104" s="135">
        <f t="shared" si="36"/>
        <v>85</v>
      </c>
      <c r="Z104" s="151">
        <v>44102</v>
      </c>
      <c r="AA104" s="154">
        <v>0.66435543347670933</v>
      </c>
      <c r="AB104" s="154">
        <v>8.4931506849315067E-2</v>
      </c>
      <c r="AC104" s="154">
        <f t="shared" si="33"/>
        <v>5.8539543975746264</v>
      </c>
      <c r="AD104" s="361" t="str">
        <f t="shared" si="31"/>
        <v>255M</v>
      </c>
      <c r="AE104" s="135">
        <f t="shared" si="37"/>
        <v>85</v>
      </c>
      <c r="AF104" s="151">
        <v>49276</v>
      </c>
      <c r="AG104" s="154">
        <v>0.2954116768209053</v>
      </c>
      <c r="AH104" s="154">
        <v>0.25205479452054796</v>
      </c>
      <c r="AI104" s="154">
        <f t="shared" si="34"/>
        <v>12.116541911466019</v>
      </c>
      <c r="AJ104" s="361" t="str">
        <f t="shared" si="32"/>
        <v>0M</v>
      </c>
      <c r="AP104" s="155"/>
    </row>
    <row r="105" spans="24:42">
      <c r="X105" s="362" t="str">
        <f t="shared" si="30"/>
        <v>86M</v>
      </c>
      <c r="Y105" s="135">
        <f t="shared" si="36"/>
        <v>86</v>
      </c>
      <c r="Z105" s="151">
        <v>44132</v>
      </c>
      <c r="AA105" s="154">
        <v>0.66102255249489605</v>
      </c>
      <c r="AB105" s="154">
        <v>8.2191780821917804E-2</v>
      </c>
      <c r="AC105" s="154">
        <f t="shared" si="33"/>
        <v>5.9082850183276312</v>
      </c>
      <c r="AD105" s="361" t="str">
        <f t="shared" si="31"/>
        <v>258M</v>
      </c>
      <c r="AE105" s="135">
        <f t="shared" si="37"/>
        <v>86</v>
      </c>
      <c r="AF105" s="151">
        <v>49368</v>
      </c>
      <c r="AG105" s="154">
        <v>0.29198285754151421</v>
      </c>
      <c r="AH105" s="154">
        <v>0.25205479452054796</v>
      </c>
      <c r="AI105" s="154">
        <f t="shared" si="34"/>
        <v>12.190137590627169</v>
      </c>
      <c r="AJ105" s="361" t="str">
        <f t="shared" si="32"/>
        <v>0M</v>
      </c>
      <c r="AP105" s="155"/>
    </row>
    <row r="106" spans="24:42">
      <c r="X106" s="362" t="str">
        <f t="shared" si="30"/>
        <v>87M</v>
      </c>
      <c r="Y106" s="135">
        <f t="shared" si="36"/>
        <v>87</v>
      </c>
      <c r="Z106" s="151">
        <v>44165</v>
      </c>
      <c r="AA106" s="154">
        <v>0.65737063628440395</v>
      </c>
      <c r="AB106" s="154">
        <v>9.0410958904109592E-2</v>
      </c>
      <c r="AC106" s="154">
        <f t="shared" si="33"/>
        <v>5.9677185279095086</v>
      </c>
      <c r="AD106" s="361" t="str">
        <f t="shared" si="31"/>
        <v>261M</v>
      </c>
      <c r="AE106" s="135">
        <f t="shared" si="37"/>
        <v>87</v>
      </c>
      <c r="AF106" s="151">
        <v>49457</v>
      </c>
      <c r="AG106" s="154">
        <v>0.28872161703471783</v>
      </c>
      <c r="AH106" s="154">
        <v>0.24383561643835616</v>
      </c>
      <c r="AI106" s="154">
        <f t="shared" si="34"/>
        <v>12.260538204095909</v>
      </c>
      <c r="AJ106" s="361" t="str">
        <f t="shared" si="32"/>
        <v>0M</v>
      </c>
      <c r="AP106" s="155"/>
    </row>
    <row r="107" spans="24:42">
      <c r="X107" s="362" t="str">
        <f t="shared" si="30"/>
        <v>88M</v>
      </c>
      <c r="Y107" s="135">
        <f t="shared" si="36"/>
        <v>88</v>
      </c>
      <c r="Z107" s="151">
        <v>44194</v>
      </c>
      <c r="AA107" s="154">
        <v>0.65417368482074967</v>
      </c>
      <c r="AB107" s="154">
        <v>7.9452054794520555E-2</v>
      </c>
      <c r="AC107" s="154">
        <f t="shared" si="33"/>
        <v>6.0196939713610202</v>
      </c>
      <c r="AD107" s="361" t="str">
        <f t="shared" si="31"/>
        <v>264M</v>
      </c>
      <c r="AE107" s="135">
        <f t="shared" si="37"/>
        <v>88</v>
      </c>
      <c r="AF107" s="151">
        <v>49549</v>
      </c>
      <c r="AG107" s="154">
        <v>0.28540701417602393</v>
      </c>
      <c r="AH107" s="154">
        <v>0.25205479452054796</v>
      </c>
      <c r="AI107" s="154">
        <f t="shared" si="34"/>
        <v>12.33247641040877</v>
      </c>
      <c r="AJ107" s="361" t="str">
        <f t="shared" si="32"/>
        <v>0M</v>
      </c>
      <c r="AP107" s="155"/>
    </row>
    <row r="108" spans="24:42">
      <c r="X108" s="362" t="str">
        <f t="shared" si="30"/>
        <v>89M</v>
      </c>
      <c r="Y108" s="135">
        <f t="shared" si="36"/>
        <v>89</v>
      </c>
      <c r="Z108" s="151">
        <v>44224</v>
      </c>
      <c r="AA108" s="154">
        <v>0.65087859213754584</v>
      </c>
      <c r="AB108" s="154">
        <v>8.2191780821917804E-2</v>
      </c>
      <c r="AC108" s="154">
        <f t="shared" si="33"/>
        <v>6.0731908419476675</v>
      </c>
      <c r="AD108" s="361" t="str">
        <f t="shared" si="31"/>
        <v>267M</v>
      </c>
      <c r="AE108" s="135">
        <f t="shared" si="37"/>
        <v>89</v>
      </c>
      <c r="AF108" s="151">
        <v>49641</v>
      </c>
      <c r="AG108" s="154">
        <v>0.28214883933627238</v>
      </c>
      <c r="AH108" s="154">
        <v>0.25205479452054796</v>
      </c>
      <c r="AI108" s="154">
        <f t="shared" si="34"/>
        <v>12.403593378131886</v>
      </c>
      <c r="AJ108" s="361" t="str">
        <f t="shared" si="32"/>
        <v>0M</v>
      </c>
      <c r="AP108" s="155"/>
    </row>
    <row r="109" spans="24:42">
      <c r="X109" s="362" t="str">
        <f t="shared" si="30"/>
        <v>90M</v>
      </c>
      <c r="Y109" s="135">
        <f t="shared" si="36"/>
        <v>90</v>
      </c>
      <c r="Z109" s="151">
        <v>44253</v>
      </c>
      <c r="AA109" s="154">
        <v>0.64770501422076743</v>
      </c>
      <c r="AB109" s="154">
        <v>7.9452054794520555E-2</v>
      </c>
      <c r="AC109" s="154">
        <f t="shared" si="33"/>
        <v>6.1246523362282215</v>
      </c>
      <c r="AD109" s="361" t="str">
        <f t="shared" si="31"/>
        <v>270M</v>
      </c>
      <c r="AE109" s="135">
        <f t="shared" si="37"/>
        <v>90</v>
      </c>
      <c r="AF109" s="151">
        <v>49733</v>
      </c>
      <c r="AG109" s="154">
        <v>0.27894602722422412</v>
      </c>
      <c r="AH109" s="154">
        <v>0.25205479452054796</v>
      </c>
      <c r="AI109" s="154">
        <f t="shared" si="34"/>
        <v>12.47390306170621</v>
      </c>
      <c r="AJ109" s="361" t="str">
        <f t="shared" si="32"/>
        <v>0M</v>
      </c>
      <c r="AP109" s="155"/>
    </row>
    <row r="110" spans="24:42">
      <c r="X110" s="362" t="str">
        <f t="shared" si="30"/>
        <v>91M</v>
      </c>
      <c r="Y110" s="135">
        <f t="shared" si="36"/>
        <v>91</v>
      </c>
      <c r="Z110" s="151">
        <v>44284</v>
      </c>
      <c r="AA110" s="154">
        <v>0.6443252452945748</v>
      </c>
      <c r="AB110" s="154">
        <v>8.4931506849315067E-2</v>
      </c>
      <c r="AC110" s="154">
        <f t="shared" si="33"/>
        <v>6.1793758502121445</v>
      </c>
      <c r="AD110" s="361" t="str">
        <f t="shared" si="31"/>
        <v>273M</v>
      </c>
      <c r="AE110" s="135">
        <f t="shared" si="37"/>
        <v>91</v>
      </c>
      <c r="AF110" s="151">
        <v>49823</v>
      </c>
      <c r="AG110" s="154">
        <v>0.27586541046619339</v>
      </c>
      <c r="AH110" s="154">
        <v>0.24657534246575341</v>
      </c>
      <c r="AI110" s="154">
        <f t="shared" si="34"/>
        <v>12.541924669766367</v>
      </c>
      <c r="AJ110" s="361" t="str">
        <f t="shared" si="32"/>
        <v>0M</v>
      </c>
      <c r="AP110" s="155"/>
    </row>
    <row r="111" spans="24:42">
      <c r="X111" s="362" t="str">
        <f t="shared" si="30"/>
        <v>92M</v>
      </c>
      <c r="Y111" s="135">
        <f t="shared" si="36"/>
        <v>92</v>
      </c>
      <c r="Z111" s="151">
        <v>44314</v>
      </c>
      <c r="AA111" s="154">
        <v>0.6410669543937394</v>
      </c>
      <c r="AB111" s="154">
        <v>8.2191780821917804E-2</v>
      </c>
      <c r="AC111" s="154">
        <f t="shared" si="33"/>
        <v>6.2320662848198491</v>
      </c>
      <c r="AD111" s="361" t="str">
        <f t="shared" si="31"/>
        <v>276M</v>
      </c>
      <c r="AE111" s="135">
        <f t="shared" si="37"/>
        <v>92</v>
      </c>
      <c r="AF111" s="151">
        <v>49915</v>
      </c>
      <c r="AG111" s="154">
        <v>0.27276907081410467</v>
      </c>
      <c r="AH111" s="154">
        <v>0.25205479452054796</v>
      </c>
      <c r="AI111" s="154">
        <f t="shared" si="34"/>
        <v>12.610677421861977</v>
      </c>
      <c r="AJ111" s="361" t="str">
        <f t="shared" si="32"/>
        <v>0M</v>
      </c>
      <c r="AP111" s="155"/>
    </row>
    <row r="112" spans="24:42">
      <c r="X112" s="362" t="str">
        <f t="shared" si="30"/>
        <v>93M</v>
      </c>
      <c r="Y112" s="135">
        <f t="shared" si="36"/>
        <v>93</v>
      </c>
      <c r="Z112" s="151">
        <v>44344</v>
      </c>
      <c r="AA112" s="154">
        <v>0.63782089375876982</v>
      </c>
      <c r="AB112" s="154">
        <v>8.2191780821917804E-2</v>
      </c>
      <c r="AC112" s="154">
        <f t="shared" si="33"/>
        <v>6.2844899199233097</v>
      </c>
      <c r="AD112" s="361" t="str">
        <f t="shared" si="31"/>
        <v>279M</v>
      </c>
      <c r="AE112" s="135">
        <f t="shared" si="37"/>
        <v>93</v>
      </c>
      <c r="AF112" s="151">
        <v>50007</v>
      </c>
      <c r="AG112" s="154">
        <v>0.26972505450864059</v>
      </c>
      <c r="AH112" s="154">
        <v>0.25205479452054796</v>
      </c>
      <c r="AI112" s="154">
        <f t="shared" si="34"/>
        <v>12.678662915053197</v>
      </c>
      <c r="AJ112" s="361" t="str">
        <f t="shared" si="32"/>
        <v>0M</v>
      </c>
      <c r="AP112" s="155"/>
    </row>
    <row r="113" spans="24:42">
      <c r="X113" s="362" t="str">
        <f t="shared" si="30"/>
        <v>94M</v>
      </c>
      <c r="Y113" s="135">
        <f t="shared" si="36"/>
        <v>94</v>
      </c>
      <c r="Z113" s="151">
        <v>44375</v>
      </c>
      <c r="AA113" s="154">
        <v>0.63447945975889963</v>
      </c>
      <c r="AB113" s="154">
        <v>8.4931506849315067E-2</v>
      </c>
      <c r="AC113" s="154">
        <f t="shared" si="33"/>
        <v>6.3383772165055721</v>
      </c>
      <c r="AD113" s="361" t="str">
        <f t="shared" si="31"/>
        <v>282M</v>
      </c>
      <c r="AE113" s="135">
        <f t="shared" si="37"/>
        <v>94</v>
      </c>
      <c r="AF113" s="151">
        <v>50098</v>
      </c>
      <c r="AG113" s="154">
        <v>0.26676464052908905</v>
      </c>
      <c r="AH113" s="154">
        <v>0.24931506849315069</v>
      </c>
      <c r="AI113" s="154">
        <f t="shared" si="34"/>
        <v>12.745171359678258</v>
      </c>
      <c r="AJ113" s="361" t="str">
        <f t="shared" si="32"/>
        <v>0M</v>
      </c>
      <c r="AP113" s="155"/>
    </row>
    <row r="114" spans="24:42">
      <c r="X114" s="362" t="str">
        <f t="shared" si="30"/>
        <v>95M</v>
      </c>
      <c r="Y114" s="135">
        <f t="shared" si="36"/>
        <v>95</v>
      </c>
      <c r="Z114" s="151">
        <v>44405</v>
      </c>
      <c r="AA114" s="154">
        <v>0.63125820935152976</v>
      </c>
      <c r="AB114" s="154">
        <v>8.2191780821917804E-2</v>
      </c>
      <c r="AC114" s="154">
        <f t="shared" si="33"/>
        <v>6.3902614528906296</v>
      </c>
      <c r="AD114" s="361" t="str">
        <f t="shared" si="31"/>
        <v>285M</v>
      </c>
      <c r="AE114" s="135">
        <f t="shared" si="37"/>
        <v>95</v>
      </c>
      <c r="AF114" s="151">
        <v>50188</v>
      </c>
      <c r="AG114" s="154">
        <v>0.26388526186145406</v>
      </c>
      <c r="AH114" s="154">
        <v>0.24657534246575341</v>
      </c>
      <c r="AI114" s="154">
        <f t="shared" si="34"/>
        <v>12.810238958493411</v>
      </c>
      <c r="AJ114" s="361" t="str">
        <f t="shared" si="32"/>
        <v>0M</v>
      </c>
      <c r="AP114" s="155"/>
    </row>
    <row r="115" spans="24:42">
      <c r="X115" s="362" t="str">
        <f t="shared" si="30"/>
        <v>96M</v>
      </c>
      <c r="Y115" s="135">
        <f t="shared" si="36"/>
        <v>96</v>
      </c>
      <c r="Z115" s="151">
        <v>44438</v>
      </c>
      <c r="AA115" s="154">
        <v>0.62772889290390887</v>
      </c>
      <c r="AB115" s="154">
        <v>9.0410958904109592E-2</v>
      </c>
      <c r="AC115" s="154">
        <f t="shared" si="33"/>
        <v>6.4470150240298869</v>
      </c>
      <c r="AD115" s="361" t="str">
        <f t="shared" si="31"/>
        <v>288M</v>
      </c>
      <c r="AE115" s="135">
        <f t="shared" si="37"/>
        <v>96</v>
      </c>
      <c r="AF115" s="151">
        <v>50280</v>
      </c>
      <c r="AG115" s="154">
        <v>0.26099083566398107</v>
      </c>
      <c r="AH115" s="154">
        <v>0.25205479452054796</v>
      </c>
      <c r="AI115" s="154">
        <f t="shared" si="34"/>
        <v>12.876022949948442</v>
      </c>
      <c r="AJ115" s="361" t="str">
        <f t="shared" si="32"/>
        <v>0M</v>
      </c>
      <c r="AP115" s="155"/>
    </row>
    <row r="116" spans="24:42">
      <c r="X116" s="362" t="str">
        <f t="shared" si="30"/>
        <v>97M</v>
      </c>
      <c r="Y116" s="135">
        <f t="shared" si="36"/>
        <v>97</v>
      </c>
      <c r="Z116" s="151">
        <v>44467</v>
      </c>
      <c r="AA116" s="154">
        <v>0.62469698860758571</v>
      </c>
      <c r="AB116" s="154">
        <v>7.9452054794520555E-2</v>
      </c>
      <c r="AC116" s="154">
        <f t="shared" si="33"/>
        <v>6.496648483398709</v>
      </c>
      <c r="AD116" s="361" t="str">
        <f t="shared" si="31"/>
        <v>291M</v>
      </c>
      <c r="AE116" s="135">
        <f t="shared" si="37"/>
        <v>97</v>
      </c>
      <c r="AF116" s="151">
        <v>50374</v>
      </c>
      <c r="AG116" s="154">
        <v>0.25808364172731385</v>
      </c>
      <c r="AH116" s="154">
        <v>0.25753424657534246</v>
      </c>
      <c r="AI116" s="154">
        <f t="shared" si="34"/>
        <v>12.942488326174107</v>
      </c>
      <c r="AJ116" s="361" t="str">
        <f t="shared" si="32"/>
        <v>0M</v>
      </c>
      <c r="AP116" s="155"/>
    </row>
    <row r="117" spans="24:42">
      <c r="X117" s="362" t="str">
        <f t="shared" si="30"/>
        <v>98M</v>
      </c>
      <c r="Y117" s="135">
        <f t="shared" si="36"/>
        <v>98</v>
      </c>
      <c r="Z117" s="151">
        <v>44497</v>
      </c>
      <c r="AA117" s="154">
        <v>0.6215730566986587</v>
      </c>
      <c r="AB117" s="154">
        <v>8.2191780821917804E-2</v>
      </c>
      <c r="AC117" s="154">
        <f t="shared" si="33"/>
        <v>6.5477366798396943</v>
      </c>
      <c r="AD117" s="361" t="str">
        <f t="shared" si="31"/>
        <v>294M</v>
      </c>
      <c r="AE117" s="135">
        <f t="shared" si="37"/>
        <v>98</v>
      </c>
      <c r="AF117" s="151">
        <v>50462</v>
      </c>
      <c r="AG117" s="154">
        <v>0.25540711374899105</v>
      </c>
      <c r="AH117" s="154">
        <v>0.24109589041095891</v>
      </c>
      <c r="AI117" s="154">
        <f t="shared" si="34"/>
        <v>13.004065931680714</v>
      </c>
      <c r="AJ117" s="361" t="str">
        <f t="shared" si="32"/>
        <v>0M</v>
      </c>
      <c r="AP117" s="155"/>
    </row>
    <row r="118" spans="24:42">
      <c r="X118" s="362" t="str">
        <f t="shared" si="30"/>
        <v>99M</v>
      </c>
      <c r="Y118" s="135">
        <f t="shared" si="36"/>
        <v>99</v>
      </c>
      <c r="Z118" s="151">
        <v>44529</v>
      </c>
      <c r="AA118" s="154">
        <v>0.61825485918263323</v>
      </c>
      <c r="AB118" s="154">
        <v>8.7671232876712329E-2</v>
      </c>
      <c r="AC118" s="154">
        <f t="shared" si="33"/>
        <v>6.6019398455762541</v>
      </c>
      <c r="AD118" s="361" t="str">
        <f t="shared" si="31"/>
        <v>297M</v>
      </c>
      <c r="AE118" s="135">
        <f t="shared" si="37"/>
        <v>99</v>
      </c>
      <c r="AF118" s="151">
        <v>50553</v>
      </c>
      <c r="AG118" s="154">
        <v>0.25268437326134291</v>
      </c>
      <c r="AH118" s="154">
        <v>0.24931506849315069</v>
      </c>
      <c r="AI118" s="154">
        <f t="shared" si="34"/>
        <v>13.067063953507514</v>
      </c>
      <c r="AJ118" s="361" t="str">
        <f t="shared" si="32"/>
        <v>0M</v>
      </c>
      <c r="AP118" s="155"/>
    </row>
    <row r="119" spans="24:42">
      <c r="X119" s="362" t="str">
        <f t="shared" si="30"/>
        <v>100M</v>
      </c>
      <c r="Y119" s="135">
        <f t="shared" si="36"/>
        <v>100</v>
      </c>
      <c r="Z119" s="151">
        <v>44559</v>
      </c>
      <c r="AA119" s="154">
        <v>0.61515713462167254</v>
      </c>
      <c r="AB119" s="154">
        <v>8.2191780821917804E-2</v>
      </c>
      <c r="AC119" s="154">
        <f t="shared" si="33"/>
        <v>6.6525007059561174</v>
      </c>
      <c r="AD119" s="361" t="str">
        <f t="shared" si="31"/>
        <v>300M</v>
      </c>
      <c r="AE119" s="135">
        <f t="shared" si="37"/>
        <v>100</v>
      </c>
      <c r="AF119" s="151">
        <v>50647</v>
      </c>
      <c r="AG119" s="154">
        <v>0.24991907460296622</v>
      </c>
      <c r="AH119" s="154">
        <v>0.25753424657534246</v>
      </c>
      <c r="AI119" s="154">
        <f t="shared" si="34"/>
        <v>13.131426674090196</v>
      </c>
      <c r="AJ119" s="361" t="str">
        <f t="shared" si="32"/>
        <v>0M</v>
      </c>
      <c r="AP119" s="155"/>
    </row>
    <row r="120" spans="24:42">
      <c r="X120" s="362" t="str">
        <f t="shared" si="30"/>
        <v>101M</v>
      </c>
      <c r="Y120" s="135">
        <f t="shared" si="36"/>
        <v>101</v>
      </c>
      <c r="Z120" s="151">
        <v>44589</v>
      </c>
      <c r="AA120" s="154">
        <v>0.61207203858403925</v>
      </c>
      <c r="AB120" s="154">
        <v>8.2191780821917804E-2</v>
      </c>
      <c r="AC120" s="154">
        <f t="shared" si="33"/>
        <v>6.7028079967986409</v>
      </c>
      <c r="AD120" s="361" t="str">
        <f t="shared" si="31"/>
        <v>303M</v>
      </c>
      <c r="AE120" s="135">
        <f t="shared" si="37"/>
        <v>101</v>
      </c>
      <c r="AF120" s="151">
        <v>50738</v>
      </c>
      <c r="AG120" s="154">
        <v>0.24732450195095668</v>
      </c>
      <c r="AH120" s="154">
        <v>0.24931506849315069</v>
      </c>
      <c r="AI120" s="154">
        <f t="shared" si="34"/>
        <v>13.193088399234133</v>
      </c>
      <c r="AJ120" s="361" t="str">
        <f t="shared" si="32"/>
        <v>0M</v>
      </c>
      <c r="AP120" s="155"/>
    </row>
    <row r="121" spans="24:42">
      <c r="X121" s="362" t="str">
        <f t="shared" si="30"/>
        <v>102M</v>
      </c>
      <c r="Y121" s="135">
        <f t="shared" si="36"/>
        <v>102</v>
      </c>
      <c r="Z121" s="151">
        <v>44620</v>
      </c>
      <c r="AA121" s="154">
        <v>0.60889733662975076</v>
      </c>
      <c r="AB121" s="154">
        <v>8.4931506849315067E-2</v>
      </c>
      <c r="AC121" s="154">
        <f t="shared" si="33"/>
        <v>6.7545225651151402</v>
      </c>
      <c r="AD121" s="361" t="str">
        <f t="shared" si="31"/>
        <v>306M</v>
      </c>
      <c r="AE121" s="135">
        <f t="shared" si="37"/>
        <v>102</v>
      </c>
      <c r="AF121" s="151">
        <v>50829</v>
      </c>
      <c r="AG121" s="154">
        <v>0.24477320855311974</v>
      </c>
      <c r="AH121" s="154">
        <v>0.24931506849315069</v>
      </c>
      <c r="AI121" s="154">
        <f t="shared" si="34"/>
        <v>13.254114048489843</v>
      </c>
      <c r="AJ121" s="361" t="str">
        <f t="shared" si="32"/>
        <v>0M</v>
      </c>
      <c r="AP121" s="155"/>
    </row>
    <row r="122" spans="24:42">
      <c r="X122" s="362" t="str">
        <f t="shared" si="30"/>
        <v>103M</v>
      </c>
      <c r="Y122" s="135">
        <f t="shared" si="36"/>
        <v>103</v>
      </c>
      <c r="Z122" s="151">
        <v>44648</v>
      </c>
      <c r="AA122" s="154">
        <v>0.60604139125957091</v>
      </c>
      <c r="AB122" s="154">
        <v>7.6712328767123292E-2</v>
      </c>
      <c r="AC122" s="154">
        <f t="shared" si="33"/>
        <v>6.8010134115679293</v>
      </c>
      <c r="AD122" s="361" t="str">
        <f t="shared" si="31"/>
        <v>309M</v>
      </c>
      <c r="AE122" s="135">
        <f t="shared" si="37"/>
        <v>103</v>
      </c>
      <c r="AF122" s="151">
        <v>50920</v>
      </c>
      <c r="AG122" s="154">
        <v>0.24226440980974409</v>
      </c>
      <c r="AH122" s="154">
        <v>0.24931506849315069</v>
      </c>
      <c r="AI122" s="154">
        <f t="shared" si="34"/>
        <v>13.314514216415011</v>
      </c>
      <c r="AJ122" s="361" t="str">
        <f t="shared" si="32"/>
        <v>0M</v>
      </c>
      <c r="AP122" s="155"/>
    </row>
    <row r="123" spans="24:42">
      <c r="X123" s="362" t="str">
        <f t="shared" si="30"/>
        <v>104M</v>
      </c>
      <c r="Y123" s="135">
        <f t="shared" si="36"/>
        <v>104</v>
      </c>
      <c r="Z123" s="151">
        <v>44679</v>
      </c>
      <c r="AA123" s="154">
        <v>0.60289217939731465</v>
      </c>
      <c r="AB123" s="154">
        <v>8.4931506849315067E-2</v>
      </c>
      <c r="AC123" s="154">
        <f t="shared" si="33"/>
        <v>6.8522179528318112</v>
      </c>
      <c r="AD123" s="361" t="str">
        <f t="shared" si="31"/>
        <v>312M</v>
      </c>
      <c r="AE123" s="135">
        <f t="shared" si="37"/>
        <v>104</v>
      </c>
      <c r="AF123" s="151">
        <v>51011</v>
      </c>
      <c r="AG123" s="154">
        <v>0.23979733763291261</v>
      </c>
      <c r="AH123" s="154">
        <v>0.24931506849315069</v>
      </c>
      <c r="AI123" s="154">
        <f t="shared" si="34"/>
        <v>13.374299306071435</v>
      </c>
      <c r="AJ123" s="361" t="str">
        <f t="shared" si="32"/>
        <v>0M</v>
      </c>
      <c r="AP123" s="155"/>
    </row>
    <row r="124" spans="24:42">
      <c r="X124" s="362" t="str">
        <f t="shared" si="30"/>
        <v>105M</v>
      </c>
      <c r="Y124" s="135">
        <f t="shared" si="36"/>
        <v>105</v>
      </c>
      <c r="Z124" s="151">
        <v>44711</v>
      </c>
      <c r="AA124" s="154">
        <v>0.59965537023579563</v>
      </c>
      <c r="AB124" s="154">
        <v>8.7671232876712329E-2</v>
      </c>
      <c r="AC124" s="154">
        <f t="shared" si="33"/>
        <v>6.9047904784415248</v>
      </c>
      <c r="AD124" s="361" t="str">
        <f t="shared" si="31"/>
        <v>315M</v>
      </c>
      <c r="AE124" s="135">
        <f t="shared" si="37"/>
        <v>105</v>
      </c>
      <c r="AF124" s="151">
        <v>51102</v>
      </c>
      <c r="AG124" s="154">
        <v>0.23737124007396618</v>
      </c>
      <c r="AH124" s="154">
        <v>0.24931506849315069</v>
      </c>
      <c r="AI124" s="154">
        <f t="shared" si="34"/>
        <v>13.43347953304878</v>
      </c>
      <c r="AJ124" s="361" t="str">
        <f t="shared" si="32"/>
        <v>0M</v>
      </c>
      <c r="AP124" s="155"/>
    </row>
    <row r="125" spans="24:42">
      <c r="X125" s="362" t="str">
        <f t="shared" si="30"/>
        <v>106M</v>
      </c>
      <c r="Y125" s="135">
        <f t="shared" si="36"/>
        <v>106</v>
      </c>
      <c r="Z125" s="151">
        <v>44740</v>
      </c>
      <c r="AA125" s="154">
        <v>0.59673425363907429</v>
      </c>
      <c r="AB125" s="154">
        <v>7.9452054794520555E-2</v>
      </c>
      <c r="AC125" s="154">
        <f t="shared" si="33"/>
        <v>6.9522022410594237</v>
      </c>
      <c r="AD125" s="361" t="str">
        <f t="shared" si="31"/>
        <v>318M</v>
      </c>
      <c r="AE125" s="135">
        <f t="shared" si="37"/>
        <v>106</v>
      </c>
      <c r="AF125" s="151">
        <v>51194</v>
      </c>
      <c r="AG125" s="154">
        <v>0.23495938355021612</v>
      </c>
      <c r="AH125" s="154">
        <v>0.25205479452054796</v>
      </c>
      <c r="AI125" s="154">
        <f t="shared" si="34"/>
        <v>13.492702172190205</v>
      </c>
      <c r="AJ125" s="361" t="str">
        <f t="shared" si="32"/>
        <v>0M</v>
      </c>
      <c r="AP125" s="155"/>
    </row>
    <row r="126" spans="24:42">
      <c r="X126" s="362" t="str">
        <f t="shared" si="30"/>
        <v>107M</v>
      </c>
      <c r="Y126" s="135">
        <f t="shared" si="36"/>
        <v>107</v>
      </c>
      <c r="Z126" s="151">
        <v>44770</v>
      </c>
      <c r="AA126" s="154">
        <v>0.59372462346075972</v>
      </c>
      <c r="AB126" s="154">
        <v>8.2191780821917804E-2</v>
      </c>
      <c r="AC126" s="154">
        <f t="shared" si="33"/>
        <v>7.0010015251794862</v>
      </c>
      <c r="AD126" s="361" t="str">
        <f t="shared" si="31"/>
        <v>321M</v>
      </c>
      <c r="AE126" s="135">
        <f t="shared" si="37"/>
        <v>107</v>
      </c>
      <c r="AF126" s="151">
        <v>51284</v>
      </c>
      <c r="AG126" s="154">
        <v>0.23263903953997517</v>
      </c>
      <c r="AH126" s="154">
        <v>0.24657534246575341</v>
      </c>
      <c r="AI126" s="154">
        <f t="shared" si="34"/>
        <v>13.550065223035679</v>
      </c>
      <c r="AJ126" s="361" t="str">
        <f t="shared" si="32"/>
        <v>0M</v>
      </c>
      <c r="AP126" s="155"/>
    </row>
    <row r="127" spans="24:42">
      <c r="X127" s="362" t="str">
        <f t="shared" si="30"/>
        <v>108M</v>
      </c>
      <c r="Y127" s="135">
        <f t="shared" si="36"/>
        <v>108</v>
      </c>
      <c r="Z127" s="151">
        <v>44802</v>
      </c>
      <c r="AA127" s="154">
        <v>0.5905280044683805</v>
      </c>
      <c r="AB127" s="154">
        <v>8.7671232876712329E-2</v>
      </c>
      <c r="AC127" s="154">
        <f t="shared" si="33"/>
        <v>7.0527738433794536</v>
      </c>
      <c r="AD127" s="361" t="str">
        <f t="shared" si="31"/>
        <v>324M</v>
      </c>
      <c r="AE127" s="135">
        <f t="shared" si="37"/>
        <v>108</v>
      </c>
      <c r="AF127" s="151">
        <v>51376</v>
      </c>
      <c r="AG127" s="154">
        <v>0.23030636568196169</v>
      </c>
      <c r="AH127" s="154">
        <v>0.25205479452054796</v>
      </c>
      <c r="AI127" s="154">
        <f t="shared" si="34"/>
        <v>13.608115046714421</v>
      </c>
      <c r="AJ127" s="361" t="str">
        <f t="shared" si="32"/>
        <v>0M</v>
      </c>
      <c r="AP127" s="155"/>
    </row>
    <row r="128" spans="24:42">
      <c r="X128" s="362" t="str">
        <f t="shared" si="30"/>
        <v>109M</v>
      </c>
      <c r="Y128" s="135">
        <f t="shared" si="36"/>
        <v>109</v>
      </c>
      <c r="Z128" s="151">
        <v>44832</v>
      </c>
      <c r="AA128" s="154">
        <v>0.58755006361389128</v>
      </c>
      <c r="AB128" s="154">
        <v>8.2191780821917804E-2</v>
      </c>
      <c r="AC128" s="154">
        <f t="shared" si="33"/>
        <v>7.1010656294299102</v>
      </c>
      <c r="AD128" s="361" t="str">
        <f t="shared" si="31"/>
        <v>327M</v>
      </c>
      <c r="AE128" s="135">
        <f t="shared" si="37"/>
        <v>109</v>
      </c>
      <c r="AF128" s="151">
        <v>51468</v>
      </c>
      <c r="AG128" s="154">
        <v>0.22801264768280982</v>
      </c>
      <c r="AH128" s="154">
        <v>0.25205479452054796</v>
      </c>
      <c r="AI128" s="154">
        <f t="shared" si="34"/>
        <v>13.665586727774198</v>
      </c>
      <c r="AJ128" s="361" t="str">
        <f t="shared" si="32"/>
        <v>0M</v>
      </c>
      <c r="AP128" s="155"/>
    </row>
    <row r="129" spans="24:42">
      <c r="X129" s="362" t="str">
        <f t="shared" si="30"/>
        <v>110M</v>
      </c>
      <c r="Y129" s="135">
        <f t="shared" si="36"/>
        <v>110</v>
      </c>
      <c r="Z129" s="151">
        <v>44862</v>
      </c>
      <c r="AA129" s="154">
        <v>0.5845844878957297</v>
      </c>
      <c r="AB129" s="154">
        <v>8.2191780821917804E-2</v>
      </c>
      <c r="AC129" s="154">
        <f t="shared" si="33"/>
        <v>7.1491136695309292</v>
      </c>
      <c r="AD129" s="361" t="str">
        <f t="shared" si="31"/>
        <v>330M</v>
      </c>
      <c r="AE129" s="135">
        <f t="shared" si="37"/>
        <v>110</v>
      </c>
      <c r="AF129" s="151">
        <v>51560</v>
      </c>
      <c r="AG129" s="154">
        <v>0.22575718670675782</v>
      </c>
      <c r="AH129" s="154">
        <v>0.25205479452054796</v>
      </c>
      <c r="AI129" s="154">
        <f t="shared" si="34"/>
        <v>13.722489909081107</v>
      </c>
      <c r="AJ129" s="361" t="str">
        <f t="shared" si="32"/>
        <v>0M</v>
      </c>
      <c r="AP129" s="155"/>
    </row>
    <row r="130" spans="24:42">
      <c r="X130" s="362" t="str">
        <f t="shared" si="30"/>
        <v>111M</v>
      </c>
      <c r="Y130" s="135">
        <f t="shared" si="36"/>
        <v>111</v>
      </c>
      <c r="Z130" s="151">
        <v>44893</v>
      </c>
      <c r="AA130" s="154">
        <v>0.58153301216118269</v>
      </c>
      <c r="AB130" s="154">
        <v>8.4931506849315067E-2</v>
      </c>
      <c r="AC130" s="154">
        <f t="shared" si="33"/>
        <v>7.1985041445363995</v>
      </c>
      <c r="AD130" s="361" t="str">
        <f t="shared" si="31"/>
        <v>333M</v>
      </c>
      <c r="AE130" s="135">
        <f t="shared" si="37"/>
        <v>111</v>
      </c>
      <c r="AF130" s="151">
        <v>51649</v>
      </c>
      <c r="AG130" s="154">
        <v>0.22361103540578584</v>
      </c>
      <c r="AH130" s="154">
        <v>0.24383561643835616</v>
      </c>
      <c r="AI130" s="154">
        <f t="shared" si="34"/>
        <v>13.777014243741696</v>
      </c>
      <c r="AJ130" s="361" t="str">
        <f t="shared" si="32"/>
        <v>0M</v>
      </c>
      <c r="AP130" s="155"/>
    </row>
    <row r="131" spans="24:42">
      <c r="X131" s="362" t="str">
        <f t="shared" si="30"/>
        <v>112M</v>
      </c>
      <c r="Y131" s="135">
        <f t="shared" si="36"/>
        <v>112</v>
      </c>
      <c r="Z131" s="151">
        <v>44923</v>
      </c>
      <c r="AA131" s="154">
        <v>0.57859246928738339</v>
      </c>
      <c r="AB131" s="154">
        <v>8.2191780821917804E-2</v>
      </c>
      <c r="AC131" s="154">
        <f t="shared" si="33"/>
        <v>7.2460596899572804</v>
      </c>
      <c r="AD131" s="361" t="str">
        <f t="shared" si="31"/>
        <v>336M</v>
      </c>
      <c r="AE131" s="135">
        <f t="shared" si="37"/>
        <v>112</v>
      </c>
      <c r="AF131" s="151">
        <v>51741</v>
      </c>
      <c r="AG131" s="154">
        <v>0.22142885753313502</v>
      </c>
      <c r="AH131" s="154">
        <v>0.25205479452054796</v>
      </c>
      <c r="AI131" s="154">
        <f t="shared" si="34"/>
        <v>13.832826448928131</v>
      </c>
      <c r="AJ131" s="361" t="str">
        <f t="shared" si="32"/>
        <v>0M</v>
      </c>
      <c r="AP131" s="155"/>
    </row>
    <row r="132" spans="24:42">
      <c r="X132" s="362" t="str">
        <f t="shared" si="30"/>
        <v>113M</v>
      </c>
      <c r="Y132" s="135">
        <f t="shared" si="36"/>
        <v>113</v>
      </c>
      <c r="Z132" s="151">
        <v>44956</v>
      </c>
      <c r="AA132" s="154">
        <v>0.57537202800755871</v>
      </c>
      <c r="AB132" s="154">
        <v>9.0410958904109592E-2</v>
      </c>
      <c r="AC132" s="154">
        <f t="shared" si="33"/>
        <v>7.2980796267360457</v>
      </c>
      <c r="AD132" s="361" t="str">
        <f t="shared" si="31"/>
        <v>339M</v>
      </c>
      <c r="AE132" s="135">
        <f t="shared" si="37"/>
        <v>113</v>
      </c>
      <c r="AF132" s="151">
        <v>51833</v>
      </c>
      <c r="AG132" s="154">
        <v>0.21928294828653655</v>
      </c>
      <c r="AH132" s="154">
        <v>0.25205479452054796</v>
      </c>
      <c r="AI132" s="154">
        <f t="shared" si="34"/>
        <v>13.888097767400353</v>
      </c>
      <c r="AJ132" s="361" t="str">
        <f t="shared" si="32"/>
        <v>0M</v>
      </c>
      <c r="AP132" s="155"/>
    </row>
    <row r="133" spans="24:42">
      <c r="X133" s="362" t="str">
        <f t="shared" si="30"/>
        <v>114M</v>
      </c>
      <c r="Y133" s="135">
        <f t="shared" si="36"/>
        <v>114</v>
      </c>
      <c r="Z133" s="151">
        <v>44985</v>
      </c>
      <c r="AA133" s="154">
        <v>0.57255414954855943</v>
      </c>
      <c r="AB133" s="154">
        <v>7.9452054794520555E-2</v>
      </c>
      <c r="AC133" s="154">
        <f t="shared" si="33"/>
        <v>7.3435702303988082</v>
      </c>
      <c r="AD133" s="361" t="str">
        <f t="shared" si="31"/>
        <v>342M</v>
      </c>
      <c r="AE133" s="135">
        <f t="shared" si="37"/>
        <v>114</v>
      </c>
      <c r="AF133" s="151">
        <v>51925</v>
      </c>
      <c r="AG133" s="154">
        <v>0.2171726652766815</v>
      </c>
      <c r="AH133" s="154">
        <v>0.25205479452054796</v>
      </c>
      <c r="AI133" s="154">
        <f t="shared" si="34"/>
        <v>13.942837178922147</v>
      </c>
      <c r="AJ133" s="361" t="str">
        <f t="shared" si="32"/>
        <v>0M</v>
      </c>
      <c r="AP133" s="155"/>
    </row>
    <row r="134" spans="24:42">
      <c r="X134" s="362" t="str">
        <f t="shared" si="30"/>
        <v>115M</v>
      </c>
      <c r="Y134" s="135">
        <f t="shared" si="36"/>
        <v>115</v>
      </c>
      <c r="Z134" s="151">
        <v>45013</v>
      </c>
      <c r="AA134" s="154">
        <v>0.56984424280258017</v>
      </c>
      <c r="AB134" s="154">
        <v>7.6712328767123292E-2</v>
      </c>
      <c r="AC134" s="154">
        <f t="shared" si="33"/>
        <v>7.3872843092987317</v>
      </c>
      <c r="AD134" s="361" t="str">
        <f t="shared" si="31"/>
        <v>345M</v>
      </c>
      <c r="AE134" s="135">
        <f t="shared" si="37"/>
        <v>115</v>
      </c>
      <c r="AF134" s="151">
        <v>52014</v>
      </c>
      <c r="AG134" s="154">
        <v>0.21516450632309325</v>
      </c>
      <c r="AH134" s="154">
        <v>0.24383561643835616</v>
      </c>
      <c r="AI134" s="154">
        <f t="shared" si="34"/>
        <v>13.995301948957094</v>
      </c>
      <c r="AJ134" s="361" t="str">
        <f t="shared" si="32"/>
        <v>0M</v>
      </c>
      <c r="AP134" s="155"/>
    </row>
    <row r="135" spans="24:42">
      <c r="X135" s="362" t="str">
        <f t="shared" si="30"/>
        <v>116M</v>
      </c>
      <c r="Y135" s="135">
        <f t="shared" si="36"/>
        <v>116</v>
      </c>
      <c r="Z135" s="151">
        <v>45044</v>
      </c>
      <c r="AA135" s="154">
        <v>0.5668563343483517</v>
      </c>
      <c r="AB135" s="154">
        <v>8.4931506849315067E-2</v>
      </c>
      <c r="AC135" s="154">
        <f t="shared" si="33"/>
        <v>7.4354282719420164</v>
      </c>
      <c r="AD135" s="361" t="str">
        <f t="shared" si="31"/>
        <v>348M</v>
      </c>
      <c r="AE135" s="135">
        <f t="shared" si="37"/>
        <v>116</v>
      </c>
      <c r="AF135" s="151">
        <v>52106</v>
      </c>
      <c r="AG135" s="154">
        <v>0.21312249054449722</v>
      </c>
      <c r="AH135" s="154">
        <v>0.25205479452054796</v>
      </c>
      <c r="AI135" s="154">
        <f t="shared" si="34"/>
        <v>14.049020494518995</v>
      </c>
      <c r="AJ135" s="361" t="str">
        <f t="shared" si="32"/>
        <v>0M</v>
      </c>
      <c r="AP135" s="155"/>
    </row>
    <row r="136" spans="24:42">
      <c r="X136" s="362" t="str">
        <f t="shared" si="30"/>
        <v>117M</v>
      </c>
      <c r="Y136" s="135">
        <f t="shared" si="36"/>
        <v>117</v>
      </c>
      <c r="Z136" s="151">
        <v>45075</v>
      </c>
      <c r="AA136" s="154">
        <v>0.5638813612045328</v>
      </c>
      <c r="AB136" s="154">
        <v>8.4931506849315067E-2</v>
      </c>
      <c r="AC136" s="154">
        <f t="shared" si="33"/>
        <v>7.4833195656333604</v>
      </c>
      <c r="AD136" s="361" t="str">
        <f t="shared" si="31"/>
        <v>351M</v>
      </c>
      <c r="AE136" s="135">
        <f t="shared" si="37"/>
        <v>117</v>
      </c>
      <c r="AF136" s="151">
        <v>52198</v>
      </c>
      <c r="AG136" s="154">
        <v>0.21111427277788469</v>
      </c>
      <c r="AH136" s="154">
        <v>0.25205479452054796</v>
      </c>
      <c r="AI136" s="154">
        <f t="shared" si="34"/>
        <v>14.10223285916438</v>
      </c>
      <c r="AJ136" s="361" t="str">
        <f t="shared" si="32"/>
        <v>0M</v>
      </c>
      <c r="AP136" s="155"/>
    </row>
    <row r="137" spans="24:42">
      <c r="X137" s="362" t="str">
        <f t="shared" si="30"/>
        <v>118M</v>
      </c>
      <c r="Y137" s="135">
        <f t="shared" si="36"/>
        <v>118</v>
      </c>
      <c r="Z137" s="151">
        <v>45105</v>
      </c>
      <c r="AA137" s="154">
        <v>0.56101463423480136</v>
      </c>
      <c r="AB137" s="154">
        <v>8.2191780821917804E-2</v>
      </c>
      <c r="AC137" s="154">
        <f t="shared" si="33"/>
        <v>7.5294303574882759</v>
      </c>
      <c r="AD137" s="361" t="str">
        <f t="shared" si="31"/>
        <v>354M</v>
      </c>
      <c r="AE137" s="135">
        <f t="shared" si="37"/>
        <v>118</v>
      </c>
      <c r="AF137" s="151">
        <v>52289</v>
      </c>
      <c r="AG137" s="154">
        <v>0.20916055330796521</v>
      </c>
      <c r="AH137" s="154">
        <v>0.24931506849315069</v>
      </c>
      <c r="AI137" s="154">
        <f t="shared" si="34"/>
        <v>14.15437973683842</v>
      </c>
      <c r="AJ137" s="361" t="str">
        <f t="shared" si="32"/>
        <v>0M</v>
      </c>
      <c r="AP137" s="155"/>
    </row>
    <row r="138" spans="24:42">
      <c r="X138" s="362" t="str">
        <f t="shared" si="30"/>
        <v>119M</v>
      </c>
      <c r="Y138" s="135">
        <f t="shared" si="36"/>
        <v>119</v>
      </c>
      <c r="Z138" s="151">
        <v>45135</v>
      </c>
      <c r="AA138" s="154">
        <v>0.55815994943765312</v>
      </c>
      <c r="AB138" s="154">
        <v>8.2191780821917804E-2</v>
      </c>
      <c r="AC138" s="154">
        <f t="shared" si="33"/>
        <v>7.5753065177160286</v>
      </c>
      <c r="AD138" s="361" t="str">
        <f t="shared" si="31"/>
        <v>357M</v>
      </c>
      <c r="AE138" s="135">
        <f t="shared" si="37"/>
        <v>119</v>
      </c>
      <c r="AF138" s="151">
        <v>52379</v>
      </c>
      <c r="AG138" s="154">
        <v>0.20725971023801165</v>
      </c>
      <c r="AH138" s="154">
        <v>0.24657534246575341</v>
      </c>
      <c r="AI138" s="154">
        <f t="shared" si="34"/>
        <v>14.205484870869711</v>
      </c>
      <c r="AJ138" s="361" t="str">
        <f t="shared" si="32"/>
        <v>0M</v>
      </c>
      <c r="AP138" s="155"/>
    </row>
    <row r="139" spans="24:42">
      <c r="X139" s="362" t="str">
        <f t="shared" si="30"/>
        <v>120M</v>
      </c>
      <c r="Y139" s="135">
        <f t="shared" si="36"/>
        <v>120</v>
      </c>
      <c r="Z139" s="151">
        <v>45166</v>
      </c>
      <c r="AA139" s="154">
        <v>0.55522272183243893</v>
      </c>
      <c r="AB139" s="154">
        <v>8.4931506849315067E-2</v>
      </c>
      <c r="AC139" s="154">
        <f t="shared" si="33"/>
        <v>7.6224624201182358</v>
      </c>
      <c r="AD139" s="361" t="str">
        <f t="shared" si="31"/>
        <v>360M</v>
      </c>
      <c r="AE139" s="135">
        <f t="shared" si="37"/>
        <v>120</v>
      </c>
      <c r="AF139" s="151">
        <v>52471</v>
      </c>
      <c r="AG139" s="154">
        <v>0.20534835404509608</v>
      </c>
      <c r="AH139" s="154">
        <v>0.25205479452054796</v>
      </c>
      <c r="AI139" s="154">
        <f t="shared" si="34"/>
        <v>14.257243908053681</v>
      </c>
      <c r="AJ139" s="361" t="str">
        <f t="shared" si="32"/>
        <v>0M</v>
      </c>
      <c r="AP139" s="155"/>
    </row>
    <row r="140" spans="24:42">
      <c r="X140" s="362" t="str">
        <f t="shared" si="30"/>
        <v>121M</v>
      </c>
      <c r="Y140" s="135">
        <f t="shared" si="36"/>
        <v>121</v>
      </c>
      <c r="Z140" s="151">
        <v>45197</v>
      </c>
      <c r="AA140" s="154">
        <v>0.55231602042768346</v>
      </c>
      <c r="AB140" s="154">
        <v>8.4931506849315067E-2</v>
      </c>
      <c r="AC140" s="154">
        <f t="shared" si="33"/>
        <v>7.6693714519901759</v>
      </c>
      <c r="AD140" s="361" t="str">
        <f t="shared" si="31"/>
        <v>363M</v>
      </c>
      <c r="AE140" s="135">
        <f t="shared" si="37"/>
        <v>121</v>
      </c>
      <c r="AF140" s="151">
        <v>52565</v>
      </c>
      <c r="AG140" s="154">
        <v>0.20320665504686414</v>
      </c>
      <c r="AH140" s="154">
        <v>0.25753424657534246</v>
      </c>
      <c r="AI140" s="154">
        <f t="shared" si="34"/>
        <v>14.30957658086027</v>
      </c>
      <c r="AJ140" s="361" t="str">
        <f t="shared" si="32"/>
        <v>0M</v>
      </c>
      <c r="AP140" s="155"/>
    </row>
    <row r="141" spans="24:42">
      <c r="X141" s="362" t="str">
        <f t="shared" si="30"/>
        <v>122M</v>
      </c>
      <c r="Y141" s="135">
        <f t="shared" si="36"/>
        <v>122</v>
      </c>
      <c r="Z141" s="151">
        <v>45229</v>
      </c>
      <c r="AA141" s="154">
        <v>0.54932903533284505</v>
      </c>
      <c r="AB141" s="154">
        <v>8.7671232876712329E-2</v>
      </c>
      <c r="AC141" s="154">
        <f t="shared" si="33"/>
        <v>7.7175318057727811</v>
      </c>
      <c r="AD141" s="361" t="str">
        <f t="shared" si="31"/>
        <v>366M</v>
      </c>
      <c r="AE141" s="135">
        <f t="shared" si="37"/>
        <v>122</v>
      </c>
      <c r="AF141" s="151">
        <v>52656</v>
      </c>
      <c r="AG141" s="154">
        <v>0.20116469497987804</v>
      </c>
      <c r="AH141" s="154">
        <v>0.24931506849315069</v>
      </c>
      <c r="AI141" s="154">
        <f t="shared" si="34"/>
        <v>14.359729970567582</v>
      </c>
      <c r="AJ141" s="361" t="str">
        <f t="shared" si="32"/>
        <v>0M</v>
      </c>
      <c r="AP141" s="155"/>
    </row>
    <row r="142" spans="24:42">
      <c r="X142" s="362" t="str">
        <f t="shared" si="30"/>
        <v>123M</v>
      </c>
      <c r="Y142" s="135">
        <f t="shared" si="36"/>
        <v>123</v>
      </c>
      <c r="Z142" s="151">
        <v>45258</v>
      </c>
      <c r="AA142" s="154">
        <v>0.54663387061183821</v>
      </c>
      <c r="AB142" s="154">
        <v>7.9452054794520555E-2</v>
      </c>
      <c r="AC142" s="154">
        <f t="shared" si="33"/>
        <v>7.7609629900131738</v>
      </c>
      <c r="AD142" s="361" t="str">
        <f t="shared" si="31"/>
        <v>369M</v>
      </c>
      <c r="AE142" s="135">
        <f t="shared" si="37"/>
        <v>123</v>
      </c>
      <c r="AF142" s="151">
        <v>52747</v>
      </c>
      <c r="AG142" s="154">
        <v>0.19915309639805739</v>
      </c>
      <c r="AH142" s="154">
        <v>0.24931506849315069</v>
      </c>
      <c r="AI142" s="154">
        <f t="shared" si="34"/>
        <v>14.409381838436687</v>
      </c>
      <c r="AJ142" s="361" t="str">
        <f t="shared" si="32"/>
        <v>0M</v>
      </c>
      <c r="AP142" s="155"/>
    </row>
    <row r="143" spans="24:42">
      <c r="X143" s="362" t="str">
        <f t="shared" si="30"/>
        <v>124M</v>
      </c>
      <c r="Y143" s="135">
        <f t="shared" si="36"/>
        <v>124</v>
      </c>
      <c r="Z143" s="151">
        <v>45288</v>
      </c>
      <c r="AA143" s="154">
        <v>0.543857528136232</v>
      </c>
      <c r="AB143" s="154">
        <v>8.2191780821917804E-2</v>
      </c>
      <c r="AC143" s="154">
        <f t="shared" si="33"/>
        <v>7.8056636087640969</v>
      </c>
      <c r="AD143" s="361" t="str">
        <f t="shared" si="31"/>
        <v>372M</v>
      </c>
      <c r="AE143" s="135">
        <f t="shared" si="37"/>
        <v>124</v>
      </c>
      <c r="AF143" s="151">
        <v>52838</v>
      </c>
      <c r="AG143" s="154">
        <v>0.19717135820715084</v>
      </c>
      <c r="AH143" s="154">
        <v>0.24931506849315069</v>
      </c>
      <c r="AI143" s="154">
        <f t="shared" si="34"/>
        <v>14.458539629112991</v>
      </c>
      <c r="AJ143" s="361" t="str">
        <f t="shared" si="32"/>
        <v>0M</v>
      </c>
      <c r="AP143" s="155"/>
    </row>
    <row r="144" spans="24:42">
      <c r="X144" s="362" t="str">
        <f t="shared" si="30"/>
        <v>125M</v>
      </c>
      <c r="Y144" s="135">
        <f t="shared" si="36"/>
        <v>125</v>
      </c>
      <c r="Z144" s="151">
        <v>45320</v>
      </c>
      <c r="AA144" s="154">
        <v>0.54090923403676106</v>
      </c>
      <c r="AB144" s="154">
        <v>8.7671232876712329E-2</v>
      </c>
      <c r="AC144" s="154">
        <f t="shared" si="33"/>
        <v>7.8530857881864975</v>
      </c>
      <c r="AD144" s="361" t="str">
        <f t="shared" si="31"/>
        <v>375M</v>
      </c>
      <c r="AE144" s="135">
        <f t="shared" si="37"/>
        <v>125</v>
      </c>
      <c r="AF144" s="151">
        <v>52929</v>
      </c>
      <c r="AG144" s="154">
        <v>0.19521898870616419</v>
      </c>
      <c r="AH144" s="154">
        <v>0.24931506849315069</v>
      </c>
      <c r="AI144" s="154">
        <f t="shared" si="34"/>
        <v>14.507210664653432</v>
      </c>
      <c r="AJ144" s="361" t="str">
        <f t="shared" si="32"/>
        <v>0M</v>
      </c>
      <c r="AP144" s="155"/>
    </row>
    <row r="145" spans="24:42">
      <c r="X145" s="362" t="str">
        <f t="shared" si="30"/>
        <v>126M</v>
      </c>
      <c r="Y145" s="135">
        <f t="shared" si="36"/>
        <v>126</v>
      </c>
      <c r="Z145" s="151">
        <v>45350</v>
      </c>
      <c r="AA145" s="154">
        <v>0.5381574845735918</v>
      </c>
      <c r="AB145" s="154">
        <v>8.2191780821917804E-2</v>
      </c>
      <c r="AC145" s="154">
        <f t="shared" si="33"/>
        <v>7.8973179102062447</v>
      </c>
      <c r="AD145" s="361" t="str">
        <f t="shared" si="31"/>
        <v>378M</v>
      </c>
      <c r="AE145" s="135">
        <f t="shared" si="37"/>
        <v>126</v>
      </c>
      <c r="AF145" s="151">
        <v>53021</v>
      </c>
      <c r="AG145" s="154">
        <v>0.19327452690644167</v>
      </c>
      <c r="AH145" s="154">
        <v>0.25205479452054796</v>
      </c>
      <c r="AI145" s="154">
        <f t="shared" si="34"/>
        <v>14.555926435818892</v>
      </c>
      <c r="AJ145" s="361" t="str">
        <f t="shared" si="32"/>
        <v>0M</v>
      </c>
      <c r="AP145" s="155"/>
    </row>
    <row r="146" spans="24:42">
      <c r="X146" s="362" t="str">
        <f t="shared" si="30"/>
        <v>127M</v>
      </c>
      <c r="Y146" s="135">
        <f t="shared" si="36"/>
        <v>127</v>
      </c>
      <c r="Z146" s="151">
        <v>45379</v>
      </c>
      <c r="AA146" s="154">
        <v>0.53550871612424178</v>
      </c>
      <c r="AB146" s="154">
        <v>7.9452054794520555E-2</v>
      </c>
      <c r="AC146" s="154">
        <f t="shared" si="33"/>
        <v>7.939865178062691</v>
      </c>
      <c r="AD146" s="361" t="str">
        <f t="shared" si="31"/>
        <v>381M</v>
      </c>
      <c r="AE146" s="135">
        <f t="shared" si="37"/>
        <v>127</v>
      </c>
      <c r="AF146" s="151">
        <v>53111</v>
      </c>
      <c r="AG146" s="154">
        <v>0.19140043480095831</v>
      </c>
      <c r="AH146" s="154">
        <v>0.24657534246575341</v>
      </c>
      <c r="AI146" s="154">
        <f t="shared" si="34"/>
        <v>14.603121063578032</v>
      </c>
      <c r="AJ146" s="361" t="str">
        <f t="shared" si="32"/>
        <v>0M</v>
      </c>
      <c r="AP146" s="155"/>
    </row>
    <row r="147" spans="24:42">
      <c r="X147" s="362" t="str">
        <f t="shared" si="30"/>
        <v>128M</v>
      </c>
      <c r="Y147" s="135">
        <f t="shared" si="36"/>
        <v>128</v>
      </c>
      <c r="Z147" s="151">
        <v>45411</v>
      </c>
      <c r="AA147" s="154">
        <v>0.53259873669802504</v>
      </c>
      <c r="AB147" s="154">
        <v>8.7671232876712329E-2</v>
      </c>
      <c r="AC147" s="154">
        <f t="shared" si="33"/>
        <v>7.9865587659375867</v>
      </c>
      <c r="AD147" s="361" t="str">
        <f t="shared" si="31"/>
        <v>384M</v>
      </c>
      <c r="AE147" s="135">
        <f t="shared" si="37"/>
        <v>128</v>
      </c>
      <c r="AF147" s="151">
        <v>53202</v>
      </c>
      <c r="AG147" s="154">
        <v>0.18953331227261094</v>
      </c>
      <c r="AH147" s="154">
        <v>0.24931506849315069</v>
      </c>
      <c r="AI147" s="154">
        <f t="shared" si="34"/>
        <v>14.65037457430901</v>
      </c>
      <c r="AJ147" s="361" t="str">
        <f t="shared" si="32"/>
        <v>0M</v>
      </c>
      <c r="AP147" s="155"/>
    </row>
    <row r="148" spans="24:42">
      <c r="X148" s="362" t="str">
        <f t="shared" si="30"/>
        <v>129M</v>
      </c>
      <c r="Y148" s="135">
        <f t="shared" si="36"/>
        <v>129</v>
      </c>
      <c r="Z148" s="151">
        <v>45440</v>
      </c>
      <c r="AA148" s="154">
        <v>0.52997312990836942</v>
      </c>
      <c r="AB148" s="154">
        <v>7.9452054794520555E-2</v>
      </c>
      <c r="AC148" s="154">
        <f t="shared" si="33"/>
        <v>8.0286662200946903</v>
      </c>
      <c r="AD148" s="361" t="str">
        <f t="shared" si="31"/>
        <v>387M</v>
      </c>
      <c r="AE148" s="135">
        <f t="shared" si="37"/>
        <v>129</v>
      </c>
      <c r="AF148" s="151">
        <v>53294</v>
      </c>
      <c r="AG148" s="154">
        <v>0.18767361714858846</v>
      </c>
      <c r="AH148" s="154">
        <v>0.25205479452054796</v>
      </c>
      <c r="AI148" s="154">
        <f t="shared" si="34"/>
        <v>14.697678609316325</v>
      </c>
      <c r="AJ148" s="361" t="str">
        <f t="shared" si="32"/>
        <v>0M</v>
      </c>
      <c r="AP148" s="155"/>
    </row>
    <row r="149" spans="24:42">
      <c r="X149" s="362" t="str">
        <f t="shared" ref="X149:X212" si="39">Y149&amp;"M"</f>
        <v>130M</v>
      </c>
      <c r="Y149" s="135">
        <f t="shared" si="36"/>
        <v>130</v>
      </c>
      <c r="Z149" s="151">
        <v>45471</v>
      </c>
      <c r="AA149" s="154">
        <v>0.52717856334312374</v>
      </c>
      <c r="AB149" s="154">
        <v>8.4931506849315067E-2</v>
      </c>
      <c r="AC149" s="154">
        <f t="shared" si="33"/>
        <v>8.0734402898580786</v>
      </c>
      <c r="AD149" s="361" t="str">
        <f t="shared" ref="AD149:AD179" si="40">AE149*3&amp;"M"</f>
        <v>390M</v>
      </c>
      <c r="AE149" s="135">
        <f t="shared" si="37"/>
        <v>130</v>
      </c>
      <c r="AF149" s="151">
        <v>53386</v>
      </c>
      <c r="AG149" s="154">
        <v>0.18584155929428442</v>
      </c>
      <c r="AH149" s="154">
        <v>0.25205479452054796</v>
      </c>
      <c r="AI149" s="154">
        <f t="shared" si="34"/>
        <v>14.744520865357623</v>
      </c>
      <c r="AJ149" s="361" t="str">
        <f t="shared" ref="AJ149:AJ179" si="41">AK149*6&amp;"M"</f>
        <v>0M</v>
      </c>
      <c r="AP149" s="155"/>
    </row>
    <row r="150" spans="24:42">
      <c r="X150" s="362" t="str">
        <f t="shared" si="39"/>
        <v>131M</v>
      </c>
      <c r="Y150" s="135">
        <f t="shared" si="36"/>
        <v>131</v>
      </c>
      <c r="Z150" s="151">
        <v>45502</v>
      </c>
      <c r="AA150" s="154">
        <v>0.52439647610545115</v>
      </c>
      <c r="AB150" s="154">
        <v>8.4931506849315067E-2</v>
      </c>
      <c r="AC150" s="154">
        <f t="shared" ref="AC150:AC213" si="42">AC149+AA150*AB150</f>
        <v>8.1179780727601862</v>
      </c>
      <c r="AD150" s="361" t="str">
        <f t="shared" si="40"/>
        <v>393M</v>
      </c>
      <c r="AE150" s="135">
        <f t="shared" si="37"/>
        <v>131</v>
      </c>
      <c r="AF150" s="151">
        <v>53475</v>
      </c>
      <c r="AG150" s="154">
        <v>0.18409511548846111</v>
      </c>
      <c r="AH150" s="154">
        <v>0.24383561643835616</v>
      </c>
      <c r="AI150" s="154">
        <f t="shared" ref="AI150:AI179" si="43">AI149+AG150*AH150</f>
        <v>14.789409811326042</v>
      </c>
      <c r="AJ150" s="361" t="str">
        <f t="shared" si="41"/>
        <v>0M</v>
      </c>
      <c r="AP150" s="155"/>
    </row>
    <row r="151" spans="24:42">
      <c r="X151" s="362" t="str">
        <f t="shared" si="39"/>
        <v>132M</v>
      </c>
      <c r="Y151" s="135">
        <f t="shared" ref="Y151:Y214" si="44">Y150+1</f>
        <v>132</v>
      </c>
      <c r="Z151" s="151">
        <v>45532</v>
      </c>
      <c r="AA151" s="154">
        <v>0.52171597608057552</v>
      </c>
      <c r="AB151" s="154">
        <v>8.2191780821917804E-2</v>
      </c>
      <c r="AC151" s="154">
        <f t="shared" si="42"/>
        <v>8.1608588379174947</v>
      </c>
      <c r="AD151" s="361" t="str">
        <f t="shared" si="40"/>
        <v>396M</v>
      </c>
      <c r="AE151" s="135">
        <f t="shared" ref="AE151:AE179" si="45">AE150+1</f>
        <v>132</v>
      </c>
      <c r="AF151" s="151">
        <v>53567</v>
      </c>
      <c r="AG151" s="154">
        <v>0.18231611465361791</v>
      </c>
      <c r="AH151" s="154">
        <v>0.25205479452054796</v>
      </c>
      <c r="AI151" s="154">
        <f t="shared" si="43"/>
        <v>14.835363462142844</v>
      </c>
      <c r="AJ151" s="361" t="str">
        <f t="shared" si="41"/>
        <v>0M</v>
      </c>
      <c r="AP151" s="155"/>
    </row>
    <row r="152" spans="24:42">
      <c r="X152" s="362" t="str">
        <f t="shared" si="39"/>
        <v>133M</v>
      </c>
      <c r="Y152" s="135">
        <f t="shared" si="44"/>
        <v>133</v>
      </c>
      <c r="Z152" s="151">
        <v>45565</v>
      </c>
      <c r="AA152" s="154">
        <v>0.51878083406325748</v>
      </c>
      <c r="AB152" s="154">
        <v>9.0410958904109592E-2</v>
      </c>
      <c r="AC152" s="154">
        <f t="shared" si="42"/>
        <v>8.2077623105862276</v>
      </c>
      <c r="AD152" s="361" t="str">
        <f t="shared" si="40"/>
        <v>399M</v>
      </c>
      <c r="AE152" s="135">
        <f t="shared" si="45"/>
        <v>133</v>
      </c>
      <c r="AF152" s="151">
        <v>53659</v>
      </c>
      <c r="AG152" s="154">
        <v>0.1805634294974689</v>
      </c>
      <c r="AH152" s="154">
        <v>0.25205479452054796</v>
      </c>
      <c r="AI152" s="154">
        <f t="shared" si="43"/>
        <v>14.880875340262754</v>
      </c>
      <c r="AJ152" s="361" t="str">
        <f t="shared" si="41"/>
        <v>0M</v>
      </c>
      <c r="AP152" s="155"/>
    </row>
    <row r="153" spans="24:42">
      <c r="X153" s="362" t="str">
        <f t="shared" si="39"/>
        <v>134M</v>
      </c>
      <c r="Y153" s="135">
        <f t="shared" si="44"/>
        <v>134</v>
      </c>
      <c r="Z153" s="151">
        <v>45593</v>
      </c>
      <c r="AA153" s="154">
        <v>0.51630138949098969</v>
      </c>
      <c r="AB153" s="154">
        <v>7.6712328767123292E-2</v>
      </c>
      <c r="AC153" s="154">
        <f t="shared" si="42"/>
        <v>8.2473689925197835</v>
      </c>
      <c r="AD153" s="361" t="str">
        <f t="shared" si="40"/>
        <v>402M</v>
      </c>
      <c r="AE153" s="135">
        <f t="shared" si="45"/>
        <v>134</v>
      </c>
      <c r="AF153" s="151">
        <v>53751</v>
      </c>
      <c r="AG153" s="154">
        <v>0.17883663108246103</v>
      </c>
      <c r="AH153" s="154">
        <v>0.25205479452054796</v>
      </c>
      <c r="AI153" s="154">
        <f t="shared" si="43"/>
        <v>14.925951970562991</v>
      </c>
      <c r="AJ153" s="361" t="str">
        <f t="shared" si="41"/>
        <v>0M</v>
      </c>
      <c r="AP153" s="155"/>
    </row>
    <row r="154" spans="24:42">
      <c r="X154" s="362" t="str">
        <f t="shared" si="39"/>
        <v>135M</v>
      </c>
      <c r="Y154" s="135">
        <f t="shared" si="44"/>
        <v>135</v>
      </c>
      <c r="Z154" s="151">
        <v>45624</v>
      </c>
      <c r="AA154" s="154">
        <v>0.51356800755883802</v>
      </c>
      <c r="AB154" s="154">
        <v>8.4931506849315067E-2</v>
      </c>
      <c r="AC154" s="154">
        <f t="shared" si="42"/>
        <v>8.2909870972713566</v>
      </c>
      <c r="AD154" s="361" t="str">
        <f t="shared" si="40"/>
        <v>405M</v>
      </c>
      <c r="AE154" s="135">
        <f t="shared" si="45"/>
        <v>135</v>
      </c>
      <c r="AF154" s="151">
        <v>53840</v>
      </c>
      <c r="AG154" s="154">
        <v>0.17719037934628798</v>
      </c>
      <c r="AH154" s="154">
        <v>0.24383561643835616</v>
      </c>
      <c r="AI154" s="154">
        <f t="shared" si="43"/>
        <v>14.969157295937839</v>
      </c>
      <c r="AJ154" s="361" t="str">
        <f t="shared" si="41"/>
        <v>0M</v>
      </c>
      <c r="AP154" s="155"/>
    </row>
    <row r="155" spans="24:42">
      <c r="X155" s="362" t="str">
        <f t="shared" si="39"/>
        <v>136M</v>
      </c>
      <c r="Y155" s="135">
        <f t="shared" si="44"/>
        <v>136</v>
      </c>
      <c r="Z155" s="151">
        <v>45656</v>
      </c>
      <c r="AA155" s="154">
        <v>0.51075932462892104</v>
      </c>
      <c r="AB155" s="154">
        <v>8.7671232876712329E-2</v>
      </c>
      <c r="AC155" s="154">
        <f t="shared" si="42"/>
        <v>8.3357659969648505</v>
      </c>
      <c r="AD155" s="361" t="str">
        <f t="shared" si="40"/>
        <v>408M</v>
      </c>
      <c r="AE155" s="135">
        <f t="shared" si="45"/>
        <v>136</v>
      </c>
      <c r="AF155" s="151">
        <v>53932</v>
      </c>
      <c r="AG155" s="154">
        <v>0.17551328897420623</v>
      </c>
      <c r="AH155" s="154">
        <v>0.25205479452054796</v>
      </c>
      <c r="AI155" s="154">
        <f t="shared" si="43"/>
        <v>15.013396261925857</v>
      </c>
      <c r="AJ155" s="361" t="str">
        <f t="shared" si="41"/>
        <v>0M</v>
      </c>
      <c r="AP155" s="155"/>
    </row>
    <row r="156" spans="24:42">
      <c r="X156" s="362" t="str">
        <f t="shared" si="39"/>
        <v>137M</v>
      </c>
      <c r="Y156" s="135">
        <f t="shared" si="44"/>
        <v>137</v>
      </c>
      <c r="Z156" s="151">
        <v>45685</v>
      </c>
      <c r="AA156" s="154">
        <v>0.50822521326283365</v>
      </c>
      <c r="AB156" s="154">
        <v>7.9452054794520555E-2</v>
      </c>
      <c r="AC156" s="154">
        <f t="shared" si="42"/>
        <v>8.3761455344569669</v>
      </c>
      <c r="AD156" s="361" t="str">
        <f t="shared" si="40"/>
        <v>411M</v>
      </c>
      <c r="AE156" s="135">
        <f t="shared" si="45"/>
        <v>137</v>
      </c>
      <c r="AF156" s="151">
        <v>54024</v>
      </c>
      <c r="AG156" s="154">
        <v>0.17386085904332166</v>
      </c>
      <c r="AH156" s="154">
        <v>0.25205479452054796</v>
      </c>
      <c r="AI156" s="154">
        <f t="shared" si="43"/>
        <v>15.057218725027187</v>
      </c>
      <c r="AJ156" s="361" t="str">
        <f t="shared" si="41"/>
        <v>0M</v>
      </c>
      <c r="AP156" s="155"/>
    </row>
    <row r="157" spans="24:42">
      <c r="X157" s="362" t="str">
        <f t="shared" si="39"/>
        <v>138M</v>
      </c>
      <c r="Y157" s="135">
        <f t="shared" si="44"/>
        <v>138</v>
      </c>
      <c r="Z157" s="151">
        <v>45716</v>
      </c>
      <c r="AA157" s="154">
        <v>0.50552813242506767</v>
      </c>
      <c r="AB157" s="154">
        <v>8.4931506849315067E-2</v>
      </c>
      <c r="AC157" s="154">
        <f t="shared" si="42"/>
        <v>8.4190808004985485</v>
      </c>
      <c r="AD157" s="361" t="str">
        <f t="shared" si="40"/>
        <v>414M</v>
      </c>
      <c r="AE157" s="135">
        <f t="shared" si="45"/>
        <v>138</v>
      </c>
      <c r="AF157" s="151">
        <v>54116</v>
      </c>
      <c r="AG157" s="154">
        <v>0.17223269145646397</v>
      </c>
      <c r="AH157" s="154">
        <v>0.25205479452054796</v>
      </c>
      <c r="AI157" s="154">
        <f t="shared" si="43"/>
        <v>15.100630800681968</v>
      </c>
      <c r="AJ157" s="361" t="str">
        <f t="shared" si="41"/>
        <v>0M</v>
      </c>
      <c r="AP157" s="155"/>
    </row>
    <row r="158" spans="24:42">
      <c r="X158" s="362" t="str">
        <f t="shared" si="39"/>
        <v>139M</v>
      </c>
      <c r="Y158" s="135">
        <f t="shared" si="44"/>
        <v>139</v>
      </c>
      <c r="Z158" s="151">
        <v>45744</v>
      </c>
      <c r="AA158" s="154">
        <v>0.50310250324976369</v>
      </c>
      <c r="AB158" s="154">
        <v>7.6712328767123292E-2</v>
      </c>
      <c r="AC158" s="154">
        <f t="shared" si="42"/>
        <v>8.4576749651314067</v>
      </c>
      <c r="AD158" s="361" t="str">
        <f t="shared" si="40"/>
        <v>417M</v>
      </c>
      <c r="AE158" s="135">
        <f t="shared" si="45"/>
        <v>139</v>
      </c>
      <c r="AF158" s="151">
        <v>54206</v>
      </c>
      <c r="AG158" s="154">
        <v>0.17066302037388448</v>
      </c>
      <c r="AH158" s="154">
        <v>0.24657534246575341</v>
      </c>
      <c r="AI158" s="154">
        <f t="shared" si="43"/>
        <v>15.142712093376899</v>
      </c>
      <c r="AJ158" s="361" t="str">
        <f t="shared" si="41"/>
        <v>0M</v>
      </c>
      <c r="AP158" s="155"/>
    </row>
    <row r="159" spans="24:42">
      <c r="X159" s="362" t="str">
        <f t="shared" si="39"/>
        <v>140M</v>
      </c>
      <c r="Y159" s="135">
        <f t="shared" si="44"/>
        <v>140</v>
      </c>
      <c r="Z159" s="151">
        <v>45775</v>
      </c>
      <c r="AA159" s="154">
        <v>0.50042850986960297</v>
      </c>
      <c r="AB159" s="154">
        <v>8.4931506849315067E-2</v>
      </c>
      <c r="AC159" s="154">
        <f t="shared" si="42"/>
        <v>8.5001771125449892</v>
      </c>
      <c r="AD159" s="361" t="str">
        <f t="shared" si="40"/>
        <v>420M</v>
      </c>
      <c r="AE159" s="135">
        <f t="shared" si="45"/>
        <v>140</v>
      </c>
      <c r="AF159" s="151">
        <v>54298</v>
      </c>
      <c r="AG159" s="154">
        <v>0.16908170601304728</v>
      </c>
      <c r="AH159" s="154">
        <v>0.25205479452054796</v>
      </c>
      <c r="AI159" s="154">
        <f t="shared" si="43"/>
        <v>15.185329948043201</v>
      </c>
      <c r="AJ159" s="361" t="str">
        <f t="shared" si="41"/>
        <v>0M</v>
      </c>
      <c r="AP159" s="155"/>
    </row>
    <row r="160" spans="24:42">
      <c r="X160" s="362" t="str">
        <f t="shared" si="39"/>
        <v>141M</v>
      </c>
      <c r="Y160" s="135">
        <f t="shared" si="44"/>
        <v>141</v>
      </c>
      <c r="Z160" s="151">
        <v>45805</v>
      </c>
      <c r="AA160" s="154">
        <v>0.49785226755009965</v>
      </c>
      <c r="AB160" s="154">
        <v>8.2191780821917804E-2</v>
      </c>
      <c r="AC160" s="154">
        <f t="shared" si="42"/>
        <v>8.5410964770011617</v>
      </c>
      <c r="AD160" s="361" t="str">
        <f t="shared" si="40"/>
        <v>423M</v>
      </c>
      <c r="AE160" s="135">
        <f t="shared" si="45"/>
        <v>141</v>
      </c>
      <c r="AF160" s="151">
        <v>54392</v>
      </c>
      <c r="AG160" s="154">
        <v>0.16748989176393247</v>
      </c>
      <c r="AH160" s="154">
        <v>0.25753424657534246</v>
      </c>
      <c r="AI160" s="154">
        <f t="shared" si="43"/>
        <v>15.228464331127611</v>
      </c>
      <c r="AJ160" s="361" t="str">
        <f t="shared" si="41"/>
        <v>0M</v>
      </c>
      <c r="AP160" s="155"/>
    </row>
    <row r="161" spans="24:42">
      <c r="X161" s="362" t="str">
        <f t="shared" si="39"/>
        <v>142M</v>
      </c>
      <c r="Y161" s="135">
        <f t="shared" si="44"/>
        <v>142</v>
      </c>
      <c r="Z161" s="151">
        <v>45838</v>
      </c>
      <c r="AA161" s="154">
        <v>0.49503141283990376</v>
      </c>
      <c r="AB161" s="154">
        <v>9.0410958904109592E-2</v>
      </c>
      <c r="AC161" s="154">
        <f t="shared" si="42"/>
        <v>8.5858527417236736</v>
      </c>
      <c r="AD161" s="361" t="str">
        <f t="shared" si="40"/>
        <v>426M</v>
      </c>
      <c r="AE161" s="135">
        <f t="shared" si="45"/>
        <v>142</v>
      </c>
      <c r="AF161" s="151">
        <v>54480</v>
      </c>
      <c r="AG161" s="154">
        <v>0.16602120734574785</v>
      </c>
      <c r="AH161" s="154">
        <v>0.24109589041095891</v>
      </c>
      <c r="AI161" s="154">
        <f t="shared" si="43"/>
        <v>15.268491361939736</v>
      </c>
      <c r="AJ161" s="361" t="str">
        <f t="shared" si="41"/>
        <v>0M</v>
      </c>
      <c r="AP161" s="155"/>
    </row>
    <row r="162" spans="24:42">
      <c r="X162" s="362" t="str">
        <f t="shared" si="39"/>
        <v>143M</v>
      </c>
      <c r="Y162" s="135">
        <f t="shared" si="44"/>
        <v>143</v>
      </c>
      <c r="Z162" s="151">
        <v>45866</v>
      </c>
      <c r="AA162" s="154">
        <v>0.49264861432905827</v>
      </c>
      <c r="AB162" s="154">
        <v>7.6712328767123292E-2</v>
      </c>
      <c r="AC162" s="154">
        <f t="shared" si="42"/>
        <v>8.6236449641927528</v>
      </c>
      <c r="AD162" s="361" t="str">
        <f t="shared" si="40"/>
        <v>429M</v>
      </c>
      <c r="AE162" s="135">
        <f t="shared" si="45"/>
        <v>143</v>
      </c>
      <c r="AF162" s="151">
        <v>54571</v>
      </c>
      <c r="AG162" s="154">
        <v>0.16452400040354839</v>
      </c>
      <c r="AH162" s="154">
        <v>0.24931506849315069</v>
      </c>
      <c r="AI162" s="154">
        <f t="shared" si="43"/>
        <v>15.309509674369114</v>
      </c>
      <c r="AJ162" s="361" t="str">
        <f t="shared" si="41"/>
        <v>0M</v>
      </c>
      <c r="AP162" s="155"/>
    </row>
    <row r="163" spans="24:42">
      <c r="X163" s="362" t="str">
        <f t="shared" si="39"/>
        <v>144M</v>
      </c>
      <c r="Y163" s="135">
        <f t="shared" si="44"/>
        <v>144</v>
      </c>
      <c r="Z163" s="151">
        <v>45897</v>
      </c>
      <c r="AA163" s="154">
        <v>0.49002188591145968</v>
      </c>
      <c r="AB163" s="154">
        <v>8.4931506849315067E-2</v>
      </c>
      <c r="AC163" s="154">
        <f t="shared" si="42"/>
        <v>8.6652632613523561</v>
      </c>
      <c r="AD163" s="361" t="str">
        <f t="shared" si="40"/>
        <v>432M</v>
      </c>
      <c r="AE163" s="135">
        <f t="shared" si="45"/>
        <v>144</v>
      </c>
      <c r="AF163" s="151">
        <v>54665</v>
      </c>
      <c r="AG163" s="154">
        <v>0.16300007573770334</v>
      </c>
      <c r="AH163" s="154">
        <v>0.25753424657534246</v>
      </c>
      <c r="AI163" s="154">
        <f t="shared" si="43"/>
        <v>15.351487776065946</v>
      </c>
      <c r="AJ163" s="361" t="str">
        <f t="shared" si="41"/>
        <v>0M</v>
      </c>
      <c r="AP163" s="155"/>
    </row>
    <row r="164" spans="24:42">
      <c r="X164" s="362" t="str">
        <f t="shared" si="39"/>
        <v>145M</v>
      </c>
      <c r="Y164" s="135">
        <f t="shared" si="44"/>
        <v>145</v>
      </c>
      <c r="Z164" s="151">
        <v>45929</v>
      </c>
      <c r="AA164" s="154">
        <v>0.48742817104867342</v>
      </c>
      <c r="AB164" s="154">
        <v>8.7671232876712329E-2</v>
      </c>
      <c r="AC164" s="154">
        <f t="shared" si="42"/>
        <v>8.7079966900470342</v>
      </c>
      <c r="AD164" s="361" t="str">
        <f t="shared" si="40"/>
        <v>435M</v>
      </c>
      <c r="AE164" s="135">
        <f t="shared" si="45"/>
        <v>145</v>
      </c>
      <c r="AF164" s="151">
        <v>54756</v>
      </c>
      <c r="AG164" s="154">
        <v>0.16154635742094001</v>
      </c>
      <c r="AH164" s="154">
        <v>0.24931506849315069</v>
      </c>
      <c r="AI164" s="154">
        <f t="shared" si="43"/>
        <v>15.391763717231166</v>
      </c>
      <c r="AJ164" s="361" t="str">
        <f t="shared" si="41"/>
        <v>0M</v>
      </c>
      <c r="AP164" s="155"/>
    </row>
    <row r="165" spans="24:42">
      <c r="X165" s="362" t="str">
        <f t="shared" si="39"/>
        <v>146M</v>
      </c>
      <c r="Y165" s="135">
        <f t="shared" si="44"/>
        <v>146</v>
      </c>
      <c r="Z165" s="151">
        <v>45958</v>
      </c>
      <c r="AA165" s="154">
        <v>0.4850888670789853</v>
      </c>
      <c r="AB165" s="154">
        <v>7.9452054794520555E-2</v>
      </c>
      <c r="AC165" s="154">
        <f t="shared" si="42"/>
        <v>8.7465379972944053</v>
      </c>
      <c r="AD165" s="361" t="str">
        <f t="shared" si="40"/>
        <v>438M</v>
      </c>
      <c r="AE165" s="135">
        <f t="shared" si="45"/>
        <v>146</v>
      </c>
      <c r="AF165" s="151">
        <v>54847</v>
      </c>
      <c r="AG165" s="154">
        <v>0.16011352396455322</v>
      </c>
      <c r="AH165" s="154">
        <v>0.24931506849315069</v>
      </c>
      <c r="AI165" s="154">
        <f t="shared" si="43"/>
        <v>15.431682431425068</v>
      </c>
      <c r="AJ165" s="361" t="str">
        <f t="shared" si="41"/>
        <v>0M</v>
      </c>
      <c r="AP165" s="155"/>
    </row>
    <row r="166" spans="24:42">
      <c r="X166" s="362" t="str">
        <f t="shared" si="39"/>
        <v>147M</v>
      </c>
      <c r="Y166" s="135">
        <f t="shared" si="44"/>
        <v>147</v>
      </c>
      <c r="Z166" s="151">
        <v>45989</v>
      </c>
      <c r="AA166" s="154">
        <v>0.48260000715392487</v>
      </c>
      <c r="AB166" s="154">
        <v>8.4931506849315067E-2</v>
      </c>
      <c r="AC166" s="154">
        <f t="shared" si="42"/>
        <v>8.7875259431074788</v>
      </c>
      <c r="AD166" s="361" t="str">
        <f t="shared" si="40"/>
        <v>441M</v>
      </c>
      <c r="AE166" s="135">
        <f t="shared" si="45"/>
        <v>147</v>
      </c>
      <c r="AF166" s="151">
        <v>54938</v>
      </c>
      <c r="AG166" s="154">
        <v>0.15870124929651527</v>
      </c>
      <c r="AH166" s="154">
        <v>0.24931506849315069</v>
      </c>
      <c r="AI166" s="154">
        <f t="shared" si="43"/>
        <v>15.471249044263377</v>
      </c>
      <c r="AJ166" s="361" t="str">
        <f t="shared" si="41"/>
        <v>0M</v>
      </c>
      <c r="AP166" s="155"/>
    </row>
    <row r="167" spans="24:42">
      <c r="X167" s="362" t="str">
        <f t="shared" si="39"/>
        <v>148M</v>
      </c>
      <c r="Y167" s="135">
        <f t="shared" si="44"/>
        <v>148</v>
      </c>
      <c r="Z167" s="151">
        <v>46020</v>
      </c>
      <c r="AA167" s="154">
        <v>0.48012326064606026</v>
      </c>
      <c r="AB167" s="154">
        <v>8.4931506849315067E-2</v>
      </c>
      <c r="AC167" s="154">
        <f t="shared" si="42"/>
        <v>8.8283035351075547</v>
      </c>
      <c r="AD167" s="361" t="str">
        <f t="shared" si="40"/>
        <v>444M</v>
      </c>
      <c r="AE167" s="135">
        <f t="shared" si="45"/>
        <v>148</v>
      </c>
      <c r="AF167" s="151">
        <v>55029</v>
      </c>
      <c r="AG167" s="154">
        <v>0.15730921325867966</v>
      </c>
      <c r="AH167" s="154">
        <v>0.24931506849315069</v>
      </c>
      <c r="AI167" s="154">
        <f t="shared" si="43"/>
        <v>15.510468601541568</v>
      </c>
      <c r="AJ167" s="361" t="str">
        <f t="shared" si="41"/>
        <v>0M</v>
      </c>
      <c r="AP167" s="155"/>
    </row>
    <row r="168" spans="24:42">
      <c r="X168" s="362" t="str">
        <f t="shared" si="39"/>
        <v>149M</v>
      </c>
      <c r="Y168" s="135">
        <f t="shared" si="44"/>
        <v>149</v>
      </c>
      <c r="Z168" s="151">
        <v>46050</v>
      </c>
      <c r="AA168" s="154">
        <v>0.47773789057942828</v>
      </c>
      <c r="AB168" s="154">
        <v>8.2191780821917804E-2</v>
      </c>
      <c r="AC168" s="154">
        <f t="shared" si="42"/>
        <v>8.8675696631003849</v>
      </c>
      <c r="AD168" s="361" t="str">
        <f t="shared" si="40"/>
        <v>447M</v>
      </c>
      <c r="AE168" s="135">
        <f t="shared" si="45"/>
        <v>149</v>
      </c>
      <c r="AF168" s="151">
        <v>55120</v>
      </c>
      <c r="AG168" s="154">
        <v>0.15593710149173229</v>
      </c>
      <c r="AH168" s="154">
        <v>0.24931506849315069</v>
      </c>
      <c r="AI168" s="154">
        <f t="shared" si="43"/>
        <v>15.549346070680603</v>
      </c>
      <c r="AJ168" s="361" t="str">
        <f t="shared" si="41"/>
        <v>0M</v>
      </c>
      <c r="AP168" s="155"/>
    </row>
    <row r="169" spans="24:42">
      <c r="X169" s="362" t="str">
        <f t="shared" si="39"/>
        <v>150M</v>
      </c>
      <c r="Y169" s="135">
        <f t="shared" si="44"/>
        <v>150</v>
      </c>
      <c r="Z169" s="151">
        <v>46080</v>
      </c>
      <c r="AA169" s="154">
        <v>0.47536376311743017</v>
      </c>
      <c r="AB169" s="154">
        <v>8.2191780821917804E-2</v>
      </c>
      <c r="AC169" s="154">
        <f t="shared" si="42"/>
        <v>8.9066406573292145</v>
      </c>
      <c r="AD169" s="361" t="str">
        <f t="shared" si="40"/>
        <v>450M</v>
      </c>
      <c r="AE169" s="135">
        <f t="shared" si="45"/>
        <v>150</v>
      </c>
      <c r="AF169" s="151">
        <v>55212</v>
      </c>
      <c r="AG169" s="154">
        <v>0.15456985055608508</v>
      </c>
      <c r="AH169" s="154">
        <v>0.25205479452054796</v>
      </c>
      <c r="AI169" s="154">
        <f t="shared" si="43"/>
        <v>15.588306142601589</v>
      </c>
      <c r="AJ169" s="361" t="str">
        <f t="shared" si="41"/>
        <v>0M</v>
      </c>
      <c r="AP169" s="155"/>
    </row>
    <row r="170" spans="24:42">
      <c r="X170" s="362" t="str">
        <f t="shared" si="39"/>
        <v>151M</v>
      </c>
      <c r="Y170" s="135">
        <f t="shared" si="44"/>
        <v>151</v>
      </c>
      <c r="Z170" s="151">
        <v>46111</v>
      </c>
      <c r="AA170" s="154">
        <v>0.47292225615104128</v>
      </c>
      <c r="AB170" s="154">
        <v>8.4931506849315067E-2</v>
      </c>
      <c r="AC170" s="154">
        <f t="shared" si="42"/>
        <v>8.9468066571667002</v>
      </c>
      <c r="AD170" s="361" t="str">
        <f t="shared" si="40"/>
        <v>453M</v>
      </c>
      <c r="AE170" s="135">
        <f t="shared" si="45"/>
        <v>151</v>
      </c>
      <c r="AF170" s="151">
        <v>55302</v>
      </c>
      <c r="AG170" s="154">
        <v>0.15325142165447744</v>
      </c>
      <c r="AH170" s="154">
        <v>0.24657534246575341</v>
      </c>
      <c r="AI170" s="154">
        <f t="shared" si="43"/>
        <v>15.626094164379404</v>
      </c>
      <c r="AJ170" s="361" t="str">
        <f t="shared" si="41"/>
        <v>0M</v>
      </c>
      <c r="AP170" s="155"/>
    </row>
    <row r="171" spans="24:42">
      <c r="X171" s="362" t="str">
        <f t="shared" si="39"/>
        <v>152M</v>
      </c>
      <c r="Y171" s="135">
        <f t="shared" si="44"/>
        <v>152</v>
      </c>
      <c r="Z171" s="151">
        <v>46140</v>
      </c>
      <c r="AA171" s="154">
        <v>0.47064903698967375</v>
      </c>
      <c r="AB171" s="154">
        <v>7.9452054794520555E-2</v>
      </c>
      <c r="AC171" s="154">
        <f t="shared" si="42"/>
        <v>8.9842006902425915</v>
      </c>
      <c r="AD171" s="361" t="str">
        <f t="shared" si="40"/>
        <v>456M</v>
      </c>
      <c r="AE171" s="135">
        <f t="shared" si="45"/>
        <v>152</v>
      </c>
      <c r="AF171" s="151">
        <v>55393</v>
      </c>
      <c r="AG171" s="154">
        <v>0.15193725285844456</v>
      </c>
      <c r="AH171" s="154">
        <v>0.24931506849315069</v>
      </c>
      <c r="AI171" s="154">
        <f t="shared" si="43"/>
        <v>15.663974410982469</v>
      </c>
      <c r="AJ171" s="361" t="str">
        <f t="shared" si="41"/>
        <v>0M</v>
      </c>
      <c r="AP171" s="155"/>
    </row>
    <row r="172" spans="24:42">
      <c r="X172" s="362" t="str">
        <f t="shared" si="39"/>
        <v>153M</v>
      </c>
      <c r="Y172" s="135">
        <f t="shared" si="44"/>
        <v>153</v>
      </c>
      <c r="Z172" s="151">
        <v>46170</v>
      </c>
      <c r="AA172" s="154">
        <v>0.46830833932589594</v>
      </c>
      <c r="AB172" s="154">
        <v>8.2191780821917804E-2</v>
      </c>
      <c r="AC172" s="154">
        <f t="shared" si="42"/>
        <v>9.0226917866255416</v>
      </c>
      <c r="AD172" s="361" t="str">
        <f t="shared" si="40"/>
        <v>459M</v>
      </c>
      <c r="AE172" s="135">
        <f t="shared" si="45"/>
        <v>153</v>
      </c>
      <c r="AF172" s="151">
        <v>55485</v>
      </c>
      <c r="AG172" s="154">
        <v>0.15062767392441967</v>
      </c>
      <c r="AH172" s="154">
        <v>0.25205479452054796</v>
      </c>
      <c r="AI172" s="154">
        <f t="shared" si="43"/>
        <v>15.701940838382598</v>
      </c>
      <c r="AJ172" s="361" t="str">
        <f t="shared" si="41"/>
        <v>0M</v>
      </c>
      <c r="AP172" s="155"/>
    </row>
    <row r="173" spans="24:42">
      <c r="X173" s="362" t="str">
        <f t="shared" si="39"/>
        <v>154M</v>
      </c>
      <c r="Y173" s="135">
        <f t="shared" si="44"/>
        <v>154</v>
      </c>
      <c r="Z173" s="151">
        <v>46202</v>
      </c>
      <c r="AA173" s="154">
        <v>0.46582376756143334</v>
      </c>
      <c r="AB173" s="154">
        <v>8.7671232876712329E-2</v>
      </c>
      <c r="AC173" s="154">
        <f t="shared" si="42"/>
        <v>9.0635311306309276</v>
      </c>
      <c r="AD173" s="361" t="str">
        <f t="shared" si="40"/>
        <v>462M</v>
      </c>
      <c r="AE173" s="135">
        <f t="shared" si="45"/>
        <v>154</v>
      </c>
      <c r="AF173" s="151">
        <v>55577</v>
      </c>
      <c r="AG173" s="154">
        <v>0.14933693480925969</v>
      </c>
      <c r="AH173" s="154">
        <v>0.25205479452054796</v>
      </c>
      <c r="AI173" s="154">
        <f t="shared" si="43"/>
        <v>15.739581928800273</v>
      </c>
      <c r="AJ173" s="361" t="str">
        <f t="shared" si="41"/>
        <v>0M</v>
      </c>
      <c r="AP173" s="155"/>
    </row>
    <row r="174" spans="24:42">
      <c r="X174" s="362" t="str">
        <f t="shared" si="39"/>
        <v>155M</v>
      </c>
      <c r="Y174" s="135">
        <f t="shared" si="44"/>
        <v>155</v>
      </c>
      <c r="Z174" s="151">
        <v>46231</v>
      </c>
      <c r="AA174" s="154">
        <v>0.46358292904551657</v>
      </c>
      <c r="AB174" s="154">
        <v>7.9452054794520555E-2</v>
      </c>
      <c r="AC174" s="154">
        <f t="shared" si="42"/>
        <v>9.1003637469112562</v>
      </c>
      <c r="AD174" s="361" t="str">
        <f t="shared" si="40"/>
        <v>465M</v>
      </c>
      <c r="AE174" s="135">
        <f t="shared" si="45"/>
        <v>155</v>
      </c>
      <c r="AF174" s="151">
        <v>55667</v>
      </c>
      <c r="AG174" s="154">
        <v>0.14809220545165847</v>
      </c>
      <c r="AH174" s="154">
        <v>0.24657534246575341</v>
      </c>
      <c r="AI174" s="154">
        <f t="shared" si="43"/>
        <v>15.776097815076024</v>
      </c>
      <c r="AJ174" s="361" t="str">
        <f t="shared" si="41"/>
        <v>0M</v>
      </c>
      <c r="AP174" s="155"/>
    </row>
    <row r="175" spans="24:42">
      <c r="X175" s="362" t="str">
        <f t="shared" si="39"/>
        <v>156M</v>
      </c>
      <c r="Y175" s="135">
        <f t="shared" si="44"/>
        <v>156</v>
      </c>
      <c r="Z175" s="151">
        <v>46262</v>
      </c>
      <c r="AA175" s="154">
        <v>0.46119885886716988</v>
      </c>
      <c r="AB175" s="154">
        <v>8.4931506849315067E-2</v>
      </c>
      <c r="AC175" s="154">
        <f t="shared" si="42"/>
        <v>9.1395340609520304</v>
      </c>
      <c r="AD175" s="361" t="str">
        <f t="shared" si="40"/>
        <v>468M</v>
      </c>
      <c r="AE175" s="135">
        <f t="shared" si="45"/>
        <v>156</v>
      </c>
      <c r="AF175" s="151">
        <v>55759</v>
      </c>
      <c r="AG175" s="154">
        <v>0.1468378837739254</v>
      </c>
      <c r="AH175" s="154">
        <v>0.25205479452054796</v>
      </c>
      <c r="AI175" s="154">
        <f t="shared" si="43"/>
        <v>15.813109007698493</v>
      </c>
      <c r="AJ175" s="361" t="str">
        <f t="shared" si="41"/>
        <v>0M</v>
      </c>
      <c r="AP175" s="155"/>
    </row>
    <row r="176" spans="24:42">
      <c r="X176" s="362" t="str">
        <f t="shared" si="39"/>
        <v>157M</v>
      </c>
      <c r="Y176" s="135">
        <f t="shared" si="44"/>
        <v>157</v>
      </c>
      <c r="Z176" s="151">
        <v>46293</v>
      </c>
      <c r="AA176" s="154">
        <v>0.45882642213339653</v>
      </c>
      <c r="AB176" s="154">
        <v>8.4931506849315067E-2</v>
      </c>
      <c r="AC176" s="154">
        <f t="shared" si="42"/>
        <v>9.1785028803661</v>
      </c>
      <c r="AD176" s="361" t="str">
        <f t="shared" si="40"/>
        <v>471M</v>
      </c>
      <c r="AE176" s="135">
        <f t="shared" si="45"/>
        <v>157</v>
      </c>
      <c r="AF176" s="151">
        <v>55851</v>
      </c>
      <c r="AG176" s="154">
        <v>0.14560155023942481</v>
      </c>
      <c r="AH176" s="154">
        <v>0.25205479452054796</v>
      </c>
      <c r="AI176" s="154">
        <f t="shared" si="43"/>
        <v>15.849808576525964</v>
      </c>
      <c r="AJ176" s="361" t="str">
        <f t="shared" si="41"/>
        <v>0M</v>
      </c>
      <c r="AP176" s="155"/>
    </row>
    <row r="177" spans="24:42">
      <c r="X177" s="362" t="str">
        <f t="shared" si="39"/>
        <v>158M</v>
      </c>
      <c r="Y177" s="135">
        <f t="shared" si="44"/>
        <v>158</v>
      </c>
      <c r="Z177" s="151">
        <v>46323</v>
      </c>
      <c r="AA177" s="154">
        <v>0.45654154193238505</v>
      </c>
      <c r="AB177" s="154">
        <v>8.2191780821917804E-2</v>
      </c>
      <c r="AC177" s="154">
        <f t="shared" si="42"/>
        <v>9.2160268427167065</v>
      </c>
      <c r="AD177" s="361" t="str">
        <f t="shared" si="40"/>
        <v>474M</v>
      </c>
      <c r="AE177" s="135">
        <f t="shared" si="45"/>
        <v>158</v>
      </c>
      <c r="AF177" s="151">
        <v>55943</v>
      </c>
      <c r="AG177" s="154">
        <v>0.14438292912570011</v>
      </c>
      <c r="AH177" s="154">
        <v>0.25205479452054796</v>
      </c>
      <c r="AI177" s="154">
        <f t="shared" si="43"/>
        <v>15.886200986059018</v>
      </c>
      <c r="AJ177" s="361" t="str">
        <f t="shared" si="41"/>
        <v>0M</v>
      </c>
      <c r="AP177" s="155"/>
    </row>
    <row r="178" spans="24:42">
      <c r="X178" s="362" t="str">
        <f t="shared" si="39"/>
        <v>159M</v>
      </c>
      <c r="Y178" s="135">
        <f t="shared" si="44"/>
        <v>159</v>
      </c>
      <c r="Z178" s="151">
        <v>46356</v>
      </c>
      <c r="AA178" s="154">
        <v>0.45404064222388912</v>
      </c>
      <c r="AB178" s="154">
        <v>9.0410958904109592E-2</v>
      </c>
      <c r="AC178" s="154">
        <f t="shared" si="42"/>
        <v>9.2570770925616053</v>
      </c>
      <c r="AD178" s="361" t="str">
        <f t="shared" si="40"/>
        <v>477M</v>
      </c>
      <c r="AE178" s="135">
        <f t="shared" si="45"/>
        <v>159</v>
      </c>
      <c r="AF178" s="151">
        <v>56032</v>
      </c>
      <c r="AG178" s="154">
        <v>0.1432206462495747</v>
      </c>
      <c r="AH178" s="154">
        <v>0.24383561643835616</v>
      </c>
      <c r="AI178" s="154">
        <f t="shared" si="43"/>
        <v>15.921123280623982</v>
      </c>
      <c r="AJ178" s="361" t="str">
        <f t="shared" si="41"/>
        <v>0M</v>
      </c>
      <c r="AP178" s="155"/>
    </row>
    <row r="179" spans="24:42">
      <c r="X179" s="362" t="str">
        <f t="shared" si="39"/>
        <v>160M</v>
      </c>
      <c r="Y179" s="135">
        <f t="shared" si="44"/>
        <v>160</v>
      </c>
      <c r="Z179" s="151">
        <v>46385</v>
      </c>
      <c r="AA179" s="154">
        <v>0.45185361615389646</v>
      </c>
      <c r="AB179" s="154">
        <v>7.9452054794520555E-2</v>
      </c>
      <c r="AC179" s="154">
        <f t="shared" si="42"/>
        <v>9.2929777908313671</v>
      </c>
      <c r="AD179" s="361" t="str">
        <f t="shared" si="40"/>
        <v>480M</v>
      </c>
      <c r="AE179" s="135">
        <f t="shared" si="45"/>
        <v>160</v>
      </c>
      <c r="AF179" s="151">
        <v>56124</v>
      </c>
      <c r="AG179" s="154">
        <v>0.14203608671250226</v>
      </c>
      <c r="AH179" s="154">
        <v>0.25205479452054796</v>
      </c>
      <c r="AI179" s="154">
        <f t="shared" si="43"/>
        <v>15.956924157274806</v>
      </c>
      <c r="AJ179" s="361" t="str">
        <f t="shared" si="41"/>
        <v>0M</v>
      </c>
      <c r="AP179" s="155"/>
    </row>
    <row r="180" spans="24:42">
      <c r="X180" s="362" t="str">
        <f t="shared" si="39"/>
        <v>161M</v>
      </c>
      <c r="Y180" s="135">
        <f t="shared" si="44"/>
        <v>161</v>
      </c>
      <c r="Z180" s="151">
        <v>46415</v>
      </c>
      <c r="AA180" s="154">
        <v>0.44960169449864268</v>
      </c>
      <c r="AB180" s="154">
        <v>8.2191780821917804E-2</v>
      </c>
      <c r="AC180" s="154">
        <f t="shared" si="42"/>
        <v>9.3299313547627616</v>
      </c>
      <c r="AD180" s="361"/>
      <c r="AG180" s="143"/>
      <c r="AJ180" s="361"/>
      <c r="AP180" s="155"/>
    </row>
    <row r="181" spans="24:42">
      <c r="X181" s="362" t="str">
        <f t="shared" si="39"/>
        <v>162M</v>
      </c>
      <c r="Y181" s="135">
        <f t="shared" si="44"/>
        <v>162</v>
      </c>
      <c r="Z181" s="151">
        <v>46444</v>
      </c>
      <c r="AA181" s="154">
        <v>0.44743496116158193</v>
      </c>
      <c r="AB181" s="154">
        <v>7.9452054794520555E-2</v>
      </c>
      <c r="AC181" s="154">
        <f t="shared" si="42"/>
        <v>9.3654809818139562</v>
      </c>
      <c r="AD181" s="361"/>
      <c r="AG181" s="143"/>
      <c r="AJ181" s="361"/>
      <c r="AP181" s="155"/>
    </row>
    <row r="182" spans="24:42">
      <c r="X182" s="362" t="str">
        <f t="shared" si="39"/>
        <v>163M</v>
      </c>
      <c r="Y182" s="135">
        <f t="shared" si="44"/>
        <v>163</v>
      </c>
      <c r="Z182" s="151">
        <v>46476</v>
      </c>
      <c r="AA182" s="154">
        <v>0.44505558135769119</v>
      </c>
      <c r="AB182" s="154">
        <v>8.7671232876712329E-2</v>
      </c>
      <c r="AC182" s="154">
        <f t="shared" si="42"/>
        <v>9.4044995533302469</v>
      </c>
      <c r="AD182" s="361"/>
      <c r="AG182" s="143"/>
      <c r="AJ182" s="361"/>
      <c r="AP182" s="155"/>
    </row>
    <row r="183" spans="24:42">
      <c r="X183" s="362" t="str">
        <f t="shared" si="39"/>
        <v>164M</v>
      </c>
      <c r="Y183" s="135">
        <f t="shared" si="44"/>
        <v>164</v>
      </c>
      <c r="Z183" s="151">
        <v>46505</v>
      </c>
      <c r="AA183" s="154">
        <v>0.44290964244101128</v>
      </c>
      <c r="AB183" s="154">
        <v>7.9452054794520555E-2</v>
      </c>
      <c r="AC183" s="154">
        <f t="shared" si="42"/>
        <v>9.4396896345104917</v>
      </c>
      <c r="AD183" s="361"/>
      <c r="AG183" s="143"/>
      <c r="AJ183" s="361"/>
      <c r="AP183" s="155"/>
    </row>
    <row r="184" spans="24:42">
      <c r="X184" s="362" t="str">
        <f t="shared" si="39"/>
        <v>165M</v>
      </c>
      <c r="Y184" s="135">
        <f t="shared" si="44"/>
        <v>165</v>
      </c>
      <c r="Z184" s="151">
        <v>46535</v>
      </c>
      <c r="AA184" s="154">
        <v>0.44070003881847353</v>
      </c>
      <c r="AB184" s="154">
        <v>8.2191780821917804E-2</v>
      </c>
      <c r="AC184" s="154">
        <f t="shared" si="42"/>
        <v>9.4759115555092706</v>
      </c>
      <c r="AD184" s="361"/>
      <c r="AG184" s="143"/>
      <c r="AJ184" s="361"/>
    </row>
    <row r="185" spans="24:42">
      <c r="X185" s="362" t="str">
        <f t="shared" si="39"/>
        <v>166M</v>
      </c>
      <c r="Y185" s="135">
        <f t="shared" si="44"/>
        <v>166</v>
      </c>
      <c r="Z185" s="151">
        <v>46566</v>
      </c>
      <c r="AA185" s="154">
        <v>0.43842777217823797</v>
      </c>
      <c r="AB185" s="154">
        <v>8.4931506849315067E-2</v>
      </c>
      <c r="AC185" s="154">
        <f t="shared" si="42"/>
        <v>9.5131478868449566</v>
      </c>
      <c r="AD185" s="361"/>
      <c r="AG185" s="143"/>
      <c r="AJ185" s="361"/>
    </row>
    <row r="186" spans="24:42">
      <c r="X186" s="362" t="str">
        <f t="shared" si="39"/>
        <v>167M</v>
      </c>
      <c r="Y186" s="135">
        <f t="shared" si="44"/>
        <v>167</v>
      </c>
      <c r="Z186" s="151">
        <v>46596</v>
      </c>
      <c r="AA186" s="154">
        <v>0.43623939247914978</v>
      </c>
      <c r="AB186" s="154">
        <v>8.2191780821917804E-2</v>
      </c>
      <c r="AC186" s="154">
        <f t="shared" si="42"/>
        <v>9.5490031793774897</v>
      </c>
      <c r="AD186" s="361"/>
      <c r="AG186" s="143"/>
    </row>
    <row r="187" spans="24:42">
      <c r="X187" s="362" t="str">
        <f t="shared" si="39"/>
        <v>168M</v>
      </c>
      <c r="Y187" s="135">
        <f t="shared" si="44"/>
        <v>168</v>
      </c>
      <c r="Z187" s="151">
        <v>46629</v>
      </c>
      <c r="AA187" s="154">
        <v>0.43384414753360884</v>
      </c>
      <c r="AB187" s="154">
        <v>9.0410958904109592E-2</v>
      </c>
      <c r="AC187" s="154">
        <f t="shared" si="42"/>
        <v>9.5882274447709399</v>
      </c>
      <c r="AD187" s="361"/>
      <c r="AG187" s="143"/>
    </row>
    <row r="188" spans="24:42">
      <c r="X188" s="362" t="str">
        <f t="shared" si="39"/>
        <v>169M</v>
      </c>
      <c r="Y188" s="135">
        <f t="shared" si="44"/>
        <v>169</v>
      </c>
      <c r="Z188" s="151">
        <v>46658</v>
      </c>
      <c r="AA188" s="154">
        <v>0.4317495426206866</v>
      </c>
      <c r="AB188" s="154">
        <v>7.9452054794520555E-2</v>
      </c>
      <c r="AC188" s="154">
        <f t="shared" si="42"/>
        <v>9.6225308330887476</v>
      </c>
      <c r="AD188" s="361"/>
      <c r="AG188" s="143"/>
    </row>
    <row r="189" spans="24:42">
      <c r="X189" s="362" t="str">
        <f t="shared" si="39"/>
        <v>170M</v>
      </c>
      <c r="Y189" s="135">
        <f t="shared" si="44"/>
        <v>170</v>
      </c>
      <c r="Z189" s="151">
        <v>46688</v>
      </c>
      <c r="AA189" s="154">
        <v>0.42959281051495496</v>
      </c>
      <c r="AB189" s="154">
        <v>8.2191780821917804E-2</v>
      </c>
      <c r="AC189" s="154">
        <f t="shared" si="42"/>
        <v>9.6578398312132645</v>
      </c>
      <c r="AD189" s="361"/>
      <c r="AG189" s="143"/>
    </row>
    <row r="190" spans="24:42">
      <c r="X190" s="362" t="str">
        <f t="shared" si="39"/>
        <v>171M</v>
      </c>
      <c r="Y190" s="135">
        <f t="shared" si="44"/>
        <v>171</v>
      </c>
      <c r="Z190" s="151">
        <v>46720</v>
      </c>
      <c r="AA190" s="154">
        <v>0.42730356698735189</v>
      </c>
      <c r="AB190" s="154">
        <v>8.7671232876712329E-2</v>
      </c>
      <c r="AC190" s="154">
        <f t="shared" si="42"/>
        <v>9.6953020617436625</v>
      </c>
      <c r="AD190" s="361"/>
      <c r="AG190" s="143"/>
    </row>
    <row r="191" spans="24:42">
      <c r="X191" s="362" t="str">
        <f t="shared" si="39"/>
        <v>172M</v>
      </c>
      <c r="Y191" s="135">
        <f t="shared" si="44"/>
        <v>172</v>
      </c>
      <c r="Z191" s="151">
        <v>46750</v>
      </c>
      <c r="AA191" s="154">
        <v>0.42516791930280567</v>
      </c>
      <c r="AB191" s="154">
        <v>8.2191780821917804E-2</v>
      </c>
      <c r="AC191" s="154">
        <f t="shared" si="42"/>
        <v>9.7302473701795087</v>
      </c>
      <c r="AD191" s="361"/>
      <c r="AG191" s="143"/>
    </row>
    <row r="192" spans="24:42">
      <c r="X192" s="362" t="str">
        <f t="shared" si="39"/>
        <v>173M</v>
      </c>
      <c r="Y192" s="135">
        <f t="shared" si="44"/>
        <v>173</v>
      </c>
      <c r="Z192" s="151">
        <v>46780</v>
      </c>
      <c r="AA192" s="154">
        <v>0.42304240402092946</v>
      </c>
      <c r="AB192" s="154">
        <v>8.2191780821917804E-2</v>
      </c>
      <c r="AC192" s="154">
        <f t="shared" si="42"/>
        <v>9.7650179787291744</v>
      </c>
      <c r="AD192" s="361"/>
      <c r="AG192" s="143"/>
    </row>
    <row r="193" spans="24:33">
      <c r="X193" s="362" t="str">
        <f t="shared" si="39"/>
        <v>174M</v>
      </c>
      <c r="Y193" s="135">
        <f t="shared" si="44"/>
        <v>174</v>
      </c>
      <c r="Z193" s="151">
        <v>46811</v>
      </c>
      <c r="AA193" s="154">
        <v>0.42085663484386798</v>
      </c>
      <c r="AB193" s="154">
        <v>8.4931506849315067E-2</v>
      </c>
      <c r="AC193" s="154">
        <f t="shared" si="42"/>
        <v>9.8007619668939956</v>
      </c>
      <c r="AD193" s="361"/>
      <c r="AG193" s="143"/>
    </row>
    <row r="194" spans="24:33">
      <c r="X194" s="362" t="str">
        <f t="shared" si="39"/>
        <v>175M</v>
      </c>
      <c r="Y194" s="135">
        <f t="shared" si="44"/>
        <v>175</v>
      </c>
      <c r="Z194" s="151">
        <v>46840</v>
      </c>
      <c r="AA194" s="154">
        <v>0.41882158995232388</v>
      </c>
      <c r="AB194" s="154">
        <v>7.9452054794520555E-2</v>
      </c>
      <c r="AC194" s="154">
        <f t="shared" si="42"/>
        <v>9.8340382028080153</v>
      </c>
      <c r="AD194" s="361"/>
      <c r="AG194" s="143"/>
    </row>
    <row r="195" spans="24:33">
      <c r="X195" s="362" t="str">
        <f t="shared" si="39"/>
        <v>176M</v>
      </c>
      <c r="Y195" s="135">
        <f t="shared" si="44"/>
        <v>176</v>
      </c>
      <c r="Z195" s="151">
        <v>46871</v>
      </c>
      <c r="AA195" s="154">
        <v>0.41665652664158892</v>
      </c>
      <c r="AB195" s="154">
        <v>8.4931506849315067E-2</v>
      </c>
      <c r="AC195" s="154">
        <f t="shared" si="42"/>
        <v>9.8694254694542867</v>
      </c>
      <c r="AD195" s="361"/>
      <c r="AG195" s="143"/>
    </row>
    <row r="196" spans="24:33">
      <c r="X196" s="362" t="str">
        <f t="shared" si="39"/>
        <v>177M</v>
      </c>
      <c r="Y196" s="135">
        <f t="shared" si="44"/>
        <v>177</v>
      </c>
      <c r="Z196" s="151">
        <v>46902</v>
      </c>
      <c r="AA196" s="154">
        <v>0.41450208893669482</v>
      </c>
      <c r="AB196" s="154">
        <v>8.4931506849315067E-2</v>
      </c>
      <c r="AC196" s="154">
        <f t="shared" si="42"/>
        <v>9.9046297564598689</v>
      </c>
      <c r="AD196" s="361"/>
      <c r="AG196" s="143"/>
    </row>
    <row r="197" spans="24:33">
      <c r="X197" s="362" t="str">
        <f t="shared" si="39"/>
        <v>178M</v>
      </c>
      <c r="Y197" s="135">
        <f t="shared" si="44"/>
        <v>178</v>
      </c>
      <c r="Z197" s="151">
        <v>46932</v>
      </c>
      <c r="AA197" s="154">
        <v>0.41242721999661713</v>
      </c>
      <c r="AB197" s="154">
        <v>8.2191780821917804E-2</v>
      </c>
      <c r="AC197" s="154">
        <f t="shared" si="42"/>
        <v>9.9385278841308242</v>
      </c>
      <c r="AD197" s="361"/>
      <c r="AG197" s="143"/>
    </row>
    <row r="198" spans="24:33">
      <c r="X198" s="362" t="str">
        <f t="shared" si="39"/>
        <v>179M</v>
      </c>
      <c r="Y198" s="135">
        <f t="shared" si="44"/>
        <v>179</v>
      </c>
      <c r="Z198" s="151">
        <v>46962</v>
      </c>
      <c r="AA198" s="154">
        <v>0.41036221196007988</v>
      </c>
      <c r="AB198" s="154">
        <v>8.2191780821917804E-2</v>
      </c>
      <c r="AC198" s="154">
        <f t="shared" si="42"/>
        <v>9.9722562851138452</v>
      </c>
      <c r="AD198" s="361"/>
      <c r="AG198" s="143"/>
    </row>
    <row r="199" spans="24:33">
      <c r="X199" s="362" t="str">
        <f t="shared" si="39"/>
        <v>180M</v>
      </c>
      <c r="Y199" s="135">
        <f t="shared" si="44"/>
        <v>180</v>
      </c>
      <c r="Z199" s="151">
        <v>46993</v>
      </c>
      <c r="AA199" s="154">
        <v>0.40823868290812126</v>
      </c>
      <c r="AB199" s="154">
        <v>8.4931506849315067E-2</v>
      </c>
      <c r="AC199" s="154">
        <f t="shared" si="42"/>
        <v>10.006928611607412</v>
      </c>
      <c r="AD199" s="361"/>
      <c r="AG199" s="143"/>
    </row>
    <row r="200" spans="24:33">
      <c r="X200" s="362" t="str">
        <f t="shared" si="39"/>
        <v>181M</v>
      </c>
      <c r="Y200" s="135">
        <f t="shared" si="44"/>
        <v>181</v>
      </c>
      <c r="Z200" s="151">
        <v>47024</v>
      </c>
      <c r="AA200" s="154">
        <v>0.40635184546342223</v>
      </c>
      <c r="AB200" s="154">
        <v>8.4931506849315067E-2</v>
      </c>
      <c r="AC200" s="154">
        <f t="shared" si="42"/>
        <v>10.041440686153621</v>
      </c>
      <c r="AD200" s="361"/>
      <c r="AG200" s="143"/>
    </row>
    <row r="201" spans="24:33">
      <c r="X201" s="362" t="str">
        <f t="shared" si="39"/>
        <v>182M</v>
      </c>
      <c r="Y201" s="135">
        <f t="shared" si="44"/>
        <v>182</v>
      </c>
      <c r="Z201" s="151">
        <v>47056</v>
      </c>
      <c r="AA201" s="154">
        <v>0.40441536856375038</v>
      </c>
      <c r="AB201" s="154">
        <v>8.7671232876712329E-2</v>
      </c>
      <c r="AC201" s="154">
        <f t="shared" si="42"/>
        <v>10.076896280109894</v>
      </c>
      <c r="AD201" s="361"/>
      <c r="AG201" s="143"/>
    </row>
    <row r="202" spans="24:33">
      <c r="X202" s="362" t="str">
        <f t="shared" si="39"/>
        <v>183M</v>
      </c>
      <c r="Y202" s="135">
        <f t="shared" si="44"/>
        <v>183</v>
      </c>
      <c r="Z202" s="151">
        <v>47085</v>
      </c>
      <c r="AA202" s="154">
        <v>0.40267022551660397</v>
      </c>
      <c r="AB202" s="154">
        <v>7.9452054794520555E-2</v>
      </c>
      <c r="AC202" s="154">
        <f t="shared" si="42"/>
        <v>10.108889256931761</v>
      </c>
      <c r="AD202" s="361"/>
      <c r="AG202" s="143"/>
    </row>
    <row r="203" spans="24:33">
      <c r="X203" s="362" t="str">
        <f t="shared" si="39"/>
        <v>184M</v>
      </c>
      <c r="Y203" s="135">
        <f t="shared" si="44"/>
        <v>184</v>
      </c>
      <c r="Z203" s="151">
        <v>47115</v>
      </c>
      <c r="AA203" s="154">
        <v>0.40087463916603489</v>
      </c>
      <c r="AB203" s="154">
        <v>8.2191780821917804E-2</v>
      </c>
      <c r="AC203" s="154">
        <f t="shared" si="42"/>
        <v>10.141837857411161</v>
      </c>
      <c r="AD203" s="361"/>
      <c r="AG203" s="143"/>
    </row>
    <row r="204" spans="24:33">
      <c r="X204" s="362" t="str">
        <f t="shared" si="39"/>
        <v>185M</v>
      </c>
      <c r="Y204" s="135">
        <f t="shared" si="44"/>
        <v>185</v>
      </c>
      <c r="Z204" s="151">
        <v>47147</v>
      </c>
      <c r="AA204" s="154">
        <v>0.39897019048722987</v>
      </c>
      <c r="AB204" s="154">
        <v>8.7671232876712329E-2</v>
      </c>
      <c r="AC204" s="154">
        <f t="shared" si="42"/>
        <v>10.176816065892234</v>
      </c>
      <c r="AD204" s="361"/>
      <c r="AG204" s="143"/>
    </row>
    <row r="205" spans="24:33">
      <c r="X205" s="362" t="str">
        <f t="shared" si="39"/>
        <v>186M</v>
      </c>
      <c r="Y205" s="135">
        <f t="shared" si="44"/>
        <v>186</v>
      </c>
      <c r="Z205" s="151">
        <v>47177</v>
      </c>
      <c r="AA205" s="154">
        <v>0.39719487202066828</v>
      </c>
      <c r="AB205" s="154">
        <v>8.2191780821917804E-2</v>
      </c>
      <c r="AC205" s="154">
        <f t="shared" si="42"/>
        <v>10.209462219756947</v>
      </c>
      <c r="AD205" s="361"/>
      <c r="AG205" s="143"/>
    </row>
    <row r="206" spans="24:33">
      <c r="X206" s="362" t="str">
        <f t="shared" si="39"/>
        <v>187M</v>
      </c>
      <c r="Y206" s="135">
        <f t="shared" si="44"/>
        <v>187</v>
      </c>
      <c r="Z206" s="151">
        <v>47205</v>
      </c>
      <c r="AA206" s="154">
        <v>0.39554667459469373</v>
      </c>
      <c r="AB206" s="154">
        <v>7.6712328767123292E-2</v>
      </c>
      <c r="AC206" s="154">
        <f t="shared" si="42"/>
        <v>10.239805526301197</v>
      </c>
      <c r="AD206" s="361"/>
      <c r="AG206" s="143"/>
    </row>
    <row r="207" spans="24:33">
      <c r="X207" s="362" t="str">
        <f t="shared" si="39"/>
        <v>188M</v>
      </c>
      <c r="Y207" s="135">
        <f t="shared" si="44"/>
        <v>188</v>
      </c>
      <c r="Z207" s="151">
        <v>47238</v>
      </c>
      <c r="AA207" s="154">
        <v>0.39361495542080083</v>
      </c>
      <c r="AB207" s="154">
        <v>9.0410958904109592E-2</v>
      </c>
      <c r="AC207" s="154">
        <f t="shared" si="42"/>
        <v>10.275392631859789</v>
      </c>
      <c r="AD207" s="361"/>
      <c r="AG207" s="143"/>
    </row>
    <row r="208" spans="24:33">
      <c r="X208" s="362" t="str">
        <f t="shared" si="39"/>
        <v>189M</v>
      </c>
      <c r="Y208" s="135">
        <f t="shared" si="44"/>
        <v>189</v>
      </c>
      <c r="Z208" s="151">
        <v>47266</v>
      </c>
      <c r="AA208" s="154">
        <v>0.39198502862645812</v>
      </c>
      <c r="AB208" s="154">
        <v>7.6712328767123292E-2</v>
      </c>
      <c r="AC208" s="154">
        <f t="shared" si="42"/>
        <v>10.305462716247572</v>
      </c>
      <c r="AD208" s="361"/>
      <c r="AG208" s="143"/>
    </row>
    <row r="209" spans="24:33">
      <c r="X209" s="362" t="str">
        <f t="shared" si="39"/>
        <v>190M</v>
      </c>
      <c r="Y209" s="135">
        <f t="shared" si="44"/>
        <v>190</v>
      </c>
      <c r="Z209" s="151">
        <v>47297</v>
      </c>
      <c r="AA209" s="154">
        <v>0.39019015886280511</v>
      </c>
      <c r="AB209" s="154">
        <v>8.4931506849315067E-2</v>
      </c>
      <c r="AC209" s="154">
        <f t="shared" si="42"/>
        <v>10.338602154397563</v>
      </c>
      <c r="AD209" s="361"/>
      <c r="AG209" s="143"/>
    </row>
    <row r="210" spans="24:33">
      <c r="X210" s="362" t="str">
        <f t="shared" si="39"/>
        <v>191M</v>
      </c>
      <c r="Y210" s="135">
        <f t="shared" si="44"/>
        <v>191</v>
      </c>
      <c r="Z210" s="151">
        <v>47329</v>
      </c>
      <c r="AA210" s="154">
        <v>0.38834800718987628</v>
      </c>
      <c r="AB210" s="154">
        <v>8.7671232876712329E-2</v>
      </c>
      <c r="AC210" s="154">
        <f t="shared" si="42"/>
        <v>10.372649102973114</v>
      </c>
      <c r="AD210" s="361"/>
      <c r="AG210" s="143"/>
    </row>
    <row r="211" spans="24:33">
      <c r="X211" s="362" t="str">
        <f t="shared" si="39"/>
        <v>192M</v>
      </c>
      <c r="Y211" s="135">
        <f t="shared" si="44"/>
        <v>192</v>
      </c>
      <c r="Z211" s="151">
        <v>47358</v>
      </c>
      <c r="AA211" s="154">
        <v>0.38668781550808518</v>
      </c>
      <c r="AB211" s="154">
        <v>7.9452054794520555E-2</v>
      </c>
      <c r="AC211" s="154">
        <f t="shared" si="42"/>
        <v>10.403372244479236</v>
      </c>
      <c r="AD211" s="361"/>
      <c r="AG211" s="143"/>
    </row>
    <row r="212" spans="24:33">
      <c r="X212" s="362" t="str">
        <f t="shared" si="39"/>
        <v>193M</v>
      </c>
      <c r="Y212" s="135">
        <f t="shared" si="44"/>
        <v>193</v>
      </c>
      <c r="Z212" s="151">
        <v>47389</v>
      </c>
      <c r="AA212" s="154">
        <v>0.38492280177425803</v>
      </c>
      <c r="AB212" s="154">
        <v>8.4931506849315067E-2</v>
      </c>
      <c r="AC212" s="154">
        <f t="shared" si="42"/>
        <v>10.436064318054584</v>
      </c>
      <c r="AD212" s="361"/>
      <c r="AG212" s="143"/>
    </row>
    <row r="213" spans="24:33">
      <c r="X213" s="362" t="str">
        <f t="shared" ref="X213:X276" si="46">Y213&amp;"M"</f>
        <v>194M</v>
      </c>
      <c r="Y213" s="135">
        <f t="shared" si="44"/>
        <v>194</v>
      </c>
      <c r="Z213" s="151">
        <v>47420</v>
      </c>
      <c r="AA213" s="154">
        <v>0.3831677229088114</v>
      </c>
      <c r="AB213" s="154">
        <v>8.4931506849315067E-2</v>
      </c>
      <c r="AC213" s="154">
        <f t="shared" si="42"/>
        <v>10.46860733013725</v>
      </c>
      <c r="AD213" s="361"/>
      <c r="AG213" s="143"/>
    </row>
    <row r="214" spans="24:33">
      <c r="X214" s="362" t="str">
        <f t="shared" si="46"/>
        <v>195M</v>
      </c>
      <c r="Y214" s="135">
        <f t="shared" si="44"/>
        <v>195</v>
      </c>
      <c r="Z214" s="151">
        <v>47450</v>
      </c>
      <c r="AA214" s="154">
        <v>0.38147865998529673</v>
      </c>
      <c r="AB214" s="154">
        <v>8.2191780821917804E-2</v>
      </c>
      <c r="AC214" s="154">
        <f t="shared" ref="AC214:AC277" si="47">AC213+AA214*AB214</f>
        <v>10.499961740547</v>
      </c>
      <c r="AD214" s="361"/>
      <c r="AG214" s="143"/>
    </row>
    <row r="215" spans="24:33">
      <c r="X215" s="362" t="str">
        <f t="shared" si="46"/>
        <v>196M</v>
      </c>
      <c r="Y215" s="135">
        <f t="shared" ref="Y215:Y278" si="48">Y214+1</f>
        <v>196</v>
      </c>
      <c r="Z215" s="151">
        <v>47480</v>
      </c>
      <c r="AA215" s="154">
        <v>0.37979878660689842</v>
      </c>
      <c r="AB215" s="154">
        <v>8.2191780821917804E-2</v>
      </c>
      <c r="AC215" s="154">
        <f t="shared" si="47"/>
        <v>10.531178079172225</v>
      </c>
      <c r="AD215" s="361"/>
      <c r="AG215" s="143"/>
    </row>
    <row r="216" spans="24:33">
      <c r="X216" s="362" t="str">
        <f t="shared" si="46"/>
        <v>197M</v>
      </c>
      <c r="Y216" s="135">
        <f t="shared" si="48"/>
        <v>197</v>
      </c>
      <c r="Z216" s="151">
        <v>47512</v>
      </c>
      <c r="AA216" s="154">
        <v>0.37801698768018988</v>
      </c>
      <c r="AB216" s="154">
        <v>8.7671232876712329E-2</v>
      </c>
      <c r="AC216" s="154">
        <f t="shared" si="47"/>
        <v>10.564319294530488</v>
      </c>
      <c r="AD216" s="361"/>
      <c r="AG216" s="143"/>
    </row>
    <row r="217" spans="24:33">
      <c r="X217" s="362" t="str">
        <f t="shared" si="46"/>
        <v>198M</v>
      </c>
      <c r="Y217" s="135">
        <f t="shared" si="48"/>
        <v>198</v>
      </c>
      <c r="Z217" s="151">
        <v>47542</v>
      </c>
      <c r="AA217" s="154">
        <v>0.37635592949073393</v>
      </c>
      <c r="AB217" s="154">
        <v>8.2191780821917804E-2</v>
      </c>
      <c r="AC217" s="154">
        <f t="shared" si="47"/>
        <v>10.59525265859822</v>
      </c>
      <c r="AD217" s="361"/>
      <c r="AG217" s="143"/>
    </row>
    <row r="218" spans="24:33">
      <c r="X218" s="362" t="str">
        <f t="shared" si="46"/>
        <v>199M</v>
      </c>
      <c r="Y218" s="135">
        <f t="shared" si="48"/>
        <v>199</v>
      </c>
      <c r="Z218" s="151">
        <v>47570</v>
      </c>
      <c r="AA218" s="154">
        <v>0.37481374717960864</v>
      </c>
      <c r="AB218" s="154">
        <v>7.6712328767123292E-2</v>
      </c>
      <c r="AC218" s="154">
        <f t="shared" si="47"/>
        <v>10.624005493998299</v>
      </c>
      <c r="AD218" s="361"/>
      <c r="AG218" s="143"/>
    </row>
    <row r="219" spans="24:33">
      <c r="X219" s="362" t="str">
        <f t="shared" si="46"/>
        <v>200M</v>
      </c>
      <c r="Y219" s="135">
        <f t="shared" si="48"/>
        <v>200</v>
      </c>
      <c r="Z219" s="151">
        <v>47602</v>
      </c>
      <c r="AA219" s="154">
        <v>0.37306081681167874</v>
      </c>
      <c r="AB219" s="154">
        <v>8.7671232876712329E-2</v>
      </c>
      <c r="AC219" s="154">
        <f t="shared" si="47"/>
        <v>10.656712195746172</v>
      </c>
      <c r="AD219" s="361"/>
      <c r="AG219" s="143"/>
    </row>
    <row r="220" spans="24:33">
      <c r="X220" s="362" t="str">
        <f t="shared" si="46"/>
        <v>201M</v>
      </c>
      <c r="Y220" s="135">
        <f t="shared" si="48"/>
        <v>201</v>
      </c>
      <c r="Z220" s="151">
        <v>47631</v>
      </c>
      <c r="AA220" s="154">
        <v>0.37148098239413385</v>
      </c>
      <c r="AB220" s="154">
        <v>7.9452054794520555E-2</v>
      </c>
      <c r="AC220" s="154">
        <f t="shared" si="47"/>
        <v>10.686227123114472</v>
      </c>
      <c r="AD220" s="361"/>
      <c r="AG220" s="143"/>
    </row>
    <row r="221" spans="24:33">
      <c r="X221" s="362" t="str">
        <f t="shared" si="46"/>
        <v>202M</v>
      </c>
      <c r="Y221" s="135">
        <f t="shared" si="48"/>
        <v>202</v>
      </c>
      <c r="Z221" s="151">
        <v>47662</v>
      </c>
      <c r="AA221" s="154">
        <v>0.36980134613193472</v>
      </c>
      <c r="AB221" s="154">
        <v>8.4931506849315067E-2</v>
      </c>
      <c r="AC221" s="154">
        <f t="shared" si="47"/>
        <v>10.717634908676363</v>
      </c>
      <c r="AD221" s="361"/>
      <c r="AG221" s="143"/>
    </row>
    <row r="222" spans="24:33">
      <c r="X222" s="362" t="str">
        <f t="shared" si="46"/>
        <v>203M</v>
      </c>
      <c r="Y222" s="135">
        <f t="shared" si="48"/>
        <v>203</v>
      </c>
      <c r="Z222" s="151">
        <v>47693</v>
      </c>
      <c r="AA222" s="154">
        <v>0.36813110929607917</v>
      </c>
      <c r="AB222" s="154">
        <v>8.4931506849315067E-2</v>
      </c>
      <c r="AC222" s="154">
        <f t="shared" si="47"/>
        <v>10.748900838506989</v>
      </c>
      <c r="AD222" s="361"/>
      <c r="AG222" s="143"/>
    </row>
    <row r="223" spans="24:33">
      <c r="X223" s="362" t="str">
        <f t="shared" si="46"/>
        <v>204M</v>
      </c>
      <c r="Y223" s="135">
        <f t="shared" si="48"/>
        <v>204</v>
      </c>
      <c r="Z223" s="151">
        <v>47723</v>
      </c>
      <c r="AA223" s="154">
        <v>0.36652364520986908</v>
      </c>
      <c r="AB223" s="154">
        <v>8.2191780821917804E-2</v>
      </c>
      <c r="AC223" s="154">
        <f t="shared" si="47"/>
        <v>10.779026069620128</v>
      </c>
      <c r="AD223" s="361"/>
      <c r="AG223" s="143"/>
    </row>
    <row r="224" spans="24:33">
      <c r="X224" s="362" t="str">
        <f t="shared" si="46"/>
        <v>205M</v>
      </c>
      <c r="Y224" s="135">
        <f t="shared" si="48"/>
        <v>205</v>
      </c>
      <c r="Z224" s="151">
        <v>47756</v>
      </c>
      <c r="AA224" s="154">
        <v>0.36476547522260605</v>
      </c>
      <c r="AB224" s="154">
        <v>9.0410958904109592E-2</v>
      </c>
      <c r="AC224" s="154">
        <f t="shared" si="47"/>
        <v>10.812004866010117</v>
      </c>
      <c r="AD224" s="361"/>
      <c r="AG224" s="143"/>
    </row>
    <row r="225" spans="24:33">
      <c r="X225" s="362" t="str">
        <f t="shared" si="46"/>
        <v>206M</v>
      </c>
      <c r="Y225" s="135">
        <f t="shared" si="48"/>
        <v>206</v>
      </c>
      <c r="Z225" s="151">
        <v>47784</v>
      </c>
      <c r="AA225" s="154">
        <v>0.36328189297736901</v>
      </c>
      <c r="AB225" s="154">
        <v>7.6712328767123292E-2</v>
      </c>
      <c r="AC225" s="154">
        <f t="shared" si="47"/>
        <v>10.83987306601934</v>
      </c>
      <c r="AD225" s="361"/>
      <c r="AG225" s="143"/>
    </row>
    <row r="226" spans="24:33">
      <c r="X226" s="362" t="str">
        <f t="shared" si="46"/>
        <v>207M</v>
      </c>
      <c r="Y226" s="135">
        <f t="shared" si="48"/>
        <v>207</v>
      </c>
      <c r="Z226" s="151">
        <v>47815</v>
      </c>
      <c r="AA226" s="154">
        <v>0.36164808042298074</v>
      </c>
      <c r="AB226" s="154">
        <v>8.4931506849315067E-2</v>
      </c>
      <c r="AC226" s="154">
        <f t="shared" si="47"/>
        <v>10.870588382438827</v>
      </c>
      <c r="AD226" s="361"/>
      <c r="AG226" s="143"/>
    </row>
    <row r="227" spans="24:33">
      <c r="X227" s="362" t="str">
        <f t="shared" si="46"/>
        <v>208M</v>
      </c>
      <c r="Y227" s="135">
        <f t="shared" si="48"/>
        <v>208</v>
      </c>
      <c r="Z227" s="151">
        <v>47847</v>
      </c>
      <c r="AA227" s="154">
        <v>0.35997112251598223</v>
      </c>
      <c r="AB227" s="154">
        <v>8.7671232876712329E-2</v>
      </c>
      <c r="AC227" s="154">
        <f t="shared" si="47"/>
        <v>10.902147494549817</v>
      </c>
      <c r="AD227" s="361"/>
      <c r="AG227" s="143"/>
    </row>
    <row r="228" spans="24:33">
      <c r="X228" s="362" t="str">
        <f t="shared" si="46"/>
        <v>209M</v>
      </c>
      <c r="Y228" s="135">
        <f t="shared" si="48"/>
        <v>209</v>
      </c>
      <c r="Z228" s="151">
        <v>47876</v>
      </c>
      <c r="AA228" s="154">
        <v>0.3584597148780751</v>
      </c>
      <c r="AB228" s="154">
        <v>7.9452054794520555E-2</v>
      </c>
      <c r="AC228" s="154">
        <f t="shared" si="47"/>
        <v>10.930627855457939</v>
      </c>
      <c r="AD228" s="361"/>
      <c r="AG228" s="143"/>
    </row>
    <row r="229" spans="24:33">
      <c r="X229" s="362" t="str">
        <f t="shared" si="46"/>
        <v>210M</v>
      </c>
      <c r="Y229" s="135">
        <f t="shared" si="48"/>
        <v>210</v>
      </c>
      <c r="Z229" s="151">
        <v>47907</v>
      </c>
      <c r="AA229" s="154">
        <v>0.35685278245759494</v>
      </c>
      <c r="AB229" s="154">
        <v>8.4931506849315067E-2</v>
      </c>
      <c r="AC229" s="154">
        <f t="shared" si="47"/>
        <v>10.960935899995434</v>
      </c>
      <c r="AD229" s="361"/>
      <c r="AG229" s="143"/>
    </row>
    <row r="230" spans="24:33">
      <c r="X230" s="362" t="str">
        <f t="shared" si="46"/>
        <v>211M</v>
      </c>
      <c r="Y230" s="135">
        <f t="shared" si="48"/>
        <v>211</v>
      </c>
      <c r="Z230" s="151">
        <v>47935</v>
      </c>
      <c r="AA230" s="154">
        <v>0.35540905021022151</v>
      </c>
      <c r="AB230" s="154">
        <v>7.6712328767123292E-2</v>
      </c>
      <c r="AC230" s="154">
        <f t="shared" si="47"/>
        <v>10.988200155901971</v>
      </c>
      <c r="AD230" s="361"/>
      <c r="AG230" s="143"/>
    </row>
    <row r="231" spans="24:33">
      <c r="X231" s="362" t="str">
        <f t="shared" si="46"/>
        <v>212M</v>
      </c>
      <c r="Y231" s="135">
        <f t="shared" si="48"/>
        <v>212</v>
      </c>
      <c r="Z231" s="151">
        <v>47966</v>
      </c>
      <c r="AA231" s="154">
        <v>0.3538190956493355</v>
      </c>
      <c r="AB231" s="154">
        <v>8.4931506849315067E-2</v>
      </c>
      <c r="AC231" s="154">
        <f t="shared" si="47"/>
        <v>11.018250544847531</v>
      </c>
      <c r="AD231" s="361"/>
      <c r="AG231" s="143"/>
    </row>
    <row r="232" spans="24:33">
      <c r="X232" s="362" t="str">
        <f t="shared" si="46"/>
        <v>213M</v>
      </c>
      <c r="Y232" s="135">
        <f t="shared" si="48"/>
        <v>213</v>
      </c>
      <c r="Z232" s="151">
        <v>47996</v>
      </c>
      <c r="AA232" s="154">
        <v>0.35228884744308531</v>
      </c>
      <c r="AB232" s="154">
        <v>8.2191780821917804E-2</v>
      </c>
      <c r="AC232" s="154">
        <f t="shared" si="47"/>
        <v>11.047205792582579</v>
      </c>
      <c r="AD232" s="361"/>
      <c r="AG232" s="143"/>
    </row>
    <row r="233" spans="24:33">
      <c r="X233" s="362" t="str">
        <f t="shared" si="46"/>
        <v>214M</v>
      </c>
      <c r="Y233" s="135">
        <f t="shared" si="48"/>
        <v>214</v>
      </c>
      <c r="Z233" s="151">
        <v>48029</v>
      </c>
      <c r="AA233" s="154">
        <v>0.35061507716004292</v>
      </c>
      <c r="AB233" s="154">
        <v>9.0410958904109592E-2</v>
      </c>
      <c r="AC233" s="154">
        <f t="shared" si="47"/>
        <v>11.078905237914856</v>
      </c>
      <c r="AD233" s="361"/>
      <c r="AG233" s="143"/>
    </row>
    <row r="234" spans="24:33">
      <c r="X234" s="362" t="str">
        <f t="shared" si="46"/>
        <v>215M</v>
      </c>
      <c r="Y234" s="135">
        <f t="shared" si="48"/>
        <v>215</v>
      </c>
      <c r="Z234" s="151">
        <v>48057</v>
      </c>
      <c r="AA234" s="154">
        <v>0.34920266793527566</v>
      </c>
      <c r="AB234" s="154">
        <v>7.6712328767123292E-2</v>
      </c>
      <c r="AC234" s="154">
        <f t="shared" si="47"/>
        <v>11.105693387783864</v>
      </c>
      <c r="AD234" s="361"/>
      <c r="AG234" s="143"/>
    </row>
    <row r="235" spans="24:33">
      <c r="X235" s="362" t="str">
        <f t="shared" si="46"/>
        <v>216M</v>
      </c>
      <c r="Y235" s="135">
        <f t="shared" si="48"/>
        <v>216</v>
      </c>
      <c r="Z235" s="151">
        <v>48088</v>
      </c>
      <c r="AA235" s="154">
        <v>0.34764718731290112</v>
      </c>
      <c r="AB235" s="154">
        <v>8.4931506849315067E-2</v>
      </c>
      <c r="AC235" s="154">
        <f t="shared" si="47"/>
        <v>11.135219587254275</v>
      </c>
      <c r="AD235" s="361"/>
      <c r="AG235" s="143"/>
    </row>
    <row r="236" spans="24:33">
      <c r="X236" s="362" t="str">
        <f t="shared" si="46"/>
        <v>217M</v>
      </c>
      <c r="Y236" s="135">
        <f t="shared" si="48"/>
        <v>217</v>
      </c>
      <c r="Z236" s="151">
        <v>48120</v>
      </c>
      <c r="AA236" s="154">
        <v>0.34605057711279108</v>
      </c>
      <c r="AB236" s="154">
        <v>8.7671232876712329E-2</v>
      </c>
      <c r="AC236" s="154">
        <f t="shared" si="47"/>
        <v>11.165558267987452</v>
      </c>
      <c r="AD236" s="361"/>
      <c r="AG236" s="143"/>
    </row>
    <row r="237" spans="24:33">
      <c r="X237" s="362" t="str">
        <f t="shared" si="46"/>
        <v>218M</v>
      </c>
      <c r="Y237" s="135">
        <f t="shared" si="48"/>
        <v>218</v>
      </c>
      <c r="Z237" s="151">
        <v>48149</v>
      </c>
      <c r="AA237" s="154">
        <v>0.34461153915983456</v>
      </c>
      <c r="AB237" s="154">
        <v>7.9452054794520555E-2</v>
      </c>
      <c r="AC237" s="154">
        <f t="shared" si="47"/>
        <v>11.192938362879604</v>
      </c>
      <c r="AD237" s="361"/>
      <c r="AG237" s="143"/>
    </row>
    <row r="238" spans="24:33">
      <c r="X238" s="362" t="str">
        <f t="shared" si="46"/>
        <v>219M</v>
      </c>
      <c r="Y238" s="135">
        <f t="shared" si="48"/>
        <v>219</v>
      </c>
      <c r="Z238" s="151">
        <v>48180</v>
      </c>
      <c r="AA238" s="154">
        <v>0.34308150225377604</v>
      </c>
      <c r="AB238" s="154">
        <v>8.4931506849315067E-2</v>
      </c>
      <c r="AC238" s="154">
        <f t="shared" si="47"/>
        <v>11.222076791838143</v>
      </c>
      <c r="AD238" s="361"/>
      <c r="AG238" s="143"/>
    </row>
    <row r="239" spans="24:33">
      <c r="X239" s="362" t="str">
        <f t="shared" si="46"/>
        <v>220M</v>
      </c>
      <c r="Y239" s="135">
        <f t="shared" si="48"/>
        <v>220</v>
      </c>
      <c r="Z239" s="151">
        <v>48211</v>
      </c>
      <c r="AA239" s="154">
        <v>0.34155993357935649</v>
      </c>
      <c r="AB239" s="154">
        <v>8.4931506849315067E-2</v>
      </c>
      <c r="AC239" s="154">
        <f t="shared" si="47"/>
        <v>11.251085991676391</v>
      </c>
      <c r="AD239" s="361"/>
      <c r="AG239" s="143"/>
    </row>
    <row r="240" spans="24:33">
      <c r="X240" s="362" t="str">
        <f t="shared" si="46"/>
        <v>221M</v>
      </c>
      <c r="Y240" s="135">
        <f t="shared" si="48"/>
        <v>221</v>
      </c>
      <c r="Z240" s="151">
        <v>48241</v>
      </c>
      <c r="AA240" s="154">
        <v>0.34009546126415918</v>
      </c>
      <c r="AB240" s="154">
        <v>8.2191780821917804E-2</v>
      </c>
      <c r="AC240" s="154">
        <f t="shared" si="47"/>
        <v>11.279039043287144</v>
      </c>
      <c r="AD240" s="361"/>
      <c r="AG240" s="143"/>
    </row>
    <row r="241" spans="24:33">
      <c r="X241" s="362" t="str">
        <f t="shared" si="46"/>
        <v>222M</v>
      </c>
      <c r="Y241" s="135">
        <f t="shared" si="48"/>
        <v>222</v>
      </c>
      <c r="Z241" s="151">
        <v>48271</v>
      </c>
      <c r="AA241" s="154">
        <v>0.33863882335152384</v>
      </c>
      <c r="AB241" s="154">
        <v>8.2191780821917804E-2</v>
      </c>
      <c r="AC241" s="154">
        <f t="shared" si="47"/>
        <v>11.306872371233844</v>
      </c>
      <c r="AD241" s="361"/>
      <c r="AG241" s="143"/>
    </row>
    <row r="242" spans="24:33">
      <c r="X242" s="362" t="str">
        <f t="shared" si="46"/>
        <v>223M</v>
      </c>
      <c r="Y242" s="135">
        <f t="shared" si="48"/>
        <v>223</v>
      </c>
      <c r="Z242" s="151">
        <v>48303</v>
      </c>
      <c r="AA242" s="154">
        <v>0.3370936586708238</v>
      </c>
      <c r="AB242" s="154">
        <v>8.7671232876712329E-2</v>
      </c>
      <c r="AC242" s="154">
        <f t="shared" si="47"/>
        <v>11.336425787884437</v>
      </c>
      <c r="AD242" s="361"/>
      <c r="AG242" s="143"/>
    </row>
    <row r="243" spans="24:33">
      <c r="X243" s="362" t="str">
        <f t="shared" si="46"/>
        <v>224M</v>
      </c>
      <c r="Y243" s="135">
        <f t="shared" si="48"/>
        <v>224</v>
      </c>
      <c r="Z243" s="151">
        <v>48332</v>
      </c>
      <c r="AA243" s="154">
        <v>0.33570095927211197</v>
      </c>
      <c r="AB243" s="154">
        <v>7.9452054794520555E-2</v>
      </c>
      <c r="AC243" s="154">
        <f t="shared" si="47"/>
        <v>11.363097918895098</v>
      </c>
      <c r="AD243" s="361"/>
      <c r="AG243" s="143"/>
    </row>
    <row r="244" spans="24:33">
      <c r="X244" s="362" t="str">
        <f t="shared" si="46"/>
        <v>225M</v>
      </c>
      <c r="Y244" s="135">
        <f t="shared" si="48"/>
        <v>225</v>
      </c>
      <c r="Z244" s="151">
        <v>48362</v>
      </c>
      <c r="AA244" s="154">
        <v>0.33426780014729573</v>
      </c>
      <c r="AB244" s="154">
        <v>8.2191780821917804E-2</v>
      </c>
      <c r="AC244" s="154">
        <f t="shared" si="47"/>
        <v>11.39057198466063</v>
      </c>
      <c r="AD244" s="361"/>
      <c r="AG244" s="143"/>
    </row>
    <row r="245" spans="24:33">
      <c r="X245" s="362" t="str">
        <f t="shared" si="46"/>
        <v>226M</v>
      </c>
      <c r="Y245" s="135">
        <f t="shared" si="48"/>
        <v>226</v>
      </c>
      <c r="Z245" s="151">
        <v>48393</v>
      </c>
      <c r="AA245" s="154">
        <v>0.33279490227387637</v>
      </c>
      <c r="AB245" s="154">
        <v>8.4931506849315067E-2</v>
      </c>
      <c r="AC245" s="154">
        <f t="shared" si="47"/>
        <v>11.41883675718252</v>
      </c>
      <c r="AD245" s="361"/>
      <c r="AG245" s="143"/>
    </row>
    <row r="246" spans="24:33">
      <c r="X246" s="362" t="str">
        <f t="shared" si="46"/>
        <v>227M</v>
      </c>
      <c r="Y246" s="135">
        <f t="shared" si="48"/>
        <v>227</v>
      </c>
      <c r="Z246" s="151">
        <v>48423</v>
      </c>
      <c r="AA246" s="154">
        <v>0.33137724438629834</v>
      </c>
      <c r="AB246" s="154">
        <v>8.2191780821917804E-2</v>
      </c>
      <c r="AC246" s="154">
        <f t="shared" si="47"/>
        <v>11.446073243022489</v>
      </c>
      <c r="AD246" s="361"/>
      <c r="AG246" s="143"/>
    </row>
    <row r="247" spans="24:33">
      <c r="X247" s="362" t="str">
        <f t="shared" si="46"/>
        <v>228M</v>
      </c>
      <c r="Y247" s="135">
        <f t="shared" si="48"/>
        <v>228</v>
      </c>
      <c r="Z247" s="151">
        <v>48456</v>
      </c>
      <c r="AA247" s="154">
        <v>0.32982654455409854</v>
      </c>
      <c r="AB247" s="154">
        <v>9.0410958904109592E-2</v>
      </c>
      <c r="AC247" s="154">
        <f t="shared" si="47"/>
        <v>11.475893177187654</v>
      </c>
      <c r="AD247" s="361"/>
      <c r="AG247" s="143"/>
    </row>
    <row r="248" spans="24:33">
      <c r="X248" s="362" t="str">
        <f t="shared" si="46"/>
        <v>229M</v>
      </c>
      <c r="Y248" s="135">
        <f t="shared" si="48"/>
        <v>229</v>
      </c>
      <c r="Z248" s="151">
        <v>48485</v>
      </c>
      <c r="AA248" s="154">
        <v>0.32847130706242167</v>
      </c>
      <c r="AB248" s="154">
        <v>7.9452054794520555E-2</v>
      </c>
      <c r="AC248" s="154">
        <f t="shared" si="47"/>
        <v>11.501990897474805</v>
      </c>
      <c r="AD248" s="361"/>
      <c r="AG248" s="143"/>
    </row>
    <row r="249" spans="24:33">
      <c r="X249" s="362" t="str">
        <f t="shared" si="46"/>
        <v>230M</v>
      </c>
      <c r="Y249" s="135">
        <f t="shared" si="48"/>
        <v>230</v>
      </c>
      <c r="Z249" s="151">
        <v>48515</v>
      </c>
      <c r="AA249" s="154">
        <v>0.32707667421372083</v>
      </c>
      <c r="AB249" s="154">
        <v>8.2191780821917804E-2</v>
      </c>
      <c r="AC249" s="154">
        <f t="shared" si="47"/>
        <v>11.52887391179374</v>
      </c>
      <c r="AD249" s="361"/>
      <c r="AG249" s="143"/>
    </row>
    <row r="250" spans="24:33">
      <c r="X250" s="362" t="str">
        <f t="shared" si="46"/>
        <v>231M</v>
      </c>
      <c r="Y250" s="135">
        <f t="shared" si="48"/>
        <v>231</v>
      </c>
      <c r="Z250" s="151">
        <v>48547</v>
      </c>
      <c r="AA250" s="154">
        <v>0.3255972403499664</v>
      </c>
      <c r="AB250" s="154">
        <v>8.7671232876712329E-2</v>
      </c>
      <c r="AC250" s="154">
        <f t="shared" si="47"/>
        <v>11.557419423276476</v>
      </c>
      <c r="AD250" s="361"/>
      <c r="AG250" s="143"/>
    </row>
    <row r="251" spans="24:33">
      <c r="X251" s="362" t="str">
        <f t="shared" si="46"/>
        <v>232M</v>
      </c>
      <c r="Y251" s="135">
        <f t="shared" si="48"/>
        <v>232</v>
      </c>
      <c r="Z251" s="151">
        <v>48577</v>
      </c>
      <c r="AA251" s="154">
        <v>0.32421788806795643</v>
      </c>
      <c r="AB251" s="154">
        <v>8.2191780821917804E-2</v>
      </c>
      <c r="AC251" s="154">
        <f t="shared" si="47"/>
        <v>11.584067468871103</v>
      </c>
      <c r="AD251" s="361"/>
      <c r="AG251" s="143"/>
    </row>
    <row r="252" spans="24:33">
      <c r="X252" s="362" t="str">
        <f t="shared" si="46"/>
        <v>233M</v>
      </c>
      <c r="Y252" s="135">
        <f t="shared" si="48"/>
        <v>233</v>
      </c>
      <c r="Z252" s="151">
        <v>48607</v>
      </c>
      <c r="AA252" s="154">
        <v>0.32284586221051248</v>
      </c>
      <c r="AB252" s="154">
        <v>8.2191780821917804E-2</v>
      </c>
      <c r="AC252" s="154">
        <f t="shared" si="47"/>
        <v>11.610602745217172</v>
      </c>
      <c r="AD252" s="361"/>
      <c r="AG252" s="143"/>
    </row>
    <row r="253" spans="24:33">
      <c r="X253" s="362" t="str">
        <f t="shared" si="46"/>
        <v>234M</v>
      </c>
      <c r="Y253" s="135">
        <f t="shared" si="48"/>
        <v>234</v>
      </c>
      <c r="Z253" s="151">
        <v>48638</v>
      </c>
      <c r="AA253" s="154">
        <v>0.32143575269879088</v>
      </c>
      <c r="AB253" s="154">
        <v>8.4931506849315067E-2</v>
      </c>
      <c r="AC253" s="154">
        <f t="shared" si="47"/>
        <v>11.637902768049123</v>
      </c>
      <c r="AD253" s="361"/>
      <c r="AG253" s="143"/>
    </row>
    <row r="254" spans="24:33">
      <c r="X254" s="362" t="str">
        <f t="shared" si="46"/>
        <v>235M</v>
      </c>
      <c r="Y254" s="135">
        <f t="shared" si="48"/>
        <v>235</v>
      </c>
      <c r="Z254" s="151">
        <v>48666</v>
      </c>
      <c r="AA254" s="154">
        <v>0.32016874971894593</v>
      </c>
      <c r="AB254" s="154">
        <v>7.6712328767123292E-2</v>
      </c>
      <c r="AC254" s="154">
        <f t="shared" si="47"/>
        <v>11.662463658438522</v>
      </c>
      <c r="AD254" s="361"/>
      <c r="AG254" s="143"/>
    </row>
    <row r="255" spans="24:33">
      <c r="X255" s="362" t="str">
        <f t="shared" si="46"/>
        <v>236M</v>
      </c>
      <c r="Y255" s="135">
        <f t="shared" si="48"/>
        <v>236</v>
      </c>
      <c r="Z255" s="151">
        <v>48697</v>
      </c>
      <c r="AA255" s="154">
        <v>0.31877330893959127</v>
      </c>
      <c r="AB255" s="154">
        <v>8.4931506849315067E-2</v>
      </c>
      <c r="AC255" s="154">
        <f t="shared" si="47"/>
        <v>11.689537555910103</v>
      </c>
      <c r="AD255" s="361"/>
      <c r="AG255" s="143"/>
    </row>
    <row r="256" spans="24:33">
      <c r="X256" s="362" t="str">
        <f t="shared" si="46"/>
        <v>237M</v>
      </c>
      <c r="Y256" s="135">
        <f t="shared" si="48"/>
        <v>237</v>
      </c>
      <c r="Z256" s="151">
        <v>48729</v>
      </c>
      <c r="AA256" s="154">
        <v>0.31734086573293241</v>
      </c>
      <c r="AB256" s="154">
        <v>8.7671232876712329E-2</v>
      </c>
      <c r="AC256" s="154">
        <f t="shared" si="47"/>
        <v>11.717359220851073</v>
      </c>
      <c r="AD256" s="361"/>
      <c r="AG256" s="143"/>
    </row>
    <row r="257" spans="24:33">
      <c r="X257" s="362" t="str">
        <f t="shared" si="46"/>
        <v>238M</v>
      </c>
      <c r="Y257" s="135">
        <f t="shared" si="48"/>
        <v>238</v>
      </c>
      <c r="Z257" s="151">
        <v>48758</v>
      </c>
      <c r="AA257" s="154">
        <v>0.31604970163200469</v>
      </c>
      <c r="AB257" s="154">
        <v>7.9452054794520555E-2</v>
      </c>
      <c r="AC257" s="154">
        <f t="shared" si="47"/>
        <v>11.74247001906293</v>
      </c>
      <c r="AD257" s="361"/>
      <c r="AG257" s="143"/>
    </row>
    <row r="258" spans="24:33">
      <c r="X258" s="362" t="str">
        <f t="shared" si="46"/>
        <v>239M</v>
      </c>
      <c r="Y258" s="135">
        <f t="shared" si="48"/>
        <v>239</v>
      </c>
      <c r="Z258" s="151">
        <v>48788</v>
      </c>
      <c r="AA258" s="154">
        <v>0.31472096422212109</v>
      </c>
      <c r="AB258" s="154">
        <v>8.2191780821917804E-2</v>
      </c>
      <c r="AC258" s="154">
        <f t="shared" si="47"/>
        <v>11.768337495574338</v>
      </c>
      <c r="AD258" s="361"/>
      <c r="AG258" s="143"/>
    </row>
    <row r="259" spans="24:33">
      <c r="X259" s="362" t="str">
        <f t="shared" si="46"/>
        <v>240M</v>
      </c>
      <c r="Y259" s="135">
        <f t="shared" si="48"/>
        <v>240</v>
      </c>
      <c r="Z259" s="151">
        <v>48820</v>
      </c>
      <c r="AA259" s="154">
        <v>0.31331138747413917</v>
      </c>
      <c r="AB259" s="154">
        <v>8.7671232876712329E-2</v>
      </c>
      <c r="AC259" s="154">
        <f t="shared" si="47"/>
        <v>11.795805891188509</v>
      </c>
      <c r="AD259" s="361"/>
      <c r="AG259" s="143"/>
    </row>
    <row r="260" spans="24:33">
      <c r="X260" s="362" t="str">
        <f t="shared" si="46"/>
        <v>241M</v>
      </c>
      <c r="Y260" s="135">
        <f t="shared" si="48"/>
        <v>241</v>
      </c>
      <c r="Z260" s="151">
        <v>48850</v>
      </c>
      <c r="AA260" s="154">
        <v>0.31208579969473649</v>
      </c>
      <c r="AB260" s="154">
        <v>8.2191780821917804E-2</v>
      </c>
      <c r="AC260" s="154">
        <f t="shared" si="47"/>
        <v>11.821456778834651</v>
      </c>
      <c r="AD260" s="361"/>
      <c r="AG260" s="143"/>
    </row>
    <row r="261" spans="24:33">
      <c r="X261" s="362" t="str">
        <f t="shared" si="46"/>
        <v>242M</v>
      </c>
      <c r="Y261" s="135">
        <f t="shared" si="48"/>
        <v>242</v>
      </c>
      <c r="Z261" s="151">
        <v>48880</v>
      </c>
      <c r="AA261" s="154">
        <v>0.31086715813969629</v>
      </c>
      <c r="AB261" s="154">
        <v>8.2191780821917804E-2</v>
      </c>
      <c r="AC261" s="154">
        <f t="shared" si="47"/>
        <v>11.847007504161201</v>
      </c>
      <c r="AD261" s="361"/>
      <c r="AG261" s="143"/>
    </row>
    <row r="262" spans="24:33">
      <c r="X262" s="362" t="str">
        <f t="shared" si="46"/>
        <v>243M</v>
      </c>
      <c r="Y262" s="135">
        <f t="shared" si="48"/>
        <v>243</v>
      </c>
      <c r="Z262" s="151">
        <v>48911</v>
      </c>
      <c r="AA262" s="154">
        <v>0.3096151459332494</v>
      </c>
      <c r="AB262" s="154">
        <v>8.4931506849315067E-2</v>
      </c>
      <c r="AC262" s="154">
        <f t="shared" si="47"/>
        <v>11.873303585048683</v>
      </c>
      <c r="AD262" s="361"/>
      <c r="AG262" s="143"/>
    </row>
    <row r="263" spans="24:33">
      <c r="X263" s="362" t="str">
        <f t="shared" si="46"/>
        <v>244M</v>
      </c>
      <c r="Y263" s="135">
        <f t="shared" si="48"/>
        <v>244</v>
      </c>
      <c r="Z263" s="151">
        <v>48941</v>
      </c>
      <c r="AA263" s="154">
        <v>0.30841049322631842</v>
      </c>
      <c r="AB263" s="154">
        <v>8.2191780821917804E-2</v>
      </c>
      <c r="AC263" s="154">
        <f t="shared" si="47"/>
        <v>11.898652392711121</v>
      </c>
      <c r="AD263" s="361"/>
      <c r="AG263" s="143"/>
    </row>
    <row r="264" spans="24:33">
      <c r="X264" s="362" t="str">
        <f t="shared" si="46"/>
        <v>245M</v>
      </c>
      <c r="Y264" s="135">
        <f t="shared" si="48"/>
        <v>245</v>
      </c>
      <c r="Z264" s="151">
        <v>48974</v>
      </c>
      <c r="AA264" s="154">
        <v>0.30709324368745711</v>
      </c>
      <c r="AB264" s="154">
        <v>9.0410958904109592E-2</v>
      </c>
      <c r="AC264" s="154">
        <f t="shared" si="47"/>
        <v>11.926416987345878</v>
      </c>
      <c r="AD264" s="361"/>
      <c r="AG264" s="143"/>
    </row>
    <row r="265" spans="24:33">
      <c r="X265" s="362" t="str">
        <f t="shared" si="46"/>
        <v>246M</v>
      </c>
      <c r="Y265" s="135">
        <f t="shared" si="48"/>
        <v>246</v>
      </c>
      <c r="Z265" s="151">
        <v>49003</v>
      </c>
      <c r="AA265" s="154">
        <v>0.30594242181298559</v>
      </c>
      <c r="AB265" s="154">
        <v>7.9452054794520555E-2</v>
      </c>
      <c r="AC265" s="154">
        <f t="shared" si="47"/>
        <v>11.950724741407731</v>
      </c>
      <c r="AD265" s="361"/>
      <c r="AG265" s="143"/>
    </row>
    <row r="266" spans="24:33">
      <c r="X266" s="362" t="str">
        <f t="shared" si="46"/>
        <v>247M</v>
      </c>
      <c r="Y266" s="135">
        <f t="shared" si="48"/>
        <v>247</v>
      </c>
      <c r="Z266" s="151">
        <v>49031</v>
      </c>
      <c r="AA266" s="154">
        <v>0.30483724709076637</v>
      </c>
      <c r="AB266" s="154">
        <v>7.6712328767123292E-2</v>
      </c>
      <c r="AC266" s="154">
        <f t="shared" si="47"/>
        <v>11.974109516527022</v>
      </c>
      <c r="AD266" s="361"/>
      <c r="AG266" s="143"/>
    </row>
    <row r="267" spans="24:33">
      <c r="X267" s="362" t="str">
        <f t="shared" si="46"/>
        <v>248M</v>
      </c>
      <c r="Y267" s="135">
        <f t="shared" si="48"/>
        <v>248</v>
      </c>
      <c r="Z267" s="151">
        <v>49062</v>
      </c>
      <c r="AA267" s="154">
        <v>0.30362045297771567</v>
      </c>
      <c r="AB267" s="154">
        <v>8.4931506849315067E-2</v>
      </c>
      <c r="AC267" s="154">
        <f t="shared" si="47"/>
        <v>11.999896459108692</v>
      </c>
      <c r="AD267" s="361"/>
      <c r="AG267" s="143"/>
    </row>
    <row r="268" spans="24:33">
      <c r="X268" s="362" t="str">
        <f t="shared" si="46"/>
        <v>249M</v>
      </c>
      <c r="Y268" s="135">
        <f t="shared" si="48"/>
        <v>249</v>
      </c>
      <c r="Z268" s="151">
        <v>49093</v>
      </c>
      <c r="AA268" s="154">
        <v>0.30241075150702657</v>
      </c>
      <c r="AB268" s="154">
        <v>8.4931506849315067E-2</v>
      </c>
      <c r="AC268" s="154">
        <f t="shared" si="47"/>
        <v>12.025580659921618</v>
      </c>
      <c r="AD268" s="361"/>
      <c r="AG268" s="143"/>
    </row>
    <row r="269" spans="24:33">
      <c r="X269" s="362" t="str">
        <f t="shared" si="46"/>
        <v>250M</v>
      </c>
      <c r="Y269" s="135">
        <f t="shared" si="48"/>
        <v>250</v>
      </c>
      <c r="Z269" s="151">
        <v>49123</v>
      </c>
      <c r="AA269" s="154">
        <v>0.3012467824058786</v>
      </c>
      <c r="AB269" s="154">
        <v>8.2191780821917804E-2</v>
      </c>
      <c r="AC269" s="154">
        <f t="shared" si="47"/>
        <v>12.05034066943443</v>
      </c>
      <c r="AD269" s="361"/>
      <c r="AG269" s="143"/>
    </row>
    <row r="270" spans="24:33">
      <c r="X270" s="362" t="str">
        <f t="shared" si="46"/>
        <v>251M</v>
      </c>
      <c r="Y270" s="135">
        <f t="shared" si="48"/>
        <v>251</v>
      </c>
      <c r="Z270" s="151">
        <v>49153</v>
      </c>
      <c r="AA270" s="154">
        <v>0.30008937113275014</v>
      </c>
      <c r="AB270" s="154">
        <v>8.2191780821917804E-2</v>
      </c>
      <c r="AC270" s="154">
        <f t="shared" si="47"/>
        <v>12.075005549253561</v>
      </c>
      <c r="AD270" s="361"/>
      <c r="AG270" s="143"/>
    </row>
    <row r="271" spans="24:33">
      <c r="X271" s="362" t="str">
        <f t="shared" si="46"/>
        <v>252M</v>
      </c>
      <c r="Y271" s="135">
        <f t="shared" si="48"/>
        <v>252</v>
      </c>
      <c r="Z271" s="151">
        <v>49184</v>
      </c>
      <c r="AA271" s="154">
        <v>0.29890022512821557</v>
      </c>
      <c r="AB271" s="154">
        <v>8.4931506849315067E-2</v>
      </c>
      <c r="AC271" s="154">
        <f t="shared" si="47"/>
        <v>12.100391595771299</v>
      </c>
      <c r="AD271" s="361"/>
      <c r="AG271" s="143"/>
    </row>
    <row r="272" spans="24:33">
      <c r="X272" s="362" t="str">
        <f t="shared" si="46"/>
        <v>253M</v>
      </c>
      <c r="Y272" s="135">
        <f t="shared" si="48"/>
        <v>253</v>
      </c>
      <c r="Z272" s="151">
        <v>49215</v>
      </c>
      <c r="AA272" s="154">
        <v>0.29771799239322749</v>
      </c>
      <c r="AB272" s="154">
        <v>8.4931506849315067E-2</v>
      </c>
      <c r="AC272" s="154">
        <f t="shared" si="47"/>
        <v>12.125677233481408</v>
      </c>
      <c r="AD272" s="361"/>
      <c r="AG272" s="143"/>
    </row>
    <row r="273" spans="24:33">
      <c r="X273" s="362" t="str">
        <f t="shared" si="46"/>
        <v>254M</v>
      </c>
      <c r="Y273" s="135">
        <f t="shared" si="48"/>
        <v>254</v>
      </c>
      <c r="Z273" s="151">
        <v>49247</v>
      </c>
      <c r="AA273" s="154">
        <v>0.29650482705226788</v>
      </c>
      <c r="AB273" s="154">
        <v>8.7671232876712329E-2</v>
      </c>
      <c r="AC273" s="154">
        <f t="shared" si="47"/>
        <v>12.151672177222977</v>
      </c>
      <c r="AD273" s="361"/>
      <c r="AG273" s="143"/>
    </row>
    <row r="274" spans="24:33">
      <c r="X274" s="362" t="str">
        <f t="shared" si="46"/>
        <v>255M</v>
      </c>
      <c r="Y274" s="135">
        <f t="shared" si="48"/>
        <v>255</v>
      </c>
      <c r="Z274" s="151">
        <v>49276</v>
      </c>
      <c r="AA274" s="154">
        <v>0.2954116768209053</v>
      </c>
      <c r="AB274" s="154">
        <v>7.9452054794520555E-2</v>
      </c>
      <c r="AC274" s="154">
        <f t="shared" si="47"/>
        <v>12.175143241956693</v>
      </c>
      <c r="AD274" s="361"/>
      <c r="AG274" s="143"/>
    </row>
    <row r="275" spans="24:33">
      <c r="X275" s="362" t="str">
        <f t="shared" si="46"/>
        <v>256M</v>
      </c>
      <c r="Y275" s="135">
        <f t="shared" si="48"/>
        <v>256</v>
      </c>
      <c r="Z275" s="151">
        <v>49306</v>
      </c>
      <c r="AA275" s="154">
        <v>0.29428707641921059</v>
      </c>
      <c r="AB275" s="154">
        <v>8.2191780821917804E-2</v>
      </c>
      <c r="AC275" s="154">
        <f t="shared" si="47"/>
        <v>12.199331220840463</v>
      </c>
      <c r="AD275" s="361"/>
      <c r="AG275" s="143"/>
    </row>
    <row r="276" spans="24:33">
      <c r="X276" s="362" t="str">
        <f t="shared" si="46"/>
        <v>257M</v>
      </c>
      <c r="Y276" s="135">
        <f t="shared" si="48"/>
        <v>257</v>
      </c>
      <c r="Z276" s="151">
        <v>49338</v>
      </c>
      <c r="AA276" s="154">
        <v>0.29309445810194812</v>
      </c>
      <c r="AB276" s="154">
        <v>8.7671232876712329E-2</v>
      </c>
      <c r="AC276" s="154">
        <f t="shared" si="47"/>
        <v>12.225027173331593</v>
      </c>
      <c r="AD276" s="361"/>
      <c r="AG276" s="143"/>
    </row>
    <row r="277" spans="24:33">
      <c r="X277" s="362" t="str">
        <f t="shared" ref="X277:X340" si="49">Y277&amp;"M"</f>
        <v>258M</v>
      </c>
      <c r="Y277" s="135">
        <f t="shared" si="48"/>
        <v>258</v>
      </c>
      <c r="Z277" s="151">
        <v>49368</v>
      </c>
      <c r="AA277" s="154">
        <v>0.29198285754151421</v>
      </c>
      <c r="AB277" s="154">
        <v>8.2191780821917804E-2</v>
      </c>
      <c r="AC277" s="154">
        <f t="shared" si="47"/>
        <v>12.249025764362402</v>
      </c>
      <c r="AD277" s="361"/>
      <c r="AG277" s="143"/>
    </row>
    <row r="278" spans="24:33">
      <c r="X278" s="362" t="str">
        <f t="shared" si="49"/>
        <v>259M</v>
      </c>
      <c r="Y278" s="135">
        <f t="shared" si="48"/>
        <v>259</v>
      </c>
      <c r="Z278" s="151">
        <v>49396</v>
      </c>
      <c r="AA278" s="154">
        <v>0.29095098542131465</v>
      </c>
      <c r="AB278" s="154">
        <v>7.6712328767123292E-2</v>
      </c>
      <c r="AC278" s="154">
        <f t="shared" ref="AC278:AC341" si="50">AC277+AA278*AB278</f>
        <v>12.27134529201116</v>
      </c>
      <c r="AD278" s="361"/>
      <c r="AG278" s="143"/>
    </row>
    <row r="279" spans="24:33">
      <c r="X279" s="362" t="str">
        <f t="shared" si="49"/>
        <v>260M</v>
      </c>
      <c r="Y279" s="135">
        <f t="shared" ref="Y279:Y342" si="51">Y278+1</f>
        <v>260</v>
      </c>
      <c r="Z279" s="151">
        <v>49429</v>
      </c>
      <c r="AA279" s="154">
        <v>0.28974177483037489</v>
      </c>
      <c r="AB279" s="154">
        <v>9.0410958904109592E-2</v>
      </c>
      <c r="AC279" s="154">
        <f t="shared" si="50"/>
        <v>12.297541123708154</v>
      </c>
      <c r="AD279" s="361"/>
      <c r="AG279" s="143"/>
    </row>
    <row r="280" spans="24:33">
      <c r="X280" s="362" t="str">
        <f t="shared" si="49"/>
        <v>261M</v>
      </c>
      <c r="Y280" s="135">
        <f t="shared" si="51"/>
        <v>261</v>
      </c>
      <c r="Z280" s="151">
        <v>49457</v>
      </c>
      <c r="AA280" s="154">
        <v>0.28872161703471783</v>
      </c>
      <c r="AB280" s="154">
        <v>7.6712328767123292E-2</v>
      </c>
      <c r="AC280" s="154">
        <f t="shared" si="50"/>
        <v>12.319689631316297</v>
      </c>
      <c r="AD280" s="361"/>
      <c r="AG280" s="143"/>
    </row>
    <row r="281" spans="24:33">
      <c r="X281" s="362" t="str">
        <f t="shared" si="49"/>
        <v>262M</v>
      </c>
      <c r="Y281" s="135">
        <f t="shared" si="51"/>
        <v>262</v>
      </c>
      <c r="Z281" s="151">
        <v>49488</v>
      </c>
      <c r="AA281" s="154">
        <v>0.28759836957315232</v>
      </c>
      <c r="AB281" s="154">
        <v>8.4931506849315067E-2</v>
      </c>
      <c r="AC281" s="154">
        <f t="shared" si="50"/>
        <v>12.344115794211552</v>
      </c>
      <c r="AD281" s="361"/>
      <c r="AG281" s="143"/>
    </row>
    <row r="282" spans="24:33">
      <c r="X282" s="362" t="str">
        <f t="shared" si="49"/>
        <v>263M</v>
      </c>
      <c r="Y282" s="135">
        <f t="shared" si="51"/>
        <v>263</v>
      </c>
      <c r="Z282" s="151">
        <v>49520</v>
      </c>
      <c r="AA282" s="154">
        <v>0.28644569345529497</v>
      </c>
      <c r="AB282" s="154">
        <v>8.7671232876712329E-2</v>
      </c>
      <c r="AC282" s="154">
        <f t="shared" si="50"/>
        <v>12.369228841309003</v>
      </c>
      <c r="AD282" s="361"/>
      <c r="AG282" s="143"/>
    </row>
    <row r="283" spans="24:33">
      <c r="X283" s="362" t="str">
        <f t="shared" si="49"/>
        <v>264M</v>
      </c>
      <c r="Y283" s="135">
        <f t="shared" si="51"/>
        <v>264</v>
      </c>
      <c r="Z283" s="151">
        <v>49549</v>
      </c>
      <c r="AA283" s="154">
        <v>0.28540701417602393</v>
      </c>
      <c r="AB283" s="154">
        <v>7.9452054794520555E-2</v>
      </c>
      <c r="AC283" s="154">
        <f t="shared" si="50"/>
        <v>12.391905015038057</v>
      </c>
      <c r="AD283" s="361"/>
      <c r="AG283" s="143"/>
    </row>
    <row r="284" spans="24:33">
      <c r="X284" s="362" t="str">
        <f t="shared" si="49"/>
        <v>265M</v>
      </c>
      <c r="Y284" s="135">
        <f t="shared" si="51"/>
        <v>265</v>
      </c>
      <c r="Z284" s="151">
        <v>49580</v>
      </c>
      <c r="AA284" s="154">
        <v>0.284302900942833</v>
      </c>
      <c r="AB284" s="154">
        <v>8.4931506849315067E-2</v>
      </c>
      <c r="AC284" s="154">
        <f t="shared" si="50"/>
        <v>12.416051288816764</v>
      </c>
      <c r="AD284" s="361"/>
      <c r="AG284" s="143"/>
    </row>
    <row r="285" spans="24:33">
      <c r="X285" s="362" t="str">
        <f t="shared" si="49"/>
        <v>266M</v>
      </c>
      <c r="Y285" s="135">
        <f t="shared" si="51"/>
        <v>266</v>
      </c>
      <c r="Z285" s="151">
        <v>49611</v>
      </c>
      <c r="AA285" s="154">
        <v>0.28320515328570278</v>
      </c>
      <c r="AB285" s="154">
        <v>8.4931506849315067E-2</v>
      </c>
      <c r="AC285" s="154">
        <f t="shared" si="50"/>
        <v>12.44010432923281</v>
      </c>
      <c r="AD285" s="361"/>
      <c r="AG285" s="143"/>
    </row>
    <row r="286" spans="24:33">
      <c r="X286" s="362" t="str">
        <f t="shared" si="49"/>
        <v>267M</v>
      </c>
      <c r="Y286" s="135">
        <f t="shared" si="51"/>
        <v>267</v>
      </c>
      <c r="Z286" s="151">
        <v>49641</v>
      </c>
      <c r="AA286" s="154">
        <v>0.28214883933627238</v>
      </c>
      <c r="AB286" s="154">
        <v>8.2191780821917804E-2</v>
      </c>
      <c r="AC286" s="154">
        <f t="shared" si="50"/>
        <v>12.463294644794695</v>
      </c>
      <c r="AD286" s="361"/>
      <c r="AG286" s="143"/>
    </row>
    <row r="287" spans="24:33">
      <c r="X287" s="362" t="str">
        <f t="shared" si="49"/>
        <v>268M</v>
      </c>
      <c r="Y287" s="135">
        <f t="shared" si="51"/>
        <v>268</v>
      </c>
      <c r="Z287" s="151">
        <v>49671</v>
      </c>
      <c r="AA287" s="154">
        <v>0.28109841207438374</v>
      </c>
      <c r="AB287" s="154">
        <v>8.2191780821917804E-2</v>
      </c>
      <c r="AC287" s="154">
        <f t="shared" si="50"/>
        <v>12.486398623869302</v>
      </c>
      <c r="AD287" s="361"/>
      <c r="AG287" s="143"/>
    </row>
    <row r="288" spans="24:33">
      <c r="X288" s="362" t="str">
        <f t="shared" si="49"/>
        <v>269M</v>
      </c>
      <c r="Y288" s="135">
        <f t="shared" si="51"/>
        <v>269</v>
      </c>
      <c r="Z288" s="151">
        <v>49703</v>
      </c>
      <c r="AA288" s="154">
        <v>0.27998440374945693</v>
      </c>
      <c r="AB288" s="154">
        <v>8.7671232876712329E-2</v>
      </c>
      <c r="AC288" s="154">
        <f t="shared" si="50"/>
        <v>12.510945201732268</v>
      </c>
      <c r="AD288" s="361"/>
      <c r="AG288" s="143"/>
    </row>
    <row r="289" spans="24:33">
      <c r="X289" s="362" t="str">
        <f t="shared" si="49"/>
        <v>270M</v>
      </c>
      <c r="Y289" s="135">
        <f t="shared" si="51"/>
        <v>270</v>
      </c>
      <c r="Z289" s="151">
        <v>49733</v>
      </c>
      <c r="AA289" s="154">
        <v>0.27894602722422412</v>
      </c>
      <c r="AB289" s="154">
        <v>8.2191780821917804E-2</v>
      </c>
      <c r="AC289" s="154">
        <f t="shared" si="50"/>
        <v>12.533872272463025</v>
      </c>
      <c r="AD289" s="361"/>
      <c r="AG289" s="143"/>
    </row>
    <row r="290" spans="24:33">
      <c r="X290" s="362" t="str">
        <f t="shared" si="49"/>
        <v>271M</v>
      </c>
      <c r="Y290" s="135">
        <f t="shared" si="51"/>
        <v>271</v>
      </c>
      <c r="Z290" s="151">
        <v>49762</v>
      </c>
      <c r="AA290" s="154">
        <v>0.27794775388976573</v>
      </c>
      <c r="AB290" s="154">
        <v>7.9452054794520555E-2</v>
      </c>
      <c r="AC290" s="154">
        <f t="shared" si="50"/>
        <v>12.555955792635089</v>
      </c>
      <c r="AD290" s="361"/>
      <c r="AG290" s="143"/>
    </row>
    <row r="291" spans="24:33">
      <c r="X291" s="362" t="str">
        <f t="shared" si="49"/>
        <v>272M</v>
      </c>
      <c r="Y291" s="135">
        <f t="shared" si="51"/>
        <v>272</v>
      </c>
      <c r="Z291" s="151">
        <v>49793</v>
      </c>
      <c r="AA291" s="154">
        <v>0.27688656608526124</v>
      </c>
      <c r="AB291" s="154">
        <v>8.4931506849315067E-2</v>
      </c>
      <c r="AC291" s="154">
        <f t="shared" si="50"/>
        <v>12.579472185919043</v>
      </c>
      <c r="AD291" s="361"/>
      <c r="AG291" s="143"/>
    </row>
    <row r="292" spans="24:33">
      <c r="X292" s="362" t="str">
        <f t="shared" si="49"/>
        <v>273M</v>
      </c>
      <c r="Y292" s="135">
        <f t="shared" si="51"/>
        <v>273</v>
      </c>
      <c r="Z292" s="151">
        <v>49823</v>
      </c>
      <c r="AA292" s="154">
        <v>0.27586541046619339</v>
      </c>
      <c r="AB292" s="154">
        <v>8.2191780821917804E-2</v>
      </c>
      <c r="AC292" s="154">
        <f t="shared" si="50"/>
        <v>12.602146055272428</v>
      </c>
      <c r="AD292" s="361"/>
      <c r="AG292" s="143"/>
    </row>
    <row r="293" spans="24:33">
      <c r="X293" s="362" t="str">
        <f t="shared" si="49"/>
        <v>274M</v>
      </c>
      <c r="Y293" s="135">
        <f t="shared" si="51"/>
        <v>274</v>
      </c>
      <c r="Z293" s="151">
        <v>49856</v>
      </c>
      <c r="AA293" s="154">
        <v>0.27474868645781148</v>
      </c>
      <c r="AB293" s="154">
        <v>9.0410958904109592E-2</v>
      </c>
      <c r="AC293" s="154">
        <f t="shared" si="50"/>
        <v>12.626986347472723</v>
      </c>
      <c r="AD293" s="361"/>
      <c r="AG293" s="143"/>
    </row>
    <row r="294" spans="24:33">
      <c r="X294" s="362" t="str">
        <f t="shared" si="49"/>
        <v>275M</v>
      </c>
      <c r="Y294" s="135">
        <f t="shared" si="51"/>
        <v>275</v>
      </c>
      <c r="Z294" s="151">
        <v>49884</v>
      </c>
      <c r="AA294" s="154">
        <v>0.27380650841948406</v>
      </c>
      <c r="AB294" s="154">
        <v>7.6712328767123292E-2</v>
      </c>
      <c r="AC294" s="154">
        <f t="shared" si="50"/>
        <v>12.647990682365176</v>
      </c>
      <c r="AD294" s="361"/>
      <c r="AG294" s="143"/>
    </row>
    <row r="295" spans="24:33">
      <c r="X295" s="362" t="str">
        <f t="shared" si="49"/>
        <v>276M</v>
      </c>
      <c r="Y295" s="135">
        <f t="shared" si="51"/>
        <v>276</v>
      </c>
      <c r="Z295" s="151">
        <v>49915</v>
      </c>
      <c r="AA295" s="154">
        <v>0.27276907081410467</v>
      </c>
      <c r="AB295" s="154">
        <v>8.4931506849315067E-2</v>
      </c>
      <c r="AC295" s="154">
        <f t="shared" si="50"/>
        <v>12.671157370571306</v>
      </c>
      <c r="AD295" s="361"/>
      <c r="AG295" s="143"/>
    </row>
    <row r="296" spans="24:33">
      <c r="X296" s="362" t="str">
        <f t="shared" si="49"/>
        <v>277M</v>
      </c>
      <c r="Y296" s="135">
        <f t="shared" si="51"/>
        <v>277</v>
      </c>
      <c r="Z296" s="151">
        <v>49947</v>
      </c>
      <c r="AA296" s="154">
        <v>0.27170439819130626</v>
      </c>
      <c r="AB296" s="154">
        <v>8.7671232876712329E-2</v>
      </c>
      <c r="AC296" s="154">
        <f t="shared" si="50"/>
        <v>12.694978030138763</v>
      </c>
      <c r="AD296" s="361"/>
      <c r="AG296" s="143"/>
    </row>
    <row r="297" spans="24:33">
      <c r="X297" s="362" t="str">
        <f t="shared" si="49"/>
        <v>278M</v>
      </c>
      <c r="Y297" s="135">
        <f t="shared" si="51"/>
        <v>278</v>
      </c>
      <c r="Z297" s="151">
        <v>49976</v>
      </c>
      <c r="AA297" s="154">
        <v>0.27074497166204015</v>
      </c>
      <c r="AB297" s="154">
        <v>7.9452054794520555E-2</v>
      </c>
      <c r="AC297" s="154">
        <f t="shared" si="50"/>
        <v>12.716489274462596</v>
      </c>
      <c r="AD297" s="361"/>
      <c r="AG297" s="143"/>
    </row>
    <row r="298" spans="24:33">
      <c r="X298" s="362" t="str">
        <f t="shared" si="49"/>
        <v>279M</v>
      </c>
      <c r="Y298" s="135">
        <f t="shared" si="51"/>
        <v>279</v>
      </c>
      <c r="Z298" s="151">
        <v>50007</v>
      </c>
      <c r="AA298" s="154">
        <v>0.26972505450864059</v>
      </c>
      <c r="AB298" s="154">
        <v>8.4931506849315067E-2</v>
      </c>
      <c r="AC298" s="154">
        <f t="shared" si="50"/>
        <v>12.739397429777028</v>
      </c>
      <c r="AD298" s="361"/>
      <c r="AG298" s="143"/>
    </row>
    <row r="299" spans="24:33">
      <c r="X299" s="362" t="str">
        <f t="shared" si="49"/>
        <v>280M</v>
      </c>
      <c r="Y299" s="135">
        <f t="shared" si="51"/>
        <v>280</v>
      </c>
      <c r="Z299" s="151">
        <v>50038</v>
      </c>
      <c r="AA299" s="154">
        <v>0.26871096697760938</v>
      </c>
      <c r="AB299" s="154">
        <v>8.4931506849315067E-2</v>
      </c>
      <c r="AC299" s="154">
        <f t="shared" si="50"/>
        <v>12.762219457109373</v>
      </c>
      <c r="AD299" s="361"/>
      <c r="AG299" s="143"/>
    </row>
    <row r="300" spans="24:33">
      <c r="X300" s="362" t="str">
        <f t="shared" si="49"/>
        <v>281M</v>
      </c>
      <c r="Y300" s="135">
        <f t="shared" si="51"/>
        <v>281</v>
      </c>
      <c r="Z300" s="151">
        <v>50068</v>
      </c>
      <c r="AA300" s="154">
        <v>0.26773510780554721</v>
      </c>
      <c r="AB300" s="154">
        <v>8.2191780821917804E-2</v>
      </c>
      <c r="AC300" s="154">
        <f t="shared" si="50"/>
        <v>12.784225082408458</v>
      </c>
      <c r="AD300" s="361"/>
      <c r="AG300" s="143"/>
    </row>
    <row r="301" spans="24:33">
      <c r="X301" s="362" t="str">
        <f t="shared" si="49"/>
        <v>282M</v>
      </c>
      <c r="Y301" s="135">
        <f t="shared" si="51"/>
        <v>282</v>
      </c>
      <c r="Z301" s="151">
        <v>50098</v>
      </c>
      <c r="AA301" s="154">
        <v>0.26676464052908905</v>
      </c>
      <c r="AB301" s="154">
        <v>8.2191780821917804E-2</v>
      </c>
      <c r="AC301" s="154">
        <f t="shared" si="50"/>
        <v>12.806150943273863</v>
      </c>
      <c r="AD301" s="361"/>
      <c r="AG301" s="143"/>
    </row>
    <row r="302" spans="24:33">
      <c r="X302" s="362" t="str">
        <f t="shared" si="49"/>
        <v>283M</v>
      </c>
      <c r="Y302" s="135">
        <f t="shared" si="51"/>
        <v>283</v>
      </c>
      <c r="Z302" s="151">
        <v>50129</v>
      </c>
      <c r="AA302" s="154">
        <v>0.26576745384570671</v>
      </c>
      <c r="AB302" s="154">
        <v>8.4931506849315067E-2</v>
      </c>
      <c r="AC302" s="154">
        <f t="shared" si="50"/>
        <v>12.828722973600485</v>
      </c>
      <c r="AD302" s="361"/>
      <c r="AG302" s="143"/>
    </row>
    <row r="303" spans="24:33">
      <c r="X303" s="362" t="str">
        <f t="shared" si="49"/>
        <v>284M</v>
      </c>
      <c r="Y303" s="135">
        <f t="shared" si="51"/>
        <v>284</v>
      </c>
      <c r="Z303" s="151">
        <v>50158</v>
      </c>
      <c r="AA303" s="154">
        <v>0.26483975014880512</v>
      </c>
      <c r="AB303" s="154">
        <v>7.9452054794520555E-2</v>
      </c>
      <c r="AC303" s="154">
        <f t="shared" si="50"/>
        <v>12.849765035941074</v>
      </c>
      <c r="AD303" s="361"/>
      <c r="AG303" s="143"/>
    </row>
    <row r="304" spans="24:33">
      <c r="X304" s="362" t="str">
        <f t="shared" si="49"/>
        <v>285M</v>
      </c>
      <c r="Y304" s="135">
        <f t="shared" si="51"/>
        <v>285</v>
      </c>
      <c r="Z304" s="151">
        <v>50188</v>
      </c>
      <c r="AA304" s="154">
        <v>0.26388526186145406</v>
      </c>
      <c r="AB304" s="154">
        <v>8.2191780821917804E-2</v>
      </c>
      <c r="AC304" s="154">
        <f t="shared" si="50"/>
        <v>12.871454235546125</v>
      </c>
      <c r="AD304" s="361"/>
      <c r="AG304" s="143"/>
    </row>
    <row r="305" spans="24:33">
      <c r="X305" s="362" t="str">
        <f t="shared" si="49"/>
        <v>286M</v>
      </c>
      <c r="Y305" s="135">
        <f t="shared" si="51"/>
        <v>286</v>
      </c>
      <c r="Z305" s="151">
        <v>50220</v>
      </c>
      <c r="AA305" s="154">
        <v>0.26287293960578673</v>
      </c>
      <c r="AB305" s="154">
        <v>8.7671232876712329E-2</v>
      </c>
      <c r="AC305" s="154">
        <f t="shared" si="50"/>
        <v>12.89450063025129</v>
      </c>
      <c r="AD305" s="361"/>
      <c r="AG305" s="143"/>
    </row>
    <row r="306" spans="24:33">
      <c r="X306" s="362" t="str">
        <f t="shared" si="49"/>
        <v>287M</v>
      </c>
      <c r="Y306" s="135">
        <f t="shared" si="51"/>
        <v>287</v>
      </c>
      <c r="Z306" s="151">
        <v>50249</v>
      </c>
      <c r="AA306" s="154">
        <v>0.26196066095243498</v>
      </c>
      <c r="AB306" s="154">
        <v>7.9452054794520555E-2</v>
      </c>
      <c r="AC306" s="154">
        <f t="shared" si="50"/>
        <v>12.915313943039292</v>
      </c>
      <c r="AD306" s="361"/>
      <c r="AG306" s="143"/>
    </row>
    <row r="307" spans="24:33">
      <c r="X307" s="362" t="str">
        <f t="shared" si="49"/>
        <v>288M</v>
      </c>
      <c r="Y307" s="135">
        <f t="shared" si="51"/>
        <v>288</v>
      </c>
      <c r="Z307" s="151">
        <v>50280</v>
      </c>
      <c r="AA307" s="154">
        <v>0.26099083566398107</v>
      </c>
      <c r="AB307" s="154">
        <v>8.4931506849315067E-2</v>
      </c>
      <c r="AC307" s="154">
        <f t="shared" si="50"/>
        <v>12.937480287986096</v>
      </c>
      <c r="AD307" s="361"/>
      <c r="AG307" s="143"/>
    </row>
    <row r="308" spans="24:33">
      <c r="X308" s="362" t="str">
        <f t="shared" si="49"/>
        <v>289M</v>
      </c>
      <c r="Y308" s="135">
        <f t="shared" si="51"/>
        <v>289</v>
      </c>
      <c r="Z308" s="151">
        <v>50311</v>
      </c>
      <c r="AA308" s="154">
        <v>0.26002652440038565</v>
      </c>
      <c r="AB308" s="154">
        <v>8.4931506849315067E-2</v>
      </c>
      <c r="AC308" s="154">
        <f t="shared" si="50"/>
        <v>12.95956473252421</v>
      </c>
      <c r="AD308" s="361"/>
      <c r="AG308" s="143"/>
    </row>
    <row r="309" spans="24:33">
      <c r="X309" s="362" t="str">
        <f t="shared" si="49"/>
        <v>290M</v>
      </c>
      <c r="Y309" s="135">
        <f t="shared" si="51"/>
        <v>290</v>
      </c>
      <c r="Z309" s="151">
        <v>50341</v>
      </c>
      <c r="AA309" s="154">
        <v>0.25909853746257444</v>
      </c>
      <c r="AB309" s="154">
        <v>8.2191780821917804E-2</v>
      </c>
      <c r="AC309" s="154">
        <f t="shared" si="50"/>
        <v>12.980860502726614</v>
      </c>
      <c r="AD309" s="361"/>
      <c r="AG309" s="143"/>
    </row>
    <row r="310" spans="24:33">
      <c r="X310" s="362" t="str">
        <f t="shared" si="49"/>
        <v>291M</v>
      </c>
      <c r="Y310" s="135">
        <f t="shared" si="51"/>
        <v>291</v>
      </c>
      <c r="Z310" s="151">
        <v>50374</v>
      </c>
      <c r="AA310" s="154">
        <v>0.25808364172731385</v>
      </c>
      <c r="AB310" s="154">
        <v>9.0410958904109592E-2</v>
      </c>
      <c r="AC310" s="154">
        <f t="shared" si="50"/>
        <v>13.004194092252645</v>
      </c>
      <c r="AD310" s="361"/>
      <c r="AG310" s="143"/>
    </row>
    <row r="311" spans="24:33">
      <c r="X311" s="362" t="str">
        <f t="shared" si="49"/>
        <v>292M</v>
      </c>
      <c r="Y311" s="135">
        <f t="shared" si="51"/>
        <v>292</v>
      </c>
      <c r="Z311" s="151">
        <v>50403</v>
      </c>
      <c r="AA311" s="154">
        <v>0.25719682592105048</v>
      </c>
      <c r="AB311" s="154">
        <v>7.9452054794520555E-2</v>
      </c>
      <c r="AC311" s="154">
        <f t="shared" si="50"/>
        <v>13.0246289085587</v>
      </c>
      <c r="AD311" s="361"/>
      <c r="AG311" s="143"/>
    </row>
    <row r="312" spans="24:33">
      <c r="X312" s="362" t="str">
        <f t="shared" si="49"/>
        <v>293M</v>
      </c>
      <c r="Y312" s="135">
        <f t="shared" si="51"/>
        <v>293</v>
      </c>
      <c r="Z312" s="151">
        <v>50433</v>
      </c>
      <c r="AA312" s="154">
        <v>0.25628438285322702</v>
      </c>
      <c r="AB312" s="154">
        <v>8.2191780821917804E-2</v>
      </c>
      <c r="AC312" s="154">
        <f t="shared" si="50"/>
        <v>13.045693378382254</v>
      </c>
      <c r="AD312" s="361"/>
      <c r="AG312" s="143"/>
    </row>
    <row r="313" spans="24:33">
      <c r="X313" s="362" t="str">
        <f t="shared" si="49"/>
        <v>294M</v>
      </c>
      <c r="Y313" s="135">
        <f t="shared" si="51"/>
        <v>294</v>
      </c>
      <c r="Z313" s="151">
        <v>50462</v>
      </c>
      <c r="AA313" s="154">
        <v>0.25540711374899105</v>
      </c>
      <c r="AB313" s="154">
        <v>7.9452054794520555E-2</v>
      </c>
      <c r="AC313" s="154">
        <f t="shared" si="50"/>
        <v>13.065985998378748</v>
      </c>
      <c r="AD313" s="361"/>
      <c r="AG313" s="143"/>
    </row>
    <row r="314" spans="24:33">
      <c r="X314" s="362" t="str">
        <f t="shared" si="49"/>
        <v>295M</v>
      </c>
      <c r="Y314" s="135">
        <f t="shared" si="51"/>
        <v>295</v>
      </c>
      <c r="Z314" s="151">
        <v>50493</v>
      </c>
      <c r="AA314" s="154">
        <v>0.25447448570858194</v>
      </c>
      <c r="AB314" s="154">
        <v>8.4931506849315067E-2</v>
      </c>
      <c r="AC314" s="154">
        <f t="shared" si="50"/>
        <v>13.087598899904682</v>
      </c>
      <c r="AD314" s="361"/>
      <c r="AG314" s="143"/>
    </row>
    <row r="315" spans="24:33">
      <c r="X315" s="362" t="str">
        <f t="shared" si="49"/>
        <v>296M</v>
      </c>
      <c r="Y315" s="135">
        <f t="shared" si="51"/>
        <v>296</v>
      </c>
      <c r="Z315" s="151">
        <v>50523</v>
      </c>
      <c r="AA315" s="154">
        <v>0.25357697134006896</v>
      </c>
      <c r="AB315" s="154">
        <v>8.2191780821917804E-2</v>
      </c>
      <c r="AC315" s="154">
        <f t="shared" si="50"/>
        <v>13.10844084275455</v>
      </c>
      <c r="AD315" s="361"/>
      <c r="AG315" s="143"/>
    </row>
    <row r="316" spans="24:33">
      <c r="X316" s="362" t="str">
        <f t="shared" si="49"/>
        <v>297M</v>
      </c>
      <c r="Y316" s="135">
        <f t="shared" si="51"/>
        <v>297</v>
      </c>
      <c r="Z316" s="151">
        <v>50553</v>
      </c>
      <c r="AA316" s="154">
        <v>0.25268437326134291</v>
      </c>
      <c r="AB316" s="154">
        <v>8.2191780821917804E-2</v>
      </c>
      <c r="AC316" s="154">
        <f t="shared" si="50"/>
        <v>13.12920942137877</v>
      </c>
      <c r="AD316" s="361"/>
      <c r="AG316" s="143"/>
    </row>
    <row r="317" spans="24:33">
      <c r="X317" s="362" t="str">
        <f t="shared" si="49"/>
        <v>298M</v>
      </c>
      <c r="Y317" s="135">
        <f t="shared" si="51"/>
        <v>298</v>
      </c>
      <c r="Z317" s="151">
        <v>50584</v>
      </c>
      <c r="AA317" s="154">
        <v>0.25176715528148952</v>
      </c>
      <c r="AB317" s="154">
        <v>8.4931506849315067E-2</v>
      </c>
      <c r="AC317" s="154">
        <f t="shared" si="50"/>
        <v>13.150592385251992</v>
      </c>
      <c r="AD317" s="361"/>
      <c r="AG317" s="143"/>
    </row>
    <row r="318" spans="24:33">
      <c r="X318" s="362" t="str">
        <f t="shared" si="49"/>
        <v>299M</v>
      </c>
      <c r="Y318" s="135">
        <f t="shared" si="51"/>
        <v>299</v>
      </c>
      <c r="Z318" s="151">
        <v>50614</v>
      </c>
      <c r="AA318" s="154">
        <v>0.25088446251453372</v>
      </c>
      <c r="AB318" s="154">
        <v>8.2191780821917804E-2</v>
      </c>
      <c r="AC318" s="154">
        <f t="shared" si="50"/>
        <v>13.17121302600661</v>
      </c>
      <c r="AD318" s="361"/>
      <c r="AG318" s="143"/>
    </row>
    <row r="319" spans="24:33">
      <c r="X319" s="362" t="str">
        <f t="shared" si="49"/>
        <v>300M</v>
      </c>
      <c r="Y319" s="135">
        <f t="shared" si="51"/>
        <v>300</v>
      </c>
      <c r="Z319" s="151">
        <v>50647</v>
      </c>
      <c r="AA319" s="154">
        <v>0.24991907460296622</v>
      </c>
      <c r="AB319" s="154">
        <v>9.0410958904109592E-2</v>
      </c>
      <c r="AC319" s="154">
        <f t="shared" si="50"/>
        <v>13.193808449189891</v>
      </c>
      <c r="AD319" s="361"/>
      <c r="AG319" s="143"/>
    </row>
    <row r="320" spans="24:33">
      <c r="X320" s="362" t="str">
        <f t="shared" si="49"/>
        <v>301M</v>
      </c>
      <c r="Y320" s="135">
        <f t="shared" si="51"/>
        <v>301</v>
      </c>
      <c r="Z320" s="151">
        <v>50676</v>
      </c>
      <c r="AA320" s="154">
        <v>0.24908748587477914</v>
      </c>
      <c r="AB320" s="154">
        <v>7.9452054794520555E-2</v>
      </c>
      <c r="AC320" s="154">
        <f t="shared" si="50"/>
        <v>13.213598961766243</v>
      </c>
      <c r="AD320" s="361"/>
      <c r="AG320" s="143"/>
    </row>
    <row r="321" spans="24:33">
      <c r="X321" s="362" t="str">
        <f t="shared" si="49"/>
        <v>302M</v>
      </c>
      <c r="Y321" s="135">
        <f t="shared" si="51"/>
        <v>302</v>
      </c>
      <c r="Z321" s="151">
        <v>50706</v>
      </c>
      <c r="AA321" s="154">
        <v>0.24823190468606779</v>
      </c>
      <c r="AB321" s="154">
        <v>8.2191780821917804E-2</v>
      </c>
      <c r="AC321" s="154">
        <f t="shared" si="50"/>
        <v>13.234001584069206</v>
      </c>
      <c r="AD321" s="361"/>
      <c r="AG321" s="143"/>
    </row>
    <row r="322" spans="24:33">
      <c r="X322" s="362" t="str">
        <f t="shared" si="49"/>
        <v>303M</v>
      </c>
      <c r="Y322" s="135">
        <f t="shared" si="51"/>
        <v>303</v>
      </c>
      <c r="Z322" s="151">
        <v>50738</v>
      </c>
      <c r="AA322" s="154">
        <v>0.24732450195095668</v>
      </c>
      <c r="AB322" s="154">
        <v>8.7671232876712329E-2</v>
      </c>
      <c r="AC322" s="154">
        <f t="shared" si="50"/>
        <v>13.255684828075866</v>
      </c>
      <c r="AD322" s="361"/>
      <c r="AG322" s="143"/>
    </row>
    <row r="323" spans="24:33">
      <c r="X323" s="362" t="str">
        <f t="shared" si="49"/>
        <v>304M</v>
      </c>
      <c r="Y323" s="135">
        <f t="shared" si="51"/>
        <v>304</v>
      </c>
      <c r="Z323" s="151">
        <v>50768</v>
      </c>
      <c r="AA323" s="154">
        <v>0.24647867288813957</v>
      </c>
      <c r="AB323" s="154">
        <v>8.2191780821917804E-2</v>
      </c>
      <c r="AC323" s="154">
        <f t="shared" si="50"/>
        <v>13.275943349135165</v>
      </c>
      <c r="AD323" s="361"/>
      <c r="AG323" s="143"/>
    </row>
    <row r="324" spans="24:33">
      <c r="X324" s="362" t="str">
        <f t="shared" si="49"/>
        <v>305M</v>
      </c>
      <c r="Y324" s="135">
        <f t="shared" si="51"/>
        <v>305</v>
      </c>
      <c r="Z324" s="151">
        <v>50798</v>
      </c>
      <c r="AA324" s="154">
        <v>0.24563751907609638</v>
      </c>
      <c r="AB324" s="154">
        <v>8.2191780821917804E-2</v>
      </c>
      <c r="AC324" s="154">
        <f t="shared" si="50"/>
        <v>13.296132734264708</v>
      </c>
      <c r="AD324" s="361"/>
      <c r="AG324" s="143"/>
    </row>
    <row r="325" spans="24:33">
      <c r="X325" s="362" t="str">
        <f t="shared" si="49"/>
        <v>306M</v>
      </c>
      <c r="Y325" s="135">
        <f t="shared" si="51"/>
        <v>306</v>
      </c>
      <c r="Z325" s="151">
        <v>50829</v>
      </c>
      <c r="AA325" s="154">
        <v>0.24477320855311974</v>
      </c>
      <c r="AB325" s="154">
        <v>8.4931506849315067E-2</v>
      </c>
      <c r="AC325" s="154">
        <f t="shared" si="50"/>
        <v>13.316921691703467</v>
      </c>
      <c r="AD325" s="361"/>
      <c r="AG325" s="143"/>
    </row>
    <row r="326" spans="24:33">
      <c r="X326" s="362" t="str">
        <f t="shared" si="49"/>
        <v>307M</v>
      </c>
      <c r="Y326" s="135">
        <f t="shared" si="51"/>
        <v>307</v>
      </c>
      <c r="Z326" s="151">
        <v>50857</v>
      </c>
      <c r="AA326" s="154">
        <v>0.24399678040125095</v>
      </c>
      <c r="AB326" s="154">
        <v>7.6712328767123292E-2</v>
      </c>
      <c r="AC326" s="154">
        <f t="shared" si="50"/>
        <v>13.335639252939727</v>
      </c>
      <c r="AD326" s="361"/>
      <c r="AG326" s="143"/>
    </row>
    <row r="327" spans="24:33">
      <c r="X327" s="362" t="str">
        <f t="shared" si="49"/>
        <v>308M</v>
      </c>
      <c r="Y327" s="135">
        <f t="shared" si="51"/>
        <v>308</v>
      </c>
      <c r="Z327" s="151">
        <v>50888</v>
      </c>
      <c r="AA327" s="154">
        <v>0.24314182899085979</v>
      </c>
      <c r="AB327" s="154">
        <v>8.4931506849315067E-2</v>
      </c>
      <c r="AC327" s="154">
        <f t="shared" si="50"/>
        <v>13.356289654854018</v>
      </c>
      <c r="AD327" s="361"/>
      <c r="AG327" s="143"/>
    </row>
    <row r="328" spans="24:33">
      <c r="X328" s="362" t="str">
        <f t="shared" si="49"/>
        <v>309M</v>
      </c>
      <c r="Y328" s="135">
        <f t="shared" si="51"/>
        <v>309</v>
      </c>
      <c r="Z328" s="151">
        <v>50920</v>
      </c>
      <c r="AA328" s="154">
        <v>0.24226440980974409</v>
      </c>
      <c r="AB328" s="154">
        <v>8.7671232876712329E-2</v>
      </c>
      <c r="AC328" s="154">
        <f t="shared" si="50"/>
        <v>13.377529274344187</v>
      </c>
      <c r="AD328" s="361"/>
      <c r="AG328" s="143"/>
    </row>
    <row r="329" spans="24:33">
      <c r="X329" s="362" t="str">
        <f t="shared" si="49"/>
        <v>310M</v>
      </c>
      <c r="Y329" s="135">
        <f t="shared" si="51"/>
        <v>310</v>
      </c>
      <c r="Z329" s="151">
        <v>50949</v>
      </c>
      <c r="AA329" s="154">
        <v>0.24147370628820347</v>
      </c>
      <c r="AB329" s="154">
        <v>7.9452054794520555E-2</v>
      </c>
      <c r="AC329" s="154">
        <f t="shared" si="50"/>
        <v>13.396714856487634</v>
      </c>
      <c r="AD329" s="361"/>
      <c r="AG329" s="143"/>
    </row>
    <row r="330" spans="24:33">
      <c r="X330" s="362" t="str">
        <f t="shared" si="49"/>
        <v>311M</v>
      </c>
      <c r="Y330" s="135">
        <f t="shared" si="51"/>
        <v>311</v>
      </c>
      <c r="Z330" s="151">
        <v>50979</v>
      </c>
      <c r="AA330" s="154">
        <v>0.24066017027588762</v>
      </c>
      <c r="AB330" s="154">
        <v>8.2191780821917804E-2</v>
      </c>
      <c r="AC330" s="154">
        <f t="shared" si="50"/>
        <v>13.416495144455515</v>
      </c>
      <c r="AD330" s="361"/>
      <c r="AG330" s="143"/>
    </row>
    <row r="331" spans="24:33">
      <c r="X331" s="362" t="str">
        <f t="shared" si="49"/>
        <v>312M</v>
      </c>
      <c r="Y331" s="135">
        <f t="shared" si="51"/>
        <v>312</v>
      </c>
      <c r="Z331" s="151">
        <v>51011</v>
      </c>
      <c r="AA331" s="154">
        <v>0.23979733763291261</v>
      </c>
      <c r="AB331" s="154">
        <v>8.7671232876712329E-2</v>
      </c>
      <c r="AC331" s="154">
        <f t="shared" si="50"/>
        <v>13.437518472686346</v>
      </c>
      <c r="AD331" s="361"/>
      <c r="AG331" s="143"/>
    </row>
    <row r="332" spans="24:33">
      <c r="X332" s="362" t="str">
        <f t="shared" si="49"/>
        <v>313M</v>
      </c>
      <c r="Y332" s="135">
        <f t="shared" si="51"/>
        <v>313</v>
      </c>
      <c r="Z332" s="151">
        <v>51041</v>
      </c>
      <c r="AA332" s="154">
        <v>0.23899303417760126</v>
      </c>
      <c r="AB332" s="154">
        <v>8.2191780821917804E-2</v>
      </c>
      <c r="AC332" s="154">
        <f t="shared" si="50"/>
        <v>13.457161735769436</v>
      </c>
      <c r="AD332" s="361"/>
      <c r="AG332" s="143"/>
    </row>
    <row r="333" spans="24:33">
      <c r="X333" s="362" t="str">
        <f t="shared" si="49"/>
        <v>314M</v>
      </c>
      <c r="Y333" s="135">
        <f t="shared" si="51"/>
        <v>314</v>
      </c>
      <c r="Z333" s="151">
        <v>51071</v>
      </c>
      <c r="AA333" s="154">
        <v>0.23819315725670237</v>
      </c>
      <c r="AB333" s="154">
        <v>8.2191780821917804E-2</v>
      </c>
      <c r="AC333" s="154">
        <f t="shared" si="50"/>
        <v>13.47673925554396</v>
      </c>
      <c r="AD333" s="361"/>
      <c r="AG333" s="143"/>
    </row>
    <row r="334" spans="24:33">
      <c r="X334" s="362" t="str">
        <f t="shared" si="49"/>
        <v>315M</v>
      </c>
      <c r="Y334" s="135">
        <f t="shared" si="51"/>
        <v>315</v>
      </c>
      <c r="Z334" s="151">
        <v>51102</v>
      </c>
      <c r="AA334" s="154">
        <v>0.23737124007396618</v>
      </c>
      <c r="AB334" s="154">
        <v>8.4931506849315067E-2</v>
      </c>
      <c r="AC334" s="154">
        <f t="shared" si="50"/>
        <v>13.496899552646132</v>
      </c>
      <c r="AD334" s="361"/>
      <c r="AG334" s="143"/>
    </row>
    <row r="335" spans="24:33">
      <c r="X335" s="362" t="str">
        <f t="shared" si="49"/>
        <v>316M</v>
      </c>
      <c r="Y335" s="135">
        <f t="shared" si="51"/>
        <v>316</v>
      </c>
      <c r="Z335" s="151">
        <v>51132</v>
      </c>
      <c r="AA335" s="154">
        <v>0.23658028262030703</v>
      </c>
      <c r="AB335" s="154">
        <v>8.2191780821917804E-2</v>
      </c>
      <c r="AC335" s="154">
        <f t="shared" si="50"/>
        <v>13.516344507382048</v>
      </c>
      <c r="AD335" s="361"/>
      <c r="AG335" s="143"/>
    </row>
    <row r="336" spans="24:33">
      <c r="X336" s="362" t="str">
        <f t="shared" si="49"/>
        <v>317M</v>
      </c>
      <c r="Y336" s="135">
        <f t="shared" si="51"/>
        <v>317</v>
      </c>
      <c r="Z336" s="151">
        <v>51165</v>
      </c>
      <c r="AA336" s="154">
        <v>0.23571524930848436</v>
      </c>
      <c r="AB336" s="154">
        <v>9.0410958904109592E-2</v>
      </c>
      <c r="AC336" s="154">
        <f t="shared" si="50"/>
        <v>13.537655749100349</v>
      </c>
      <c r="AD336" s="361"/>
      <c r="AG336" s="143"/>
    </row>
    <row r="337" spans="24:33">
      <c r="X337" s="362" t="str">
        <f t="shared" si="49"/>
        <v>318M</v>
      </c>
      <c r="Y337" s="135">
        <f t="shared" si="51"/>
        <v>318</v>
      </c>
      <c r="Z337" s="151">
        <v>51194</v>
      </c>
      <c r="AA337" s="154">
        <v>0.23495938355021612</v>
      </c>
      <c r="AB337" s="154">
        <v>7.9452054794520555E-2</v>
      </c>
      <c r="AC337" s="154">
        <f t="shared" si="50"/>
        <v>13.556323754916667</v>
      </c>
      <c r="AD337" s="361"/>
      <c r="AG337" s="143"/>
    </row>
    <row r="338" spans="24:33">
      <c r="X338" s="362" t="str">
        <f t="shared" si="49"/>
        <v>319M</v>
      </c>
      <c r="Y338" s="135">
        <f t="shared" si="51"/>
        <v>319</v>
      </c>
      <c r="Z338" s="151">
        <v>51223</v>
      </c>
      <c r="AA338" s="154">
        <v>0.2342075302109039</v>
      </c>
      <c r="AB338" s="154">
        <v>7.9452054794520555E-2</v>
      </c>
      <c r="AC338" s="154">
        <f t="shared" si="50"/>
        <v>13.574932024440272</v>
      </c>
      <c r="AD338" s="361"/>
      <c r="AG338" s="143"/>
    </row>
    <row r="339" spans="24:33">
      <c r="X339" s="362" t="str">
        <f t="shared" si="49"/>
        <v>320M</v>
      </c>
      <c r="Y339" s="135">
        <f t="shared" si="51"/>
        <v>320</v>
      </c>
      <c r="Z339" s="151">
        <v>51256</v>
      </c>
      <c r="AA339" s="154">
        <v>0.23335682445191855</v>
      </c>
      <c r="AB339" s="154">
        <v>9.0410958904109592E-2</v>
      </c>
      <c r="AC339" s="154">
        <f t="shared" si="50"/>
        <v>13.596030038705788</v>
      </c>
      <c r="AD339" s="361"/>
      <c r="AG339" s="143"/>
    </row>
    <row r="340" spans="24:33">
      <c r="X340" s="362" t="str">
        <f t="shared" si="49"/>
        <v>321M</v>
      </c>
      <c r="Y340" s="135">
        <f t="shared" si="51"/>
        <v>321</v>
      </c>
      <c r="Z340" s="151">
        <v>51284</v>
      </c>
      <c r="AA340" s="154">
        <v>0.23263903953997517</v>
      </c>
      <c r="AB340" s="154">
        <v>7.6712328767123292E-2</v>
      </c>
      <c r="AC340" s="154">
        <f t="shared" si="50"/>
        <v>13.613876321191047</v>
      </c>
      <c r="AD340" s="361"/>
      <c r="AG340" s="143"/>
    </row>
    <row r="341" spans="24:33">
      <c r="X341" s="362" t="str">
        <f t="shared" ref="X341:X404" si="52">Y341&amp;"M"</f>
        <v>322M</v>
      </c>
      <c r="Y341" s="135">
        <f t="shared" si="51"/>
        <v>322</v>
      </c>
      <c r="Z341" s="151">
        <v>51315</v>
      </c>
      <c r="AA341" s="154">
        <v>0.23184863428101407</v>
      </c>
      <c r="AB341" s="154">
        <v>8.4931506849315067E-2</v>
      </c>
      <c r="AC341" s="154">
        <f t="shared" si="50"/>
        <v>13.633567575061489</v>
      </c>
      <c r="AD341" s="361"/>
      <c r="AG341" s="143"/>
    </row>
    <row r="342" spans="24:33">
      <c r="X342" s="362" t="str">
        <f t="shared" si="52"/>
        <v>323M</v>
      </c>
      <c r="Y342" s="135">
        <f t="shared" si="51"/>
        <v>323</v>
      </c>
      <c r="Z342" s="151">
        <v>51347</v>
      </c>
      <c r="AA342" s="154">
        <v>0.2310374271590597</v>
      </c>
      <c r="AB342" s="154">
        <v>8.7671232876712329E-2</v>
      </c>
      <c r="AC342" s="154">
        <f t="shared" ref="AC342:AC405" si="53">AC341+AA342*AB342</f>
        <v>13.653822911141187</v>
      </c>
      <c r="AD342" s="361"/>
      <c r="AG342" s="143"/>
    </row>
    <row r="343" spans="24:33">
      <c r="X343" s="362" t="str">
        <f t="shared" si="52"/>
        <v>324M</v>
      </c>
      <c r="Y343" s="135">
        <f t="shared" ref="Y343:Y406" si="54">Y342+1</f>
        <v>324</v>
      </c>
      <c r="Z343" s="151">
        <v>51376</v>
      </c>
      <c r="AA343" s="154">
        <v>0.23030636568196169</v>
      </c>
      <c r="AB343" s="154">
        <v>7.9452054794520555E-2</v>
      </c>
      <c r="AC343" s="154">
        <f t="shared" si="53"/>
        <v>13.672121225126878</v>
      </c>
      <c r="AD343" s="361"/>
      <c r="AG343" s="143"/>
    </row>
    <row r="344" spans="24:33">
      <c r="X344" s="362" t="str">
        <f t="shared" si="52"/>
        <v>325M</v>
      </c>
      <c r="Y344" s="135">
        <f t="shared" si="54"/>
        <v>325</v>
      </c>
      <c r="Z344" s="151">
        <v>51407</v>
      </c>
      <c r="AA344" s="154">
        <v>0.22952916584436203</v>
      </c>
      <c r="AB344" s="154">
        <v>8.4931506849315067E-2</v>
      </c>
      <c r="AC344" s="154">
        <f t="shared" si="53"/>
        <v>13.691615483047906</v>
      </c>
      <c r="AD344" s="361"/>
      <c r="AG344" s="143"/>
    </row>
    <row r="345" spans="24:33">
      <c r="X345" s="362" t="str">
        <f t="shared" si="52"/>
        <v>326M</v>
      </c>
      <c r="Y345" s="135">
        <f t="shared" si="54"/>
        <v>326</v>
      </c>
      <c r="Z345" s="151">
        <v>51438</v>
      </c>
      <c r="AA345" s="154">
        <v>0.22875636199299385</v>
      </c>
      <c r="AB345" s="154">
        <v>8.4931506849315067E-2</v>
      </c>
      <c r="AC345" s="154">
        <f t="shared" si="53"/>
        <v>13.711044105573338</v>
      </c>
      <c r="AD345" s="361"/>
      <c r="AG345" s="143"/>
    </row>
    <row r="346" spans="24:33">
      <c r="X346" s="362" t="str">
        <f t="shared" si="52"/>
        <v>327M</v>
      </c>
      <c r="Y346" s="135">
        <f t="shared" si="54"/>
        <v>327</v>
      </c>
      <c r="Z346" s="151">
        <v>51468</v>
      </c>
      <c r="AA346" s="154">
        <v>0.22801264768280982</v>
      </c>
      <c r="AB346" s="154">
        <v>8.2191780821917804E-2</v>
      </c>
      <c r="AC346" s="154">
        <f t="shared" si="53"/>
        <v>13.729784871136308</v>
      </c>
      <c r="AD346" s="361"/>
      <c r="AG346" s="143"/>
    </row>
    <row r="347" spans="24:33">
      <c r="X347" s="362" t="str">
        <f t="shared" si="52"/>
        <v>328M</v>
      </c>
      <c r="Y347" s="135">
        <f t="shared" si="54"/>
        <v>328</v>
      </c>
      <c r="Z347" s="151">
        <v>51498</v>
      </c>
      <c r="AA347" s="154">
        <v>0.22727300122883409</v>
      </c>
      <c r="AB347" s="154">
        <v>8.2191780821917804E-2</v>
      </c>
      <c r="AC347" s="154">
        <f t="shared" si="53"/>
        <v>13.748464843840049</v>
      </c>
      <c r="AD347" s="361"/>
      <c r="AG347" s="143"/>
    </row>
    <row r="348" spans="24:33">
      <c r="X348" s="362" t="str">
        <f t="shared" si="52"/>
        <v>329M</v>
      </c>
      <c r="Y348" s="135">
        <f t="shared" si="54"/>
        <v>329</v>
      </c>
      <c r="Z348" s="151">
        <v>51530</v>
      </c>
      <c r="AA348" s="154">
        <v>0.2264885017781155</v>
      </c>
      <c r="AB348" s="154">
        <v>8.7671232876712329E-2</v>
      </c>
      <c r="AC348" s="154">
        <f t="shared" si="53"/>
        <v>13.768321370023335</v>
      </c>
      <c r="AD348" s="361"/>
      <c r="AG348" s="143"/>
    </row>
    <row r="349" spans="24:33">
      <c r="X349" s="362" t="str">
        <f t="shared" si="52"/>
        <v>330M</v>
      </c>
      <c r="Y349" s="135">
        <f t="shared" si="54"/>
        <v>330</v>
      </c>
      <c r="Z349" s="151">
        <v>51560</v>
      </c>
      <c r="AA349" s="154">
        <v>0.22575718670675782</v>
      </c>
      <c r="AB349" s="154">
        <v>8.2191780821917804E-2</v>
      </c>
      <c r="AC349" s="154">
        <f t="shared" si="53"/>
        <v>13.786876755232109</v>
      </c>
      <c r="AD349" s="361"/>
      <c r="AG349" s="143"/>
    </row>
    <row r="350" spans="24:33">
      <c r="X350" s="362" t="str">
        <f t="shared" si="52"/>
        <v>331M</v>
      </c>
      <c r="Y350" s="135">
        <f t="shared" si="54"/>
        <v>331</v>
      </c>
      <c r="Z350" s="151">
        <v>51588</v>
      </c>
      <c r="AA350" s="154">
        <v>0.22507823092382884</v>
      </c>
      <c r="AB350" s="154">
        <v>7.6712328767123292E-2</v>
      </c>
      <c r="AC350" s="154">
        <f t="shared" si="53"/>
        <v>13.804143030481061</v>
      </c>
      <c r="AD350" s="361"/>
      <c r="AG350" s="143"/>
    </row>
    <row r="351" spans="24:33">
      <c r="X351" s="362" t="str">
        <f t="shared" si="52"/>
        <v>332M</v>
      </c>
      <c r="Y351" s="135">
        <f t="shared" si="54"/>
        <v>332</v>
      </c>
      <c r="Z351" s="151">
        <v>51620</v>
      </c>
      <c r="AA351" s="154">
        <v>0.22430651851774402</v>
      </c>
      <c r="AB351" s="154">
        <v>8.7671232876712329E-2</v>
      </c>
      <c r="AC351" s="154">
        <f t="shared" si="53"/>
        <v>13.823808259501794</v>
      </c>
      <c r="AD351" s="361"/>
      <c r="AG351" s="143"/>
    </row>
    <row r="352" spans="24:33">
      <c r="X352" s="362" t="str">
        <f t="shared" si="52"/>
        <v>333M</v>
      </c>
      <c r="Y352" s="135">
        <f t="shared" si="54"/>
        <v>333</v>
      </c>
      <c r="Z352" s="151">
        <v>51649</v>
      </c>
      <c r="AA352" s="154">
        <v>0.22361103540578584</v>
      </c>
      <c r="AB352" s="154">
        <v>7.9452054794520555E-2</v>
      </c>
      <c r="AC352" s="154">
        <f t="shared" si="53"/>
        <v>13.841574615739514</v>
      </c>
      <c r="AD352" s="361"/>
      <c r="AG352" s="143"/>
    </row>
    <row r="353" spans="24:33">
      <c r="X353" s="362" t="str">
        <f t="shared" si="52"/>
        <v>334M</v>
      </c>
      <c r="Y353" s="135">
        <f t="shared" si="54"/>
        <v>334</v>
      </c>
      <c r="Z353" s="151">
        <v>51680</v>
      </c>
      <c r="AA353" s="154">
        <v>0.2228716444856646</v>
      </c>
      <c r="AB353" s="154">
        <v>8.4931506849315067E-2</v>
      </c>
      <c r="AC353" s="154">
        <f t="shared" si="53"/>
        <v>13.860503440339667</v>
      </c>
      <c r="AD353" s="361"/>
      <c r="AG353" s="143"/>
    </row>
    <row r="354" spans="24:33">
      <c r="X354" s="362" t="str">
        <f t="shared" si="52"/>
        <v>335M</v>
      </c>
      <c r="Y354" s="135">
        <f t="shared" si="54"/>
        <v>335</v>
      </c>
      <c r="Z354" s="151">
        <v>51711</v>
      </c>
      <c r="AA354" s="154">
        <v>0.22213642059619174</v>
      </c>
      <c r="AB354" s="154">
        <v>8.4931506849315067E-2</v>
      </c>
      <c r="AC354" s="154">
        <f t="shared" si="53"/>
        <v>13.879369821267014</v>
      </c>
      <c r="AD354" s="361"/>
      <c r="AG354" s="143"/>
    </row>
    <row r="355" spans="24:33">
      <c r="X355" s="362" t="str">
        <f t="shared" si="52"/>
        <v>336M</v>
      </c>
      <c r="Y355" s="135">
        <f t="shared" si="54"/>
        <v>336</v>
      </c>
      <c r="Z355" s="151">
        <v>51741</v>
      </c>
      <c r="AA355" s="154">
        <v>0.22142885753313502</v>
      </c>
      <c r="AB355" s="154">
        <v>8.2191780821917804E-2</v>
      </c>
      <c r="AC355" s="154">
        <f t="shared" si="53"/>
        <v>13.897569453393025</v>
      </c>
      <c r="AD355" s="361"/>
      <c r="AG355" s="143"/>
    </row>
    <row r="356" spans="24:33">
      <c r="X356" s="362" t="str">
        <f t="shared" si="52"/>
        <v>337M</v>
      </c>
      <c r="Y356" s="135">
        <f t="shared" si="54"/>
        <v>337</v>
      </c>
      <c r="Z356" s="151">
        <v>51774</v>
      </c>
      <c r="AA356" s="154">
        <v>0.22065499147793047</v>
      </c>
      <c r="AB356" s="154">
        <v>9.0410958904109592E-2</v>
      </c>
      <c r="AC356" s="154">
        <f t="shared" si="53"/>
        <v>13.917519082759522</v>
      </c>
      <c r="AD356" s="361"/>
      <c r="AG356" s="143"/>
    </row>
    <row r="357" spans="24:33">
      <c r="X357" s="362" t="str">
        <f t="shared" si="52"/>
        <v>338M</v>
      </c>
      <c r="Y357" s="135">
        <f t="shared" si="54"/>
        <v>338</v>
      </c>
      <c r="Z357" s="151">
        <v>51802</v>
      </c>
      <c r="AA357" s="154">
        <v>0.22000201495300667</v>
      </c>
      <c r="AB357" s="154">
        <v>7.6712328767123292E-2</v>
      </c>
      <c r="AC357" s="154">
        <f t="shared" si="53"/>
        <v>13.934395949660027</v>
      </c>
      <c r="AD357" s="361"/>
      <c r="AG357" s="143"/>
    </row>
    <row r="358" spans="24:33">
      <c r="X358" s="362" t="str">
        <f t="shared" si="52"/>
        <v>339M</v>
      </c>
      <c r="Y358" s="135">
        <f t="shared" si="54"/>
        <v>339</v>
      </c>
      <c r="Z358" s="151">
        <v>51833</v>
      </c>
      <c r="AA358" s="154">
        <v>0.21928294828653655</v>
      </c>
      <c r="AB358" s="154">
        <v>8.4931506849315067E-2</v>
      </c>
      <c r="AC358" s="154">
        <f t="shared" si="53"/>
        <v>13.953019980884363</v>
      </c>
      <c r="AD358" s="361"/>
      <c r="AG358" s="143"/>
    </row>
    <row r="359" spans="24:33">
      <c r="X359" s="362" t="str">
        <f t="shared" si="52"/>
        <v>340M</v>
      </c>
      <c r="Y359" s="135">
        <f t="shared" si="54"/>
        <v>340</v>
      </c>
      <c r="Z359" s="151">
        <v>51865</v>
      </c>
      <c r="AA359" s="154">
        <v>0.21854492835126454</v>
      </c>
      <c r="AB359" s="154">
        <v>8.7671232876712329E-2</v>
      </c>
      <c r="AC359" s="154">
        <f t="shared" si="53"/>
        <v>13.972180084191871</v>
      </c>
      <c r="AD359" s="361"/>
      <c r="AG359" s="143"/>
    </row>
    <row r="360" spans="24:33">
      <c r="X360" s="362" t="str">
        <f t="shared" si="52"/>
        <v>341M</v>
      </c>
      <c r="Y360" s="135">
        <f t="shared" si="54"/>
        <v>341</v>
      </c>
      <c r="Z360" s="151">
        <v>51894</v>
      </c>
      <c r="AA360" s="154">
        <v>0.21787979837173485</v>
      </c>
      <c r="AB360" s="154">
        <v>7.9452054794520555E-2</v>
      </c>
      <c r="AC360" s="154">
        <f t="shared" si="53"/>
        <v>13.989491081870721</v>
      </c>
      <c r="AD360" s="361"/>
      <c r="AG360" s="143"/>
    </row>
    <row r="361" spans="24:33">
      <c r="X361" s="362" t="str">
        <f t="shared" si="52"/>
        <v>342M</v>
      </c>
      <c r="Y361" s="135">
        <f t="shared" si="54"/>
        <v>342</v>
      </c>
      <c r="Z361" s="151">
        <v>51925</v>
      </c>
      <c r="AA361" s="154">
        <v>0.2171726652766815</v>
      </c>
      <c r="AB361" s="154">
        <v>8.4931506849315067E-2</v>
      </c>
      <c r="AC361" s="154">
        <f t="shared" si="53"/>
        <v>14.007935883579151</v>
      </c>
      <c r="AD361" s="361"/>
      <c r="AG361" s="143"/>
    </row>
    <row r="362" spans="24:33">
      <c r="X362" s="362" t="str">
        <f t="shared" si="52"/>
        <v>343M</v>
      </c>
      <c r="Y362" s="135">
        <f t="shared" si="54"/>
        <v>343</v>
      </c>
      <c r="Z362" s="151">
        <v>51953</v>
      </c>
      <c r="AA362" s="154">
        <v>0.21653738035945935</v>
      </c>
      <c r="AB362" s="154">
        <v>7.6712328767123292E-2</v>
      </c>
      <c r="AC362" s="154">
        <f t="shared" si="53"/>
        <v>14.024546970291658</v>
      </c>
      <c r="AD362" s="361"/>
      <c r="AG362" s="143"/>
    </row>
    <row r="363" spans="24:33">
      <c r="X363" s="362" t="str">
        <f t="shared" si="52"/>
        <v>344M</v>
      </c>
      <c r="Y363" s="135">
        <f t="shared" si="54"/>
        <v>344</v>
      </c>
      <c r="Z363" s="151">
        <v>51984</v>
      </c>
      <c r="AA363" s="154">
        <v>0.21583778928304773</v>
      </c>
      <c r="AB363" s="154">
        <v>8.4931506849315067E-2</v>
      </c>
      <c r="AC363" s="154">
        <f t="shared" si="53"/>
        <v>14.042878398970492</v>
      </c>
      <c r="AD363" s="361"/>
      <c r="AG363" s="143"/>
    </row>
    <row r="364" spans="24:33">
      <c r="X364" s="362" t="str">
        <f t="shared" si="52"/>
        <v>345M</v>
      </c>
      <c r="Y364" s="135">
        <f t="shared" si="54"/>
        <v>345</v>
      </c>
      <c r="Z364" s="151">
        <v>52014</v>
      </c>
      <c r="AA364" s="154">
        <v>0.21516450632309325</v>
      </c>
      <c r="AB364" s="154">
        <v>8.2191780821917804E-2</v>
      </c>
      <c r="AC364" s="154">
        <f t="shared" si="53"/>
        <v>14.060563152914856</v>
      </c>
      <c r="AD364" s="361"/>
      <c r="AG364" s="143"/>
    </row>
    <row r="365" spans="24:33">
      <c r="X365" s="362" t="str">
        <f t="shared" si="52"/>
        <v>346M</v>
      </c>
      <c r="Y365" s="135">
        <f t="shared" si="54"/>
        <v>346</v>
      </c>
      <c r="Z365" s="151">
        <v>52047</v>
      </c>
      <c r="AA365" s="154">
        <v>0.21442811911644921</v>
      </c>
      <c r="AB365" s="154">
        <v>9.0410958904109592E-2</v>
      </c>
      <c r="AC365" s="154">
        <f t="shared" si="53"/>
        <v>14.079949804780179</v>
      </c>
      <c r="AD365" s="361"/>
      <c r="AG365" s="143"/>
    </row>
    <row r="366" spans="24:33">
      <c r="X366" s="362" t="str">
        <f t="shared" si="52"/>
        <v>347M</v>
      </c>
      <c r="Y366" s="135">
        <f t="shared" si="54"/>
        <v>347</v>
      </c>
      <c r="Z366" s="151">
        <v>52075</v>
      </c>
      <c r="AA366" s="154">
        <v>0.21380675578231639</v>
      </c>
      <c r="AB366" s="154">
        <v>7.6712328767123292E-2</v>
      </c>
      <c r="AC366" s="154">
        <f t="shared" si="53"/>
        <v>14.096351418922385</v>
      </c>
      <c r="AD366" s="361"/>
      <c r="AG366" s="143"/>
    </row>
    <row r="367" spans="24:33">
      <c r="X367" s="362" t="str">
        <f t="shared" si="52"/>
        <v>348M</v>
      </c>
      <c r="Y367" s="135">
        <f t="shared" si="54"/>
        <v>348</v>
      </c>
      <c r="Z367" s="151">
        <v>52106</v>
      </c>
      <c r="AA367" s="154">
        <v>0.21312249054449722</v>
      </c>
      <c r="AB367" s="154">
        <v>8.4931506849315067E-2</v>
      </c>
      <c r="AC367" s="154">
        <f t="shared" si="53"/>
        <v>14.114452233187809</v>
      </c>
      <c r="AD367" s="361"/>
      <c r="AG367" s="143"/>
    </row>
    <row r="368" spans="24:33">
      <c r="X368" s="362" t="str">
        <f t="shared" si="52"/>
        <v>349M</v>
      </c>
      <c r="Y368" s="135">
        <f t="shared" si="54"/>
        <v>349</v>
      </c>
      <c r="Z368" s="151">
        <v>52138</v>
      </c>
      <c r="AA368" s="154">
        <v>0.21242017696077123</v>
      </c>
      <c r="AB368" s="154">
        <v>8.7671232876712329E-2</v>
      </c>
      <c r="AC368" s="154">
        <f t="shared" si="53"/>
        <v>14.133075371989849</v>
      </c>
      <c r="AD368" s="361"/>
      <c r="AG368" s="143"/>
    </row>
    <row r="369" spans="24:33">
      <c r="X369" s="362" t="str">
        <f t="shared" si="52"/>
        <v>350M</v>
      </c>
      <c r="Y369" s="135">
        <f t="shared" si="54"/>
        <v>350</v>
      </c>
      <c r="Z369" s="151">
        <v>52167</v>
      </c>
      <c r="AA369" s="154">
        <v>0.21178721617072938</v>
      </c>
      <c r="AB369" s="154">
        <v>7.9452054794520555E-2</v>
      </c>
      <c r="AC369" s="154">
        <f t="shared" si="53"/>
        <v>14.149902301493825</v>
      </c>
      <c r="AD369" s="361"/>
      <c r="AG369" s="143"/>
    </row>
    <row r="370" spans="24:33">
      <c r="X370" s="362" t="str">
        <f t="shared" si="52"/>
        <v>351M</v>
      </c>
      <c r="Y370" s="135">
        <f t="shared" si="54"/>
        <v>351</v>
      </c>
      <c r="Z370" s="151">
        <v>52198</v>
      </c>
      <c r="AA370" s="154">
        <v>0.21111427277788469</v>
      </c>
      <c r="AB370" s="154">
        <v>8.4931506849315067E-2</v>
      </c>
      <c r="AC370" s="154">
        <f t="shared" si="53"/>
        <v>14.167832554798247</v>
      </c>
      <c r="AD370" s="361"/>
      <c r="AG370" s="143"/>
    </row>
    <row r="371" spans="24:33">
      <c r="X371" s="362" t="str">
        <f t="shared" si="52"/>
        <v>352M</v>
      </c>
      <c r="Y371" s="135">
        <f t="shared" si="54"/>
        <v>352</v>
      </c>
      <c r="Z371" s="151">
        <v>52229</v>
      </c>
      <c r="AA371" s="154">
        <v>0.21044509962079103</v>
      </c>
      <c r="AB371" s="154">
        <v>8.4931506849315067E-2</v>
      </c>
      <c r="AC371" s="154">
        <f t="shared" si="53"/>
        <v>14.185705974218095</v>
      </c>
      <c r="AD371" s="361"/>
      <c r="AG371" s="143"/>
    </row>
    <row r="372" spans="24:33">
      <c r="X372" s="362" t="str">
        <f t="shared" si="52"/>
        <v>353M</v>
      </c>
      <c r="Y372" s="135">
        <f t="shared" si="54"/>
        <v>353</v>
      </c>
      <c r="Z372" s="151">
        <v>52259</v>
      </c>
      <c r="AA372" s="154">
        <v>0.20980108146964832</v>
      </c>
      <c r="AB372" s="154">
        <v>8.2191780821917804E-2</v>
      </c>
      <c r="AC372" s="154">
        <f t="shared" si="53"/>
        <v>14.20294989872245</v>
      </c>
      <c r="AD372" s="361"/>
      <c r="AG372" s="143"/>
    </row>
    <row r="373" spans="24:33">
      <c r="X373" s="362" t="str">
        <f t="shared" si="52"/>
        <v>354M</v>
      </c>
      <c r="Y373" s="135">
        <f t="shared" si="54"/>
        <v>354</v>
      </c>
      <c r="Z373" s="151">
        <v>52289</v>
      </c>
      <c r="AA373" s="154">
        <v>0.20916055330796521</v>
      </c>
      <c r="AB373" s="154">
        <v>8.2191780821917804E-2</v>
      </c>
      <c r="AC373" s="154">
        <f t="shared" si="53"/>
        <v>14.220141177076529</v>
      </c>
      <c r="AD373" s="361"/>
      <c r="AG373" s="143"/>
    </row>
    <row r="374" spans="24:33">
      <c r="X374" s="362" t="str">
        <f t="shared" si="52"/>
        <v>355M</v>
      </c>
      <c r="Y374" s="135">
        <f t="shared" si="54"/>
        <v>355</v>
      </c>
      <c r="Z374" s="151">
        <v>52321</v>
      </c>
      <c r="AA374" s="154">
        <v>0.20848114757107061</v>
      </c>
      <c r="AB374" s="154">
        <v>8.7671232876712329E-2</v>
      </c>
      <c r="AC374" s="154">
        <f t="shared" si="53"/>
        <v>14.238418976315637</v>
      </c>
      <c r="AD374" s="361"/>
      <c r="AG374" s="143"/>
    </row>
    <row r="375" spans="24:33">
      <c r="X375" s="362" t="str">
        <f t="shared" si="52"/>
        <v>356M</v>
      </c>
      <c r="Y375" s="135">
        <f t="shared" si="54"/>
        <v>356</v>
      </c>
      <c r="Z375" s="151">
        <v>52349</v>
      </c>
      <c r="AA375" s="154">
        <v>0.20788988740870099</v>
      </c>
      <c r="AB375" s="154">
        <v>7.6712328767123292E-2</v>
      </c>
      <c r="AC375" s="154">
        <f t="shared" si="53"/>
        <v>14.254366693705894</v>
      </c>
      <c r="AD375" s="361"/>
      <c r="AG375" s="143"/>
    </row>
    <row r="376" spans="24:33">
      <c r="X376" s="362" t="str">
        <f t="shared" si="52"/>
        <v>357M</v>
      </c>
      <c r="Y376" s="135">
        <f t="shared" si="54"/>
        <v>357</v>
      </c>
      <c r="Z376" s="151">
        <v>52379</v>
      </c>
      <c r="AA376" s="154">
        <v>0.20725971023801165</v>
      </c>
      <c r="AB376" s="154">
        <v>8.2191780821917804E-2</v>
      </c>
      <c r="AC376" s="154">
        <f t="shared" si="53"/>
        <v>14.271401738382991</v>
      </c>
      <c r="AD376" s="361"/>
      <c r="AG376" s="143"/>
    </row>
    <row r="377" spans="24:33">
      <c r="X377" s="362" t="str">
        <f t="shared" si="52"/>
        <v>358M</v>
      </c>
      <c r="Y377" s="135">
        <f t="shared" si="54"/>
        <v>358</v>
      </c>
      <c r="Z377" s="151">
        <v>52411</v>
      </c>
      <c r="AA377" s="154">
        <v>0.2065912805941291</v>
      </c>
      <c r="AB377" s="154">
        <v>8.7671232876712329E-2</v>
      </c>
      <c r="AC377" s="154">
        <f t="shared" si="53"/>
        <v>14.289513850654258</v>
      </c>
      <c r="AD377" s="361"/>
      <c r="AG377" s="143"/>
    </row>
    <row r="378" spans="24:33">
      <c r="X378" s="362" t="str">
        <f t="shared" si="52"/>
        <v>359M</v>
      </c>
      <c r="Y378" s="135">
        <f t="shared" si="54"/>
        <v>359</v>
      </c>
      <c r="Z378" s="151">
        <v>52440</v>
      </c>
      <c r="AA378" s="154">
        <v>0.2059888489231162</v>
      </c>
      <c r="AB378" s="154">
        <v>7.9452054794520555E-2</v>
      </c>
      <c r="AC378" s="154">
        <f t="shared" si="53"/>
        <v>14.305880087965956</v>
      </c>
      <c r="AD378" s="361"/>
      <c r="AG378" s="143"/>
    </row>
    <row r="379" spans="24:33">
      <c r="X379" s="362" t="str">
        <f t="shared" si="52"/>
        <v>360M</v>
      </c>
      <c r="Y379" s="135">
        <f t="shared" si="54"/>
        <v>360</v>
      </c>
      <c r="Z379" s="151">
        <v>52471</v>
      </c>
      <c r="AA379" s="154">
        <v>0.20534835404509608</v>
      </c>
      <c r="AB379" s="154">
        <v>8.4931506849315067E-2</v>
      </c>
      <c r="AC379" s="154">
        <f t="shared" si="53"/>
        <v>14.323320633104034</v>
      </c>
      <c r="AD379" s="361"/>
      <c r="AG379" s="143"/>
    </row>
    <row r="380" spans="24:33">
      <c r="X380" s="362" t="str">
        <f t="shared" si="52"/>
        <v>361M</v>
      </c>
      <c r="Y380" s="135">
        <f t="shared" si="54"/>
        <v>361</v>
      </c>
      <c r="Z380" s="151">
        <v>52502</v>
      </c>
      <c r="AA380" s="154">
        <v>0.20463837351102637</v>
      </c>
      <c r="AB380" s="154">
        <v>8.4931506849315067E-2</v>
      </c>
      <c r="AC380" s="154">
        <f t="shared" si="53"/>
        <v>14.340700878525519</v>
      </c>
      <c r="AD380" s="361"/>
    </row>
    <row r="381" spans="24:33">
      <c r="X381" s="362" t="str">
        <f t="shared" si="52"/>
        <v>362M</v>
      </c>
      <c r="Y381" s="135">
        <f t="shared" si="54"/>
        <v>362</v>
      </c>
      <c r="Z381" s="151">
        <v>52532</v>
      </c>
      <c r="AA381" s="154">
        <v>0.20395474658833962</v>
      </c>
      <c r="AB381" s="154">
        <v>8.2191780821917804E-2</v>
      </c>
      <c r="AC381" s="154">
        <f t="shared" si="53"/>
        <v>14.357464282354698</v>
      </c>
      <c r="AD381" s="361"/>
    </row>
    <row r="382" spans="24:33">
      <c r="X382" s="362" t="str">
        <f t="shared" si="52"/>
        <v>363M</v>
      </c>
      <c r="Y382" s="135">
        <f t="shared" si="54"/>
        <v>363</v>
      </c>
      <c r="Z382" s="151">
        <v>52565</v>
      </c>
      <c r="AA382" s="154">
        <v>0.20320665504686414</v>
      </c>
      <c r="AB382" s="154">
        <v>9.0410958904109592E-2</v>
      </c>
      <c r="AC382" s="154">
        <f t="shared" si="53"/>
        <v>14.375836390893182</v>
      </c>
      <c r="AD382" s="361"/>
    </row>
    <row r="383" spans="24:33">
      <c r="X383" s="362" t="str">
        <f t="shared" si="52"/>
        <v>364M</v>
      </c>
      <c r="Y383" s="135">
        <f t="shared" si="54"/>
        <v>364</v>
      </c>
      <c r="Z383" s="151">
        <v>52594</v>
      </c>
      <c r="AA383" s="154">
        <v>0.20255259354688671</v>
      </c>
      <c r="AB383" s="154">
        <v>7.9452054794520555E-2</v>
      </c>
      <c r="AC383" s="154">
        <f t="shared" si="53"/>
        <v>14.391929610654442</v>
      </c>
      <c r="AD383" s="361"/>
    </row>
    <row r="384" spans="24:33">
      <c r="X384" s="362" t="str">
        <f t="shared" si="52"/>
        <v>365M</v>
      </c>
      <c r="Y384" s="135">
        <f t="shared" si="54"/>
        <v>365</v>
      </c>
      <c r="Z384" s="151">
        <v>52624</v>
      </c>
      <c r="AA384" s="154">
        <v>0.2018792597627822</v>
      </c>
      <c r="AB384" s="154">
        <v>8.2191780821917804E-2</v>
      </c>
      <c r="AC384" s="154">
        <f t="shared" si="53"/>
        <v>14.408522426525355</v>
      </c>
      <c r="AD384" s="361"/>
    </row>
    <row r="385" spans="24:30">
      <c r="X385" s="362" t="str">
        <f t="shared" si="52"/>
        <v>366M</v>
      </c>
      <c r="Y385" s="135">
        <f t="shared" si="54"/>
        <v>366</v>
      </c>
      <c r="Z385" s="151">
        <v>52656</v>
      </c>
      <c r="AA385" s="154">
        <v>0.20116469497987804</v>
      </c>
      <c r="AB385" s="154">
        <v>8.7671232876712329E-2</v>
      </c>
      <c r="AC385" s="154">
        <f t="shared" si="53"/>
        <v>14.426158783345508</v>
      </c>
      <c r="AD385" s="361"/>
    </row>
    <row r="386" spans="24:30">
      <c r="X386" s="362" t="str">
        <f t="shared" si="52"/>
        <v>367M</v>
      </c>
      <c r="Y386" s="135">
        <f t="shared" si="54"/>
        <v>367</v>
      </c>
      <c r="Z386" s="151">
        <v>52684</v>
      </c>
      <c r="AA386" s="154">
        <v>0.20054253125325328</v>
      </c>
      <c r="AB386" s="154">
        <v>7.6712328767123292E-2</v>
      </c>
      <c r="AC386" s="154">
        <f t="shared" si="53"/>
        <v>14.4415428679348</v>
      </c>
      <c r="AD386" s="361"/>
    </row>
    <row r="387" spans="24:30">
      <c r="X387" s="362" t="str">
        <f t="shared" si="52"/>
        <v>368M</v>
      </c>
      <c r="Y387" s="135">
        <f t="shared" si="54"/>
        <v>368</v>
      </c>
      <c r="Z387" s="151">
        <v>52715</v>
      </c>
      <c r="AA387" s="154">
        <v>0.19985704222569473</v>
      </c>
      <c r="AB387" s="154">
        <v>8.4931506849315067E-2</v>
      </c>
      <c r="AC387" s="154">
        <f t="shared" si="53"/>
        <v>14.458517027685476</v>
      </c>
      <c r="AD387" s="361"/>
    </row>
    <row r="388" spans="24:30">
      <c r="X388" s="362" t="str">
        <f t="shared" si="52"/>
        <v>369M</v>
      </c>
      <c r="Y388" s="135">
        <f t="shared" si="54"/>
        <v>369</v>
      </c>
      <c r="Z388" s="151">
        <v>52747</v>
      </c>
      <c r="AA388" s="154">
        <v>0.19915309639805739</v>
      </c>
      <c r="AB388" s="154">
        <v>8.7671232876712329E-2</v>
      </c>
      <c r="AC388" s="154">
        <f t="shared" si="53"/>
        <v>14.475977025177908</v>
      </c>
      <c r="AD388" s="361"/>
    </row>
    <row r="389" spans="24:30">
      <c r="X389" s="362" t="str">
        <f t="shared" si="52"/>
        <v>370M</v>
      </c>
      <c r="Y389" s="135">
        <f t="shared" si="54"/>
        <v>370</v>
      </c>
      <c r="Z389" s="151">
        <v>52776</v>
      </c>
      <c r="AA389" s="154">
        <v>0.19851833541159869</v>
      </c>
      <c r="AB389" s="154">
        <v>7.9452054794520555E-2</v>
      </c>
      <c r="AC389" s="154">
        <f t="shared" si="53"/>
        <v>14.491749714840747</v>
      </c>
      <c r="AD389" s="361"/>
    </row>
    <row r="390" spans="24:30">
      <c r="X390" s="362" t="str">
        <f t="shared" si="52"/>
        <v>371M</v>
      </c>
      <c r="Y390" s="135">
        <f t="shared" si="54"/>
        <v>371</v>
      </c>
      <c r="Z390" s="151">
        <v>52806</v>
      </c>
      <c r="AA390" s="154">
        <v>0.19786486020782632</v>
      </c>
      <c r="AB390" s="154">
        <v>8.2191780821917804E-2</v>
      </c>
      <c r="AC390" s="154">
        <f t="shared" si="53"/>
        <v>14.508012580063308</v>
      </c>
      <c r="AD390" s="361"/>
    </row>
    <row r="391" spans="24:30">
      <c r="X391" s="362" t="str">
        <f t="shared" si="52"/>
        <v>372M</v>
      </c>
      <c r="Y391" s="135">
        <f t="shared" si="54"/>
        <v>372</v>
      </c>
      <c r="Z391" s="151">
        <v>52838</v>
      </c>
      <c r="AA391" s="154">
        <v>0.19717135820715084</v>
      </c>
      <c r="AB391" s="154">
        <v>8.7671232876712329E-2</v>
      </c>
      <c r="AC391" s="154">
        <f t="shared" si="53"/>
        <v>14.525298836125305</v>
      </c>
      <c r="AD391" s="361"/>
    </row>
    <row r="392" spans="24:30">
      <c r="X392" s="362" t="str">
        <f t="shared" si="52"/>
        <v>373M</v>
      </c>
      <c r="Y392" s="135">
        <f t="shared" si="54"/>
        <v>373</v>
      </c>
      <c r="Z392" s="151">
        <v>52868</v>
      </c>
      <c r="AA392" s="154">
        <v>0.19652449866500585</v>
      </c>
      <c r="AB392" s="154">
        <v>8.2191780821917804E-2</v>
      </c>
      <c r="AC392" s="154">
        <f t="shared" si="53"/>
        <v>14.541451534645716</v>
      </c>
      <c r="AD392" s="361"/>
    </row>
    <row r="393" spans="24:30">
      <c r="X393" s="362" t="str">
        <f t="shared" si="52"/>
        <v>374M</v>
      </c>
      <c r="Y393" s="135">
        <f t="shared" si="54"/>
        <v>374</v>
      </c>
      <c r="Z393" s="151">
        <v>52898</v>
      </c>
      <c r="AA393" s="154">
        <v>0.19588081351534975</v>
      </c>
      <c r="AB393" s="154">
        <v>8.2191780821917804E-2</v>
      </c>
      <c r="AC393" s="154">
        <f t="shared" si="53"/>
        <v>14.557551327537389</v>
      </c>
      <c r="AD393" s="361"/>
    </row>
    <row r="394" spans="24:30">
      <c r="X394" s="362" t="str">
        <f t="shared" si="52"/>
        <v>375M</v>
      </c>
      <c r="Y394" s="135">
        <f t="shared" si="54"/>
        <v>375</v>
      </c>
      <c r="Z394" s="151">
        <v>52929</v>
      </c>
      <c r="AA394" s="154">
        <v>0.19521898870616419</v>
      </c>
      <c r="AB394" s="154">
        <v>8.4931506849315067E-2</v>
      </c>
      <c r="AC394" s="154">
        <f t="shared" si="53"/>
        <v>14.574131570413803</v>
      </c>
      <c r="AD394" s="361"/>
    </row>
    <row r="395" spans="24:30">
      <c r="X395" s="362" t="str">
        <f t="shared" si="52"/>
        <v>376M</v>
      </c>
      <c r="Y395" s="135">
        <f t="shared" si="54"/>
        <v>376</v>
      </c>
      <c r="Z395" s="151">
        <v>52959</v>
      </c>
      <c r="AA395" s="154">
        <v>0.19458170495221069</v>
      </c>
      <c r="AB395" s="154">
        <v>8.2191780821917804E-2</v>
      </c>
      <c r="AC395" s="154">
        <f t="shared" si="53"/>
        <v>14.59012458725919</v>
      </c>
      <c r="AD395" s="361"/>
    </row>
    <row r="396" spans="24:30">
      <c r="X396" s="362" t="str">
        <f t="shared" si="52"/>
        <v>377M</v>
      </c>
      <c r="Y396" s="135">
        <f t="shared" si="54"/>
        <v>377</v>
      </c>
      <c r="Z396" s="151">
        <v>52992</v>
      </c>
      <c r="AA396" s="154">
        <v>0.19388429840242893</v>
      </c>
      <c r="AB396" s="154">
        <v>9.0410958904109592E-2</v>
      </c>
      <c r="AC396" s="154">
        <f t="shared" si="53"/>
        <v>14.607653852594204</v>
      </c>
      <c r="AD396" s="361"/>
    </row>
    <row r="397" spans="24:30">
      <c r="X397" s="362" t="str">
        <f t="shared" si="52"/>
        <v>378M</v>
      </c>
      <c r="Y397" s="135">
        <f t="shared" si="54"/>
        <v>378</v>
      </c>
      <c r="Z397" s="151">
        <v>53021</v>
      </c>
      <c r="AA397" s="154">
        <v>0.19327452690644167</v>
      </c>
      <c r="AB397" s="154">
        <v>7.9452054794520555E-2</v>
      </c>
      <c r="AC397" s="154">
        <f t="shared" si="53"/>
        <v>14.623009910896359</v>
      </c>
      <c r="AD397" s="361"/>
    </row>
    <row r="398" spans="24:30">
      <c r="X398" s="362" t="str">
        <f t="shared" si="52"/>
        <v>379M</v>
      </c>
      <c r="Y398" s="135">
        <f t="shared" si="54"/>
        <v>379</v>
      </c>
      <c r="Z398" s="151">
        <v>53049</v>
      </c>
      <c r="AA398" s="154">
        <v>0.19268851961461458</v>
      </c>
      <c r="AB398" s="154">
        <v>7.6712328767123292E-2</v>
      </c>
      <c r="AC398" s="154">
        <f t="shared" si="53"/>
        <v>14.637791495962686</v>
      </c>
      <c r="AD398" s="361"/>
    </row>
    <row r="399" spans="24:30">
      <c r="X399" s="362" t="str">
        <f t="shared" si="52"/>
        <v>380M</v>
      </c>
      <c r="Y399" s="135">
        <f t="shared" si="54"/>
        <v>380</v>
      </c>
      <c r="Z399" s="151">
        <v>53080</v>
      </c>
      <c r="AA399" s="154">
        <v>0.19204284644787847</v>
      </c>
      <c r="AB399" s="154">
        <v>8.4931506849315067E-2</v>
      </c>
      <c r="AC399" s="154">
        <f t="shared" si="53"/>
        <v>14.654101984291136</v>
      </c>
      <c r="AD399" s="361"/>
    </row>
    <row r="400" spans="24:30">
      <c r="X400" s="362" t="str">
        <f t="shared" si="52"/>
        <v>381M</v>
      </c>
      <c r="Y400" s="135">
        <f t="shared" si="54"/>
        <v>381</v>
      </c>
      <c r="Z400" s="151">
        <v>53111</v>
      </c>
      <c r="AA400" s="154">
        <v>0.19140043480095831</v>
      </c>
      <c r="AB400" s="154">
        <v>8.4931506849315067E-2</v>
      </c>
      <c r="AC400" s="154">
        <f t="shared" si="53"/>
        <v>14.670357911630395</v>
      </c>
      <c r="AD400" s="361"/>
    </row>
    <row r="401" spans="24:30">
      <c r="X401" s="362" t="str">
        <f t="shared" si="52"/>
        <v>382M</v>
      </c>
      <c r="Y401" s="135">
        <f t="shared" si="54"/>
        <v>382</v>
      </c>
      <c r="Z401" s="151">
        <v>53141</v>
      </c>
      <c r="AA401" s="154">
        <v>0.19078183431702364</v>
      </c>
      <c r="AB401" s="154">
        <v>8.2191780821917804E-2</v>
      </c>
      <c r="AC401" s="154">
        <f t="shared" si="53"/>
        <v>14.686038610341383</v>
      </c>
      <c r="AD401" s="361"/>
    </row>
    <row r="402" spans="24:30">
      <c r="X402" s="362" t="str">
        <f t="shared" si="52"/>
        <v>383M</v>
      </c>
      <c r="Y402" s="135">
        <f t="shared" si="54"/>
        <v>383</v>
      </c>
      <c r="Z402" s="151">
        <v>53171</v>
      </c>
      <c r="AA402" s="154">
        <v>0.19016625478956511</v>
      </c>
      <c r="AB402" s="154">
        <v>8.2191780821917804E-2</v>
      </c>
      <c r="AC402" s="154">
        <f t="shared" si="53"/>
        <v>14.701668713474772</v>
      </c>
      <c r="AD402" s="361"/>
    </row>
    <row r="403" spans="24:30">
      <c r="X403" s="362" t="str">
        <f t="shared" si="52"/>
        <v>384M</v>
      </c>
      <c r="Y403" s="135">
        <f t="shared" si="54"/>
        <v>384</v>
      </c>
      <c r="Z403" s="151">
        <v>53202</v>
      </c>
      <c r="AA403" s="154">
        <v>0.18953331227261094</v>
      </c>
      <c r="AB403" s="154">
        <v>8.4931506849315067E-2</v>
      </c>
      <c r="AC403" s="154">
        <f t="shared" si="53"/>
        <v>14.717766063284227</v>
      </c>
      <c r="AD403" s="361"/>
    </row>
    <row r="404" spans="24:30">
      <c r="X404" s="362" t="str">
        <f t="shared" si="52"/>
        <v>385M</v>
      </c>
      <c r="Y404" s="135">
        <f t="shared" si="54"/>
        <v>385</v>
      </c>
      <c r="Z404" s="151">
        <v>53233</v>
      </c>
      <c r="AA404" s="154">
        <v>0.18890356010590317</v>
      </c>
      <c r="AB404" s="154">
        <v>8.4931506849315067E-2</v>
      </c>
      <c r="AC404" s="154">
        <f t="shared" si="53"/>
        <v>14.733809927293221</v>
      </c>
      <c r="AD404" s="361"/>
    </row>
    <row r="405" spans="24:30">
      <c r="X405" s="362" t="str">
        <f t="shared" ref="X405:X468" si="55">Y405&amp;"M"</f>
        <v>386M</v>
      </c>
      <c r="Y405" s="135">
        <f t="shared" si="54"/>
        <v>386</v>
      </c>
      <c r="Z405" s="151">
        <v>53265</v>
      </c>
      <c r="AA405" s="154">
        <v>0.18825682086457249</v>
      </c>
      <c r="AB405" s="154">
        <v>8.7671232876712329E-2</v>
      </c>
      <c r="AC405" s="154">
        <f t="shared" si="53"/>
        <v>14.750314634875869</v>
      </c>
      <c r="AD405" s="361"/>
    </row>
    <row r="406" spans="24:30">
      <c r="X406" s="362" t="str">
        <f t="shared" si="55"/>
        <v>387M</v>
      </c>
      <c r="Y406" s="135">
        <f t="shared" si="54"/>
        <v>387</v>
      </c>
      <c r="Z406" s="151">
        <v>53294</v>
      </c>
      <c r="AA406" s="154">
        <v>0.18767361714858846</v>
      </c>
      <c r="AB406" s="154">
        <v>7.9452054794520555E-2</v>
      </c>
      <c r="AC406" s="154">
        <f t="shared" ref="AC406:AC469" si="56">AC405+AA406*AB406</f>
        <v>14.765225689389045</v>
      </c>
      <c r="AD406" s="361"/>
    </row>
    <row r="407" spans="24:30">
      <c r="X407" s="362" t="str">
        <f t="shared" si="55"/>
        <v>388M</v>
      </c>
      <c r="Y407" s="135">
        <f t="shared" ref="Y407:Y470" si="57">Y406+1</f>
        <v>388</v>
      </c>
      <c r="Z407" s="151">
        <v>53324</v>
      </c>
      <c r="AA407" s="154">
        <v>0.18707319248477058</v>
      </c>
      <c r="AB407" s="154">
        <v>8.2191780821917804E-2</v>
      </c>
      <c r="AC407" s="154">
        <f t="shared" si="56"/>
        <v>14.780601568223409</v>
      </c>
      <c r="AD407" s="361"/>
    </row>
    <row r="408" spans="24:30">
      <c r="X408" s="362" t="str">
        <f t="shared" si="55"/>
        <v>389M</v>
      </c>
      <c r="Y408" s="135">
        <f t="shared" si="57"/>
        <v>389</v>
      </c>
      <c r="Z408" s="151">
        <v>53356</v>
      </c>
      <c r="AA408" s="154">
        <v>0.18643596074965693</v>
      </c>
      <c r="AB408" s="154">
        <v>8.7671232876712329E-2</v>
      </c>
      <c r="AC408" s="154">
        <f t="shared" si="56"/>
        <v>14.796946638754886</v>
      </c>
      <c r="AD408" s="361"/>
    </row>
    <row r="409" spans="24:30">
      <c r="X409" s="362" t="str">
        <f t="shared" si="55"/>
        <v>390M</v>
      </c>
      <c r="Y409" s="135">
        <f t="shared" si="57"/>
        <v>390</v>
      </c>
      <c r="Z409" s="151">
        <v>53386</v>
      </c>
      <c r="AA409" s="154">
        <v>0.18584155929428442</v>
      </c>
      <c r="AB409" s="154">
        <v>8.2191780821917804E-2</v>
      </c>
      <c r="AC409" s="154">
        <f t="shared" si="56"/>
        <v>14.812221287464006</v>
      </c>
      <c r="AD409" s="361"/>
    </row>
    <row r="410" spans="24:30">
      <c r="X410" s="362" t="str">
        <f t="shared" si="55"/>
        <v>391M</v>
      </c>
      <c r="Y410" s="135">
        <f t="shared" si="57"/>
        <v>391</v>
      </c>
      <c r="Z410" s="151">
        <v>53414</v>
      </c>
      <c r="AA410" s="154">
        <v>0.18528939273065309</v>
      </c>
      <c r="AB410" s="154">
        <v>7.6712328767123292E-2</v>
      </c>
      <c r="AC410" s="154">
        <f t="shared" si="56"/>
        <v>14.826435268276221</v>
      </c>
      <c r="AD410" s="361"/>
    </row>
    <row r="411" spans="24:30">
      <c r="X411" s="362" t="str">
        <f t="shared" si="55"/>
        <v>392M</v>
      </c>
      <c r="Y411" s="135">
        <f t="shared" si="57"/>
        <v>392</v>
      </c>
      <c r="Z411" s="151">
        <v>53447</v>
      </c>
      <c r="AA411" s="154">
        <v>0.1846418402870077</v>
      </c>
      <c r="AB411" s="154">
        <v>9.0410958904109592E-2</v>
      </c>
      <c r="AC411" s="154">
        <f t="shared" si="56"/>
        <v>14.843128914110389</v>
      </c>
      <c r="AD411" s="361"/>
    </row>
    <row r="412" spans="24:30">
      <c r="X412" s="362" t="str">
        <f t="shared" si="55"/>
        <v>393M</v>
      </c>
      <c r="Y412" s="135">
        <f t="shared" si="57"/>
        <v>393</v>
      </c>
      <c r="Z412" s="151">
        <v>53475</v>
      </c>
      <c r="AA412" s="154">
        <v>0.18409511548846111</v>
      </c>
      <c r="AB412" s="154">
        <v>7.6712328767123292E-2</v>
      </c>
      <c r="AC412" s="154">
        <f t="shared" si="56"/>
        <v>14.857251279134161</v>
      </c>
      <c r="AD412" s="361"/>
    </row>
    <row r="413" spans="24:30">
      <c r="X413" s="362" t="str">
        <f t="shared" si="55"/>
        <v>394M</v>
      </c>
      <c r="Y413" s="135">
        <f t="shared" si="57"/>
        <v>394</v>
      </c>
      <c r="Z413" s="151">
        <v>53506</v>
      </c>
      <c r="AA413" s="154">
        <v>0.18349270297507328</v>
      </c>
      <c r="AB413" s="154">
        <v>8.4931506849315067E-2</v>
      </c>
      <c r="AC413" s="154">
        <f t="shared" si="56"/>
        <v>14.872835590893688</v>
      </c>
      <c r="AD413" s="361"/>
    </row>
    <row r="414" spans="24:30">
      <c r="X414" s="362" t="str">
        <f t="shared" si="55"/>
        <v>395M</v>
      </c>
      <c r="Y414" s="135">
        <f t="shared" si="57"/>
        <v>395</v>
      </c>
      <c r="Z414" s="151">
        <v>53538</v>
      </c>
      <c r="AA414" s="154">
        <v>0.18287402594742461</v>
      </c>
      <c r="AB414" s="154">
        <v>8.7671232876712329E-2</v>
      </c>
      <c r="AC414" s="154">
        <f t="shared" si="56"/>
        <v>14.888868382209626</v>
      </c>
      <c r="AD414" s="361"/>
    </row>
    <row r="415" spans="24:30">
      <c r="X415" s="362" t="str">
        <f t="shared" si="55"/>
        <v>396M</v>
      </c>
      <c r="Y415" s="135">
        <f t="shared" si="57"/>
        <v>396</v>
      </c>
      <c r="Z415" s="151">
        <v>53567</v>
      </c>
      <c r="AA415" s="154">
        <v>0.18231611465361791</v>
      </c>
      <c r="AB415" s="154">
        <v>7.9452054794520555E-2</v>
      </c>
      <c r="AC415" s="154">
        <f t="shared" si="56"/>
        <v>14.90335377214101</v>
      </c>
      <c r="AD415" s="361"/>
    </row>
    <row r="416" spans="24:30">
      <c r="X416" s="362" t="str">
        <f t="shared" si="55"/>
        <v>397M</v>
      </c>
      <c r="Y416" s="135">
        <f t="shared" si="57"/>
        <v>397</v>
      </c>
      <c r="Z416" s="151">
        <v>53598</v>
      </c>
      <c r="AA416" s="154">
        <v>0.18172261779842583</v>
      </c>
      <c r="AB416" s="154">
        <v>8.4931506849315067E-2</v>
      </c>
      <c r="AC416" s="154">
        <f t="shared" si="56"/>
        <v>14.918787747899232</v>
      </c>
      <c r="AD416" s="361"/>
    </row>
    <row r="417" spans="24:30">
      <c r="X417" s="362" t="str">
        <f t="shared" si="55"/>
        <v>398M</v>
      </c>
      <c r="Y417" s="135">
        <f t="shared" si="57"/>
        <v>398</v>
      </c>
      <c r="Z417" s="151">
        <v>53629</v>
      </c>
      <c r="AA417" s="154">
        <v>0.18113209223634966</v>
      </c>
      <c r="AB417" s="154">
        <v>8.4931506849315067E-2</v>
      </c>
      <c r="AC417" s="154">
        <f t="shared" si="56"/>
        <v>14.934171569431635</v>
      </c>
      <c r="AD417" s="361"/>
    </row>
    <row r="418" spans="24:30">
      <c r="X418" s="362" t="str">
        <f t="shared" si="55"/>
        <v>399M</v>
      </c>
      <c r="Y418" s="135">
        <f t="shared" si="57"/>
        <v>399</v>
      </c>
      <c r="Z418" s="151">
        <v>53659</v>
      </c>
      <c r="AA418" s="154">
        <v>0.1805634294974689</v>
      </c>
      <c r="AB418" s="154">
        <v>8.2191780821917804E-2</v>
      </c>
      <c r="AC418" s="154">
        <f t="shared" si="56"/>
        <v>14.949012399253345</v>
      </c>
      <c r="AD418" s="361"/>
    </row>
    <row r="419" spans="24:30">
      <c r="X419" s="362" t="str">
        <f t="shared" si="55"/>
        <v>400M</v>
      </c>
      <c r="Y419" s="135">
        <f t="shared" si="57"/>
        <v>400</v>
      </c>
      <c r="Z419" s="151">
        <v>53689</v>
      </c>
      <c r="AA419" s="154">
        <v>0.17999751930232866</v>
      </c>
      <c r="AB419" s="154">
        <v>8.2191780821917804E-2</v>
      </c>
      <c r="AC419" s="154">
        <f t="shared" si="56"/>
        <v>14.96380671590833</v>
      </c>
      <c r="AD419" s="361"/>
    </row>
    <row r="420" spans="24:30">
      <c r="X420" s="362" t="str">
        <f t="shared" si="55"/>
        <v>401M</v>
      </c>
      <c r="Y420" s="135">
        <f t="shared" si="57"/>
        <v>401</v>
      </c>
      <c r="Z420" s="151">
        <v>53721</v>
      </c>
      <c r="AA420" s="154">
        <v>0.17939689912881782</v>
      </c>
      <c r="AB420" s="154">
        <v>8.7671232876712329E-2</v>
      </c>
      <c r="AC420" s="154">
        <f t="shared" si="56"/>
        <v>14.979534663229213</v>
      </c>
      <c r="AD420" s="361"/>
    </row>
    <row r="421" spans="24:30">
      <c r="X421" s="362" t="str">
        <f t="shared" si="55"/>
        <v>402M</v>
      </c>
      <c r="Y421" s="135">
        <f t="shared" si="57"/>
        <v>402</v>
      </c>
      <c r="Z421" s="151">
        <v>53751</v>
      </c>
      <c r="AA421" s="154">
        <v>0.17883663108246103</v>
      </c>
      <c r="AB421" s="154">
        <v>8.2191780821917804E-2</v>
      </c>
      <c r="AC421" s="154">
        <f t="shared" si="56"/>
        <v>14.994233564414072</v>
      </c>
      <c r="AD421" s="361"/>
    </row>
    <row r="422" spans="24:30">
      <c r="X422" s="362" t="str">
        <f t="shared" si="55"/>
        <v>403M</v>
      </c>
      <c r="Y422" s="135">
        <f t="shared" si="57"/>
        <v>403</v>
      </c>
      <c r="Z422" s="151">
        <v>53779</v>
      </c>
      <c r="AA422" s="154">
        <v>0.17831615755384675</v>
      </c>
      <c r="AB422" s="154">
        <v>7.6712328767123292E-2</v>
      </c>
      <c r="AC422" s="154">
        <f t="shared" si="56"/>
        <v>15.007912612116833</v>
      </c>
      <c r="AD422" s="361"/>
    </row>
    <row r="423" spans="24:30">
      <c r="X423" s="362" t="str">
        <f t="shared" si="55"/>
        <v>404M</v>
      </c>
      <c r="Y423" s="135">
        <f t="shared" si="57"/>
        <v>404</v>
      </c>
      <c r="Z423" s="151">
        <v>53811</v>
      </c>
      <c r="AA423" s="154">
        <v>0.17772420393588331</v>
      </c>
      <c r="AB423" s="154">
        <v>8.7671232876712329E-2</v>
      </c>
      <c r="AC423" s="154">
        <f t="shared" si="56"/>
        <v>15.023493912187924</v>
      </c>
      <c r="AD423" s="361"/>
    </row>
    <row r="424" spans="24:30">
      <c r="X424" s="362" t="str">
        <f t="shared" si="55"/>
        <v>405M</v>
      </c>
      <c r="Y424" s="135">
        <f t="shared" si="57"/>
        <v>405</v>
      </c>
      <c r="Z424" s="151">
        <v>53840</v>
      </c>
      <c r="AA424" s="154">
        <v>0.17719037934628798</v>
      </c>
      <c r="AB424" s="154">
        <v>7.9452054794520555E-2</v>
      </c>
      <c r="AC424" s="154">
        <f t="shared" si="56"/>
        <v>15.037572051916806</v>
      </c>
      <c r="AD424" s="361"/>
    </row>
    <row r="425" spans="24:30">
      <c r="X425" s="362" t="str">
        <f t="shared" si="55"/>
        <v>406M</v>
      </c>
      <c r="Y425" s="135">
        <f t="shared" si="57"/>
        <v>406</v>
      </c>
      <c r="Z425" s="151">
        <v>53871</v>
      </c>
      <c r="AA425" s="154">
        <v>0.17662249306762301</v>
      </c>
      <c r="AB425" s="154">
        <v>8.4931506849315067E-2</v>
      </c>
      <c r="AC425" s="154">
        <f t="shared" si="56"/>
        <v>15.052572866396522</v>
      </c>
      <c r="AD425" s="361"/>
    </row>
    <row r="426" spans="24:30">
      <c r="X426" s="362" t="str">
        <f t="shared" si="55"/>
        <v>407M</v>
      </c>
      <c r="Y426" s="135">
        <f t="shared" si="57"/>
        <v>407</v>
      </c>
      <c r="Z426" s="151">
        <v>53902</v>
      </c>
      <c r="AA426" s="154">
        <v>0.17605743710434144</v>
      </c>
      <c r="AB426" s="154">
        <v>8.4931506849315067E-2</v>
      </c>
      <c r="AC426" s="154">
        <f t="shared" si="56"/>
        <v>15.067525689821823</v>
      </c>
      <c r="AD426" s="361"/>
    </row>
    <row r="427" spans="24:30">
      <c r="X427" s="362" t="str">
        <f t="shared" si="55"/>
        <v>408M</v>
      </c>
      <c r="Y427" s="135">
        <f t="shared" si="57"/>
        <v>408</v>
      </c>
      <c r="Z427" s="151">
        <v>53932</v>
      </c>
      <c r="AA427" s="154">
        <v>0.17551328897420623</v>
      </c>
      <c r="AB427" s="154">
        <v>8.2191780821917804E-2</v>
      </c>
      <c r="AC427" s="154">
        <f t="shared" si="56"/>
        <v>15.081951439600525</v>
      </c>
      <c r="AD427" s="361"/>
    </row>
    <row r="428" spans="24:30">
      <c r="X428" s="362" t="str">
        <f t="shared" si="55"/>
        <v>409M</v>
      </c>
      <c r="Y428" s="135">
        <f t="shared" si="57"/>
        <v>409</v>
      </c>
      <c r="Z428" s="151">
        <v>53965</v>
      </c>
      <c r="AA428" s="154">
        <v>0.17491775408070176</v>
      </c>
      <c r="AB428" s="154">
        <v>9.0410958904109592E-2</v>
      </c>
      <c r="AC428" s="154">
        <f t="shared" si="56"/>
        <v>15.097765921476315</v>
      </c>
      <c r="AD428" s="361"/>
    </row>
    <row r="429" spans="24:30">
      <c r="X429" s="362" t="str">
        <f t="shared" si="55"/>
        <v>410M</v>
      </c>
      <c r="Y429" s="135">
        <f t="shared" si="57"/>
        <v>410</v>
      </c>
      <c r="Z429" s="151">
        <v>53993</v>
      </c>
      <c r="AA429" s="154">
        <v>0.17441492611323012</v>
      </c>
      <c r="AB429" s="154">
        <v>7.6712328767123292E-2</v>
      </c>
      <c r="AC429" s="154">
        <f t="shared" si="56"/>
        <v>15.111145696630206</v>
      </c>
      <c r="AD429" s="361"/>
    </row>
    <row r="430" spans="24:30">
      <c r="X430" s="362" t="str">
        <f t="shared" si="55"/>
        <v>411M</v>
      </c>
      <c r="Y430" s="135">
        <f t="shared" si="57"/>
        <v>411</v>
      </c>
      <c r="Z430" s="151">
        <v>54024</v>
      </c>
      <c r="AA430" s="154">
        <v>0.17386085904332166</v>
      </c>
      <c r="AB430" s="154">
        <v>8.4931506849315067E-2</v>
      </c>
      <c r="AC430" s="154">
        <f t="shared" si="56"/>
        <v>15.125911961370873</v>
      </c>
      <c r="AD430" s="361"/>
    </row>
    <row r="431" spans="24:30">
      <c r="X431" s="362" t="str">
        <f t="shared" si="55"/>
        <v>412M</v>
      </c>
      <c r="Y431" s="135">
        <f t="shared" si="57"/>
        <v>412</v>
      </c>
      <c r="Z431" s="151">
        <v>54056</v>
      </c>
      <c r="AA431" s="154">
        <v>0.17329180807352751</v>
      </c>
      <c r="AB431" s="154">
        <v>8.7671232876712329E-2</v>
      </c>
      <c r="AC431" s="154">
        <f t="shared" si="56"/>
        <v>15.141104667832114</v>
      </c>
      <c r="AD431" s="361"/>
    </row>
    <row r="432" spans="24:30">
      <c r="X432" s="362" t="str">
        <f t="shared" si="55"/>
        <v>413M</v>
      </c>
      <c r="Y432" s="135">
        <f t="shared" si="57"/>
        <v>413</v>
      </c>
      <c r="Z432" s="151">
        <v>54085</v>
      </c>
      <c r="AA432" s="154">
        <v>0.17277862718137407</v>
      </c>
      <c r="AB432" s="154">
        <v>7.9452054794520555E-2</v>
      </c>
      <c r="AC432" s="154">
        <f t="shared" si="56"/>
        <v>15.15483228478625</v>
      </c>
      <c r="AD432" s="361"/>
    </row>
    <row r="433" spans="24:30">
      <c r="X433" s="362" t="str">
        <f t="shared" si="55"/>
        <v>414M</v>
      </c>
      <c r="Y433" s="135">
        <f t="shared" si="57"/>
        <v>414</v>
      </c>
      <c r="Z433" s="151">
        <v>54116</v>
      </c>
      <c r="AA433" s="154">
        <v>0.17223269145646397</v>
      </c>
      <c r="AB433" s="154">
        <v>8.4931506849315067E-2</v>
      </c>
      <c r="AC433" s="154">
        <f t="shared" si="56"/>
        <v>15.16946026680036</v>
      </c>
      <c r="AD433" s="361"/>
    </row>
    <row r="434" spans="24:30">
      <c r="X434" s="362" t="str">
        <f t="shared" si="55"/>
        <v>415M</v>
      </c>
      <c r="Y434" s="135">
        <f t="shared" si="57"/>
        <v>415</v>
      </c>
      <c r="Z434" s="151">
        <v>54147</v>
      </c>
      <c r="AA434" s="154">
        <v>0.17168946604928936</v>
      </c>
      <c r="AB434" s="154">
        <v>8.4931506849315067E-2</v>
      </c>
      <c r="AC434" s="154">
        <f t="shared" si="56"/>
        <v>15.18404211186208</v>
      </c>
      <c r="AD434" s="361"/>
    </row>
    <row r="435" spans="24:30">
      <c r="X435" s="362" t="str">
        <f t="shared" si="55"/>
        <v>416M</v>
      </c>
      <c r="Y435" s="135">
        <f t="shared" si="57"/>
        <v>416</v>
      </c>
      <c r="Z435" s="151">
        <v>54176</v>
      </c>
      <c r="AA435" s="154">
        <v>0.17118372803480447</v>
      </c>
      <c r="AB435" s="154">
        <v>7.9452054794520555E-2</v>
      </c>
      <c r="AC435" s="154">
        <f t="shared" si="56"/>
        <v>15.197643010801832</v>
      </c>
      <c r="AD435" s="361"/>
    </row>
    <row r="436" spans="24:30">
      <c r="X436" s="362" t="str">
        <f t="shared" si="55"/>
        <v>417M</v>
      </c>
      <c r="Y436" s="135">
        <f t="shared" si="57"/>
        <v>417</v>
      </c>
      <c r="Z436" s="151">
        <v>54206</v>
      </c>
      <c r="AA436" s="154">
        <v>0.17066302037388448</v>
      </c>
      <c r="AB436" s="154">
        <v>8.2191780821917804E-2</v>
      </c>
      <c r="AC436" s="154">
        <f t="shared" si="56"/>
        <v>15.211670108366809</v>
      </c>
      <c r="AD436" s="361"/>
    </row>
    <row r="437" spans="24:30">
      <c r="X437" s="362" t="str">
        <f t="shared" si="55"/>
        <v>418M</v>
      </c>
      <c r="Y437" s="135">
        <f t="shared" si="57"/>
        <v>418</v>
      </c>
      <c r="Z437" s="151">
        <v>54238</v>
      </c>
      <c r="AA437" s="154">
        <v>0.17011035232003713</v>
      </c>
      <c r="AB437" s="154">
        <v>8.7671232876712329E-2</v>
      </c>
      <c r="AC437" s="154">
        <f t="shared" si="56"/>
        <v>15.226583892679798</v>
      </c>
      <c r="AD437" s="361"/>
    </row>
    <row r="438" spans="24:30">
      <c r="X438" s="362" t="str">
        <f t="shared" si="55"/>
        <v>419M</v>
      </c>
      <c r="Y438" s="135">
        <f t="shared" si="57"/>
        <v>419</v>
      </c>
      <c r="Z438" s="151">
        <v>54267</v>
      </c>
      <c r="AA438" s="154">
        <v>0.16961193891194293</v>
      </c>
      <c r="AB438" s="154">
        <v>7.9452054794520555E-2</v>
      </c>
      <c r="AC438" s="154">
        <f t="shared" si="56"/>
        <v>15.240059909744035</v>
      </c>
      <c r="AD438" s="361"/>
    </row>
    <row r="439" spans="24:30">
      <c r="X439" s="362" t="str">
        <f t="shared" si="55"/>
        <v>420M</v>
      </c>
      <c r="Y439" s="135">
        <f t="shared" si="57"/>
        <v>420</v>
      </c>
      <c r="Z439" s="151">
        <v>54298</v>
      </c>
      <c r="AA439" s="154">
        <v>0.16908170601304728</v>
      </c>
      <c r="AB439" s="154">
        <v>8.4931506849315067E-2</v>
      </c>
      <c r="AC439" s="154">
        <f t="shared" si="56"/>
        <v>15.254420273816375</v>
      </c>
      <c r="AD439" s="361"/>
    </row>
    <row r="440" spans="24:30">
      <c r="X440" s="362" t="str">
        <f t="shared" si="55"/>
        <v>421M</v>
      </c>
      <c r="Y440" s="135">
        <f t="shared" si="57"/>
        <v>421</v>
      </c>
      <c r="Z440" s="151">
        <v>54329</v>
      </c>
      <c r="AA440" s="154">
        <v>0.16855409808403954</v>
      </c>
      <c r="AB440" s="154">
        <v>8.4931506849315067E-2</v>
      </c>
      <c r="AC440" s="154">
        <f t="shared" si="56"/>
        <v>15.26873582735228</v>
      </c>
      <c r="AD440" s="361"/>
    </row>
    <row r="441" spans="24:30">
      <c r="X441" s="362" t="str">
        <f t="shared" si="55"/>
        <v>422M</v>
      </c>
      <c r="Y441" s="135">
        <f t="shared" si="57"/>
        <v>422</v>
      </c>
      <c r="Z441" s="151">
        <v>54359</v>
      </c>
      <c r="AA441" s="154">
        <v>0.16804599568689457</v>
      </c>
      <c r="AB441" s="154">
        <v>8.2191780821917804E-2</v>
      </c>
      <c r="AC441" s="154">
        <f t="shared" si="56"/>
        <v>15.282547826997778</v>
      </c>
      <c r="AD441" s="361"/>
    </row>
    <row r="442" spans="24:30">
      <c r="X442" s="362" t="str">
        <f t="shared" si="55"/>
        <v>423M</v>
      </c>
      <c r="Y442" s="135">
        <f t="shared" si="57"/>
        <v>423</v>
      </c>
      <c r="Z442" s="151">
        <v>54392</v>
      </c>
      <c r="AA442" s="154">
        <v>0.16748989176393247</v>
      </c>
      <c r="AB442" s="154">
        <v>9.0410958904109592E-2</v>
      </c>
      <c r="AC442" s="154">
        <f t="shared" si="56"/>
        <v>15.297690748718901</v>
      </c>
      <c r="AD442" s="361"/>
    </row>
    <row r="443" spans="24:30">
      <c r="X443" s="362" t="str">
        <f t="shared" si="55"/>
        <v>424M</v>
      </c>
      <c r="Y443" s="135">
        <f t="shared" si="57"/>
        <v>424</v>
      </c>
      <c r="Z443" s="151">
        <v>54421</v>
      </c>
      <c r="AA443" s="154">
        <v>0.16700361046101334</v>
      </c>
      <c r="AB443" s="154">
        <v>7.9452054794520555E-2</v>
      </c>
      <c r="AC443" s="154">
        <f t="shared" si="56"/>
        <v>15.310959528728132</v>
      </c>
      <c r="AD443" s="361"/>
    </row>
    <row r="444" spans="24:30">
      <c r="X444" s="362" t="str">
        <f t="shared" si="55"/>
        <v>425M</v>
      </c>
      <c r="Y444" s="135">
        <f t="shared" si="57"/>
        <v>425</v>
      </c>
      <c r="Z444" s="151">
        <v>54451</v>
      </c>
      <c r="AA444" s="154">
        <v>0.16650292657618085</v>
      </c>
      <c r="AB444" s="154">
        <v>8.2191780821917804E-2</v>
      </c>
      <c r="AC444" s="154">
        <f t="shared" si="56"/>
        <v>15.324644700775488</v>
      </c>
      <c r="AD444" s="361"/>
    </row>
    <row r="445" spans="24:30">
      <c r="X445" s="362" t="str">
        <f t="shared" si="55"/>
        <v>426M</v>
      </c>
      <c r="Y445" s="135">
        <f t="shared" si="57"/>
        <v>426</v>
      </c>
      <c r="Z445" s="151">
        <v>54480</v>
      </c>
      <c r="AA445" s="154">
        <v>0.16602120734574785</v>
      </c>
      <c r="AB445" s="154">
        <v>7.9452054794520555E-2</v>
      </c>
      <c r="AC445" s="154">
        <f t="shared" si="56"/>
        <v>15.337835426838575</v>
      </c>
      <c r="AD445" s="361"/>
    </row>
    <row r="446" spans="24:30">
      <c r="X446" s="362" t="str">
        <f t="shared" si="55"/>
        <v>427M</v>
      </c>
      <c r="Y446" s="135">
        <f t="shared" si="57"/>
        <v>427</v>
      </c>
      <c r="Z446" s="151">
        <v>54511</v>
      </c>
      <c r="AA446" s="154">
        <v>0.16550872650473555</v>
      </c>
      <c r="AB446" s="154">
        <v>8.4931506849315067E-2</v>
      </c>
      <c r="AC446" s="154">
        <f t="shared" si="56"/>
        <v>15.351892332377334</v>
      </c>
      <c r="AD446" s="361"/>
    </row>
    <row r="447" spans="24:30">
      <c r="X447" s="362" t="str">
        <f t="shared" si="55"/>
        <v>428M</v>
      </c>
      <c r="Y447" s="135">
        <f t="shared" si="57"/>
        <v>428</v>
      </c>
      <c r="Z447" s="151">
        <v>54541</v>
      </c>
      <c r="AA447" s="154">
        <v>0.16501518539224919</v>
      </c>
      <c r="AB447" s="154">
        <v>8.2191780821917804E-2</v>
      </c>
      <c r="AC447" s="154">
        <f t="shared" si="56"/>
        <v>15.365455224327382</v>
      </c>
      <c r="AD447" s="361"/>
    </row>
    <row r="448" spans="24:30">
      <c r="X448" s="362" t="str">
        <f t="shared" si="55"/>
        <v>429M</v>
      </c>
      <c r="Y448" s="135">
        <f t="shared" si="57"/>
        <v>429</v>
      </c>
      <c r="Z448" s="151">
        <v>54571</v>
      </c>
      <c r="AA448" s="154">
        <v>0.16452400040354839</v>
      </c>
      <c r="AB448" s="154">
        <v>8.2191780821917804E-2</v>
      </c>
      <c r="AC448" s="154">
        <f t="shared" si="56"/>
        <v>15.378977744908497</v>
      </c>
      <c r="AD448" s="361"/>
    </row>
    <row r="449" spans="24:30">
      <c r="X449" s="362" t="str">
        <f t="shared" si="55"/>
        <v>430M</v>
      </c>
      <c r="Y449" s="135">
        <f t="shared" si="57"/>
        <v>430</v>
      </c>
      <c r="Z449" s="151">
        <v>54602</v>
      </c>
      <c r="AA449" s="154">
        <v>0.16401890478222775</v>
      </c>
      <c r="AB449" s="154">
        <v>8.4931506849315067E-2</v>
      </c>
      <c r="AC449" s="154">
        <f t="shared" si="56"/>
        <v>15.392908117643426</v>
      </c>
      <c r="AD449" s="361"/>
    </row>
    <row r="450" spans="24:30">
      <c r="X450" s="362" t="str">
        <f t="shared" si="55"/>
        <v>431M</v>
      </c>
      <c r="Y450" s="135">
        <f t="shared" si="57"/>
        <v>431</v>
      </c>
      <c r="Z450" s="151">
        <v>54632</v>
      </c>
      <c r="AA450" s="154">
        <v>0.16353247280144542</v>
      </c>
      <c r="AB450" s="154">
        <v>8.2191780821917804E-2</v>
      </c>
      <c r="AC450" s="154">
        <f t="shared" si="56"/>
        <v>15.406349142805189</v>
      </c>
      <c r="AD450" s="361"/>
    </row>
    <row r="451" spans="24:30">
      <c r="X451" s="362" t="str">
        <f t="shared" si="55"/>
        <v>432M</v>
      </c>
      <c r="Y451" s="135">
        <f t="shared" si="57"/>
        <v>432</v>
      </c>
      <c r="Z451" s="151">
        <v>54665</v>
      </c>
      <c r="AA451" s="154">
        <v>0.16300007573770334</v>
      </c>
      <c r="AB451" s="154">
        <v>9.0410958904109592E-2</v>
      </c>
      <c r="AC451" s="154">
        <f t="shared" si="56"/>
        <v>15.421086135954077</v>
      </c>
      <c r="AD451" s="361"/>
    </row>
    <row r="452" spans="24:30">
      <c r="X452" s="362" t="str">
        <f t="shared" si="55"/>
        <v>433M</v>
      </c>
      <c r="Y452" s="135">
        <f t="shared" si="57"/>
        <v>433</v>
      </c>
      <c r="Z452" s="151">
        <v>54694</v>
      </c>
      <c r="AA452" s="154">
        <v>0.16253451548648287</v>
      </c>
      <c r="AB452" s="154">
        <v>7.9452054794520555E-2</v>
      </c>
      <c r="AC452" s="154">
        <f t="shared" si="56"/>
        <v>15.43399983718451</v>
      </c>
      <c r="AD452" s="361"/>
    </row>
    <row r="453" spans="24:30">
      <c r="X453" s="362" t="str">
        <f t="shared" si="55"/>
        <v>434M</v>
      </c>
      <c r="Y453" s="135">
        <f t="shared" si="57"/>
        <v>434</v>
      </c>
      <c r="Z453" s="151">
        <v>54724</v>
      </c>
      <c r="AA453" s="154">
        <v>0.16205515735420203</v>
      </c>
      <c r="AB453" s="154">
        <v>8.2191780821917804E-2</v>
      </c>
      <c r="AC453" s="154">
        <f t="shared" si="56"/>
        <v>15.447319439158829</v>
      </c>
      <c r="AD453" s="361"/>
    </row>
    <row r="454" spans="24:30">
      <c r="X454" s="362" t="str">
        <f t="shared" si="55"/>
        <v>435M</v>
      </c>
      <c r="Y454" s="135">
        <f t="shared" si="57"/>
        <v>435</v>
      </c>
      <c r="Z454" s="151">
        <v>54756</v>
      </c>
      <c r="AA454" s="154">
        <v>0.16154635742094001</v>
      </c>
      <c r="AB454" s="154">
        <v>8.7671232876712329E-2</v>
      </c>
      <c r="AC454" s="154">
        <f t="shared" si="56"/>
        <v>15.461482407480664</v>
      </c>
      <c r="AD454" s="361"/>
    </row>
    <row r="455" spans="24:30">
      <c r="X455" s="362" t="str">
        <f t="shared" si="55"/>
        <v>436M</v>
      </c>
      <c r="Y455" s="135">
        <f t="shared" si="57"/>
        <v>436</v>
      </c>
      <c r="Z455" s="151">
        <v>54786</v>
      </c>
      <c r="AA455" s="154">
        <v>0.1610717031844007</v>
      </c>
      <c r="AB455" s="154">
        <v>8.2191780821917804E-2</v>
      </c>
      <c r="AC455" s="154">
        <f t="shared" si="56"/>
        <v>15.47472117760541</v>
      </c>
      <c r="AD455" s="361"/>
    </row>
    <row r="456" spans="24:30">
      <c r="X456" s="362" t="str">
        <f t="shared" si="55"/>
        <v>437M</v>
      </c>
      <c r="Y456" s="135">
        <f t="shared" si="57"/>
        <v>437</v>
      </c>
      <c r="Z456" s="151">
        <v>54816</v>
      </c>
      <c r="AA456" s="154">
        <v>0.16059930696410712</v>
      </c>
      <c r="AB456" s="154">
        <v>8.2191780821917804E-2</v>
      </c>
      <c r="AC456" s="154">
        <f t="shared" si="56"/>
        <v>15.487921120643556</v>
      </c>
      <c r="AD456" s="361"/>
    </row>
    <row r="457" spans="24:30">
      <c r="X457" s="362" t="str">
        <f t="shared" si="55"/>
        <v>438M</v>
      </c>
      <c r="Y457" s="135">
        <f t="shared" si="57"/>
        <v>438</v>
      </c>
      <c r="Z457" s="151">
        <v>54847</v>
      </c>
      <c r="AA457" s="154">
        <v>0.16011352396455322</v>
      </c>
      <c r="AB457" s="154">
        <v>8.4931506849315067E-2</v>
      </c>
      <c r="AC457" s="154">
        <f t="shared" si="56"/>
        <v>15.50151980350082</v>
      </c>
      <c r="AD457" s="361"/>
    </row>
    <row r="458" spans="24:30">
      <c r="X458" s="362" t="str">
        <f t="shared" si="55"/>
        <v>439M</v>
      </c>
      <c r="Y458" s="135">
        <f t="shared" si="57"/>
        <v>439</v>
      </c>
      <c r="Z458" s="151">
        <v>54875</v>
      </c>
      <c r="AA458" s="154">
        <v>0.15967680319848737</v>
      </c>
      <c r="AB458" s="154">
        <v>7.6712328767123292E-2</v>
      </c>
      <c r="AC458" s="154">
        <f t="shared" si="56"/>
        <v>15.513768982924265</v>
      </c>
      <c r="AD458" s="361"/>
    </row>
    <row r="459" spans="24:30">
      <c r="X459" s="362" t="str">
        <f t="shared" si="55"/>
        <v>440M</v>
      </c>
      <c r="Y459" s="135">
        <f t="shared" si="57"/>
        <v>440</v>
      </c>
      <c r="Z459" s="151">
        <v>54906</v>
      </c>
      <c r="AA459" s="154">
        <v>0.15919554991515297</v>
      </c>
      <c r="AB459" s="154">
        <v>8.4931506849315067E-2</v>
      </c>
      <c r="AC459" s="154">
        <f t="shared" si="56"/>
        <v>15.527289700862264</v>
      </c>
      <c r="AD459" s="361"/>
    </row>
    <row r="460" spans="24:30">
      <c r="X460" s="362" t="str">
        <f t="shared" si="55"/>
        <v>441M</v>
      </c>
      <c r="Y460" s="135">
        <f t="shared" si="57"/>
        <v>441</v>
      </c>
      <c r="Z460" s="151">
        <v>54938</v>
      </c>
      <c r="AA460" s="154">
        <v>0.15870124929651527</v>
      </c>
      <c r="AB460" s="154">
        <v>8.7671232876712329E-2</v>
      </c>
      <c r="AC460" s="154">
        <f t="shared" si="56"/>
        <v>15.541203235047163</v>
      </c>
      <c r="AD460" s="361"/>
    </row>
    <row r="461" spans="24:30">
      <c r="X461" s="362" t="str">
        <f t="shared" si="55"/>
        <v>442M</v>
      </c>
      <c r="Y461" s="135">
        <f t="shared" si="57"/>
        <v>442</v>
      </c>
      <c r="Z461" s="151">
        <v>54967</v>
      </c>
      <c r="AA461" s="154">
        <v>0.15825545139116501</v>
      </c>
      <c r="AB461" s="154">
        <v>7.9452054794520555E-2</v>
      </c>
      <c r="AC461" s="154">
        <f t="shared" si="56"/>
        <v>15.553776955842626</v>
      </c>
      <c r="AD461" s="361"/>
    </row>
    <row r="462" spans="24:30">
      <c r="X462" s="362" t="str">
        <f t="shared" si="55"/>
        <v>443M</v>
      </c>
      <c r="Y462" s="135">
        <f t="shared" si="57"/>
        <v>443</v>
      </c>
      <c r="Z462" s="151">
        <v>54997</v>
      </c>
      <c r="AA462" s="154">
        <v>0.15779643312746069</v>
      </c>
      <c r="AB462" s="154">
        <v>8.2191780821917804E-2</v>
      </c>
      <c r="AC462" s="154">
        <f t="shared" si="56"/>
        <v>15.566746525688718</v>
      </c>
      <c r="AD462" s="361"/>
    </row>
    <row r="463" spans="24:30">
      <c r="X463" s="362" t="str">
        <f t="shared" si="55"/>
        <v>444M</v>
      </c>
      <c r="Y463" s="135">
        <f t="shared" si="57"/>
        <v>444</v>
      </c>
      <c r="Z463" s="151">
        <v>55029</v>
      </c>
      <c r="AA463" s="154">
        <v>0.15730921325867966</v>
      </c>
      <c r="AB463" s="154">
        <v>8.7671232876712329E-2</v>
      </c>
      <c r="AC463" s="154">
        <f t="shared" si="56"/>
        <v>15.580538018357972</v>
      </c>
      <c r="AD463" s="361"/>
    </row>
    <row r="464" spans="24:30">
      <c r="X464" s="362" t="str">
        <f t="shared" si="55"/>
        <v>445M</v>
      </c>
      <c r="Y464" s="135">
        <f t="shared" si="57"/>
        <v>445</v>
      </c>
      <c r="Z464" s="151">
        <v>55059</v>
      </c>
      <c r="AA464" s="154">
        <v>0.15685468244171608</v>
      </c>
      <c r="AB464" s="154">
        <v>8.2191780821917804E-2</v>
      </c>
      <c r="AC464" s="154">
        <f t="shared" si="56"/>
        <v>15.593430184038112</v>
      </c>
      <c r="AD464" s="361"/>
    </row>
    <row r="465" spans="24:30">
      <c r="X465" s="362" t="str">
        <f t="shared" si="55"/>
        <v>446M</v>
      </c>
      <c r="Y465" s="135">
        <f t="shared" si="57"/>
        <v>446</v>
      </c>
      <c r="Z465" s="151">
        <v>55089</v>
      </c>
      <c r="AA465" s="154">
        <v>0.15640230587198328</v>
      </c>
      <c r="AB465" s="154">
        <v>8.2191780821917804E-2</v>
      </c>
      <c r="AC465" s="154">
        <f t="shared" si="56"/>
        <v>15.606285168082385</v>
      </c>
      <c r="AD465" s="361"/>
    </row>
    <row r="466" spans="24:30">
      <c r="X466" s="362" t="str">
        <f t="shared" si="55"/>
        <v>447M</v>
      </c>
      <c r="Y466" s="135">
        <f t="shared" si="57"/>
        <v>447</v>
      </c>
      <c r="Z466" s="151">
        <v>55120</v>
      </c>
      <c r="AA466" s="154">
        <v>0.15593710149173229</v>
      </c>
      <c r="AB466" s="154">
        <v>8.4931506849315067E-2</v>
      </c>
      <c r="AC466" s="154">
        <f t="shared" si="56"/>
        <v>15.619529141085792</v>
      </c>
      <c r="AD466" s="361"/>
    </row>
    <row r="467" spans="24:30">
      <c r="X467" s="362" t="str">
        <f t="shared" si="55"/>
        <v>448M</v>
      </c>
      <c r="Y467" s="135">
        <f t="shared" si="57"/>
        <v>448</v>
      </c>
      <c r="Z467" s="151">
        <v>55150</v>
      </c>
      <c r="AA467" s="154">
        <v>0.15548907118656424</v>
      </c>
      <c r="AB467" s="154">
        <v>8.2191780821917804E-2</v>
      </c>
      <c r="AC467" s="154">
        <f t="shared" si="56"/>
        <v>15.632309064744961</v>
      </c>
      <c r="AD467" s="361"/>
    </row>
    <row r="468" spans="24:30">
      <c r="X468" s="362" t="str">
        <f t="shared" si="55"/>
        <v>449M</v>
      </c>
      <c r="Y468" s="135">
        <f t="shared" si="57"/>
        <v>449</v>
      </c>
      <c r="Z468" s="151">
        <v>55183</v>
      </c>
      <c r="AA468" s="154">
        <v>0.15499868707381548</v>
      </c>
      <c r="AB468" s="154">
        <v>9.0410958904109592E-2</v>
      </c>
      <c r="AC468" s="154">
        <f t="shared" si="56"/>
        <v>15.646322644672182</v>
      </c>
      <c r="AD468" s="361"/>
    </row>
    <row r="469" spans="24:30">
      <c r="X469" s="362" t="str">
        <f t="shared" ref="X469:X499" si="58">Y469&amp;"M"</f>
        <v>450M</v>
      </c>
      <c r="Y469" s="135">
        <f t="shared" si="57"/>
        <v>450</v>
      </c>
      <c r="Z469" s="151">
        <v>55212</v>
      </c>
      <c r="AA469" s="154">
        <v>0.15456985055608508</v>
      </c>
      <c r="AB469" s="154">
        <v>7.9452054794520555E-2</v>
      </c>
      <c r="AC469" s="154">
        <f t="shared" si="56"/>
        <v>15.658603536908144</v>
      </c>
      <c r="AD469" s="361"/>
    </row>
    <row r="470" spans="24:30">
      <c r="X470" s="362" t="str">
        <f t="shared" si="58"/>
        <v>451M</v>
      </c>
      <c r="Y470" s="135">
        <f t="shared" si="57"/>
        <v>451</v>
      </c>
      <c r="Z470" s="151">
        <v>55240</v>
      </c>
      <c r="AA470" s="154">
        <v>0.15415766230536715</v>
      </c>
      <c r="AB470" s="154">
        <v>7.6712328767123292E-2</v>
      </c>
      <c r="AC470" s="154">
        <f t="shared" ref="AC470:AC499" si="59">AC469+AA470*AB470</f>
        <v>15.670429330180884</v>
      </c>
      <c r="AD470" s="361"/>
    </row>
    <row r="471" spans="24:30">
      <c r="X471" s="362" t="str">
        <f t="shared" si="58"/>
        <v>452M</v>
      </c>
      <c r="Y471" s="135">
        <f t="shared" ref="Y471:Y499" si="60">Y470+1</f>
        <v>452</v>
      </c>
      <c r="Z471" s="151">
        <v>55271</v>
      </c>
      <c r="AA471" s="154">
        <v>0.15370343282873</v>
      </c>
      <c r="AB471" s="154">
        <v>8.4931506849315067E-2</v>
      </c>
      <c r="AC471" s="154">
        <f t="shared" si="59"/>
        <v>15.68348359433894</v>
      </c>
      <c r="AD471" s="361"/>
    </row>
    <row r="472" spans="24:30">
      <c r="X472" s="362" t="str">
        <f t="shared" si="58"/>
        <v>453M</v>
      </c>
      <c r="Y472" s="135">
        <f t="shared" si="60"/>
        <v>453</v>
      </c>
      <c r="Z472" s="151">
        <v>55302</v>
      </c>
      <c r="AA472" s="154">
        <v>0.15325142165447744</v>
      </c>
      <c r="AB472" s="154">
        <v>8.4931506849315067E-2</v>
      </c>
      <c r="AC472" s="154">
        <f t="shared" si="59"/>
        <v>15.696499468506854</v>
      </c>
      <c r="AD472" s="361"/>
    </row>
    <row r="473" spans="24:30">
      <c r="X473" s="362" t="str">
        <f t="shared" si="58"/>
        <v>454M</v>
      </c>
      <c r="Y473" s="135">
        <f t="shared" si="60"/>
        <v>454</v>
      </c>
      <c r="Z473" s="151">
        <v>55332</v>
      </c>
      <c r="AA473" s="154">
        <v>0.15281609258879764</v>
      </c>
      <c r="AB473" s="154">
        <v>8.2191780821917804E-2</v>
      </c>
      <c r="AC473" s="154">
        <f t="shared" si="59"/>
        <v>15.709059695294973</v>
      </c>
      <c r="AD473" s="361"/>
    </row>
    <row r="474" spans="24:30">
      <c r="X474" s="362" t="str">
        <f t="shared" si="58"/>
        <v>455M</v>
      </c>
      <c r="Y474" s="135">
        <f t="shared" si="60"/>
        <v>455</v>
      </c>
      <c r="Z474" s="151">
        <v>55362</v>
      </c>
      <c r="AA474" s="154">
        <v>0.15238281952888857</v>
      </c>
      <c r="AB474" s="154">
        <v>8.2191780821917804E-2</v>
      </c>
      <c r="AC474" s="154">
        <f t="shared" si="59"/>
        <v>15.721584310598718</v>
      </c>
      <c r="AD474" s="361"/>
    </row>
    <row r="475" spans="24:30">
      <c r="X475" s="362" t="str">
        <f t="shared" si="58"/>
        <v>456M</v>
      </c>
      <c r="Y475" s="135">
        <f t="shared" si="60"/>
        <v>456</v>
      </c>
      <c r="Z475" s="151">
        <v>55393</v>
      </c>
      <c r="AA475" s="154">
        <v>0.15193725285844456</v>
      </c>
      <c r="AB475" s="154">
        <v>8.4931506849315067E-2</v>
      </c>
      <c r="AC475" s="154">
        <f t="shared" si="59"/>
        <v>15.734488570430532</v>
      </c>
      <c r="AD475" s="361"/>
    </row>
    <row r="476" spans="24:30">
      <c r="X476" s="362" t="str">
        <f t="shared" si="58"/>
        <v>457M</v>
      </c>
      <c r="Y476" s="135">
        <f t="shared" si="60"/>
        <v>457</v>
      </c>
      <c r="Z476" s="151">
        <v>55424</v>
      </c>
      <c r="AA476" s="154">
        <v>0.15149385887875275</v>
      </c>
      <c r="AB476" s="154">
        <v>8.4931506849315067E-2</v>
      </c>
      <c r="AC476" s="154">
        <f t="shared" si="59"/>
        <v>15.747355172143521</v>
      </c>
      <c r="AD476" s="361"/>
    </row>
    <row r="477" spans="24:30">
      <c r="X477" s="362" t="str">
        <f t="shared" si="58"/>
        <v>458M</v>
      </c>
      <c r="Y477" s="135">
        <f t="shared" si="60"/>
        <v>458</v>
      </c>
      <c r="Z477" s="151">
        <v>55456</v>
      </c>
      <c r="AA477" s="154">
        <v>0.15103842871854747</v>
      </c>
      <c r="AB477" s="154">
        <v>8.7671232876712329E-2</v>
      </c>
      <c r="AC477" s="154">
        <f t="shared" si="59"/>
        <v>15.760596897401038</v>
      </c>
      <c r="AD477" s="361"/>
    </row>
    <row r="478" spans="24:30">
      <c r="X478" s="362" t="str">
        <f t="shared" si="58"/>
        <v>459M</v>
      </c>
      <c r="Y478" s="135">
        <f t="shared" si="60"/>
        <v>459</v>
      </c>
      <c r="Z478" s="151">
        <v>55485</v>
      </c>
      <c r="AA478" s="154">
        <v>0.15062767392441967</v>
      </c>
      <c r="AB478" s="154">
        <v>7.9452054794520555E-2</v>
      </c>
      <c r="AC478" s="154">
        <f t="shared" si="59"/>
        <v>15.772564575603253</v>
      </c>
      <c r="AD478" s="361"/>
    </row>
    <row r="479" spans="24:30">
      <c r="X479" s="362" t="str">
        <f t="shared" si="58"/>
        <v>460M</v>
      </c>
      <c r="Y479" s="135">
        <f t="shared" si="60"/>
        <v>460</v>
      </c>
      <c r="Z479" s="151">
        <v>55515</v>
      </c>
      <c r="AA479" s="154">
        <v>0.15020472491916656</v>
      </c>
      <c r="AB479" s="154">
        <v>8.2191780821917804E-2</v>
      </c>
      <c r="AC479" s="154">
        <f t="shared" si="59"/>
        <v>15.784910169432226</v>
      </c>
      <c r="AD479" s="361"/>
    </row>
    <row r="480" spans="24:30">
      <c r="X480" s="362" t="str">
        <f t="shared" si="58"/>
        <v>461M</v>
      </c>
      <c r="Y480" s="135">
        <f t="shared" si="60"/>
        <v>461</v>
      </c>
      <c r="Z480" s="151">
        <v>55547</v>
      </c>
      <c r="AA480" s="154">
        <v>0.14975577589246536</v>
      </c>
      <c r="AB480" s="154">
        <v>8.7671232876712329E-2</v>
      </c>
      <c r="AC480" s="154">
        <f t="shared" si="59"/>
        <v>15.798039442935128</v>
      </c>
      <c r="AD480" s="361"/>
    </row>
    <row r="481" spans="24:30">
      <c r="X481" s="362" t="str">
        <f t="shared" si="58"/>
        <v>462M</v>
      </c>
      <c r="Y481" s="135">
        <f t="shared" si="60"/>
        <v>462</v>
      </c>
      <c r="Z481" s="151">
        <v>55577</v>
      </c>
      <c r="AA481" s="154">
        <v>0.14933693480925969</v>
      </c>
      <c r="AB481" s="154">
        <v>8.2191780821917804E-2</v>
      </c>
      <c r="AC481" s="154">
        <f t="shared" si="59"/>
        <v>15.810313711549588</v>
      </c>
      <c r="AD481" s="361"/>
    </row>
    <row r="482" spans="24:30">
      <c r="X482" s="362" t="str">
        <f t="shared" si="58"/>
        <v>463M</v>
      </c>
      <c r="Y482" s="135">
        <f t="shared" si="60"/>
        <v>463</v>
      </c>
      <c r="Z482" s="151">
        <v>55606</v>
      </c>
      <c r="AA482" s="154">
        <v>0.14893392996992202</v>
      </c>
      <c r="AB482" s="154">
        <v>7.9452054794520555E-2</v>
      </c>
      <c r="AC482" s="154">
        <f t="shared" si="59"/>
        <v>15.822146818314321</v>
      </c>
      <c r="AD482" s="361"/>
    </row>
    <row r="483" spans="24:30">
      <c r="X483" s="362" t="str">
        <f t="shared" si="58"/>
        <v>464M</v>
      </c>
      <c r="Y483" s="135">
        <f t="shared" si="60"/>
        <v>464</v>
      </c>
      <c r="Z483" s="151">
        <v>55638</v>
      </c>
      <c r="AA483" s="154">
        <v>0.14849136299589122</v>
      </c>
      <c r="AB483" s="154">
        <v>8.7671232876712329E-2</v>
      </c>
      <c r="AC483" s="154">
        <f t="shared" si="59"/>
        <v>15.835165239179714</v>
      </c>
      <c r="AD483" s="361"/>
    </row>
    <row r="484" spans="24:30">
      <c r="X484" s="362" t="str">
        <f t="shared" si="58"/>
        <v>465M</v>
      </c>
      <c r="Y484" s="135">
        <f t="shared" si="60"/>
        <v>465</v>
      </c>
      <c r="Z484" s="151">
        <v>55667</v>
      </c>
      <c r="AA484" s="154">
        <v>0.14809220545165847</v>
      </c>
      <c r="AB484" s="154">
        <v>7.9452054794520555E-2</v>
      </c>
      <c r="AC484" s="154">
        <f t="shared" si="59"/>
        <v>15.8469314692019</v>
      </c>
      <c r="AD484" s="361"/>
    </row>
    <row r="485" spans="24:30">
      <c r="X485" s="362" t="str">
        <f t="shared" si="58"/>
        <v>466M</v>
      </c>
      <c r="Y485" s="135">
        <f t="shared" si="60"/>
        <v>466</v>
      </c>
      <c r="Z485" s="151">
        <v>55698</v>
      </c>
      <c r="AA485" s="154">
        <v>0.14766752687243564</v>
      </c>
      <c r="AB485" s="154">
        <v>8.4931506849315067E-2</v>
      </c>
      <c r="AC485" s="154">
        <f t="shared" si="59"/>
        <v>15.859473094771888</v>
      </c>
      <c r="AD485" s="361"/>
    </row>
    <row r="486" spans="24:30">
      <c r="X486" s="362" t="str">
        <f t="shared" si="58"/>
        <v>467M</v>
      </c>
      <c r="Y486" s="135">
        <f t="shared" si="60"/>
        <v>467</v>
      </c>
      <c r="Z486" s="151">
        <v>55729</v>
      </c>
      <c r="AA486" s="154">
        <v>0.14724491169268672</v>
      </c>
      <c r="AB486" s="154">
        <v>8.4931506849315067E-2</v>
      </c>
      <c r="AC486" s="154">
        <f t="shared" si="59"/>
        <v>15.871978826997841</v>
      </c>
      <c r="AD486" s="361"/>
    </row>
    <row r="487" spans="24:30">
      <c r="X487" s="362" t="str">
        <f t="shared" si="58"/>
        <v>468M</v>
      </c>
      <c r="Y487" s="135">
        <f t="shared" si="60"/>
        <v>468</v>
      </c>
      <c r="Z487" s="151">
        <v>55759</v>
      </c>
      <c r="AA487" s="154">
        <v>0.1468378837739254</v>
      </c>
      <c r="AB487" s="154">
        <v>8.2191780821917804E-2</v>
      </c>
      <c r="AC487" s="154">
        <f t="shared" si="59"/>
        <v>15.884047694157342</v>
      </c>
      <c r="AD487" s="361"/>
    </row>
    <row r="488" spans="24:30">
      <c r="X488" s="362" t="str">
        <f t="shared" si="58"/>
        <v>469M</v>
      </c>
      <c r="Y488" s="135">
        <f t="shared" si="60"/>
        <v>469</v>
      </c>
      <c r="Z488" s="151">
        <v>55792</v>
      </c>
      <c r="AA488" s="154">
        <v>0.14639236184669618</v>
      </c>
      <c r="AB488" s="154">
        <v>9.0410958904109592E-2</v>
      </c>
      <c r="AC488" s="154">
        <f t="shared" si="59"/>
        <v>15.897283167968139</v>
      </c>
      <c r="AD488" s="361"/>
    </row>
    <row r="489" spans="24:30">
      <c r="X489" s="362" t="str">
        <f t="shared" si="58"/>
        <v>470M</v>
      </c>
      <c r="Y489" s="135">
        <f t="shared" si="60"/>
        <v>470</v>
      </c>
      <c r="Z489" s="151">
        <v>55820</v>
      </c>
      <c r="AA489" s="154">
        <v>0.1460161486383067</v>
      </c>
      <c r="AB489" s="154">
        <v>7.6712328767123292E-2</v>
      </c>
      <c r="AC489" s="154">
        <f t="shared" si="59"/>
        <v>15.908484406767789</v>
      </c>
      <c r="AD489" s="361"/>
    </row>
    <row r="490" spans="24:30">
      <c r="X490" s="362" t="str">
        <f t="shared" si="58"/>
        <v>471M</v>
      </c>
      <c r="Y490" s="135">
        <f t="shared" si="60"/>
        <v>471</v>
      </c>
      <c r="Z490" s="151">
        <v>55851</v>
      </c>
      <c r="AA490" s="154">
        <v>0.14560155023942481</v>
      </c>
      <c r="AB490" s="154">
        <v>8.4931506849315067E-2</v>
      </c>
      <c r="AC490" s="154">
        <f t="shared" si="59"/>
        <v>15.92085056582922</v>
      </c>
      <c r="AD490" s="361"/>
    </row>
    <row r="491" spans="24:30">
      <c r="X491" s="362" t="str">
        <f t="shared" si="58"/>
        <v>472M</v>
      </c>
      <c r="Y491" s="135">
        <f t="shared" si="60"/>
        <v>472</v>
      </c>
      <c r="Z491" s="151">
        <v>55883</v>
      </c>
      <c r="AA491" s="154">
        <v>0.14517568695583241</v>
      </c>
      <c r="AB491" s="154">
        <v>8.7671232876712329E-2</v>
      </c>
      <c r="AC491" s="154">
        <f t="shared" si="59"/>
        <v>15.933578297288362</v>
      </c>
      <c r="AD491" s="361"/>
    </row>
    <row r="492" spans="24:30">
      <c r="X492" s="362" t="str">
        <f t="shared" si="58"/>
        <v>473M</v>
      </c>
      <c r="Y492" s="135">
        <f t="shared" si="60"/>
        <v>473</v>
      </c>
      <c r="Z492" s="151">
        <v>55912</v>
      </c>
      <c r="AA492" s="154">
        <v>0.144791589698746</v>
      </c>
      <c r="AB492" s="154">
        <v>7.9452054794520555E-2</v>
      </c>
      <c r="AC492" s="154">
        <f t="shared" si="59"/>
        <v>15.945082286606892</v>
      </c>
      <c r="AD492" s="361"/>
    </row>
    <row r="493" spans="24:30">
      <c r="X493" s="362" t="str">
        <f t="shared" si="58"/>
        <v>474M</v>
      </c>
      <c r="Y493" s="135">
        <f t="shared" si="60"/>
        <v>474</v>
      </c>
      <c r="Z493" s="151">
        <v>55943</v>
      </c>
      <c r="AA493" s="154">
        <v>0.14438292912570011</v>
      </c>
      <c r="AB493" s="154">
        <v>8.4931506849315067E-2</v>
      </c>
      <c r="AC493" s="154">
        <f t="shared" si="59"/>
        <v>15.957344946340855</v>
      </c>
      <c r="AD493" s="361"/>
    </row>
    <row r="494" spans="24:30">
      <c r="X494" s="362" t="str">
        <f t="shared" si="58"/>
        <v>475M</v>
      </c>
      <c r="Y494" s="135">
        <f t="shared" si="60"/>
        <v>475</v>
      </c>
      <c r="Z494" s="151">
        <v>55971</v>
      </c>
      <c r="AA494" s="154">
        <v>0.14401551872914797</v>
      </c>
      <c r="AB494" s="154">
        <v>7.6712328767123292E-2</v>
      </c>
      <c r="AC494" s="154">
        <f t="shared" si="59"/>
        <v>15.968392712161174</v>
      </c>
      <c r="AD494" s="361"/>
    </row>
    <row r="495" spans="24:30">
      <c r="X495" s="362" t="str">
        <f t="shared" si="58"/>
        <v>476M</v>
      </c>
      <c r="Y495" s="135">
        <f t="shared" si="60"/>
        <v>476</v>
      </c>
      <c r="Z495" s="151">
        <v>56002</v>
      </c>
      <c r="AA495" s="154">
        <v>0.14361061828416533</v>
      </c>
      <c r="AB495" s="154">
        <v>8.4931506849315067E-2</v>
      </c>
      <c r="AC495" s="154">
        <f t="shared" si="59"/>
        <v>15.980589778371611</v>
      </c>
      <c r="AD495" s="361"/>
    </row>
    <row r="496" spans="24:30">
      <c r="X496" s="362" t="str">
        <f t="shared" si="58"/>
        <v>477M</v>
      </c>
      <c r="Y496" s="135">
        <f t="shared" si="60"/>
        <v>477</v>
      </c>
      <c r="Z496" s="151">
        <v>56032</v>
      </c>
      <c r="AA496" s="154">
        <v>0.1432206462495747</v>
      </c>
      <c r="AB496" s="154">
        <v>8.2191780821917804E-2</v>
      </c>
      <c r="AC496" s="154">
        <f t="shared" si="59"/>
        <v>15.992361338337329</v>
      </c>
      <c r="AD496" s="361"/>
    </row>
    <row r="497" spans="24:30">
      <c r="X497" s="362" t="str">
        <f t="shared" si="58"/>
        <v>478M</v>
      </c>
      <c r="Y497" s="135">
        <f t="shared" si="60"/>
        <v>478</v>
      </c>
      <c r="Z497" s="151">
        <v>56065</v>
      </c>
      <c r="AA497" s="154">
        <v>0.14279378710903584</v>
      </c>
      <c r="AB497" s="154">
        <v>9.0410958904109592E-2</v>
      </c>
      <c r="AC497" s="154">
        <f t="shared" si="59"/>
        <v>16.005271461555406</v>
      </c>
      <c r="AD497" s="361"/>
    </row>
    <row r="498" spans="24:30">
      <c r="X498" s="362" t="str">
        <f t="shared" si="58"/>
        <v>479M</v>
      </c>
      <c r="Y498" s="135">
        <f t="shared" si="60"/>
        <v>479</v>
      </c>
      <c r="Z498" s="151">
        <v>56093</v>
      </c>
      <c r="AA498" s="154">
        <v>0.14243332840288767</v>
      </c>
      <c r="AB498" s="154">
        <v>7.6712328767123292E-2</v>
      </c>
      <c r="AC498" s="154">
        <f t="shared" si="59"/>
        <v>16.016197853871244</v>
      </c>
      <c r="AD498" s="361"/>
    </row>
    <row r="499" spans="24:30">
      <c r="X499" s="362" t="str">
        <f t="shared" si="58"/>
        <v>480M</v>
      </c>
      <c r="Y499" s="135">
        <f t="shared" si="60"/>
        <v>480</v>
      </c>
      <c r="Z499" s="151">
        <v>56124</v>
      </c>
      <c r="AA499" s="154">
        <v>0.14203608671250226</v>
      </c>
      <c r="AB499" s="154">
        <v>8.4931506849315067E-2</v>
      </c>
      <c r="AC499" s="154">
        <f t="shared" si="59"/>
        <v>16.028261192742718</v>
      </c>
      <c r="AD499" s="361"/>
    </row>
  </sheetData>
  <protectedRanges>
    <protectedRange sqref="V13 V23 V32 V45 V57" name="Range2_1_1_1_1"/>
  </protectedRanges>
  <mergeCells count="22">
    <mergeCell ref="B21:K21"/>
    <mergeCell ref="C23:E23"/>
    <mergeCell ref="F23:H23"/>
    <mergeCell ref="I23:K23"/>
    <mergeCell ref="M35:V35"/>
    <mergeCell ref="B14:E14"/>
    <mergeCell ref="U14:V14"/>
    <mergeCell ref="Y16:AC16"/>
    <mergeCell ref="AE16:AI16"/>
    <mergeCell ref="AK16:AO16"/>
    <mergeCell ref="B5:E5"/>
    <mergeCell ref="H5:K5"/>
    <mergeCell ref="N5:O5"/>
    <mergeCell ref="P5:R5"/>
    <mergeCell ref="B1:K1"/>
    <mergeCell ref="M1:V1"/>
    <mergeCell ref="Y1:AO1"/>
    <mergeCell ref="M3:V3"/>
    <mergeCell ref="Z4:AA4"/>
    <mergeCell ref="AC4:AD4"/>
    <mergeCell ref="AF4:AH4"/>
    <mergeCell ref="AJ4:AK4"/>
  </mergeCells>
  <dataValidations count="5">
    <dataValidation type="list" allowBlank="1" showInputMessage="1" showErrorMessage="1" sqref="V46 V58" xr:uid="{00000000-0002-0000-0100-000000000000}">
      <formula1>Currency</formula1>
    </dataValidation>
    <dataValidation type="list" allowBlank="1" showInputMessage="1" showErrorMessage="1" sqref="V55 V43 V22 V31 V12" xr:uid="{00000000-0002-0000-0100-000001000000}">
      <formula1>"1D,1M,3M,6M"</formula1>
    </dataValidation>
    <dataValidation type="list" allowBlank="1" showInputMessage="1" showErrorMessage="1" sqref="V54 V42" xr:uid="{00000000-0002-0000-0100-000002000000}">
      <formula1>RateIndex</formula1>
    </dataValidation>
    <dataValidation type="list" allowBlank="1" showInputMessage="1" showErrorMessage="1" sqref="V50 V38" xr:uid="{00000000-0002-0000-0100-000003000000}">
      <formula1>"RateCurve, DiscountCurve, InflationCurve, RateSpreadCurve, RateBasisCurve"</formula1>
    </dataValidation>
    <dataValidation type="list" allowBlank="1" showInputMessage="1" showErrorMessage="1" sqref="V26 V17 V7" xr:uid="{00000000-0002-0000-0100-000004000000}">
      <formula1>"RateCurve, DiscountCurve, InflationCurve, RateSpreadCurve"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I23"/>
  <sheetViews>
    <sheetView zoomScale="85" zoomScaleNormal="85" workbookViewId="0">
      <selection activeCell="J39" sqref="J39"/>
    </sheetView>
  </sheetViews>
  <sheetFormatPr defaultRowHeight="12.75"/>
  <cols>
    <col min="2" max="2" width="22.42578125" bestFit="1" customWidth="1"/>
    <col min="3" max="3" width="8.42578125" bestFit="1" customWidth="1"/>
    <col min="4" max="4" width="8.5703125" bestFit="1" customWidth="1"/>
    <col min="6" max="6" width="22.42578125" bestFit="1" customWidth="1"/>
    <col min="7" max="7" width="8.42578125" bestFit="1" customWidth="1"/>
    <col min="8" max="8" width="8.5703125" bestFit="1" customWidth="1"/>
  </cols>
  <sheetData>
    <row r="1" spans="2:9" ht="13.5" thickBot="1"/>
    <row r="2" spans="2:9" ht="15.75" thickBot="1">
      <c r="B2" s="349" t="s">
        <v>19</v>
      </c>
      <c r="C2" s="351" t="s">
        <v>235</v>
      </c>
      <c r="D2" s="350" t="s">
        <v>215</v>
      </c>
      <c r="E2" s="118"/>
      <c r="F2" s="349" t="s">
        <v>19</v>
      </c>
      <c r="G2" s="351" t="s">
        <v>235</v>
      </c>
      <c r="H2" s="350" t="s">
        <v>215</v>
      </c>
    </row>
    <row r="3" spans="2:9" ht="15">
      <c r="B3" s="131" t="s">
        <v>23</v>
      </c>
      <c r="C3" s="165">
        <f>TraderMids!D8+D3/100</f>
        <v>4.8515259795814093E-2</v>
      </c>
      <c r="D3" s="128">
        <f>D7</f>
        <v>0.10152597958140927</v>
      </c>
      <c r="E3" s="354">
        <f>TraderMids!N7+TraderMids!N38</f>
        <v>4.8515259795814093E-2</v>
      </c>
      <c r="F3" s="126" t="s">
        <v>23</v>
      </c>
      <c r="G3" s="127">
        <f>TraderMids!D8</f>
        <v>4.7500000000000001E-2</v>
      </c>
      <c r="H3" s="150">
        <v>0</v>
      </c>
      <c r="I3" s="353">
        <f>TraderMids!N7-TraderMids!R38</f>
        <v>4.7500000000000001E-2</v>
      </c>
    </row>
    <row r="4" spans="2:9" ht="15">
      <c r="B4" s="126" t="s">
        <v>24</v>
      </c>
      <c r="C4" s="165">
        <f>TraderMids!D9+D4/100</f>
        <v>4.9215259795814092E-2</v>
      </c>
      <c r="D4" s="150">
        <f>D7</f>
        <v>0.10152597958140927</v>
      </c>
      <c r="E4" s="354">
        <f>TraderMids!N8+TraderMids!N39</f>
        <v>4.9215259795814092E-2</v>
      </c>
      <c r="F4" s="126" t="s">
        <v>24</v>
      </c>
      <c r="G4" s="127">
        <f>TraderMids!D9</f>
        <v>4.82E-2</v>
      </c>
      <c r="H4" s="150">
        <v>0</v>
      </c>
      <c r="I4" s="353">
        <f>TraderMids!N8-TraderMids!R39</f>
        <v>4.82E-2</v>
      </c>
    </row>
    <row r="5" spans="2:9" ht="15">
      <c r="B5" s="126" t="s">
        <v>27</v>
      </c>
      <c r="C5" s="165">
        <f>TraderMids!D10+D5/100</f>
        <v>5.0115259795814097E-2</v>
      </c>
      <c r="D5" s="150">
        <f>D7</f>
        <v>0.10152597958140927</v>
      </c>
      <c r="E5" s="354">
        <f>TraderMids!N9+TraderMids!N40</f>
        <v>5.0115259795814097E-2</v>
      </c>
      <c r="F5" s="126" t="s">
        <v>27</v>
      </c>
      <c r="G5" s="127">
        <f>TraderMids!C17</f>
        <v>4.8499999999999995E-2</v>
      </c>
      <c r="H5" s="150">
        <f>100*(TraderMids!D10-TraderMids!D17)</f>
        <v>6.0000000000001025E-2</v>
      </c>
      <c r="I5" s="353">
        <f>TraderMids!N9-TraderMids!R40</f>
        <v>4.8499999999999995E-2</v>
      </c>
    </row>
    <row r="6" spans="2:9" ht="15">
      <c r="B6" s="126" t="s">
        <v>29</v>
      </c>
      <c r="C6" s="165">
        <f>TraderMids!D11+D6/100</f>
        <v>5.0915259795814093E-2</v>
      </c>
      <c r="D6" s="150">
        <f>D7</f>
        <v>0.10152597958140927</v>
      </c>
      <c r="E6" s="354">
        <f>TraderMids!N10+TraderMids!N41</f>
        <v>5.0915259795814093E-2</v>
      </c>
      <c r="F6" s="126" t="s">
        <v>29</v>
      </c>
      <c r="G6" s="127">
        <f>TraderMids!C18</f>
        <v>4.8900000000000006E-2</v>
      </c>
      <c r="H6" s="150">
        <f>100*(TraderMids!D11-TraderMids!D18)</f>
        <v>9.9999999999999395E-2</v>
      </c>
      <c r="I6" s="353">
        <f>TraderMids!N10-TraderMids!R41</f>
        <v>4.8900000000000006E-2</v>
      </c>
    </row>
    <row r="7" spans="2:9" ht="15">
      <c r="B7" s="126" t="s">
        <v>32</v>
      </c>
      <c r="C7" s="165">
        <f>TraderMids!D12</f>
        <v>5.1799999999999999E-2</v>
      </c>
      <c r="D7" s="150">
        <f>(TraderMids!D12-TraderMids!AD7)*100</f>
        <v>0.10152597958140927</v>
      </c>
      <c r="E7" s="118"/>
      <c r="F7" s="126" t="s">
        <v>32</v>
      </c>
      <c r="G7" s="127">
        <f>TraderMids!C19</f>
        <v>4.9700000000000008E-2</v>
      </c>
      <c r="H7" s="150">
        <f>100*(TraderMids!AD7-TraderMids!D19)</f>
        <v>0.10847402041858981</v>
      </c>
    </row>
    <row r="8" spans="2:9" ht="15">
      <c r="B8" s="126" t="s">
        <v>271</v>
      </c>
      <c r="C8" s="127">
        <f>TraderMids!G25</f>
        <v>8.25E-4</v>
      </c>
      <c r="D8" s="166">
        <f>C8*100</f>
        <v>8.2500000000000004E-2</v>
      </c>
      <c r="E8" s="118"/>
      <c r="F8" s="126" t="s">
        <v>272</v>
      </c>
      <c r="G8" s="127">
        <f>TraderMids!J25</f>
        <v>1.075E-3</v>
      </c>
      <c r="H8" s="166">
        <f>TraderMids!J25*100</f>
        <v>0.1075</v>
      </c>
    </row>
    <row r="9" spans="2:9" ht="15">
      <c r="B9" s="126" t="s">
        <v>273</v>
      </c>
      <c r="C9" s="127">
        <f>TraderMids!G26</f>
        <v>8.0000000000000004E-4</v>
      </c>
      <c r="D9" s="166">
        <f t="shared" ref="D9:D23" si="0">C9*100</f>
        <v>0.08</v>
      </c>
      <c r="E9" s="118"/>
      <c r="F9" s="126" t="s">
        <v>274</v>
      </c>
      <c r="G9" s="127">
        <f>TraderMids!J26</f>
        <v>1.1749999999999998E-3</v>
      </c>
      <c r="H9" s="166">
        <f>TraderMids!J26*100</f>
        <v>0.11749999999999998</v>
      </c>
    </row>
    <row r="10" spans="2:9" ht="15">
      <c r="B10" s="126" t="s">
        <v>275</v>
      </c>
      <c r="C10" s="127">
        <f>TraderMids!G27</f>
        <v>7.7499999999999997E-4</v>
      </c>
      <c r="D10" s="166">
        <f t="shared" si="0"/>
        <v>7.7499999999999999E-2</v>
      </c>
      <c r="E10" s="118"/>
      <c r="F10" s="126" t="s">
        <v>276</v>
      </c>
      <c r="G10" s="127">
        <f>TraderMids!J27</f>
        <v>1.1999999999999999E-3</v>
      </c>
      <c r="H10" s="166">
        <f>TraderMids!J27*100</f>
        <v>0.12</v>
      </c>
    </row>
    <row r="11" spans="2:9" ht="15">
      <c r="B11" s="126" t="s">
        <v>277</v>
      </c>
      <c r="C11" s="127">
        <f>TraderMids!G28</f>
        <v>7.7499999999999997E-4</v>
      </c>
      <c r="D11" s="166">
        <f t="shared" si="0"/>
        <v>7.7499999999999999E-2</v>
      </c>
      <c r="E11" s="118"/>
      <c r="F11" s="126" t="s">
        <v>278</v>
      </c>
      <c r="G11" s="127">
        <f>TraderMids!J28</f>
        <v>1.1999999999999999E-3</v>
      </c>
      <c r="H11" s="166">
        <f>TraderMids!J28*100</f>
        <v>0.12</v>
      </c>
    </row>
    <row r="12" spans="2:9" ht="15">
      <c r="B12" s="126" t="s">
        <v>279</v>
      </c>
      <c r="C12" s="127">
        <f>TraderMids!G29</f>
        <v>7.2499999999999995E-4</v>
      </c>
      <c r="D12" s="166">
        <f t="shared" si="0"/>
        <v>7.2499999999999995E-2</v>
      </c>
      <c r="E12" s="118"/>
      <c r="F12" s="126" t="s">
        <v>280</v>
      </c>
      <c r="G12" s="127">
        <f>TraderMids!J29</f>
        <v>1.1749999999999998E-3</v>
      </c>
      <c r="H12" s="166">
        <f>TraderMids!J29*100</f>
        <v>0.11749999999999998</v>
      </c>
    </row>
    <row r="13" spans="2:9" ht="15">
      <c r="B13" s="126" t="s">
        <v>281</v>
      </c>
      <c r="C13" s="127">
        <f>TraderMids!G30</f>
        <v>6.9999999999999999E-4</v>
      </c>
      <c r="D13" s="166">
        <f t="shared" si="0"/>
        <v>6.9999999999999993E-2</v>
      </c>
      <c r="E13" s="118"/>
      <c r="F13" s="126" t="s">
        <v>282</v>
      </c>
      <c r="G13" s="127">
        <f>TraderMids!J30</f>
        <v>1.1249999999999999E-3</v>
      </c>
      <c r="H13" s="166">
        <f>TraderMids!J30*100</f>
        <v>0.11249999999999999</v>
      </c>
    </row>
    <row r="14" spans="2:9" ht="15">
      <c r="B14" s="126" t="s">
        <v>283</v>
      </c>
      <c r="C14" s="127">
        <f>TraderMids!G31</f>
        <v>6.7500000000000004E-4</v>
      </c>
      <c r="D14" s="166">
        <f t="shared" si="0"/>
        <v>6.7500000000000004E-2</v>
      </c>
      <c r="E14" s="118"/>
      <c r="F14" s="126" t="s">
        <v>284</v>
      </c>
      <c r="G14" s="127">
        <f>TraderMids!J31</f>
        <v>1.075E-3</v>
      </c>
      <c r="H14" s="166">
        <f>TraderMids!J31*100</f>
        <v>0.1075</v>
      </c>
    </row>
    <row r="15" spans="2:9" ht="15">
      <c r="B15" s="126" t="s">
        <v>285</v>
      </c>
      <c r="C15" s="127">
        <f>TraderMids!G32</f>
        <v>6.6666666666666664E-4</v>
      </c>
      <c r="D15" s="166">
        <f t="shared" si="0"/>
        <v>6.6666666666666666E-2</v>
      </c>
      <c r="E15" s="118"/>
      <c r="F15" s="126" t="s">
        <v>286</v>
      </c>
      <c r="G15" s="127">
        <f>TraderMids!J32</f>
        <v>1.0333333333333334E-3</v>
      </c>
      <c r="H15" s="166">
        <f>TraderMids!J32*100</f>
        <v>0.10333333333333333</v>
      </c>
    </row>
    <row r="16" spans="2:9" ht="15">
      <c r="B16" s="126" t="s">
        <v>287</v>
      </c>
      <c r="C16" s="127">
        <f>TraderMids!G33</f>
        <v>6.5833333333333336E-4</v>
      </c>
      <c r="D16" s="166">
        <f t="shared" si="0"/>
        <v>6.5833333333333341E-2</v>
      </c>
      <c r="E16" s="118"/>
      <c r="F16" s="126" t="s">
        <v>288</v>
      </c>
      <c r="G16" s="127">
        <f>TraderMids!J33</f>
        <v>9.9166666666666674E-4</v>
      </c>
      <c r="H16" s="166">
        <f>TraderMids!J33*100</f>
        <v>9.9166666666666681E-2</v>
      </c>
    </row>
    <row r="17" spans="2:8" ht="15">
      <c r="B17" s="126" t="s">
        <v>289</v>
      </c>
      <c r="C17" s="127">
        <f>TraderMids!G34</f>
        <v>6.4999999999999997E-4</v>
      </c>
      <c r="D17" s="166">
        <f t="shared" si="0"/>
        <v>6.5000000000000002E-2</v>
      </c>
      <c r="E17" s="118"/>
      <c r="F17" s="126" t="s">
        <v>290</v>
      </c>
      <c r="G17" s="127">
        <f>TraderMids!J34</f>
        <v>9.5E-4</v>
      </c>
      <c r="H17" s="166">
        <f>TraderMids!J34*100</f>
        <v>9.5000000000000001E-2</v>
      </c>
    </row>
    <row r="18" spans="2:8" ht="15">
      <c r="B18" s="126" t="s">
        <v>291</v>
      </c>
      <c r="C18" s="127">
        <f>TraderMids!G35</f>
        <v>6.0000000000000006E-4</v>
      </c>
      <c r="D18" s="166">
        <f t="shared" si="0"/>
        <v>6.0000000000000005E-2</v>
      </c>
      <c r="E18" s="118"/>
      <c r="F18" s="126" t="s">
        <v>292</v>
      </c>
      <c r="G18" s="127">
        <f>TraderMids!J35</f>
        <v>8.3567447182005114E-4</v>
      </c>
      <c r="H18" s="166">
        <f>TraderMids!J35*100</f>
        <v>8.3567447182005108E-2</v>
      </c>
    </row>
    <row r="19" spans="2:8" ht="15">
      <c r="B19" s="126" t="s">
        <v>293</v>
      </c>
      <c r="C19" s="127">
        <f>TraderMids!G36</f>
        <v>5.2499999999999997E-4</v>
      </c>
      <c r="D19" s="166">
        <f t="shared" si="0"/>
        <v>5.2499999999999998E-2</v>
      </c>
      <c r="E19" s="118"/>
      <c r="F19" s="126" t="s">
        <v>294</v>
      </c>
      <c r="G19" s="127">
        <f>TraderMids!J36</f>
        <v>7.2363255302059643E-4</v>
      </c>
      <c r="H19" s="166">
        <f>TraderMids!J36*100</f>
        <v>7.2363255302059643E-2</v>
      </c>
    </row>
    <row r="20" spans="2:8" ht="15">
      <c r="B20" s="126" t="s">
        <v>295</v>
      </c>
      <c r="C20" s="127">
        <f>TraderMids!G37</f>
        <v>4.4999999999999999E-4</v>
      </c>
      <c r="D20" s="166">
        <f t="shared" si="0"/>
        <v>4.4999999999999998E-2</v>
      </c>
      <c r="E20" s="118"/>
      <c r="F20" s="126" t="s">
        <v>296</v>
      </c>
      <c r="G20" s="127">
        <f>TraderMids!J37</f>
        <v>6.1389101905463014E-4</v>
      </c>
      <c r="H20" s="166">
        <f>TraderMids!J37*100</f>
        <v>6.1389101905463012E-2</v>
      </c>
    </row>
    <row r="21" spans="2:8" ht="15">
      <c r="B21" s="126" t="s">
        <v>297</v>
      </c>
      <c r="C21" s="127">
        <f>TraderMids!G38</f>
        <v>4.0000000000000002E-4</v>
      </c>
      <c r="D21" s="166">
        <f t="shared" si="0"/>
        <v>0.04</v>
      </c>
      <c r="E21" s="118"/>
      <c r="F21" s="126" t="s">
        <v>298</v>
      </c>
      <c r="G21" s="127">
        <f>TraderMids!J38</f>
        <v>5.4884374947530379E-4</v>
      </c>
      <c r="H21" s="166">
        <f>TraderMids!J38*100</f>
        <v>5.488437494753038E-2</v>
      </c>
    </row>
    <row r="22" spans="2:8" ht="15">
      <c r="B22" s="126" t="s">
        <v>299</v>
      </c>
      <c r="C22" s="127">
        <f>TraderMids!G39</f>
        <v>3.7500000000000001E-4</v>
      </c>
      <c r="D22" s="166">
        <f t="shared" si="0"/>
        <v>3.7499999999999999E-2</v>
      </c>
      <c r="E22" s="118"/>
      <c r="F22" s="126" t="s">
        <v>300</v>
      </c>
      <c r="G22" s="127">
        <f>TraderMids!J39</f>
        <v>5.0556288479475578E-4</v>
      </c>
      <c r="H22" s="166">
        <f>TraderMids!J39*100</f>
        <v>5.0556288479475575E-2</v>
      </c>
    </row>
    <row r="23" spans="2:8" ht="15">
      <c r="B23" s="126" t="s">
        <v>301</v>
      </c>
      <c r="C23" s="127">
        <f>TraderMids!G40</f>
        <v>3.0899066848552717E-4</v>
      </c>
      <c r="D23" s="166">
        <f t="shared" si="0"/>
        <v>3.0899066848552717E-2</v>
      </c>
      <c r="E23" s="118"/>
      <c r="F23" s="126" t="s">
        <v>302</v>
      </c>
      <c r="G23" s="127">
        <f>TraderMids!J40</f>
        <v>4.5178570601226911E-4</v>
      </c>
      <c r="H23" s="166">
        <f>TraderMids!J40*100</f>
        <v>4.517857060122691E-2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2:AH113"/>
  <sheetViews>
    <sheetView workbookViewId="0">
      <selection activeCell="Z92" sqref="Z92"/>
    </sheetView>
  </sheetViews>
  <sheetFormatPr defaultRowHeight="12.75"/>
  <cols>
    <col min="1" max="1" width="1.5703125" style="31" customWidth="1"/>
    <col min="2" max="2" width="20.28515625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1.8554687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1.5703125" style="31" customWidth="1"/>
    <col min="14" max="14" width="19" style="31" bestFit="1" customWidth="1"/>
    <col min="15" max="15" width="10.5703125" style="31" bestFit="1" customWidth="1"/>
    <col min="16" max="16" width="7.140625" style="31" bestFit="1" customWidth="1"/>
    <col min="17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7" width="8.5703125" style="31" bestFit="1" customWidth="1"/>
    <col min="28" max="28" width="8.140625" style="31" bestFit="1" customWidth="1"/>
    <col min="29" max="29" width="9.140625" style="31" customWidth="1"/>
    <col min="30" max="30" width="21.42578125" style="31" bestFit="1" customWidth="1"/>
    <col min="31" max="31" width="53.140625" style="31" bestFit="1" customWidth="1"/>
    <col min="32" max="32" width="1.28515625" style="31" customWidth="1"/>
    <col min="33" max="33" width="18.5703125" style="31" bestFit="1" customWidth="1"/>
    <col min="34" max="34" width="50" style="31" bestFit="1" customWidth="1"/>
    <col min="35" max="16384" width="9.140625" style="31"/>
  </cols>
  <sheetData>
    <row r="2" spans="2:34" ht="28.5">
      <c r="B2" s="374" t="s">
        <v>60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  <c r="AB2" s="374"/>
    </row>
    <row r="4" spans="2:34">
      <c r="B4" s="393" t="s">
        <v>56</v>
      </c>
      <c r="C4" s="394"/>
      <c r="D4" s="395"/>
      <c r="E4" s="395"/>
      <c r="F4" s="396"/>
      <c r="H4" s="393" t="s">
        <v>57</v>
      </c>
      <c r="I4" s="394"/>
      <c r="J4" s="395"/>
      <c r="K4" s="395"/>
      <c r="L4" s="396"/>
      <c r="N4" s="393" t="s">
        <v>58</v>
      </c>
      <c r="O4" s="394"/>
      <c r="P4" s="395"/>
      <c r="Q4" s="395"/>
      <c r="R4" s="396"/>
    </row>
    <row r="5" spans="2:34" ht="13.5" thickBot="1">
      <c r="B5" s="331" t="s">
        <v>19</v>
      </c>
      <c r="C5" s="331" t="s">
        <v>55</v>
      </c>
      <c r="D5" s="81" t="s">
        <v>16</v>
      </c>
      <c r="E5" s="81" t="s">
        <v>15</v>
      </c>
      <c r="F5" s="331" t="s">
        <v>54</v>
      </c>
      <c r="H5" s="331" t="s">
        <v>19</v>
      </c>
      <c r="I5" s="331" t="s">
        <v>55</v>
      </c>
      <c r="J5" s="332" t="s">
        <v>16</v>
      </c>
      <c r="K5" s="332" t="s">
        <v>15</v>
      </c>
      <c r="L5" s="4" t="s">
        <v>54</v>
      </c>
      <c r="N5" s="331" t="s">
        <v>19</v>
      </c>
      <c r="O5" s="4" t="s">
        <v>55</v>
      </c>
      <c r="P5" s="332" t="s">
        <v>16</v>
      </c>
      <c r="Q5" s="332" t="s">
        <v>15</v>
      </c>
      <c r="R5" s="4" t="s">
        <v>54</v>
      </c>
    </row>
    <row r="6" spans="2:34" ht="13.5" thickBot="1">
      <c r="B6" s="333" t="str">
        <f>TraderMids!Q38</f>
        <v>AUD-SpreadDeposit-1D-1M</v>
      </c>
      <c r="C6" s="56">
        <f>Spreads!$C$11-Spreads!$K$6</f>
        <v>2</v>
      </c>
      <c r="D6" s="9">
        <f>TraderMids!R38+C6/10000</f>
        <v>2.0000000000000001E-4</v>
      </c>
      <c r="E6" s="35">
        <f>TraderMids!R38+F6/10000</f>
        <v>-5.0000000000000001E-4</v>
      </c>
      <c r="F6" s="55">
        <f>-Spreads!$C$10-Spreads!$L$6</f>
        <v>-5</v>
      </c>
      <c r="H6" s="333" t="str">
        <f>TraderMids!M7</f>
        <v>AUD-Deposit-1D</v>
      </c>
      <c r="I6" s="53">
        <f>Spreads!$C$9</f>
        <v>2</v>
      </c>
      <c r="J6" s="10">
        <f>TraderMids!O7+I6/10000</f>
        <v>4.7699999999999999E-2</v>
      </c>
      <c r="K6" s="32">
        <f>TraderMids!O7+L6/10000</f>
        <v>4.7300000000000002E-2</v>
      </c>
      <c r="L6" s="54">
        <f>-Spreads!$C$9</f>
        <v>-2</v>
      </c>
      <c r="N6" s="333" t="str">
        <f>TraderMids!M38</f>
        <v>AUD-SpreadDeposit-1D-6M</v>
      </c>
      <c r="O6" s="53">
        <f>Spreads!$L$7+Spreads!$C$11</f>
        <v>2</v>
      </c>
      <c r="P6" s="10">
        <f>TraderMids!N38+O6/10000</f>
        <v>1.2152597958140928E-3</v>
      </c>
      <c r="Q6" s="32">
        <f>TraderMids!N38+R6/10000</f>
        <v>5.1525979581409269E-4</v>
      </c>
      <c r="R6" s="54">
        <f>Spreads!$K$7-Spreads!$C$10</f>
        <v>-5</v>
      </c>
      <c r="S6" s="31">
        <v>0</v>
      </c>
      <c r="T6" s="334" t="s">
        <v>114</v>
      </c>
      <c r="U6" s="334" t="s">
        <v>339</v>
      </c>
      <c r="V6" s="334" t="s">
        <v>177</v>
      </c>
      <c r="W6" s="334" t="s">
        <v>338</v>
      </c>
      <c r="X6" s="334" t="s">
        <v>340</v>
      </c>
      <c r="Y6" s="334" t="s">
        <v>341</v>
      </c>
      <c r="Z6" s="334" t="s">
        <v>342</v>
      </c>
      <c r="AD6" s="335" t="s">
        <v>221</v>
      </c>
      <c r="AE6" s="336" t="str">
        <f>_xll.HLV5r3.Financial.Cache.CreateCurve_Old(AD7:AE13, H6:H31, J6:J31, S6:S31)</f>
        <v>Market.Corporate.OFFER.RateCurve.AUD-LIBOR-BBA-3M</v>
      </c>
      <c r="AG6" s="335" t="s">
        <v>221</v>
      </c>
      <c r="AH6" s="336" t="str">
        <f>_xll.HLV5r3.Financial.Cache.CreateCurve_Old( AG7:AH13, H6:H31, K6:K31, S6:S31)</f>
        <v>Market.Corporate.BID.RateCurve.AUD-LIBOR-BBA-3M</v>
      </c>
    </row>
    <row r="7" spans="2:34">
      <c r="B7" s="337" t="str">
        <f>TraderMids!Q39</f>
        <v>AUD-SpreadDeposit-1M-1M</v>
      </c>
      <c r="C7" s="53">
        <f>Spreads!$C$11-Spreads!$K$6</f>
        <v>2</v>
      </c>
      <c r="D7" s="10">
        <f>TraderMids!R39+C7/10000</f>
        <v>2.0000000000000001E-4</v>
      </c>
      <c r="E7" s="10">
        <f>TraderMids!R39+F7/10000</f>
        <v>-5.0000000000000001E-4</v>
      </c>
      <c r="F7" s="55">
        <f>-Spreads!$C$10-Spreads!$L$6</f>
        <v>-5</v>
      </c>
      <c r="H7" s="337" t="str">
        <f>TraderMids!M8</f>
        <v>AUD-Deposit-1M</v>
      </c>
      <c r="I7" s="53">
        <f>Spreads!$C$9</f>
        <v>2</v>
      </c>
      <c r="J7" s="10">
        <f>TraderMids!O8+I7/10000</f>
        <v>4.8399999999999999E-2</v>
      </c>
      <c r="K7" s="32">
        <f>TraderMids!O8+L7/10000</f>
        <v>4.8000000000000001E-2</v>
      </c>
      <c r="L7" s="54">
        <f>-Spreads!$C$9</f>
        <v>-2</v>
      </c>
      <c r="N7" s="337" t="str">
        <f>TraderMids!M39</f>
        <v>AUD-SpreadDeposit-1M-6M</v>
      </c>
      <c r="O7" s="53">
        <f>Spreads!$L$7+Spreads!$C$11</f>
        <v>2</v>
      </c>
      <c r="P7" s="10">
        <f>TraderMids!N39+O7/10000</f>
        <v>1.2152597958140928E-3</v>
      </c>
      <c r="Q7" s="32">
        <f>TraderMids!N39+R7/10000</f>
        <v>5.1525979581409269E-4</v>
      </c>
      <c r="R7" s="54">
        <f>Spreads!$K$7-Spreads!$C$10</f>
        <v>-5</v>
      </c>
      <c r="S7" s="31">
        <v>0</v>
      </c>
      <c r="T7" s="338" t="s">
        <v>343</v>
      </c>
      <c r="U7" s="339">
        <f>U8+P13</f>
        <v>5.4183333333333257E-2</v>
      </c>
      <c r="V7" s="339">
        <f>V8+TraderMids!N45</f>
        <v>5.3983333333333258E-2</v>
      </c>
      <c r="W7" s="339">
        <f>W8+Q13</f>
        <v>5.3483333333333265E-2</v>
      </c>
      <c r="X7" s="339">
        <f t="shared" ref="X7:Y9" si="0">U7-V7</f>
        <v>1.9999999999999879E-4</v>
      </c>
      <c r="Y7" s="339">
        <f t="shared" si="0"/>
        <v>4.9999999999999351E-4</v>
      </c>
      <c r="Z7" s="339">
        <f>X7+Y7</f>
        <v>6.999999999999923E-4</v>
      </c>
      <c r="AD7" s="340" t="s">
        <v>21</v>
      </c>
      <c r="AE7" s="341" t="s">
        <v>22</v>
      </c>
      <c r="AG7" s="340" t="s">
        <v>21</v>
      </c>
      <c r="AH7" s="341" t="s">
        <v>22</v>
      </c>
    </row>
    <row r="8" spans="2:34">
      <c r="B8" s="337" t="str">
        <f>TraderMids!Q40</f>
        <v>AUD-SpreadDeposit-2M-1M</v>
      </c>
      <c r="C8" s="53">
        <f>Spreads!$C$11-Spreads!$K$6</f>
        <v>2</v>
      </c>
      <c r="D8" s="10">
        <f>TraderMids!R40+C8/10000</f>
        <v>8.0000000000001023E-4</v>
      </c>
      <c r="E8" s="10">
        <f>TraderMids!R40+F8/10000</f>
        <v>1.0000000000001024E-4</v>
      </c>
      <c r="F8" s="55">
        <f>-Spreads!$C$10-Spreads!$L$6</f>
        <v>-5</v>
      </c>
      <c r="H8" s="337" t="str">
        <f>TraderMids!M9</f>
        <v>AUD-Deposit-2M</v>
      </c>
      <c r="I8" s="53">
        <f>Spreads!$C$9</f>
        <v>2</v>
      </c>
      <c r="J8" s="10">
        <f>TraderMids!O9+I8/10000</f>
        <v>4.9300000000000004E-2</v>
      </c>
      <c r="K8" s="32">
        <f>TraderMids!O9+L8/10000</f>
        <v>4.8900000000000006E-2</v>
      </c>
      <c r="L8" s="54">
        <f>-Spreads!$C$9</f>
        <v>-2</v>
      </c>
      <c r="N8" s="337" t="str">
        <f>TraderMids!M40</f>
        <v>AUD-SpreadDeposit-2M-6M</v>
      </c>
      <c r="O8" s="53">
        <f>Spreads!$L$7+Spreads!$C$11</f>
        <v>2</v>
      </c>
      <c r="P8" s="10">
        <f>TraderMids!N40+O8/10000</f>
        <v>1.2152597958140928E-3</v>
      </c>
      <c r="Q8" s="32">
        <f>TraderMids!N40+R8/10000</f>
        <v>5.1525979581409269E-4</v>
      </c>
      <c r="R8" s="54">
        <f>Spreads!$K$7-Spreads!$C$10</f>
        <v>-5</v>
      </c>
      <c r="S8" s="31">
        <v>0</v>
      </c>
      <c r="T8" s="338" t="s">
        <v>344</v>
      </c>
      <c r="U8" s="339">
        <f>J18</f>
        <v>5.3408333333333259E-2</v>
      </c>
      <c r="V8" s="339">
        <f>TraderMids!O19</f>
        <v>5.320833333333326E-2</v>
      </c>
      <c r="W8" s="339">
        <f>K18</f>
        <v>5.3008333333333262E-2</v>
      </c>
      <c r="X8" s="339">
        <f t="shared" si="0"/>
        <v>1.9999999999999879E-4</v>
      </c>
      <c r="Y8" s="339">
        <f t="shared" si="0"/>
        <v>1.9999999999999879E-4</v>
      </c>
      <c r="Z8" s="339">
        <f>X8+Y8</f>
        <v>3.9999999999999758E-4</v>
      </c>
      <c r="AD8" s="131" t="s">
        <v>306</v>
      </c>
      <c r="AE8" s="360">
        <f>Today</f>
        <v>41513</v>
      </c>
      <c r="AG8" s="131" t="s">
        <v>306</v>
      </c>
      <c r="AH8" s="360">
        <f>AE8</f>
        <v>41513</v>
      </c>
    </row>
    <row r="9" spans="2:34">
      <c r="B9" s="337" t="str">
        <f>TraderMids!Q41</f>
        <v>AUD-SpreadDeposit-3M-1M</v>
      </c>
      <c r="C9" s="53">
        <f>Spreads!$C$11-Spreads!$K$6</f>
        <v>2</v>
      </c>
      <c r="D9" s="10">
        <f>TraderMids!R41+C9/10000</f>
        <v>1.199999999999994E-3</v>
      </c>
      <c r="E9" s="10">
        <f>TraderMids!R41+F9/10000</f>
        <v>4.9999999999999394E-4</v>
      </c>
      <c r="F9" s="55">
        <f>-Spreads!$C$10-Spreads!$L$6</f>
        <v>-5</v>
      </c>
      <c r="H9" s="337" t="str">
        <f>TraderMids!M10</f>
        <v>AUD-Deposit-3M</v>
      </c>
      <c r="I9" s="53">
        <f>Spreads!$C$9</f>
        <v>2</v>
      </c>
      <c r="J9" s="10">
        <f>TraderMids!O10+I9/10000</f>
        <v>5.0099999999999999E-2</v>
      </c>
      <c r="K9" s="32">
        <f>TraderMids!O10+L9/10000</f>
        <v>4.9700000000000001E-2</v>
      </c>
      <c r="L9" s="54">
        <f>-Spreads!$C$9</f>
        <v>-2</v>
      </c>
      <c r="N9" s="337" t="str">
        <f>TraderMids!M41</f>
        <v>AUD-SpreadDeposit-3M-6M</v>
      </c>
      <c r="O9" s="53">
        <f>Spreads!$L$7+Spreads!$C$11</f>
        <v>2</v>
      </c>
      <c r="P9" s="10">
        <f>TraderMids!N41+O9/10000</f>
        <v>1.2152597958140928E-3</v>
      </c>
      <c r="Q9" s="32">
        <f>TraderMids!N41+R9/10000</f>
        <v>5.1525979581409269E-4</v>
      </c>
      <c r="R9" s="54">
        <f>Spreads!$K$7-Spreads!$C$10</f>
        <v>-5</v>
      </c>
      <c r="S9" s="31">
        <v>0</v>
      </c>
      <c r="T9" s="338" t="s">
        <v>347</v>
      </c>
      <c r="U9" s="339">
        <f>U8-D13</f>
        <v>5.2208333333333259E-2</v>
      </c>
      <c r="V9" s="339">
        <f>V8-TraderMids!R45</f>
        <v>5.2008333333333261E-2</v>
      </c>
      <c r="W9" s="339">
        <f>W8-E13</f>
        <v>5.150833333333326E-2</v>
      </c>
      <c r="X9" s="339">
        <f t="shared" si="0"/>
        <v>1.9999999999999879E-4</v>
      </c>
      <c r="Y9" s="339">
        <f t="shared" si="0"/>
        <v>5.0000000000000044E-4</v>
      </c>
      <c r="Z9" s="339">
        <f>X9+Y9</f>
        <v>6.9999999999999923E-4</v>
      </c>
      <c r="AD9" s="340" t="s">
        <v>25</v>
      </c>
      <c r="AE9" s="341" t="s">
        <v>345</v>
      </c>
      <c r="AG9" s="340" t="s">
        <v>25</v>
      </c>
      <c r="AH9" s="341" t="s">
        <v>346</v>
      </c>
    </row>
    <row r="10" spans="2:34">
      <c r="B10" s="337" t="str">
        <f>TraderMids!Q42</f>
        <v>AUD-SpreadDeposit-6M-1M</v>
      </c>
      <c r="C10" s="53">
        <f>Spreads!$C$11-Spreads!$K$6</f>
        <v>2</v>
      </c>
      <c r="D10" s="10">
        <f>TraderMids!R42+C10/10000</f>
        <v>1.2847402041858982E-3</v>
      </c>
      <c r="E10" s="10">
        <f>TraderMids!R42+F10/10000</f>
        <v>5.8474020418589805E-4</v>
      </c>
      <c r="F10" s="55">
        <f>-Spreads!$C$10-Spreads!$L$6</f>
        <v>-5</v>
      </c>
      <c r="H10" s="337" t="str">
        <f>TraderMids!M11</f>
        <v>AUD-IRFuture-IR-1</v>
      </c>
      <c r="I10" s="53">
        <f>Spreads!C9</f>
        <v>2</v>
      </c>
      <c r="J10" s="10">
        <f>TraderMids!O11+I10/10000</f>
        <v>5.0549999999999963E-2</v>
      </c>
      <c r="K10" s="32">
        <f>TraderMids!O11+L10/10000</f>
        <v>5.0149999999999965E-2</v>
      </c>
      <c r="L10" s="54">
        <f>-Spreads!C9</f>
        <v>-2</v>
      </c>
      <c r="N10" s="337" t="str">
        <f>TraderMids!M42</f>
        <v>AUD-SpreadDeposit-6M-6M</v>
      </c>
      <c r="O10" s="53">
        <f>Spreads!$L$7+Spreads!$C$11</f>
        <v>2</v>
      </c>
      <c r="P10" s="10">
        <f>TraderMids!N42+O10/10000</f>
        <v>1.2152597958140928E-3</v>
      </c>
      <c r="Q10" s="32">
        <f>TraderMids!N42+R10/10000</f>
        <v>5.1525979581409269E-4</v>
      </c>
      <c r="R10" s="54">
        <f>Spreads!$K$7-Spreads!$C$10</f>
        <v>-5</v>
      </c>
      <c r="S10" s="31">
        <v>0</v>
      </c>
      <c r="AD10" s="340" t="s">
        <v>41</v>
      </c>
      <c r="AE10" s="341" t="str">
        <f>AE11&amp;"-"&amp;AE12</f>
        <v>AUD-LIBOR-BBA-3M</v>
      </c>
      <c r="AG10" s="340" t="s">
        <v>41</v>
      </c>
      <c r="AH10" s="341" t="str">
        <f>AH11&amp;"-"&amp;AH12</f>
        <v>AUD-LIBOR-BBA-3M</v>
      </c>
    </row>
    <row r="11" spans="2:34">
      <c r="B11" s="337" t="str">
        <f>TraderMids!Q43</f>
        <v>AUD-BasisSwap-1Y-1M</v>
      </c>
      <c r="C11" s="53">
        <f>Spreads!$K$6</f>
        <v>0</v>
      </c>
      <c r="D11" s="10">
        <f>TraderMids!R43+C11/10000</f>
        <v>1.075E-3</v>
      </c>
      <c r="E11" s="10">
        <f>TraderMids!R43+F11/10000</f>
        <v>1.3749999999999999E-3</v>
      </c>
      <c r="F11" s="55">
        <f>Spreads!$L$6</f>
        <v>3</v>
      </c>
      <c r="H11" s="337" t="str">
        <f>TraderMids!M12</f>
        <v>AUD-IRFuture-IR-2</v>
      </c>
      <c r="I11" s="53">
        <f>Spreads!C10</f>
        <v>2</v>
      </c>
      <c r="J11" s="10">
        <f>TraderMids!O12+I11/10000</f>
        <v>5.135000000000009E-2</v>
      </c>
      <c r="K11" s="32">
        <f>TraderMids!O12+L11/10000</f>
        <v>5.0950000000000092E-2</v>
      </c>
      <c r="L11" s="54">
        <f>-Spreads!C10</f>
        <v>-2</v>
      </c>
      <c r="N11" s="337" t="str">
        <f>TraderMids!M43</f>
        <v>AUD-BasisSwap-1Y-6M</v>
      </c>
      <c r="O11" s="53">
        <f>Spreads!$L$7</f>
        <v>0</v>
      </c>
      <c r="P11" s="10">
        <f>TraderMids!N43+O11/10000</f>
        <v>8.25E-4</v>
      </c>
      <c r="Q11" s="32">
        <f>TraderMids!N43+R11/10000</f>
        <v>5.2500000000000008E-4</v>
      </c>
      <c r="R11" s="54">
        <f>Spreads!$K$7</f>
        <v>-3</v>
      </c>
      <c r="S11" s="31">
        <v>0</v>
      </c>
      <c r="AD11" s="340" t="s">
        <v>38</v>
      </c>
      <c r="AE11" s="341" t="s">
        <v>39</v>
      </c>
      <c r="AG11" s="340" t="s">
        <v>38</v>
      </c>
      <c r="AH11" s="341" t="s">
        <v>39</v>
      </c>
    </row>
    <row r="12" spans="2:34">
      <c r="B12" s="337" t="str">
        <f>TraderMids!Q44</f>
        <v>AUD-BasisSwap-2Y-1M</v>
      </c>
      <c r="C12" s="53">
        <f>Spreads!$K$6</f>
        <v>0</v>
      </c>
      <c r="D12" s="10">
        <f>TraderMids!R44+C12/10000</f>
        <v>1.1749999999999998E-3</v>
      </c>
      <c r="E12" s="10">
        <f>TraderMids!R44+F12/10000</f>
        <v>1.4749999999999997E-3</v>
      </c>
      <c r="F12" s="55">
        <f>Spreads!$L$6</f>
        <v>3</v>
      </c>
      <c r="H12" s="337" t="str">
        <f>TraderMids!M13</f>
        <v>AUD-IRFuture-IR-3</v>
      </c>
      <c r="I12" s="53">
        <f>Spreads!C11</f>
        <v>2</v>
      </c>
      <c r="J12" s="10">
        <f>TraderMids!O13+I12/10000</f>
        <v>5.2049842770000021E-2</v>
      </c>
      <c r="K12" s="32">
        <f>TraderMids!O13+L12/10000</f>
        <v>5.1649842770000023E-2</v>
      </c>
      <c r="L12" s="54">
        <f>-Spreads!C11</f>
        <v>-2</v>
      </c>
      <c r="N12" s="337" t="str">
        <f>TraderMids!M44</f>
        <v>AUD-BasisSwap-2Y-6M</v>
      </c>
      <c r="O12" s="53">
        <f>Spreads!$L$7</f>
        <v>0</v>
      </c>
      <c r="P12" s="10">
        <f>TraderMids!N44+O12/10000</f>
        <v>8.0000000000000004E-4</v>
      </c>
      <c r="Q12" s="32">
        <f>TraderMids!N44+R12/10000</f>
        <v>5.0000000000000001E-4</v>
      </c>
      <c r="R12" s="54">
        <f>Spreads!$K$7</f>
        <v>-3</v>
      </c>
      <c r="S12" s="31">
        <v>0</v>
      </c>
      <c r="AD12" s="340" t="s">
        <v>28</v>
      </c>
      <c r="AE12" s="341" t="s">
        <v>10</v>
      </c>
      <c r="AG12" s="340" t="s">
        <v>28</v>
      </c>
      <c r="AH12" s="341" t="s">
        <v>10</v>
      </c>
    </row>
    <row r="13" spans="2:34" ht="13.5" thickBot="1">
      <c r="B13" s="337" t="str">
        <f>TraderMids!Q45</f>
        <v>AUD-BasisSwap-3Y-1M</v>
      </c>
      <c r="C13" s="53">
        <f>Spreads!$K$6</f>
        <v>0</v>
      </c>
      <c r="D13" s="10">
        <f>TraderMids!R45+C13/10000</f>
        <v>1.1999999999999999E-3</v>
      </c>
      <c r="E13" s="10">
        <f>TraderMids!R45+F13/10000</f>
        <v>1.4999999999999998E-3</v>
      </c>
      <c r="F13" s="55">
        <f>Spreads!$L$6</f>
        <v>3</v>
      </c>
      <c r="H13" s="337" t="str">
        <f>TraderMids!M14</f>
        <v>AUD-IRFuture-IR-4</v>
      </c>
      <c r="I13" s="53">
        <f>Spreads!C12</f>
        <v>2</v>
      </c>
      <c r="J13" s="10">
        <f>TraderMids!O14+I13/10000</f>
        <v>5.284576421599986E-2</v>
      </c>
      <c r="K13" s="32">
        <f>TraderMids!O14+L13/10000</f>
        <v>5.2445764215999863E-2</v>
      </c>
      <c r="L13" s="54">
        <f>-Spreads!C12</f>
        <v>-2</v>
      </c>
      <c r="N13" s="337" t="str">
        <f>TraderMids!M45</f>
        <v>AUD-BasisSwap-3Y-6M</v>
      </c>
      <c r="O13" s="53">
        <f>Spreads!$L$7</f>
        <v>0</v>
      </c>
      <c r="P13" s="10">
        <f>TraderMids!N45+O13/10000</f>
        <v>7.7499999999999997E-4</v>
      </c>
      <c r="Q13" s="32">
        <f>TraderMids!N45+R13/10000</f>
        <v>4.75E-4</v>
      </c>
      <c r="R13" s="54">
        <f>Spreads!$K$7</f>
        <v>-3</v>
      </c>
      <c r="S13" s="31">
        <v>0</v>
      </c>
      <c r="T13" s="334" t="s">
        <v>115</v>
      </c>
      <c r="U13" s="334" t="s">
        <v>339</v>
      </c>
      <c r="V13" s="334" t="s">
        <v>177</v>
      </c>
      <c r="W13" s="334" t="s">
        <v>338</v>
      </c>
      <c r="X13" s="334" t="s">
        <v>340</v>
      </c>
      <c r="Y13" s="334" t="s">
        <v>341</v>
      </c>
      <c r="Z13" s="334" t="s">
        <v>342</v>
      </c>
      <c r="AD13" s="340" t="s">
        <v>34</v>
      </c>
      <c r="AE13" s="341" t="s">
        <v>246</v>
      </c>
      <c r="AG13" s="340" t="s">
        <v>34</v>
      </c>
      <c r="AH13" s="341" t="s">
        <v>246</v>
      </c>
    </row>
    <row r="14" spans="2:34" ht="13.5" thickBot="1">
      <c r="B14" s="337" t="str">
        <f>TraderMids!Q46</f>
        <v>AUD-BasisSwap-4Y-1M</v>
      </c>
      <c r="C14" s="53">
        <f>Spreads!$K$6</f>
        <v>0</v>
      </c>
      <c r="D14" s="10">
        <f>TraderMids!R46+C14/10000</f>
        <v>1.1999999999999999E-3</v>
      </c>
      <c r="E14" s="10">
        <f>TraderMids!R46+F14/10000</f>
        <v>1.4999999999999998E-3</v>
      </c>
      <c r="F14" s="55">
        <f>Spreads!$L$6</f>
        <v>3</v>
      </c>
      <c r="H14" s="337" t="str">
        <f>TraderMids!M15</f>
        <v>AUD-IRFuture-IR-5</v>
      </c>
      <c r="I14" s="53">
        <f>Spreads!C13</f>
        <v>2</v>
      </c>
      <c r="J14" s="10">
        <f>TraderMids!O15+I14/10000</f>
        <v>5.3336116282999974E-2</v>
      </c>
      <c r="K14" s="32">
        <f>TraderMids!O15+L14/10000</f>
        <v>5.2936116282999976E-2</v>
      </c>
      <c r="L14" s="54">
        <f>-Spreads!C13</f>
        <v>-2</v>
      </c>
      <c r="N14" s="337" t="str">
        <f>TraderMids!M46</f>
        <v>AUD-BasisSwap-4Y-6M</v>
      </c>
      <c r="O14" s="53">
        <f>Spreads!$K$7</f>
        <v>-3</v>
      </c>
      <c r="P14" s="10">
        <f>TraderMids!N46+O14/10000</f>
        <v>4.75E-4</v>
      </c>
      <c r="Q14" s="32">
        <f>TraderMids!N46+R14/10000</f>
        <v>7.7499999999999997E-4</v>
      </c>
      <c r="R14" s="54">
        <f>Spreads!$L$7</f>
        <v>0</v>
      </c>
      <c r="S14" s="31">
        <v>0</v>
      </c>
      <c r="T14" s="338" t="s">
        <v>343</v>
      </c>
      <c r="U14" s="339">
        <f>U15+P14</f>
        <v>5.5633333333333257E-2</v>
      </c>
      <c r="V14" s="339">
        <f>TraderMids!D28</f>
        <v>5.5283333333333254E-2</v>
      </c>
      <c r="W14" s="339">
        <f>W15+Q14</f>
        <v>5.4933333333333251E-2</v>
      </c>
      <c r="X14" s="339">
        <f t="shared" ref="X14:Y16" si="1">U14-V14</f>
        <v>3.5000000000000309E-4</v>
      </c>
      <c r="Y14" s="339">
        <f t="shared" si="1"/>
        <v>3.5000000000000309E-4</v>
      </c>
      <c r="Z14" s="339">
        <f>X14+Y14</f>
        <v>7.0000000000000617E-4</v>
      </c>
      <c r="AD14" s="335" t="s">
        <v>221</v>
      </c>
      <c r="AE14" s="336" t="str">
        <f>_xll.HLV5r3.Financial.Cache.CreateRateBasisCurve(AD15:AE23, N6:N26, P6:P26)</f>
        <v>Market.Corporate.OFFER.RateCurve.AUD-LIBOR-BBA-6M</v>
      </c>
      <c r="AG14" s="335" t="s">
        <v>221</v>
      </c>
      <c r="AH14" s="336" t="str">
        <f>_xll.HLV5r3.Financial.Cache.CreateRateBasisCurve(AG15:AH23, N6:N26, Q6:Q26)</f>
        <v>Market.Corporate.BID.RateCurve.AUD-LIBOR-BBA-6M</v>
      </c>
    </row>
    <row r="15" spans="2:34">
      <c r="B15" s="337" t="str">
        <f>TraderMids!Q47</f>
        <v>AUD-BasisSwap-5Y-1M</v>
      </c>
      <c r="C15" s="53">
        <f>Spreads!$K$6</f>
        <v>0</v>
      </c>
      <c r="D15" s="10">
        <f>TraderMids!R47+C15/10000</f>
        <v>1.1749999999999998E-3</v>
      </c>
      <c r="E15" s="10">
        <f>TraderMids!R47+F15/10000</f>
        <v>1.4749999999999997E-3</v>
      </c>
      <c r="F15" s="55">
        <f>Spreads!$L$6</f>
        <v>3</v>
      </c>
      <c r="H15" s="337" t="str">
        <f>TraderMids!M16</f>
        <v>AUD-IRFuture-IR-6</v>
      </c>
      <c r="I15" s="53">
        <f>Spreads!C14</f>
        <v>2</v>
      </c>
      <c r="J15" s="10">
        <f>TraderMids!O16+I15/10000</f>
        <v>5.3770860767000134E-2</v>
      </c>
      <c r="K15" s="32">
        <f>TraderMids!O16+L15/10000</f>
        <v>5.3370860767000136E-2</v>
      </c>
      <c r="L15" s="54">
        <f>-Spreads!C14</f>
        <v>-2</v>
      </c>
      <c r="N15" s="337" t="str">
        <f>TraderMids!M47</f>
        <v>AUD-BasisSwap-5Y-6M</v>
      </c>
      <c r="O15" s="53">
        <f>Spreads!$K$7</f>
        <v>-3</v>
      </c>
      <c r="P15" s="10">
        <f>TraderMids!N47+O15/10000</f>
        <v>4.2499999999999998E-4</v>
      </c>
      <c r="Q15" s="32">
        <f>TraderMids!N47+R15/10000</f>
        <v>7.2499999999999995E-4</v>
      </c>
      <c r="R15" s="54">
        <f>Spreads!$L$7</f>
        <v>0</v>
      </c>
      <c r="S15" s="31">
        <v>0</v>
      </c>
      <c r="T15" s="338" t="s">
        <v>344</v>
      </c>
      <c r="U15" s="339">
        <f>J19</f>
        <v>5.5158333333333254E-2</v>
      </c>
      <c r="V15" s="339">
        <f>TraderMids!O20</f>
        <v>5.4508333333333256E-2</v>
      </c>
      <c r="W15" s="339">
        <f>K19</f>
        <v>5.4158333333333253E-2</v>
      </c>
      <c r="X15" s="339">
        <f t="shared" si="1"/>
        <v>6.499999999999978E-4</v>
      </c>
      <c r="Y15" s="339">
        <f t="shared" si="1"/>
        <v>3.5000000000000309E-4</v>
      </c>
      <c r="Z15" s="339">
        <f>X15+Y15</f>
        <v>1.0000000000000009E-3</v>
      </c>
      <c r="AD15" s="340" t="s">
        <v>21</v>
      </c>
      <c r="AE15" s="341" t="s">
        <v>269</v>
      </c>
      <c r="AG15" s="340" t="s">
        <v>21</v>
      </c>
      <c r="AH15" s="341" t="s">
        <v>269</v>
      </c>
    </row>
    <row r="16" spans="2:34">
      <c r="B16" s="337" t="str">
        <f>TraderMids!Q48</f>
        <v>AUD-BasisSwap-6Y-1M</v>
      </c>
      <c r="C16" s="53">
        <f>Spreads!$K$6</f>
        <v>0</v>
      </c>
      <c r="D16" s="10">
        <f>TraderMids!R48+C16/10000</f>
        <v>1.1249999999999999E-3</v>
      </c>
      <c r="E16" s="10">
        <f>TraderMids!R48+F16/10000</f>
        <v>1.4249999999999998E-3</v>
      </c>
      <c r="F16" s="55">
        <f>Spreads!$L$6</f>
        <v>3</v>
      </c>
      <c r="H16" s="337" t="str">
        <f>TraderMids!M17</f>
        <v>AUD-IRFuture-IR-7</v>
      </c>
      <c r="I16" s="53">
        <f>Spreads!C15</f>
        <v>2</v>
      </c>
      <c r="J16" s="10">
        <f>TraderMids!O17+I16/10000</f>
        <v>5.4150021843000051E-2</v>
      </c>
      <c r="K16" s="32">
        <f>TraderMids!O17+L16/10000</f>
        <v>5.3750021843000054E-2</v>
      </c>
      <c r="L16" s="54">
        <f>-Spreads!C15</f>
        <v>-2</v>
      </c>
      <c r="N16" s="337" t="str">
        <f>TraderMids!M48</f>
        <v>AUD-BasisSwap-6Y-6M</v>
      </c>
      <c r="O16" s="53">
        <f>Spreads!$K$7</f>
        <v>-3</v>
      </c>
      <c r="P16" s="10">
        <f>TraderMids!N48+O16/10000</f>
        <v>4.0000000000000002E-4</v>
      </c>
      <c r="Q16" s="32">
        <f>TraderMids!N48+R16/10000</f>
        <v>6.9999999999999999E-4</v>
      </c>
      <c r="R16" s="54">
        <f>Spreads!$L$7</f>
        <v>0</v>
      </c>
      <c r="S16" s="31">
        <v>0</v>
      </c>
      <c r="T16" s="338" t="s">
        <v>347</v>
      </c>
      <c r="U16" s="339">
        <f>U15-D14</f>
        <v>5.3958333333333254E-2</v>
      </c>
      <c r="V16" s="339">
        <f>V15-TraderMids!R46</f>
        <v>5.3308333333333256E-2</v>
      </c>
      <c r="W16" s="339">
        <f>W15-E14</f>
        <v>5.2658333333333252E-2</v>
      </c>
      <c r="X16" s="339">
        <f t="shared" si="1"/>
        <v>6.499999999999978E-4</v>
      </c>
      <c r="Y16" s="339">
        <f t="shared" si="1"/>
        <v>6.5000000000000474E-4</v>
      </c>
      <c r="Z16" s="339">
        <f>X16+Y16</f>
        <v>1.3000000000000025E-3</v>
      </c>
      <c r="AD16" s="131" t="s">
        <v>306</v>
      </c>
      <c r="AE16" s="360">
        <f>AE8</f>
        <v>41513</v>
      </c>
      <c r="AG16" s="131" t="s">
        <v>306</v>
      </c>
      <c r="AH16" s="360">
        <f>AE16</f>
        <v>41513</v>
      </c>
    </row>
    <row r="17" spans="2:34">
      <c r="B17" s="337" t="str">
        <f>TraderMids!Q49</f>
        <v>AUD-BasisSwap-7Y-1M</v>
      </c>
      <c r="C17" s="53">
        <f>Spreads!$K$6</f>
        <v>0</v>
      </c>
      <c r="D17" s="10">
        <f>TraderMids!R49+C17/10000</f>
        <v>1.075E-3</v>
      </c>
      <c r="E17" s="10">
        <f>TraderMids!R49+F17/10000</f>
        <v>1.3749999999999999E-3</v>
      </c>
      <c r="F17" s="55">
        <f>Spreads!$L$6</f>
        <v>3</v>
      </c>
      <c r="H17" s="337" t="str">
        <f>TraderMids!M18</f>
        <v>AUD-IRFuture-IR-8</v>
      </c>
      <c r="I17" s="53">
        <f>Spreads!C16</f>
        <v>2</v>
      </c>
      <c r="J17" s="10">
        <f>TraderMids!O18+I17/10000</f>
        <v>5.4421653546000072E-2</v>
      </c>
      <c r="K17" s="32">
        <f>TraderMids!O18+L17/10000</f>
        <v>5.4021653546000074E-2</v>
      </c>
      <c r="L17" s="54">
        <f>-Spreads!C16</f>
        <v>-2</v>
      </c>
      <c r="N17" s="337" t="str">
        <f>TraderMids!M49</f>
        <v>AUD-BasisSwap-7Y-6M</v>
      </c>
      <c r="O17" s="53">
        <f>Spreads!$K$7</f>
        <v>-3</v>
      </c>
      <c r="P17" s="10">
        <f>TraderMids!N49+O17/10000</f>
        <v>3.7500000000000006E-4</v>
      </c>
      <c r="Q17" s="32">
        <f>TraderMids!N49+R17/10000</f>
        <v>6.7500000000000004E-4</v>
      </c>
      <c r="R17" s="54">
        <f>Spreads!$L$7</f>
        <v>0</v>
      </c>
      <c r="S17" s="31">
        <v>0</v>
      </c>
      <c r="AD17" s="340" t="s">
        <v>25</v>
      </c>
      <c r="AE17" s="341" t="s">
        <v>345</v>
      </c>
      <c r="AG17" s="340" t="s">
        <v>25</v>
      </c>
      <c r="AH17" s="341" t="s">
        <v>346</v>
      </c>
    </row>
    <row r="18" spans="2:34">
      <c r="B18" s="337" t="str">
        <f>TraderMids!Q50</f>
        <v>AUD-BasisSwap-8Y-1M</v>
      </c>
      <c r="C18" s="53">
        <f>Spreads!$K$6</f>
        <v>0</v>
      </c>
      <c r="D18" s="10">
        <f>TraderMids!R50+C18/10000</f>
        <v>1.0333333333333334E-3</v>
      </c>
      <c r="E18" s="10">
        <f>TraderMids!R50+F18/10000</f>
        <v>1.3333333333333333E-3</v>
      </c>
      <c r="F18" s="55">
        <f>Spreads!$L$6</f>
        <v>3</v>
      </c>
      <c r="H18" s="337" t="str">
        <f>TraderMids!M19</f>
        <v>AUD-IRSwap-3Y</v>
      </c>
      <c r="I18" s="53">
        <f>Spreads!C17</f>
        <v>2</v>
      </c>
      <c r="J18" s="10">
        <f>TraderMids!O19+I18/10000</f>
        <v>5.3408333333333259E-2</v>
      </c>
      <c r="K18" s="32">
        <f>TraderMids!O19+L18/10000</f>
        <v>5.3008333333333262E-2</v>
      </c>
      <c r="L18" s="54">
        <f>-Spreads!C17</f>
        <v>-2</v>
      </c>
      <c r="N18" s="337" t="str">
        <f>TraderMids!M50</f>
        <v>AUD-BasisSwap-8Y-6M</v>
      </c>
      <c r="O18" s="53">
        <f>Spreads!$K$7</f>
        <v>-3</v>
      </c>
      <c r="P18" s="10">
        <f>TraderMids!N50+O18/10000</f>
        <v>3.6666666666666667E-4</v>
      </c>
      <c r="Q18" s="32">
        <f>TraderMids!N50+R18/10000</f>
        <v>6.6666666666666664E-4</v>
      </c>
      <c r="R18" s="54">
        <f>Spreads!$L$7</f>
        <v>0</v>
      </c>
      <c r="S18" s="31">
        <v>0</v>
      </c>
      <c r="AD18" s="340" t="s">
        <v>270</v>
      </c>
      <c r="AE18" s="341" t="str">
        <f>AE6</f>
        <v>Market.Corporate.OFFER.RateCurve.AUD-LIBOR-BBA-3M</v>
      </c>
      <c r="AG18" s="340" t="s">
        <v>270</v>
      </c>
      <c r="AH18" s="341" t="str">
        <f>AH6</f>
        <v>Market.Corporate.BID.RateCurve.AUD-LIBOR-BBA-3M</v>
      </c>
    </row>
    <row r="19" spans="2:34">
      <c r="B19" s="337" t="str">
        <f>TraderMids!Q51</f>
        <v>AUD-BasisSwap-9Y-1M</v>
      </c>
      <c r="C19" s="53">
        <f>Spreads!$K$6</f>
        <v>0</v>
      </c>
      <c r="D19" s="10">
        <f>TraderMids!R51+C19/10000</f>
        <v>9.9166666666666674E-4</v>
      </c>
      <c r="E19" s="10">
        <f>TraderMids!R51+F19/10000</f>
        <v>1.2916666666666667E-3</v>
      </c>
      <c r="F19" s="55">
        <f>Spreads!$L$6</f>
        <v>3</v>
      </c>
      <c r="H19" s="337" t="str">
        <f>TraderMids!M20</f>
        <v>AUD-IRSwap-4Y</v>
      </c>
      <c r="I19" s="53">
        <f>Spreads!C18-Spreads!$K$7</f>
        <v>6.5</v>
      </c>
      <c r="J19" s="10">
        <f>TraderMids!O20+I19/10000</f>
        <v>5.5158333333333254E-2</v>
      </c>
      <c r="K19" s="32">
        <f>TraderMids!O20+L19/10000</f>
        <v>5.4158333333333253E-2</v>
      </c>
      <c r="L19" s="54">
        <f>-Spreads!C18-Spreads!$L$7</f>
        <v>-3.5</v>
      </c>
      <c r="N19" s="337" t="str">
        <f>TraderMids!M51</f>
        <v>AUD-BasisSwap-9Y-6M</v>
      </c>
      <c r="O19" s="53">
        <f>Spreads!$K$7</f>
        <v>-3</v>
      </c>
      <c r="P19" s="10">
        <f>TraderMids!N51+O19/10000</f>
        <v>3.5833333333333339E-4</v>
      </c>
      <c r="Q19" s="32">
        <f>TraderMids!N51+R19/10000</f>
        <v>6.5833333333333336E-4</v>
      </c>
      <c r="R19" s="54">
        <f>Spreads!$L$7</f>
        <v>0</v>
      </c>
      <c r="S19" s="31">
        <v>0</v>
      </c>
      <c r="AD19" s="340" t="s">
        <v>38</v>
      </c>
      <c r="AE19" s="341" t="s">
        <v>39</v>
      </c>
      <c r="AG19" s="340" t="s">
        <v>38</v>
      </c>
      <c r="AH19" s="341" t="s">
        <v>39</v>
      </c>
    </row>
    <row r="20" spans="2:34">
      <c r="B20" s="337" t="str">
        <f>TraderMids!Q52</f>
        <v>AUD-BasisSwap-10Y-1M</v>
      </c>
      <c r="C20" s="53">
        <f>Spreads!$K$6</f>
        <v>0</v>
      </c>
      <c r="D20" s="10">
        <f>TraderMids!R52+C20/10000</f>
        <v>9.5E-4</v>
      </c>
      <c r="E20" s="10">
        <f>TraderMids!R52+F20/10000</f>
        <v>1.25E-3</v>
      </c>
      <c r="F20" s="55">
        <f>Spreads!$L$6</f>
        <v>3</v>
      </c>
      <c r="H20" s="337" t="str">
        <f>TraderMids!M21</f>
        <v>AUD-IRSwap-5Y</v>
      </c>
      <c r="I20" s="53">
        <f>Spreads!C19-Spreads!$K$7</f>
        <v>6.5</v>
      </c>
      <c r="J20" s="10">
        <f>TraderMids!O21+I20/10000</f>
        <v>5.6291666666666587E-2</v>
      </c>
      <c r="K20" s="32">
        <f>TraderMids!O21+L20/10000</f>
        <v>5.5291666666666586E-2</v>
      </c>
      <c r="L20" s="54">
        <f>-Spreads!C19-Spreads!$L$7</f>
        <v>-3.5</v>
      </c>
      <c r="N20" s="337" t="str">
        <f>TraderMids!M52</f>
        <v>AUD-BasisSwap-10Y-6M</v>
      </c>
      <c r="O20" s="53">
        <f>Spreads!$K$7</f>
        <v>-3</v>
      </c>
      <c r="P20" s="10">
        <f>TraderMids!N52+O20/10000</f>
        <v>3.5E-4</v>
      </c>
      <c r="Q20" s="32">
        <f>TraderMids!N52+R20/10000</f>
        <v>6.4999999999999997E-4</v>
      </c>
      <c r="R20" s="54">
        <f>Spreads!$L$7</f>
        <v>0</v>
      </c>
      <c r="S20" s="31">
        <v>0</v>
      </c>
      <c r="AD20" s="340" t="s">
        <v>28</v>
      </c>
      <c r="AE20" s="341" t="s">
        <v>13</v>
      </c>
      <c r="AG20" s="340" t="s">
        <v>28</v>
      </c>
      <c r="AH20" s="341" t="s">
        <v>13</v>
      </c>
    </row>
    <row r="21" spans="2:34">
      <c r="B21" s="337" t="str">
        <f>TraderMids!Q53</f>
        <v>AUD-BasisSwap-12Y-1M</v>
      </c>
      <c r="C21" s="53">
        <f>Spreads!$K$6</f>
        <v>0</v>
      </c>
      <c r="D21" s="10">
        <f>TraderMids!R53+C21/10000</f>
        <v>8.3567447182005114E-4</v>
      </c>
      <c r="E21" s="10">
        <f>TraderMids!R53+F21/10000</f>
        <v>1.1356744718200511E-3</v>
      </c>
      <c r="F21" s="55">
        <f>Spreads!$L$6</f>
        <v>3</v>
      </c>
      <c r="H21" s="337" t="str">
        <f>TraderMids!M22</f>
        <v>AUD-IRSwap-6Y</v>
      </c>
      <c r="I21" s="53">
        <f>Spreads!C20-Spreads!$K$7</f>
        <v>6.5</v>
      </c>
      <c r="J21" s="10">
        <f>TraderMids!O22+I21/10000</f>
        <v>5.7250000000000092E-2</v>
      </c>
      <c r="K21" s="32">
        <f>TraderMids!O22+L21/10000</f>
        <v>5.6250000000000092E-2</v>
      </c>
      <c r="L21" s="54">
        <f>-Spreads!C20-Spreads!$L$7</f>
        <v>-3.5</v>
      </c>
      <c r="N21" s="337" t="str">
        <f>TraderMids!M53</f>
        <v>AUD-BasisSwap-12Y-6M</v>
      </c>
      <c r="O21" s="53">
        <f>Spreads!$K$7</f>
        <v>-3</v>
      </c>
      <c r="P21" s="10">
        <f>TraderMids!N53+O21/10000</f>
        <v>3.0000000000000008E-4</v>
      </c>
      <c r="Q21" s="32">
        <f>TraderMids!N53+R21/10000</f>
        <v>6.0000000000000006E-4</v>
      </c>
      <c r="R21" s="54">
        <f>Spreads!$L$7</f>
        <v>0</v>
      </c>
      <c r="S21" s="31">
        <v>0</v>
      </c>
      <c r="AD21" s="340" t="s">
        <v>41</v>
      </c>
      <c r="AE21" s="341" t="str">
        <f>AE19&amp;"-"&amp;AE20</f>
        <v>AUD-LIBOR-BBA-6M</v>
      </c>
      <c r="AG21" s="340" t="s">
        <v>41</v>
      </c>
      <c r="AH21" s="341" t="str">
        <f>AH19&amp;"-"&amp;AH20</f>
        <v>AUD-LIBOR-BBA-6M</v>
      </c>
    </row>
    <row r="22" spans="2:34">
      <c r="B22" s="337" t="str">
        <f>TraderMids!Q54</f>
        <v>AUD-BasisSwap-15Y-1M</v>
      </c>
      <c r="C22" s="53">
        <f>Spreads!$K$6</f>
        <v>0</v>
      </c>
      <c r="D22" s="10">
        <f>TraderMids!R54+C22/10000</f>
        <v>7.2363255302059643E-4</v>
      </c>
      <c r="E22" s="10">
        <f>TraderMids!R54+F22/10000</f>
        <v>1.0236325530205963E-3</v>
      </c>
      <c r="F22" s="55">
        <f>Spreads!$L$6</f>
        <v>3</v>
      </c>
      <c r="H22" s="337" t="str">
        <f>TraderMids!M23</f>
        <v>AUD-IRSwap-7Y</v>
      </c>
      <c r="I22" s="53">
        <f>Spreads!C21-Spreads!$K$7</f>
        <v>6.5</v>
      </c>
      <c r="J22" s="10">
        <f>TraderMids!O23+I22/10000</f>
        <v>5.7941666666666752E-2</v>
      </c>
      <c r="K22" s="32">
        <f>TraderMids!O23+L22/10000</f>
        <v>5.6941666666666751E-2</v>
      </c>
      <c r="L22" s="54">
        <f>-Spreads!C21-Spreads!$L$7</f>
        <v>-3.5</v>
      </c>
      <c r="N22" s="337" t="str">
        <f>TraderMids!M54</f>
        <v>AUD-BasisSwap-15Y-6M</v>
      </c>
      <c r="O22" s="53">
        <f>Spreads!$K$7</f>
        <v>-3</v>
      </c>
      <c r="P22" s="10">
        <f>TraderMids!N54+O22/10000</f>
        <v>2.2499999999999999E-4</v>
      </c>
      <c r="Q22" s="32">
        <f>TraderMids!N54+R22/10000</f>
        <v>5.2499999999999997E-4</v>
      </c>
      <c r="R22" s="54">
        <f>Spreads!$L$7</f>
        <v>0</v>
      </c>
      <c r="S22" s="31">
        <v>0</v>
      </c>
      <c r="AD22" s="340" t="s">
        <v>34</v>
      </c>
      <c r="AE22" s="341" t="s">
        <v>246</v>
      </c>
      <c r="AG22" s="340" t="s">
        <v>34</v>
      </c>
      <c r="AH22" s="341" t="s">
        <v>246</v>
      </c>
    </row>
    <row r="23" spans="2:34">
      <c r="B23" s="337" t="str">
        <f>TraderMids!Q55</f>
        <v>AUD-BasisSwap-20Y-1M</v>
      </c>
      <c r="C23" s="53">
        <f>Spreads!$K$6</f>
        <v>0</v>
      </c>
      <c r="D23" s="10">
        <f>TraderMids!R55+C23/10000</f>
        <v>6.1389101905463014E-4</v>
      </c>
      <c r="E23" s="10">
        <f>TraderMids!R55+F23/10000</f>
        <v>9.1389101905463006E-4</v>
      </c>
      <c r="F23" s="55">
        <f>Spreads!$L$6</f>
        <v>3</v>
      </c>
      <c r="H23" s="337" t="str">
        <f>TraderMids!M24</f>
        <v>AUD-IRSwap-8Y</v>
      </c>
      <c r="I23" s="53">
        <f>Spreads!C22-Spreads!$K$7</f>
        <v>6.5</v>
      </c>
      <c r="J23" s="10">
        <f>TraderMids!O24+I23/10000</f>
        <v>5.8408333333333416E-2</v>
      </c>
      <c r="K23" s="32">
        <f>TraderMids!O24+L23/10000</f>
        <v>5.7408333333333415E-2</v>
      </c>
      <c r="L23" s="54">
        <f>-Spreads!C22-Spreads!$L$7</f>
        <v>-3.5</v>
      </c>
      <c r="N23" s="337" t="str">
        <f>TraderMids!M55</f>
        <v>AUD-BasisSwap-20Y-6M</v>
      </c>
      <c r="O23" s="53">
        <f>Spreads!$K$7</f>
        <v>-3</v>
      </c>
      <c r="P23" s="10">
        <f>TraderMids!N55+O23/10000</f>
        <v>1.5000000000000001E-4</v>
      </c>
      <c r="Q23" s="32">
        <f>TraderMids!N55+R23/10000</f>
        <v>4.4999999999999999E-4</v>
      </c>
      <c r="R23" s="54">
        <f>Spreads!$L$7</f>
        <v>0</v>
      </c>
      <c r="S23" s="31">
        <v>0</v>
      </c>
      <c r="AD23" s="340" t="s">
        <v>30</v>
      </c>
      <c r="AE23" s="341" t="str">
        <f>MID(AE19,1,3)</f>
        <v>AUD</v>
      </c>
      <c r="AG23" s="340" t="s">
        <v>30</v>
      </c>
      <c r="AH23" s="341" t="str">
        <f>MID(AH19,1,3)</f>
        <v>AUD</v>
      </c>
    </row>
    <row r="24" spans="2:34">
      <c r="B24" s="337" t="str">
        <f>TraderMids!Q56</f>
        <v>AUD-BasisSwap-25Y-1M</v>
      </c>
      <c r="C24" s="53">
        <f>Spreads!$K$6</f>
        <v>0</v>
      </c>
      <c r="D24" s="10">
        <f>TraderMids!R56+C24/10000</f>
        <v>5.4884374947530379E-4</v>
      </c>
      <c r="E24" s="10">
        <f>TraderMids!R56+F24/10000</f>
        <v>8.4884374947530382E-4</v>
      </c>
      <c r="F24" s="55">
        <f>Spreads!$L$6</f>
        <v>3</v>
      </c>
      <c r="H24" s="337" t="str">
        <f>TraderMids!M25</f>
        <v>AUD-IRSwap-9Y</v>
      </c>
      <c r="I24" s="53">
        <f>Spreads!C23-Spreads!$K$7</f>
        <v>6.5</v>
      </c>
      <c r="J24" s="10">
        <f>TraderMids!O25+I24/10000</f>
        <v>5.8740833333333423E-2</v>
      </c>
      <c r="K24" s="32">
        <f>TraderMids!O25+L24/10000</f>
        <v>5.7740833333333422E-2</v>
      </c>
      <c r="L24" s="54">
        <f>-Spreads!C23-Spreads!$L$7</f>
        <v>-3.5</v>
      </c>
      <c r="N24" s="337" t="str">
        <f>TraderMids!M56</f>
        <v>AUD-BasisSwap-25Y-6M</v>
      </c>
      <c r="O24" s="53">
        <f>Spreads!$K$7</f>
        <v>-3</v>
      </c>
      <c r="P24" s="10">
        <f>TraderMids!N56+O24/10000</f>
        <v>1.0000000000000005E-4</v>
      </c>
      <c r="Q24" s="32">
        <f>TraderMids!N56+R24/10000</f>
        <v>4.0000000000000002E-4</v>
      </c>
      <c r="R24" s="54">
        <f>Spreads!$L$7</f>
        <v>0</v>
      </c>
      <c r="S24" s="31">
        <v>0</v>
      </c>
    </row>
    <row r="25" spans="2:34" ht="13.5" thickBot="1">
      <c r="B25" s="337" t="str">
        <f>TraderMids!Q57</f>
        <v>AUD-BasisSwap-30Y-1M</v>
      </c>
      <c r="C25" s="53">
        <f>Spreads!$K$6</f>
        <v>0</v>
      </c>
      <c r="D25" s="10">
        <f>TraderMids!R57+C25/10000</f>
        <v>5.0556288479475578E-4</v>
      </c>
      <c r="E25" s="10">
        <f>TraderMids!R57+F25/10000</f>
        <v>8.0556288479475581E-4</v>
      </c>
      <c r="F25" s="55">
        <f>Spreads!$L$6</f>
        <v>3</v>
      </c>
      <c r="H25" s="337" t="str">
        <f>TraderMids!M26</f>
        <v>AUD-IRSwap-10Y</v>
      </c>
      <c r="I25" s="53">
        <f>Spreads!C24-Spreads!$K$7</f>
        <v>7</v>
      </c>
      <c r="J25" s="10">
        <f>TraderMids!O26+I25/10000</f>
        <v>5.910000000000009E-2</v>
      </c>
      <c r="K25" s="32">
        <f>TraderMids!O26+L25/10000</f>
        <v>5.8000000000000093E-2</v>
      </c>
      <c r="L25" s="54">
        <f>-Spreads!C24-Spreads!$L$7</f>
        <v>-4</v>
      </c>
      <c r="N25" s="337" t="str">
        <f>TraderMids!M57</f>
        <v>AUD-BasisSwap-30Y-6M</v>
      </c>
      <c r="O25" s="53">
        <f>Spreads!$K$7</f>
        <v>-3</v>
      </c>
      <c r="P25" s="10">
        <f>TraderMids!N57+O25/10000</f>
        <v>7.5000000000000034E-5</v>
      </c>
      <c r="Q25" s="32">
        <f>TraderMids!N57+R25/10000</f>
        <v>3.7500000000000001E-4</v>
      </c>
      <c r="R25" s="54">
        <f>Spreads!$L$7</f>
        <v>0</v>
      </c>
      <c r="S25" s="31">
        <v>0</v>
      </c>
    </row>
    <row r="26" spans="2:34" ht="13.5" thickBot="1">
      <c r="B26" s="337" t="str">
        <f>TraderMids!Q58</f>
        <v>AUD-BasisSwap-40Y-1M</v>
      </c>
      <c r="C26" s="53">
        <f>Spreads!$K$6</f>
        <v>0</v>
      </c>
      <c r="D26" s="10">
        <f>TraderMids!R58+C26/10000</f>
        <v>4.5178570601226911E-4</v>
      </c>
      <c r="E26" s="36">
        <f>TraderMids!R58+F26/10000</f>
        <v>7.5178570601226909E-4</v>
      </c>
      <c r="F26" s="55">
        <f>Spreads!$L$6</f>
        <v>3</v>
      </c>
      <c r="H26" s="337" t="str">
        <f>TraderMids!M27</f>
        <v>AUD-IRSwap-12Y</v>
      </c>
      <c r="I26" s="53">
        <f>Spreads!C25-Spreads!$K$7</f>
        <v>8</v>
      </c>
      <c r="J26" s="10">
        <f>TraderMids!O27+I26/10000</f>
        <v>5.976666666666676E-2</v>
      </c>
      <c r="K26" s="32">
        <f>TraderMids!O27+L26/10000</f>
        <v>5.8466666666666757E-2</v>
      </c>
      <c r="L26" s="54">
        <f>-Spreads!C25-Spreads!$L$7</f>
        <v>-5</v>
      </c>
      <c r="N26" s="337" t="str">
        <f>TraderMids!M58</f>
        <v>AUD-BasisSwap-40Y-6M</v>
      </c>
      <c r="O26" s="53">
        <f>Spreads!$K$7</f>
        <v>-3</v>
      </c>
      <c r="P26" s="10">
        <f>TraderMids!N58+O26/10000</f>
        <v>8.9906684855271942E-6</v>
      </c>
      <c r="Q26" s="32">
        <f>TraderMids!N58+R26/10000</f>
        <v>3.0899066848552717E-4</v>
      </c>
      <c r="R26" s="54">
        <f>Spreads!$L$7</f>
        <v>0</v>
      </c>
      <c r="S26" s="31">
        <v>0</v>
      </c>
      <c r="AD26" s="335" t="s">
        <v>221</v>
      </c>
      <c r="AE26" s="336" t="str">
        <f>_xll.HLV5r3.Financial.Cache.CreateRateBasisCurve(AD27:AE35, B6:B26, D6:D26)</f>
        <v>Market.Corporate.OFFER.RateCurve.AUD-LIBOR-BBA-1M</v>
      </c>
      <c r="AG26" s="335" t="s">
        <v>221</v>
      </c>
      <c r="AH26" s="336" t="str">
        <f>_xll.HLV5r3.Financial.Cache.CreateRateBasisCurve(AG27:AH35, B6:B26, E6:E26)</f>
        <v>Market.Corporate.BID.RateCurve.AUD-LIBOR-BBA-1M</v>
      </c>
    </row>
    <row r="27" spans="2:34">
      <c r="B27" s="13"/>
      <c r="C27" s="13"/>
      <c r="D27" s="23"/>
      <c r="E27" s="37"/>
      <c r="F27" s="315"/>
      <c r="H27" s="337" t="str">
        <f>TraderMids!M28</f>
        <v>AUD-IRSwap-15Y</v>
      </c>
      <c r="I27" s="53">
        <f>Spreads!C26-Spreads!$K$7</f>
        <v>8</v>
      </c>
      <c r="J27" s="10">
        <f>TraderMids!O28+I27/10000</f>
        <v>6.0132500000000096E-2</v>
      </c>
      <c r="K27" s="32">
        <f>TraderMids!O28+L27/10000</f>
        <v>5.8832500000000093E-2</v>
      </c>
      <c r="L27" s="54">
        <f>-Spreads!C26-Spreads!$L$7</f>
        <v>-5</v>
      </c>
      <c r="N27" s="13"/>
      <c r="O27" s="13"/>
      <c r="P27" s="10"/>
      <c r="Q27" s="32"/>
      <c r="R27" s="14"/>
      <c r="S27" s="31">
        <v>0</v>
      </c>
      <c r="AD27" s="340" t="s">
        <v>21</v>
      </c>
      <c r="AE27" s="341" t="s">
        <v>269</v>
      </c>
      <c r="AG27" s="340" t="s">
        <v>21</v>
      </c>
      <c r="AH27" s="341" t="s">
        <v>269</v>
      </c>
    </row>
    <row r="28" spans="2:34">
      <c r="B28" s="13"/>
      <c r="C28" s="13"/>
      <c r="D28" s="23"/>
      <c r="E28" s="37"/>
      <c r="F28" s="315"/>
      <c r="H28" s="337" t="str">
        <f>TraderMids!M29</f>
        <v>AUD-IRSwap-20Y</v>
      </c>
      <c r="I28" s="53">
        <f>Spreads!C27-Spreads!$K$7</f>
        <v>8</v>
      </c>
      <c r="J28" s="10">
        <f>TraderMids!O29+I28/10000</f>
        <v>5.926583333333342E-2</v>
      </c>
      <c r="K28" s="32">
        <f>TraderMids!O29+L28/10000</f>
        <v>5.7965833333333418E-2</v>
      </c>
      <c r="L28" s="54">
        <f>-Spreads!C27-Spreads!$L$7</f>
        <v>-5</v>
      </c>
      <c r="N28" s="13"/>
      <c r="O28" s="13"/>
      <c r="P28" s="10"/>
      <c r="Q28" s="32"/>
      <c r="R28" s="14"/>
      <c r="S28" s="31">
        <v>0</v>
      </c>
      <c r="AD28" s="131" t="s">
        <v>306</v>
      </c>
      <c r="AE28" s="360">
        <f>AE16</f>
        <v>41513</v>
      </c>
      <c r="AG28" s="131" t="s">
        <v>306</v>
      </c>
      <c r="AH28" s="360">
        <f>AE28</f>
        <v>41513</v>
      </c>
    </row>
    <row r="29" spans="2:34">
      <c r="B29" s="13"/>
      <c r="C29" s="13"/>
      <c r="D29" s="23"/>
      <c r="E29" s="37"/>
      <c r="F29" s="315"/>
      <c r="H29" s="337" t="str">
        <f>TraderMids!M30</f>
        <v>AUD-IRSwap-25Y</v>
      </c>
      <c r="I29" s="53">
        <f>Spreads!C28-Spreads!$K$7</f>
        <v>8</v>
      </c>
      <c r="J29" s="10">
        <f>TraderMids!O30+I29/10000</f>
        <v>5.7920000000000089E-2</v>
      </c>
      <c r="K29" s="32">
        <f>TraderMids!O30+L29/10000</f>
        <v>5.6620000000000087E-2</v>
      </c>
      <c r="L29" s="54">
        <f>-Spreads!C28-Spreads!$L$7</f>
        <v>-5</v>
      </c>
      <c r="N29" s="13"/>
      <c r="O29" s="13"/>
      <c r="P29" s="10"/>
      <c r="Q29" s="32"/>
      <c r="R29" s="14"/>
      <c r="S29" s="31">
        <v>0</v>
      </c>
      <c r="AD29" s="340" t="s">
        <v>25</v>
      </c>
      <c r="AE29" s="341" t="s">
        <v>345</v>
      </c>
      <c r="AG29" s="340" t="s">
        <v>25</v>
      </c>
      <c r="AH29" s="341" t="s">
        <v>346</v>
      </c>
    </row>
    <row r="30" spans="2:34">
      <c r="B30" s="13"/>
      <c r="C30" s="13"/>
      <c r="D30" s="23"/>
      <c r="E30" s="37"/>
      <c r="F30" s="315"/>
      <c r="H30" s="337" t="str">
        <f>TraderMids!M31</f>
        <v>AUD-IRSwap-30Y</v>
      </c>
      <c r="I30" s="53">
        <f>Spreads!C29-Spreads!$K$7</f>
        <v>8</v>
      </c>
      <c r="J30" s="10">
        <f>TraderMids!O31+I30/10000</f>
        <v>5.6541666666666761E-2</v>
      </c>
      <c r="K30" s="32">
        <f>TraderMids!O31+L30/10000</f>
        <v>5.5241666666666758E-2</v>
      </c>
      <c r="L30" s="54">
        <f>-Spreads!C29-Spreads!$L$7</f>
        <v>-5</v>
      </c>
      <c r="N30" s="13"/>
      <c r="O30" s="13"/>
      <c r="P30" s="10"/>
      <c r="Q30" s="32"/>
      <c r="R30" s="14"/>
      <c r="S30" s="31">
        <v>0</v>
      </c>
      <c r="AD30" s="340" t="s">
        <v>270</v>
      </c>
      <c r="AE30" s="341" t="str">
        <f>AE6</f>
        <v>Market.Corporate.OFFER.RateCurve.AUD-LIBOR-BBA-3M</v>
      </c>
      <c r="AG30" s="340" t="s">
        <v>270</v>
      </c>
      <c r="AH30" s="341" t="str">
        <f>AH6</f>
        <v>Market.Corporate.BID.RateCurve.AUD-LIBOR-BBA-3M</v>
      </c>
    </row>
    <row r="31" spans="2:34">
      <c r="B31" s="13"/>
      <c r="C31" s="13"/>
      <c r="D31" s="23"/>
      <c r="E31" s="37"/>
      <c r="F31" s="315"/>
      <c r="H31" s="337" t="str">
        <f>TraderMids!M32</f>
        <v>AUD-IRSwap-40Y</v>
      </c>
      <c r="I31" s="53">
        <f>Spreads!C30-Spreads!$K$7</f>
        <v>3</v>
      </c>
      <c r="J31" s="10">
        <f>TraderMids!O32+I31/10000</f>
        <v>5.4112249315795558E-2</v>
      </c>
      <c r="K31" s="32">
        <f>TraderMids!O32+L31/10000</f>
        <v>5.3812249315795556E-2</v>
      </c>
      <c r="L31" s="54">
        <f>-Spreads!C30-Spreads!$L$7</f>
        <v>0</v>
      </c>
      <c r="N31" s="13"/>
      <c r="O31" s="13"/>
      <c r="P31" s="10"/>
      <c r="Q31" s="32"/>
      <c r="R31" s="14"/>
      <c r="S31" s="31">
        <v>0</v>
      </c>
      <c r="AD31" s="340" t="s">
        <v>38</v>
      </c>
      <c r="AE31" s="341" t="s">
        <v>39</v>
      </c>
      <c r="AG31" s="340" t="s">
        <v>38</v>
      </c>
      <c r="AH31" s="341" t="s">
        <v>39</v>
      </c>
    </row>
    <row r="32" spans="2:34">
      <c r="B32" s="13"/>
      <c r="C32" s="13"/>
      <c r="D32" s="23"/>
      <c r="E32" s="37"/>
      <c r="F32" s="315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40" t="s">
        <v>28</v>
      </c>
      <c r="AE32" s="341" t="s">
        <v>134</v>
      </c>
      <c r="AG32" s="340" t="s">
        <v>28</v>
      </c>
      <c r="AH32" s="341" t="s">
        <v>134</v>
      </c>
    </row>
    <row r="33" spans="2:34">
      <c r="B33" s="13"/>
      <c r="C33" s="13"/>
      <c r="D33" s="23"/>
      <c r="E33" s="37"/>
      <c r="F33" s="315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40" t="s">
        <v>41</v>
      </c>
      <c r="AE33" s="341" t="str">
        <f>AE31&amp;"-"&amp;AE32</f>
        <v>AUD-LIBOR-BBA-1M</v>
      </c>
      <c r="AG33" s="340" t="s">
        <v>41</v>
      </c>
      <c r="AH33" s="341" t="str">
        <f>AH31&amp;"-"&amp;AH32</f>
        <v>AUD-LIBOR-BBA-1M</v>
      </c>
    </row>
    <row r="34" spans="2:34">
      <c r="B34" s="13"/>
      <c r="C34" s="13"/>
      <c r="D34" s="23"/>
      <c r="E34" s="37"/>
      <c r="F34" s="315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40" t="s">
        <v>34</v>
      </c>
      <c r="AE34" s="341" t="s">
        <v>246</v>
      </c>
      <c r="AG34" s="340" t="s">
        <v>34</v>
      </c>
      <c r="AH34" s="341" t="s">
        <v>246</v>
      </c>
    </row>
    <row r="35" spans="2:34">
      <c r="B35" s="13"/>
      <c r="C35" s="13"/>
      <c r="D35" s="23"/>
      <c r="E35" s="37"/>
      <c r="F35" s="315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40" t="s">
        <v>30</v>
      </c>
      <c r="AE35" s="341" t="str">
        <f>MID(AE31,1,3)</f>
        <v>AUD</v>
      </c>
      <c r="AG35" s="340" t="s">
        <v>30</v>
      </c>
      <c r="AH35" s="341" t="str">
        <f>MID(AH31,1,3)</f>
        <v>AUD</v>
      </c>
    </row>
    <row r="36" spans="2:34">
      <c r="B36" s="13"/>
      <c r="C36" s="13"/>
      <c r="D36" s="23"/>
      <c r="E36" s="37"/>
      <c r="F36" s="315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15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339</v>
      </c>
      <c r="Y37" s="31" t="s">
        <v>177</v>
      </c>
      <c r="AA37" s="31" t="s">
        <v>338</v>
      </c>
      <c r="AB37" s="31" t="s">
        <v>348</v>
      </c>
    </row>
    <row r="38" spans="2:34">
      <c r="B38" s="13"/>
      <c r="C38" s="13"/>
      <c r="D38" s="23"/>
      <c r="E38" s="37"/>
      <c r="F38" s="315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42">
        <v>4.7791800513162563E-2</v>
      </c>
      <c r="X38" s="31">
        <f t="array" ref="X38:Y65">_xll.HLV5r3.Financial.Cache.GetDaysAndZeroRates(TraderMids!V6, TraderMids!$D$3, 4)</f>
        <v>0</v>
      </c>
      <c r="Y38" s="342">
        <v>4.7591031838797093E-2</v>
      </c>
      <c r="Z38" s="31">
        <f t="array" ref="Z38:AA65">_xll.HLV5r3.Financial.Cache.GetDaysAndZeroRates(AH6, TraderMids!$D$3, 4)</f>
        <v>0</v>
      </c>
      <c r="AA38" s="342">
        <v>4.7390266399819581E-2</v>
      </c>
      <c r="AB38" s="343">
        <f>W38-AA38</f>
        <v>4.0153411334298283E-4</v>
      </c>
    </row>
    <row r="39" spans="2:34">
      <c r="B39" s="13"/>
      <c r="C39" s="13"/>
      <c r="D39" s="23"/>
      <c r="E39" s="37"/>
      <c r="F39" s="315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42">
        <v>4.7791800513162563E-2</v>
      </c>
      <c r="X39" s="31">
        <v>1</v>
      </c>
      <c r="Y39" s="342">
        <v>4.7591031838797093E-2</v>
      </c>
      <c r="Z39" s="31">
        <v>1</v>
      </c>
      <c r="AA39" s="342">
        <v>4.7390266399819581E-2</v>
      </c>
      <c r="AB39" s="343">
        <f t="shared" ref="AB39:AB64" si="2">W39-AA39</f>
        <v>4.0153411334298283E-4</v>
      </c>
    </row>
    <row r="40" spans="2:34">
      <c r="B40" s="13"/>
      <c r="C40" s="13"/>
      <c r="D40" s="23"/>
      <c r="E40" s="37"/>
      <c r="F40" s="315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42">
        <v>4.8374077918454716E-2</v>
      </c>
      <c r="X40" s="31">
        <v>34</v>
      </c>
      <c r="Y40" s="342">
        <v>4.8174121512400525E-2</v>
      </c>
      <c r="Z40" s="31">
        <v>34</v>
      </c>
      <c r="AA40" s="342">
        <v>4.7974164928027641E-2</v>
      </c>
      <c r="AB40" s="343">
        <f t="shared" si="2"/>
        <v>3.9991299042707595E-4</v>
      </c>
    </row>
    <row r="41" spans="2:34">
      <c r="B41" s="13"/>
      <c r="C41" s="13"/>
      <c r="D41" s="23"/>
      <c r="E41" s="37"/>
      <c r="F41" s="315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42">
        <v>4.917590089179491E-2</v>
      </c>
      <c r="X41" s="31">
        <v>62</v>
      </c>
      <c r="Y41" s="342">
        <v>4.8976694712730584E-2</v>
      </c>
      <c r="Z41" s="31">
        <v>62</v>
      </c>
      <c r="AA41" s="342">
        <v>4.8777485328528769E-2</v>
      </c>
      <c r="AB41" s="343">
        <f t="shared" si="2"/>
        <v>3.9841556326614125E-4</v>
      </c>
    </row>
    <row r="42" spans="2:34">
      <c r="B42" s="13"/>
      <c r="C42" s="13"/>
      <c r="D42" s="23"/>
      <c r="E42" s="37"/>
      <c r="F42" s="315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42">
        <v>4.9867168915731952E-2</v>
      </c>
      <c r="X42" s="31">
        <v>93</v>
      </c>
      <c r="Y42" s="342">
        <v>4.9668812355349701E-2</v>
      </c>
      <c r="Z42" s="31">
        <v>93</v>
      </c>
      <c r="AA42" s="342">
        <v>4.9470449291340479E-2</v>
      </c>
      <c r="AB42" s="343">
        <f t="shared" si="2"/>
        <v>3.9671962439147279E-4</v>
      </c>
    </row>
    <row r="43" spans="2:34">
      <c r="B43" s="13"/>
      <c r="C43" s="13"/>
      <c r="D43" s="23"/>
      <c r="E43" s="37"/>
      <c r="F43" s="315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42">
        <v>4.9982378055328347E-2</v>
      </c>
      <c r="X43" s="31">
        <v>107</v>
      </c>
      <c r="Y43" s="342">
        <v>4.9783689704039347E-2</v>
      </c>
      <c r="Z43" s="31">
        <v>107</v>
      </c>
      <c r="AA43" s="342">
        <v>4.9584996223221545E-2</v>
      </c>
      <c r="AB43" s="343">
        <f t="shared" si="2"/>
        <v>3.9738183210680234E-4</v>
      </c>
    </row>
    <row r="44" spans="2:34">
      <c r="B44" s="13"/>
      <c r="C44" s="13"/>
      <c r="D44" s="23"/>
      <c r="E44" s="37"/>
      <c r="F44" s="315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42">
        <v>5.0510026676209741E-2</v>
      </c>
      <c r="X44" s="31">
        <v>198</v>
      </c>
      <c r="Y44" s="342">
        <v>5.0311495716833576E-2</v>
      </c>
      <c r="Z44" s="31">
        <v>198</v>
      </c>
      <c r="AA44" s="342">
        <v>5.0112959049242178E-2</v>
      </c>
      <c r="AB44" s="343">
        <f t="shared" si="2"/>
        <v>3.9706762696756215E-4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42">
        <v>5.0907678744707141E-2</v>
      </c>
      <c r="X45" s="31">
        <v>282</v>
      </c>
      <c r="Y45" s="342">
        <v>5.0709207475623685E-2</v>
      </c>
      <c r="Z45" s="31">
        <v>282</v>
      </c>
      <c r="AA45" s="342">
        <v>5.0510730305689755E-2</v>
      </c>
      <c r="AB45" s="343">
        <f t="shared" si="2"/>
        <v>3.9694843901738608E-4</v>
      </c>
    </row>
    <row r="46" spans="2:34">
      <c r="V46" s="31">
        <v>380</v>
      </c>
      <c r="W46" s="342">
        <v>5.134001157086221E-2</v>
      </c>
      <c r="X46" s="31">
        <v>380</v>
      </c>
      <c r="Y46" s="342">
        <v>5.1141584481092295E-2</v>
      </c>
      <c r="Z46" s="31">
        <v>380</v>
      </c>
      <c r="AA46" s="342">
        <v>5.09431513666323E-2</v>
      </c>
      <c r="AB46" s="343">
        <f t="shared" si="2"/>
        <v>3.9686020422990964E-4</v>
      </c>
    </row>
    <row r="47" spans="2:34">
      <c r="V47" s="31">
        <v>471</v>
      </c>
      <c r="W47" s="342">
        <v>5.1680391430173778E-2</v>
      </c>
      <c r="X47" s="31">
        <v>471</v>
      </c>
      <c r="Y47" s="342">
        <v>5.1481992566582591E-2</v>
      </c>
      <c r="Z47" s="31">
        <v>471</v>
      </c>
      <c r="AA47" s="342">
        <v>5.1283587607882986E-2</v>
      </c>
      <c r="AB47" s="343">
        <f t="shared" si="2"/>
        <v>3.9680382229079214E-4</v>
      </c>
    </row>
    <row r="48" spans="2:34">
      <c r="V48" s="31">
        <v>562</v>
      </c>
      <c r="W48" s="342">
        <v>5.1980396713991794E-2</v>
      </c>
      <c r="X48" s="31">
        <v>562</v>
      </c>
      <c r="Y48" s="342">
        <v>5.1782019197482043E-2</v>
      </c>
      <c r="Z48" s="31">
        <v>562</v>
      </c>
      <c r="AA48" s="342">
        <v>5.1583635538368533E-2</v>
      </c>
      <c r="AB48" s="343">
        <f t="shared" si="2"/>
        <v>3.9676117562326141E-4</v>
      </c>
    </row>
    <row r="49" spans="22:28">
      <c r="V49" s="31">
        <v>653</v>
      </c>
      <c r="W49" s="342">
        <v>5.224921064315069E-2</v>
      </c>
      <c r="X49" s="31">
        <v>653</v>
      </c>
      <c r="Y49" s="342">
        <v>5.2050850217455036E-2</v>
      </c>
      <c r="Z49" s="31">
        <v>653</v>
      </c>
      <c r="AA49" s="342">
        <v>5.1852483615038913E-2</v>
      </c>
      <c r="AB49" s="343">
        <f t="shared" si="2"/>
        <v>3.9672702811177629E-4</v>
      </c>
    </row>
    <row r="50" spans="22:28">
      <c r="V50" s="31">
        <v>744</v>
      </c>
      <c r="W50" s="342">
        <v>5.2485242645560426E-2</v>
      </c>
      <c r="X50" s="31">
        <v>744</v>
      </c>
      <c r="Y50" s="342">
        <v>5.228689619518434E-2</v>
      </c>
      <c r="Z50" s="31">
        <v>744</v>
      </c>
      <c r="AA50" s="342">
        <v>5.2088543542393673E-2</v>
      </c>
      <c r="AB50" s="343">
        <f t="shared" si="2"/>
        <v>3.9669910316675328E-4</v>
      </c>
    </row>
    <row r="51" spans="22:28">
      <c r="V51" s="31">
        <v>1098</v>
      </c>
      <c r="W51" s="342">
        <v>5.3238296139693553E-2</v>
      </c>
      <c r="X51" s="31">
        <v>1098</v>
      </c>
      <c r="Y51" s="342">
        <v>5.3039781882037396E-2</v>
      </c>
      <c r="Z51" s="31">
        <v>1098</v>
      </c>
      <c r="AA51" s="342">
        <v>5.2841261121047367E-2</v>
      </c>
      <c r="AB51" s="343">
        <f t="shared" si="2"/>
        <v>3.9703501864618573E-4</v>
      </c>
    </row>
    <row r="52" spans="22:28">
      <c r="V52" s="31">
        <v>1462</v>
      </c>
      <c r="W52" s="342">
        <v>5.4705046902417287E-2</v>
      </c>
      <c r="X52" s="31">
        <v>1462</v>
      </c>
      <c r="Y52" s="342">
        <v>5.4029052524993126E-2</v>
      </c>
      <c r="Z52" s="31">
        <v>1462</v>
      </c>
      <c r="AA52" s="342">
        <v>5.3673360165448436E-2</v>
      </c>
      <c r="AB52" s="343">
        <f t="shared" si="2"/>
        <v>1.0316867369688509E-3</v>
      </c>
    </row>
    <row r="53" spans="22:28">
      <c r="V53" s="31">
        <v>1827</v>
      </c>
      <c r="W53" s="342">
        <v>5.5917618036484207E-2</v>
      </c>
      <c r="X53" s="31">
        <v>1827</v>
      </c>
      <c r="Y53" s="342">
        <v>5.5247540435358289E-2</v>
      </c>
      <c r="Z53" s="31">
        <v>1827</v>
      </c>
      <c r="AA53" s="342">
        <v>5.4893532580424065E-2</v>
      </c>
      <c r="AB53" s="343">
        <f t="shared" si="2"/>
        <v>1.024085456060142E-3</v>
      </c>
    </row>
    <row r="54" spans="22:28">
      <c r="V54" s="31">
        <v>2192</v>
      </c>
      <c r="W54" s="342">
        <v>5.6961439189751495E-2</v>
      </c>
      <c r="X54" s="31">
        <v>2192</v>
      </c>
      <c r="Y54" s="342">
        <v>5.6294980342815215E-2</v>
      </c>
      <c r="Z54" s="31">
        <v>2192</v>
      </c>
      <c r="AA54" s="342">
        <v>5.5941907075722774E-2</v>
      </c>
      <c r="AB54" s="343">
        <f t="shared" si="2"/>
        <v>1.0195321140287206E-3</v>
      </c>
    </row>
    <row r="55" spans="22:28">
      <c r="V55" s="31">
        <v>2558</v>
      </c>
      <c r="W55" s="342">
        <v>5.7719863576596531E-2</v>
      </c>
      <c r="X55" s="31">
        <v>2558</v>
      </c>
      <c r="Y55" s="342">
        <v>5.7056043447262006E-2</v>
      </c>
      <c r="Z55" s="31">
        <v>2558</v>
      </c>
      <c r="AA55" s="342">
        <v>5.6703639788223903E-2</v>
      </c>
      <c r="AB55" s="343">
        <f t="shared" si="2"/>
        <v>1.0162237883726277E-3</v>
      </c>
    </row>
    <row r="56" spans="22:28">
      <c r="V56" s="31">
        <v>2925</v>
      </c>
      <c r="W56" s="342">
        <v>5.8228660036789393E-2</v>
      </c>
      <c r="X56" s="31">
        <v>2925</v>
      </c>
      <c r="Y56" s="342">
        <v>5.7567004511657416E-2</v>
      </c>
      <c r="Z56" s="31">
        <v>2925</v>
      </c>
      <c r="AA56" s="342">
        <v>5.7215181012992389E-2</v>
      </c>
      <c r="AB56" s="343">
        <f t="shared" si="2"/>
        <v>1.0134790237970037E-3</v>
      </c>
    </row>
    <row r="57" spans="22:28">
      <c r="V57" s="31">
        <v>3289</v>
      </c>
      <c r="W57" s="342">
        <v>5.85900042801617E-2</v>
      </c>
      <c r="X57" s="31">
        <v>3289</v>
      </c>
      <c r="Y57" s="342">
        <v>5.7930089616935021E-2</v>
      </c>
      <c r="Z57" s="31">
        <v>3289</v>
      </c>
      <c r="AA57" s="342">
        <v>5.7578741123878174E-2</v>
      </c>
      <c r="AB57" s="343">
        <f t="shared" si="2"/>
        <v>1.0112631562835261E-3</v>
      </c>
    </row>
    <row r="58" spans="22:28">
      <c r="V58" s="31">
        <v>3653</v>
      </c>
      <c r="W58" s="342">
        <v>5.9002711902222948E-2</v>
      </c>
      <c r="X58" s="31">
        <v>3653</v>
      </c>
      <c r="Y58" s="342">
        <v>5.8278732667580435E-2</v>
      </c>
      <c r="Z58" s="31">
        <v>3653</v>
      </c>
      <c r="AA58" s="342">
        <v>5.7862768540490883E-2</v>
      </c>
      <c r="AB58" s="343">
        <f t="shared" si="2"/>
        <v>1.1399433617320653E-3</v>
      </c>
    </row>
    <row r="59" spans="22:28">
      <c r="V59" s="31">
        <v>4384</v>
      </c>
      <c r="W59" s="342">
        <v>5.9804979936378011E-2</v>
      </c>
      <c r="X59" s="31">
        <v>4384</v>
      </c>
      <c r="Y59" s="342">
        <v>5.8948082807415147E-2</v>
      </c>
      <c r="Z59" s="31">
        <v>4384</v>
      </c>
      <c r="AA59" s="342">
        <v>5.8399168254643641E-2</v>
      </c>
      <c r="AB59" s="343">
        <f t="shared" si="2"/>
        <v>1.4058116817343702E-3</v>
      </c>
    </row>
    <row r="60" spans="22:28">
      <c r="V60" s="31">
        <v>5480</v>
      </c>
      <c r="W60" s="342">
        <v>6.0187551410592732E-2</v>
      </c>
      <c r="X60" s="31">
        <v>5480</v>
      </c>
      <c r="Y60" s="342">
        <v>5.9342411954257379E-2</v>
      </c>
      <c r="Z60" s="31">
        <v>5480</v>
      </c>
      <c r="AA60" s="342">
        <v>5.880336787060525E-2</v>
      </c>
      <c r="AB60" s="343">
        <f t="shared" si="2"/>
        <v>1.3841835399874824E-3</v>
      </c>
    </row>
    <row r="61" spans="22:28">
      <c r="V61" s="31">
        <v>7307</v>
      </c>
      <c r="W61" s="342">
        <v>5.8568572702531796E-2</v>
      </c>
      <c r="X61" s="31">
        <v>7307</v>
      </c>
      <c r="Y61" s="342">
        <v>5.7751428932219184E-2</v>
      </c>
      <c r="Z61" s="31">
        <v>7307</v>
      </c>
      <c r="AA61" s="342">
        <v>5.7232860975526378E-2</v>
      </c>
      <c r="AB61" s="343">
        <f t="shared" si="2"/>
        <v>1.3357117270054175E-3</v>
      </c>
    </row>
    <row r="62" spans="22:28">
      <c r="V62" s="31">
        <v>9134</v>
      </c>
      <c r="W62" s="342">
        <v>5.6043868094942439E-2</v>
      </c>
      <c r="X62" s="31">
        <v>9134</v>
      </c>
      <c r="Y62" s="342">
        <v>5.5260154484702007E-2</v>
      </c>
      <c r="Z62" s="31">
        <v>9134</v>
      </c>
      <c r="AA62" s="342">
        <v>5.4764377706164602E-2</v>
      </c>
      <c r="AB62" s="343">
        <f t="shared" si="2"/>
        <v>1.2794903887778375E-3</v>
      </c>
    </row>
    <row r="63" spans="22:28">
      <c r="V63" s="31">
        <v>10958</v>
      </c>
      <c r="W63" s="342">
        <v>5.3354657609534506E-2</v>
      </c>
      <c r="X63" s="31">
        <v>10958</v>
      </c>
      <c r="Y63" s="342">
        <v>5.2606822102598372E-2</v>
      </c>
      <c r="Z63" s="31">
        <v>10958</v>
      </c>
      <c r="AA63" s="342">
        <v>5.2134685741591191E-2</v>
      </c>
      <c r="AB63" s="343">
        <f t="shared" si="2"/>
        <v>1.2199718679433147E-3</v>
      </c>
    </row>
    <row r="64" spans="22:28">
      <c r="V64" s="31">
        <v>14611</v>
      </c>
      <c r="W64" s="342">
        <v>4.8350906717230302E-2</v>
      </c>
      <c r="X64" s="31">
        <v>14611</v>
      </c>
      <c r="Y64" s="342">
        <v>4.8741411635091048E-2</v>
      </c>
      <c r="Z64" s="31">
        <v>14611</v>
      </c>
      <c r="AA64" s="342">
        <v>4.9401847460710968E-2</v>
      </c>
      <c r="AB64" s="343">
        <f t="shared" si="2"/>
        <v>-1.0509407434806661E-3</v>
      </c>
    </row>
    <row r="65" spans="22:28">
      <c r="V65" s="31" t="e">
        <v>#N/A</v>
      </c>
      <c r="W65" s="342" t="e">
        <v>#N/A</v>
      </c>
      <c r="X65" s="31" t="e">
        <v>#N/A</v>
      </c>
      <c r="Y65" s="342" t="e">
        <v>#N/A</v>
      </c>
      <c r="Z65" s="31" t="e">
        <v>#N/A</v>
      </c>
      <c r="AA65" s="342" t="e">
        <v>#N/A</v>
      </c>
    </row>
    <row r="66" spans="22:28">
      <c r="W66" s="31" t="s">
        <v>339</v>
      </c>
      <c r="Y66" s="31" t="s">
        <v>177</v>
      </c>
      <c r="AA66" s="31" t="s">
        <v>338</v>
      </c>
    </row>
    <row r="67" spans="22:28">
      <c r="V67" s="31">
        <f t="array" ref="V67:W88">_xll.HLV5r3.Financial.Cache.GetDaysAndZeroRates(AE14, TraderMids!$D$3, 4)</f>
        <v>0</v>
      </c>
      <c r="W67" s="342">
        <v>4.9011800571614472E-2</v>
      </c>
      <c r="X67" s="31">
        <f t="array" ref="X67:Y88">_xll.HLV5r3.Financial.Cache.GetDaysAndZeroRates(TraderMids!V37, TraderMids!$D$3, 4)</f>
        <v>0</v>
      </c>
      <c r="Y67" s="342">
        <v>4.8610227134529893E-2</v>
      </c>
      <c r="Z67" s="31">
        <f t="array" ref="Z67:AA88">_xll.HLV5r3.Financial.Cache.GetDaysAndZeroRates(AH14, TraderMids!$D$3, 4)</f>
        <v>0</v>
      </c>
      <c r="AA67" s="344">
        <v>4.7907504764808984E-2</v>
      </c>
      <c r="AB67" s="343">
        <f t="shared" ref="AB67:AB88" si="3">W67-AA67</f>
        <v>1.1042958068054887E-3</v>
      </c>
    </row>
    <row r="68" spans="22:28">
      <c r="V68" s="31">
        <v>1</v>
      </c>
      <c r="W68" s="342">
        <v>4.9011800571614472E-2</v>
      </c>
      <c r="X68" s="31">
        <v>1</v>
      </c>
      <c r="Y68" s="342">
        <v>4.8610227134529893E-2</v>
      </c>
      <c r="Z68" s="31">
        <v>1</v>
      </c>
      <c r="AA68" s="344">
        <v>4.7907504764808984E-2</v>
      </c>
      <c r="AB68" s="343">
        <f t="shared" si="3"/>
        <v>1.1042958068054887E-3</v>
      </c>
    </row>
    <row r="69" spans="22:28">
      <c r="V69" s="31">
        <v>34</v>
      </c>
      <c r="W69" s="342">
        <v>4.9589068990944618E-2</v>
      </c>
      <c r="X69" s="31">
        <v>34</v>
      </c>
      <c r="Y69" s="342">
        <v>4.918915816734426E-2</v>
      </c>
      <c r="Z69" s="31">
        <v>34</v>
      </c>
      <c r="AA69" s="344">
        <v>4.8489312510011651E-2</v>
      </c>
      <c r="AB69" s="343">
        <f t="shared" si="3"/>
        <v>1.0997564809329674E-3</v>
      </c>
    </row>
    <row r="70" spans="22:28">
      <c r="V70" s="31">
        <v>62</v>
      </c>
      <c r="W70" s="342">
        <v>5.0386268294581704E-2</v>
      </c>
      <c r="X70" s="31">
        <v>62</v>
      </c>
      <c r="Y70" s="342">
        <v>4.9987891676090968E-2</v>
      </c>
      <c r="Z70" s="31">
        <v>62</v>
      </c>
      <c r="AA70" s="344">
        <v>4.9290701751501409E-2</v>
      </c>
      <c r="AB70" s="343">
        <f t="shared" si="3"/>
        <v>1.0955665430802952E-3</v>
      </c>
    </row>
    <row r="71" spans="22:28">
      <c r="V71" s="31">
        <v>93</v>
      </c>
      <c r="W71" s="342">
        <v>5.1072302870907471E-2</v>
      </c>
      <c r="X71" s="31">
        <v>93</v>
      </c>
      <c r="Y71" s="342">
        <v>5.0675662263335752E-2</v>
      </c>
      <c r="Z71" s="31">
        <v>93</v>
      </c>
      <c r="AA71" s="344">
        <v>4.9981478626570208E-2</v>
      </c>
      <c r="AB71" s="343">
        <f t="shared" si="3"/>
        <v>1.0908242443372629E-3</v>
      </c>
    </row>
    <row r="72" spans="22:28">
      <c r="V72" s="31">
        <v>185</v>
      </c>
      <c r="W72" s="342">
        <v>5.1624307001248759E-2</v>
      </c>
      <c r="X72" s="31">
        <v>185</v>
      </c>
      <c r="Y72" s="342">
        <v>5.1230089901692644E-2</v>
      </c>
      <c r="Z72" s="31">
        <v>185</v>
      </c>
      <c r="AA72" s="344">
        <v>5.0542097873574221E-2</v>
      </c>
      <c r="AB72" s="343">
        <f t="shared" si="3"/>
        <v>1.0822091276745383E-3</v>
      </c>
    </row>
    <row r="73" spans="22:28">
      <c r="V73" s="31">
        <v>366</v>
      </c>
      <c r="W73" s="342">
        <v>5.2091926718487613E-2</v>
      </c>
      <c r="X73" s="31">
        <v>366</v>
      </c>
      <c r="Y73" s="342">
        <v>5.189590252713927E-2</v>
      </c>
      <c r="Z73" s="31">
        <v>366</v>
      </c>
      <c r="AA73" s="344">
        <v>5.1402277591284573E-2</v>
      </c>
      <c r="AB73" s="343">
        <f t="shared" si="3"/>
        <v>6.8964912720304028E-4</v>
      </c>
    </row>
    <row r="74" spans="22:28">
      <c r="V74" s="31">
        <v>731</v>
      </c>
      <c r="W74" s="342">
        <v>5.324210445900146E-2</v>
      </c>
      <c r="X74" s="31">
        <v>731</v>
      </c>
      <c r="Y74" s="342">
        <v>5.3045007052901383E-2</v>
      </c>
      <c r="Z74" s="31">
        <v>731</v>
      </c>
      <c r="AA74" s="344">
        <v>5.2550251525389058E-2</v>
      </c>
      <c r="AB74" s="343">
        <f t="shared" si="3"/>
        <v>6.9185293361240241E-4</v>
      </c>
    </row>
    <row r="75" spans="22:28">
      <c r="V75" s="31">
        <v>1098</v>
      </c>
      <c r="W75" s="342">
        <v>5.4003951017389973E-2</v>
      </c>
      <c r="X75" s="31">
        <v>1098</v>
      </c>
      <c r="Y75" s="342">
        <v>5.3806297514614521E-2</v>
      </c>
      <c r="Z75" s="31">
        <v>1098</v>
      </c>
      <c r="AA75" s="344">
        <v>5.3310872610412119E-2</v>
      </c>
      <c r="AB75" s="343">
        <f t="shared" si="3"/>
        <v>6.9307840697785394E-4</v>
      </c>
    </row>
    <row r="76" spans="22:28">
      <c r="V76" s="31">
        <v>1462</v>
      </c>
      <c r="W76" s="342">
        <v>5.5147847913712411E-2</v>
      </c>
      <c r="X76" s="31">
        <v>1462</v>
      </c>
      <c r="Y76" s="342">
        <v>5.4797050769739286E-2</v>
      </c>
      <c r="Z76" s="31">
        <v>1462</v>
      </c>
      <c r="AA76" s="344">
        <v>5.4468245150426142E-2</v>
      </c>
      <c r="AB76" s="343">
        <f t="shared" si="3"/>
        <v>6.796027632862689E-4</v>
      </c>
    </row>
    <row r="77" spans="22:28">
      <c r="V77" s="31">
        <v>1827</v>
      </c>
      <c r="W77" s="342">
        <v>5.6310602929463549E-2</v>
      </c>
      <c r="X77" s="31">
        <v>1827</v>
      </c>
      <c r="Y77" s="342">
        <v>5.5961503611255736E-2</v>
      </c>
      <c r="Z77" s="31">
        <v>1827</v>
      </c>
      <c r="AA77" s="344">
        <v>5.5629607477117204E-2</v>
      </c>
      <c r="AB77" s="343">
        <f t="shared" si="3"/>
        <v>6.8099545234634462E-4</v>
      </c>
    </row>
    <row r="78" spans="22:28">
      <c r="V78" s="31">
        <v>2192</v>
      </c>
      <c r="W78" s="342">
        <v>5.7330755804092526E-2</v>
      </c>
      <c r="X78" s="31">
        <v>2192</v>
      </c>
      <c r="Y78" s="342">
        <v>5.6982606155776772E-2</v>
      </c>
      <c r="Z78" s="31">
        <v>2192</v>
      </c>
      <c r="AA78" s="344">
        <v>5.6648413307640588E-2</v>
      </c>
      <c r="AB78" s="343">
        <f t="shared" si="3"/>
        <v>6.8234249645193756E-4</v>
      </c>
    </row>
    <row r="79" spans="22:28">
      <c r="V79" s="31">
        <v>2558</v>
      </c>
      <c r="W79" s="342">
        <v>5.8063663866521509E-2</v>
      </c>
      <c r="X79" s="31">
        <v>2558</v>
      </c>
      <c r="Y79" s="342">
        <v>5.7716203428454627E-2</v>
      </c>
      <c r="Z79" s="31">
        <v>2558</v>
      </c>
      <c r="AA79" s="344">
        <v>5.7380290702544912E-2</v>
      </c>
      <c r="AB79" s="343">
        <f t="shared" si="3"/>
        <v>6.833731639765972E-4</v>
      </c>
    </row>
    <row r="80" spans="22:28">
      <c r="V80" s="31">
        <v>2925</v>
      </c>
      <c r="W80" s="342">
        <v>5.8566053209714752E-2</v>
      </c>
      <c r="X80" s="31">
        <v>2925</v>
      </c>
      <c r="Y80" s="342">
        <v>5.8219162789027834E-2</v>
      </c>
      <c r="Z80" s="31">
        <v>2925</v>
      </c>
      <c r="AA80" s="344">
        <v>5.7881952871364106E-2</v>
      </c>
      <c r="AB80" s="343">
        <f t="shared" si="3"/>
        <v>6.841003383506461E-4</v>
      </c>
    </row>
    <row r="81" spans="22:28">
      <c r="V81" s="31">
        <v>3289</v>
      </c>
      <c r="W81" s="342">
        <v>5.8919989073611845E-2</v>
      </c>
      <c r="X81" s="31">
        <v>3289</v>
      </c>
      <c r="Y81" s="342">
        <v>5.8573562479190322E-2</v>
      </c>
      <c r="Z81" s="31">
        <v>3289</v>
      </c>
      <c r="AA81" s="344">
        <v>5.8235346551350098E-2</v>
      </c>
      <c r="AB81" s="343">
        <f t="shared" si="3"/>
        <v>6.8464252226174693E-4</v>
      </c>
    </row>
    <row r="82" spans="22:28">
      <c r="V82" s="31">
        <v>3653</v>
      </c>
      <c r="W82" s="342">
        <v>5.9324666848829644E-2</v>
      </c>
      <c r="X82" s="31">
        <v>3653</v>
      </c>
      <c r="Y82" s="342">
        <v>5.8913190729790621E-2</v>
      </c>
      <c r="Z82" s="31">
        <v>3653</v>
      </c>
      <c r="AA82" s="344">
        <v>5.8508978377094678E-2</v>
      </c>
      <c r="AB82" s="343">
        <f t="shared" si="3"/>
        <v>8.156884717349655E-4</v>
      </c>
    </row>
    <row r="83" spans="22:28">
      <c r="V83" s="31">
        <v>4384</v>
      </c>
      <c r="W83" s="342">
        <v>6.0062971835875167E-2</v>
      </c>
      <c r="X83" s="31">
        <v>4384</v>
      </c>
      <c r="Y83" s="342">
        <v>5.9517561312199874E-2</v>
      </c>
      <c r="Z83" s="31">
        <v>4384</v>
      </c>
      <c r="AA83" s="344">
        <v>5.8978394487373187E-2</v>
      </c>
      <c r="AB83" s="343">
        <f t="shared" si="3"/>
        <v>1.0845773485019805E-3</v>
      </c>
    </row>
    <row r="84" spans="22:28">
      <c r="V84" s="31">
        <v>5480</v>
      </c>
      <c r="W84" s="342">
        <v>6.034177602001467E-2</v>
      </c>
      <c r="X84" s="31">
        <v>5480</v>
      </c>
      <c r="Y84" s="342">
        <v>5.9806977125112404E-2</v>
      </c>
      <c r="Z84" s="31">
        <v>5480</v>
      </c>
      <c r="AA84" s="344">
        <v>5.9276318123710148E-2</v>
      </c>
      <c r="AB84" s="343">
        <f t="shared" si="3"/>
        <v>1.0654578963045225E-3</v>
      </c>
    </row>
    <row r="85" spans="22:28">
      <c r="V85" s="31">
        <v>7307</v>
      </c>
      <c r="W85" s="342">
        <v>5.8616315871030444E-2</v>
      </c>
      <c r="X85" s="31">
        <v>7307</v>
      </c>
      <c r="Y85" s="342">
        <v>5.810264589571279E-2</v>
      </c>
      <c r="Z85" s="31">
        <v>7307</v>
      </c>
      <c r="AA85" s="344">
        <v>5.7590779181255769E-2</v>
      </c>
      <c r="AB85" s="343">
        <f t="shared" si="3"/>
        <v>1.0255366897746754E-3</v>
      </c>
    </row>
    <row r="86" spans="22:28">
      <c r="V86" s="31">
        <v>9134</v>
      </c>
      <c r="W86" s="342">
        <v>5.6021393387479357E-2</v>
      </c>
      <c r="X86" s="31">
        <v>9134</v>
      </c>
      <c r="Y86" s="342">
        <v>5.5530888278021884E-2</v>
      </c>
      <c r="Z86" s="31">
        <v>9134</v>
      </c>
      <c r="AA86" s="344">
        <v>5.5040722696181099E-2</v>
      </c>
      <c r="AB86" s="343">
        <f t="shared" si="3"/>
        <v>9.8067069129825768E-4</v>
      </c>
    </row>
    <row r="87" spans="22:28">
      <c r="V87" s="31">
        <v>10958</v>
      </c>
      <c r="W87" s="342">
        <v>5.3307280386624356E-2</v>
      </c>
      <c r="X87" s="31">
        <v>10958</v>
      </c>
      <c r="Y87" s="342">
        <v>5.2840480796479739E-2</v>
      </c>
      <c r="Z87" s="31">
        <v>10958</v>
      </c>
      <c r="AA87" s="344">
        <v>5.2373043725877366E-2</v>
      </c>
      <c r="AB87" s="343">
        <f t="shared" si="3"/>
        <v>9.3423666074698986E-4</v>
      </c>
    </row>
    <row r="88" spans="22:28">
      <c r="V88" s="31">
        <v>14611</v>
      </c>
      <c r="W88" s="342">
        <v>4.8205783423882487E-2</v>
      </c>
      <c r="X88" s="31">
        <v>14611</v>
      </c>
      <c r="Y88" s="342">
        <v>4.8850397913466459E-2</v>
      </c>
      <c r="Z88" s="31">
        <v>14611</v>
      </c>
      <c r="AA88" s="344">
        <v>4.9513405130591437E-2</v>
      </c>
      <c r="AB88" s="343">
        <f t="shared" si="3"/>
        <v>-1.3076217067089502E-3</v>
      </c>
    </row>
    <row r="91" spans="22:28">
      <c r="W91" s="31" t="s">
        <v>339</v>
      </c>
      <c r="Y91" s="31" t="s">
        <v>177</v>
      </c>
      <c r="AA91" s="31" t="s">
        <v>338</v>
      </c>
    </row>
    <row r="92" spans="22:28">
      <c r="V92" s="31">
        <f t="array" ref="V92:W113">_xll.HLV5r3.Financial.Cache.GetDaysAndZeroRates(AE26, TraderMids!$D$3, 4)</f>
        <v>0</v>
      </c>
      <c r="W92" s="342">
        <v>4.7992572423368962E-2</v>
      </c>
      <c r="X92" s="31">
        <f t="array" ref="X92:Y113">_xll.HLV5r3.Financial.Cache.GetDaysAndZeroRates(TraderMids!V49, TraderMids!$D$3, 4)</f>
        <v>0</v>
      </c>
      <c r="Y92" s="342">
        <v>4.7591031838797093E-2</v>
      </c>
      <c r="Z92" s="31">
        <f t="array" ref="Z92:AA113">_xll.HLV5r3.Financial.Cache.GetDaysAndZeroRates(AH26, TraderMids!$D$3, 4)</f>
        <v>0</v>
      </c>
      <c r="AA92" s="344">
        <v>4.6888366958601324E-2</v>
      </c>
      <c r="AB92" s="343">
        <f t="shared" ref="AB92:AB113" si="4">W92-AA92</f>
        <v>1.104205464767638E-3</v>
      </c>
    </row>
    <row r="93" spans="22:28">
      <c r="V93" s="31">
        <v>1</v>
      </c>
      <c r="W93" s="342">
        <v>4.7992572423368962E-2</v>
      </c>
      <c r="X93" s="31">
        <v>1</v>
      </c>
      <c r="Y93" s="342">
        <v>4.7591031838797093E-2</v>
      </c>
      <c r="Z93" s="31">
        <v>1</v>
      </c>
      <c r="AA93" s="344">
        <v>4.6888366958601324E-2</v>
      </c>
      <c r="AB93" s="343">
        <f t="shared" si="4"/>
        <v>1.104205464767638E-3</v>
      </c>
    </row>
    <row r="94" spans="22:28">
      <c r="V94" s="31">
        <v>34</v>
      </c>
      <c r="W94" s="342">
        <v>4.8574034146088962E-2</v>
      </c>
      <c r="X94" s="31">
        <v>34</v>
      </c>
      <c r="Y94" s="342">
        <v>4.8174121512400525E-2</v>
      </c>
      <c r="Z94" s="31">
        <v>34</v>
      </c>
      <c r="AA94" s="344">
        <v>4.7474272686810259E-2</v>
      </c>
      <c r="AB94" s="343">
        <f t="shared" si="4"/>
        <v>1.0997614592787031E-3</v>
      </c>
    </row>
    <row r="95" spans="22:28">
      <c r="V95" s="31">
        <v>62</v>
      </c>
      <c r="W95" s="342">
        <v>4.9962977124762276E-2</v>
      </c>
      <c r="X95" s="31">
        <v>62</v>
      </c>
      <c r="Y95" s="342">
        <v>4.956458751288384E-2</v>
      </c>
      <c r="Z95" s="31">
        <v>62</v>
      </c>
      <c r="AA95" s="344">
        <v>4.8867374840482647E-2</v>
      </c>
      <c r="AB95" s="343">
        <f t="shared" si="4"/>
        <v>1.0956022842796287E-3</v>
      </c>
    </row>
    <row r="96" spans="22:28">
      <c r="V96" s="31">
        <v>93</v>
      </c>
      <c r="W96" s="342">
        <v>5.1046374709484255E-2</v>
      </c>
      <c r="X96" s="31">
        <v>93</v>
      </c>
      <c r="Y96" s="342">
        <v>5.0649733473687064E-2</v>
      </c>
      <c r="Z96" s="31">
        <v>93</v>
      </c>
      <c r="AA96" s="344">
        <v>4.9955548681693607E-2</v>
      </c>
      <c r="AB96" s="343">
        <f t="shared" si="4"/>
        <v>1.0908260277906479E-3</v>
      </c>
    </row>
    <row r="97" spans="22:28">
      <c r="V97" s="31">
        <v>185</v>
      </c>
      <c r="W97" s="342">
        <v>5.1686417817203179E-2</v>
      </c>
      <c r="X97" s="31">
        <v>185</v>
      </c>
      <c r="Y97" s="342">
        <v>5.1292212060240594E-2</v>
      </c>
      <c r="Z97" s="31">
        <v>185</v>
      </c>
      <c r="AA97" s="344">
        <v>5.0604239832259701E-2</v>
      </c>
      <c r="AB97" s="343">
        <f t="shared" si="4"/>
        <v>1.0821779849434776E-3</v>
      </c>
    </row>
    <row r="98" spans="22:28">
      <c r="V98" s="31">
        <v>366</v>
      </c>
      <c r="W98" s="342">
        <v>5.0172909580016523E-2</v>
      </c>
      <c r="X98" s="31">
        <v>366</v>
      </c>
      <c r="Y98" s="342">
        <v>4.9976949300786444E-2</v>
      </c>
      <c r="Z98" s="31">
        <v>366</v>
      </c>
      <c r="AA98" s="344">
        <v>4.948096160901283E-2</v>
      </c>
      <c r="AB98" s="343">
        <f t="shared" si="4"/>
        <v>6.9194797100369243E-4</v>
      </c>
    </row>
    <row r="99" spans="22:28">
      <c r="V99" s="31">
        <v>731</v>
      </c>
      <c r="W99" s="342">
        <v>5.1257305172788037E-2</v>
      </c>
      <c r="X99" s="31">
        <v>731</v>
      </c>
      <c r="Y99" s="342">
        <v>5.1060234452629416E-2</v>
      </c>
      <c r="Z99" s="31">
        <v>731</v>
      </c>
      <c r="AA99" s="344">
        <v>5.0562966077453808E-2</v>
      </c>
      <c r="AB99" s="343">
        <f t="shared" si="4"/>
        <v>6.9433909533422877E-4</v>
      </c>
    </row>
    <row r="100" spans="22:28">
      <c r="V100" s="31">
        <v>1098</v>
      </c>
      <c r="W100" s="342">
        <v>5.2022852304965284E-2</v>
      </c>
      <c r="X100" s="31">
        <v>1098</v>
      </c>
      <c r="Y100" s="342">
        <v>5.1825209606123579E-2</v>
      </c>
      <c r="Z100" s="31">
        <v>1098</v>
      </c>
      <c r="AA100" s="344">
        <v>5.1327185425020794E-2</v>
      </c>
      <c r="AB100" s="343">
        <f t="shared" si="4"/>
        <v>6.9566687994448984E-4</v>
      </c>
    </row>
    <row r="101" spans="22:28">
      <c r="V101" s="31">
        <v>1462</v>
      </c>
      <c r="W101" s="342">
        <v>5.3490235214357362E-2</v>
      </c>
      <c r="X101" s="31">
        <v>1462</v>
      </c>
      <c r="Y101" s="342">
        <v>5.2815949943743945E-2</v>
      </c>
      <c r="Z101" s="31">
        <v>1462</v>
      </c>
      <c r="AA101" s="344">
        <v>5.2160574599248832E-2</v>
      </c>
      <c r="AB101" s="343">
        <f t="shared" si="4"/>
        <v>1.32966061510853E-3</v>
      </c>
    </row>
    <row r="102" spans="22:28">
      <c r="V102" s="31">
        <v>1827</v>
      </c>
      <c r="W102" s="342">
        <v>5.4730460426251959E-2</v>
      </c>
      <c r="X102" s="31">
        <v>1827</v>
      </c>
      <c r="Y102" s="342">
        <v>5.4061721468511514E-2</v>
      </c>
      <c r="Z102" s="31">
        <v>1827</v>
      </c>
      <c r="AA102" s="344">
        <v>5.3407147863826943E-2</v>
      </c>
      <c r="AB102" s="343">
        <f t="shared" si="4"/>
        <v>1.3233125624250164E-3</v>
      </c>
    </row>
    <row r="103" spans="22:28">
      <c r="V103" s="31">
        <v>2192</v>
      </c>
      <c r="W103" s="342">
        <v>5.5830922550912376E-2</v>
      </c>
      <c r="X103" s="31">
        <v>2192</v>
      </c>
      <c r="Y103" s="342">
        <v>5.5165471805090682E-2</v>
      </c>
      <c r="Z103" s="31">
        <v>2192</v>
      </c>
      <c r="AA103" s="344">
        <v>5.4510958298388701E-2</v>
      </c>
      <c r="AB103" s="343">
        <f t="shared" si="4"/>
        <v>1.3199642525236754E-3</v>
      </c>
    </row>
    <row r="104" spans="22:28">
      <c r="V104" s="31">
        <v>2558</v>
      </c>
      <c r="W104" s="342">
        <v>5.6647367562115747E-2</v>
      </c>
      <c r="X104" s="31">
        <v>2558</v>
      </c>
      <c r="Y104" s="342">
        <v>5.5984275421972818E-2</v>
      </c>
      <c r="Z104" s="31">
        <v>2558</v>
      </c>
      <c r="AA104" s="344">
        <v>5.5329725334567037E-2</v>
      </c>
      <c r="AB104" s="343">
        <f t="shared" si="4"/>
        <v>1.3176422275487099E-3</v>
      </c>
    </row>
    <row r="105" spans="22:28">
      <c r="V105" s="31">
        <v>2925</v>
      </c>
      <c r="W105" s="342">
        <v>5.7205488048468034E-2</v>
      </c>
      <c r="X105" s="31">
        <v>2925</v>
      </c>
      <c r="Y105" s="342">
        <v>5.6544332839724376E-2</v>
      </c>
      <c r="Z105" s="31">
        <v>2925</v>
      </c>
      <c r="AA105" s="344">
        <v>5.5889857988802305E-2</v>
      </c>
      <c r="AB105" s="343">
        <f t="shared" si="4"/>
        <v>1.3156300596657289E-3</v>
      </c>
    </row>
    <row r="106" spans="22:28">
      <c r="V106" s="31">
        <v>3289</v>
      </c>
      <c r="W106" s="342">
        <v>5.7617568568769428E-2</v>
      </c>
      <c r="X106" s="31">
        <v>3289</v>
      </c>
      <c r="Y106" s="342">
        <v>5.6957936366016426E-2</v>
      </c>
      <c r="Z106" s="31">
        <v>3289</v>
      </c>
      <c r="AA106" s="344">
        <v>5.6303524701864838E-2</v>
      </c>
      <c r="AB106" s="343">
        <f t="shared" si="4"/>
        <v>1.3140438669045906E-3</v>
      </c>
    </row>
    <row r="107" spans="22:28">
      <c r="V107" s="31">
        <v>3653</v>
      </c>
      <c r="W107" s="342">
        <v>5.8081809412525942E-2</v>
      </c>
      <c r="X107" s="31">
        <v>3653</v>
      </c>
      <c r="Y107" s="342">
        <v>5.7358150585104184E-2</v>
      </c>
      <c r="Z107" s="31">
        <v>3653</v>
      </c>
      <c r="AA107" s="344">
        <v>5.6638995785542434E-2</v>
      </c>
      <c r="AB107" s="343">
        <f t="shared" si="4"/>
        <v>1.4428136269835079E-3</v>
      </c>
    </row>
    <row r="108" spans="22:28">
      <c r="V108" s="31">
        <v>4384</v>
      </c>
      <c r="W108" s="342">
        <v>5.9034281353230966E-2</v>
      </c>
      <c r="X108" s="31">
        <v>4384</v>
      </c>
      <c r="Y108" s="342">
        <v>5.8177361314378118E-2</v>
      </c>
      <c r="Z108" s="31">
        <v>4384</v>
      </c>
      <c r="AA108" s="344">
        <v>5.7324436025277592E-2</v>
      </c>
      <c r="AB108" s="343">
        <f t="shared" si="4"/>
        <v>1.7098453279533743E-3</v>
      </c>
    </row>
    <row r="109" spans="22:28">
      <c r="V109" s="31">
        <v>5480</v>
      </c>
      <c r="W109" s="342">
        <v>5.9570125860487266E-2</v>
      </c>
      <c r="X109" s="31">
        <v>5480</v>
      </c>
      <c r="Y109" s="342">
        <v>5.872380955500045E-2</v>
      </c>
      <c r="Z109" s="31">
        <v>5480</v>
      </c>
      <c r="AA109" s="344">
        <v>5.7879290163259434E-2</v>
      </c>
      <c r="AB109" s="343">
        <f t="shared" si="4"/>
        <v>1.6908356972278327E-3</v>
      </c>
    </row>
    <row r="110" spans="22:28">
      <c r="V110" s="31">
        <v>7307</v>
      </c>
      <c r="W110" s="342">
        <v>5.8111864158468585E-2</v>
      </c>
      <c r="X110" s="31">
        <v>7307</v>
      </c>
      <c r="Y110" s="342">
        <v>5.7292259705700843E-2</v>
      </c>
      <c r="Z110" s="31">
        <v>7307</v>
      </c>
      <c r="AA110" s="344">
        <v>5.6472045564934348E-2</v>
      </c>
      <c r="AB110" s="343">
        <f t="shared" si="4"/>
        <v>1.6398185935342369E-3</v>
      </c>
    </row>
    <row r="111" spans="22:28">
      <c r="V111" s="31">
        <v>9134</v>
      </c>
      <c r="W111" s="342">
        <v>5.5686007832977502E-2</v>
      </c>
      <c r="X111" s="31">
        <v>9134</v>
      </c>
      <c r="Y111" s="342">
        <v>5.4899026239796811E-2</v>
      </c>
      <c r="Z111" s="31">
        <v>9134</v>
      </c>
      <c r="AA111" s="344">
        <v>5.4109899542154061E-2</v>
      </c>
      <c r="AB111" s="343">
        <f t="shared" si="4"/>
        <v>1.5761082908234414E-3</v>
      </c>
    </row>
    <row r="112" spans="22:28">
      <c r="V112" s="31">
        <v>10958</v>
      </c>
      <c r="W112" s="342">
        <v>5.3063291899695386E-2</v>
      </c>
      <c r="X112" s="31">
        <v>10958</v>
      </c>
      <c r="Y112" s="342">
        <v>5.231166657374331E-2</v>
      </c>
      <c r="Z112" s="31">
        <v>10958</v>
      </c>
      <c r="AA112" s="344">
        <v>5.1556804260536993E-2</v>
      </c>
      <c r="AB112" s="343">
        <f t="shared" si="4"/>
        <v>1.5064876391583937E-3</v>
      </c>
    </row>
    <row r="113" spans="22:28">
      <c r="V113" s="31">
        <v>14611</v>
      </c>
      <c r="W113" s="342">
        <v>4.8141905277374164E-2</v>
      </c>
      <c r="X113" s="31">
        <v>14611</v>
      </c>
      <c r="Y113" s="342">
        <v>4.8528485380574971E-2</v>
      </c>
      <c r="Z113" s="31">
        <v>14611</v>
      </c>
      <c r="AA113" s="344">
        <v>4.8919159018844027E-2</v>
      </c>
      <c r="AB113" s="343">
        <f t="shared" si="4"/>
        <v>-7.7725374146986326E-4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23 AE35" xr:uid="{00000000-0002-0000-0300-000000000000}">
      <formula1>Currency</formula1>
    </dataValidation>
    <dataValidation type="list" allowBlank="1" showInputMessage="1" showErrorMessage="1" sqref="AH32 AH20 AH12 AE12 AE20 AE32" xr:uid="{00000000-0002-0000-0300-000001000000}">
      <formula1>"1D,1M,3M,6M"</formula1>
    </dataValidation>
    <dataValidation type="list" allowBlank="1" showInputMessage="1" showErrorMessage="1" sqref="AH31 AH19 AE31 AE19 AE11 AH11" xr:uid="{00000000-0002-0000-0300-000002000000}">
      <formula1>RateIndex</formula1>
    </dataValidation>
    <dataValidation type="list" allowBlank="1" showInputMessage="1" showErrorMessage="1" sqref="AE15 AH27 AH15 AE27" xr:uid="{00000000-0002-0000-0300-000003000000}">
      <formula1>"RateCurve, DiscountCurve, InflationCurve, RateSpreadCurve, RateBasisCurve"</formula1>
    </dataValidation>
    <dataValidation type="list" allowBlank="1" showInputMessage="1" showErrorMessage="1" sqref="AE7 AH7" xr:uid="{00000000-0002-0000-0300-000004000000}">
      <formula1>"RateCurve, DiscountCurve, InflationCurve, RateSpreadCurve"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B2:AH113"/>
  <sheetViews>
    <sheetView topLeftCell="L1" workbookViewId="0">
      <selection activeCell="Q35" sqref="Q35:R45"/>
    </sheetView>
  </sheetViews>
  <sheetFormatPr defaultRowHeight="12.75"/>
  <cols>
    <col min="1" max="1" width="5" style="31" customWidth="1"/>
    <col min="2" max="2" width="19" style="31" bestFit="1" customWidth="1"/>
    <col min="3" max="3" width="10.5703125" style="31" bestFit="1" customWidth="1"/>
    <col min="4" max="5" width="7.7109375" style="31" bestFit="1" customWidth="1"/>
    <col min="6" max="6" width="9" style="31" bestFit="1" customWidth="1"/>
    <col min="7" max="7" width="2.140625" style="31" customWidth="1"/>
    <col min="8" max="8" width="15.42578125" style="31" bestFit="1" customWidth="1"/>
    <col min="9" max="9" width="10.5703125" style="31" bestFit="1" customWidth="1"/>
    <col min="10" max="11" width="7.140625" style="31" bestFit="1" customWidth="1"/>
    <col min="12" max="12" width="9" style="31" bestFit="1" customWidth="1"/>
    <col min="13" max="13" width="2.140625" style="31" customWidth="1"/>
    <col min="14" max="14" width="19" style="31" bestFit="1" customWidth="1"/>
    <col min="15" max="15" width="10.5703125" style="31" bestFit="1" customWidth="1"/>
    <col min="16" max="17" width="7.7109375" style="31" bestFit="1" customWidth="1"/>
    <col min="18" max="18" width="9" style="31" bestFit="1" customWidth="1"/>
    <col min="19" max="19" width="2" style="31" bestFit="1" customWidth="1"/>
    <col min="20" max="21" width="8.42578125" style="31" customWidth="1"/>
    <col min="22" max="22" width="9.140625" style="31"/>
    <col min="23" max="23" width="8" style="31" customWidth="1"/>
    <col min="24" max="24" width="9.85546875" style="31" bestFit="1" customWidth="1"/>
    <col min="25" max="25" width="9.140625" style="31"/>
    <col min="26" max="26" width="7.85546875" style="31" bestFit="1" customWidth="1"/>
    <col min="27" max="29" width="9.140625" style="31"/>
    <col min="30" max="30" width="21.42578125" style="31" bestFit="1" customWidth="1"/>
    <col min="31" max="31" width="49.28515625" style="31" bestFit="1" customWidth="1"/>
    <col min="32" max="32" width="9.140625" style="31"/>
    <col min="33" max="33" width="18.5703125" style="31" bestFit="1" customWidth="1"/>
    <col min="34" max="34" width="46.28515625" style="31" bestFit="1" customWidth="1"/>
    <col min="35" max="16384" width="9.140625" style="31"/>
  </cols>
  <sheetData>
    <row r="2" spans="2:34" ht="28.5">
      <c r="B2" s="374" t="s">
        <v>59</v>
      </c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  <c r="AB2" s="374"/>
    </row>
    <row r="4" spans="2:34">
      <c r="B4" s="393" t="s">
        <v>351</v>
      </c>
      <c r="C4" s="394"/>
      <c r="D4" s="395"/>
      <c r="E4" s="395"/>
      <c r="F4" s="396"/>
      <c r="H4" s="393" t="s">
        <v>352</v>
      </c>
      <c r="I4" s="394"/>
      <c r="J4" s="395"/>
      <c r="K4" s="395"/>
      <c r="L4" s="396"/>
      <c r="N4" s="393" t="s">
        <v>353</v>
      </c>
      <c r="O4" s="394"/>
      <c r="P4" s="395"/>
      <c r="Q4" s="395"/>
      <c r="R4" s="396"/>
    </row>
    <row r="5" spans="2:34" ht="13.5" thickBot="1">
      <c r="B5" s="331" t="s">
        <v>19</v>
      </c>
      <c r="C5" s="331" t="s">
        <v>55</v>
      </c>
      <c r="D5" s="81" t="s">
        <v>16</v>
      </c>
      <c r="E5" s="81" t="s">
        <v>15</v>
      </c>
      <c r="F5" s="331" t="s">
        <v>54</v>
      </c>
      <c r="H5" s="331" t="s">
        <v>19</v>
      </c>
      <c r="I5" s="331" t="s">
        <v>55</v>
      </c>
      <c r="J5" s="332" t="s">
        <v>16</v>
      </c>
      <c r="K5" s="332" t="s">
        <v>15</v>
      </c>
      <c r="L5" s="4" t="s">
        <v>54</v>
      </c>
      <c r="N5" s="331" t="s">
        <v>19</v>
      </c>
      <c r="O5" s="4" t="s">
        <v>55</v>
      </c>
      <c r="P5" s="332" t="s">
        <v>16</v>
      </c>
      <c r="Q5" s="332" t="s">
        <v>15</v>
      </c>
      <c r="R5" s="4" t="s">
        <v>54</v>
      </c>
    </row>
    <row r="6" spans="2:34" ht="13.5" thickBot="1">
      <c r="B6" s="333" t="str">
        <f>TraderMids!Q38</f>
        <v>AUD-SpreadDeposit-1D-1M</v>
      </c>
      <c r="C6" s="56">
        <f>Spreads!$F$11-Spreads!$K$9</f>
        <v>2.5</v>
      </c>
      <c r="D6" s="9">
        <f>TraderMids!R38+C6/10000</f>
        <v>2.5000000000000001E-4</v>
      </c>
      <c r="E6" s="35">
        <f>TraderMids!R38+F6/10000</f>
        <v>-9.5E-4</v>
      </c>
      <c r="F6" s="55">
        <f>-Spreads!$F$10-Spreads!$L$9</f>
        <v>-9.5</v>
      </c>
      <c r="H6" s="333" t="str">
        <f>TraderMids!M7</f>
        <v>AUD-Deposit-1D</v>
      </c>
      <c r="I6" s="53">
        <f>Spreads!$F$9</f>
        <v>2.5</v>
      </c>
      <c r="J6" s="10">
        <f>TraderMids!O7+I6/10000</f>
        <v>4.7750000000000001E-2</v>
      </c>
      <c r="K6" s="32">
        <f>TraderMids!O7+L6/10000</f>
        <v>4.725E-2</v>
      </c>
      <c r="L6" s="54">
        <f>-Spreads!$F$9</f>
        <v>-2.5</v>
      </c>
      <c r="N6" s="333" t="str">
        <f>TraderMids!M38</f>
        <v>AUD-SpreadDeposit-1D-6M</v>
      </c>
      <c r="O6" s="53">
        <f>Spreads!$L$10+Spreads!$F$11</f>
        <v>2.5</v>
      </c>
      <c r="P6" s="10">
        <f>TraderMids!N38+O6/10000</f>
        <v>1.2652597958140927E-3</v>
      </c>
      <c r="Q6" s="32">
        <f>TraderMids!N38+R6/10000</f>
        <v>3.6525979581409273E-4</v>
      </c>
      <c r="R6" s="54">
        <f>Spreads!$K$10-Spreads!$F$10</f>
        <v>-6.5</v>
      </c>
      <c r="S6" s="31">
        <v>0</v>
      </c>
      <c r="T6" s="334" t="s">
        <v>114</v>
      </c>
      <c r="U6" s="334" t="s">
        <v>339</v>
      </c>
      <c r="V6" s="334" t="s">
        <v>177</v>
      </c>
      <c r="W6" s="334" t="s">
        <v>338</v>
      </c>
      <c r="X6" s="334" t="s">
        <v>340</v>
      </c>
      <c r="Y6" s="334" t="s">
        <v>341</v>
      </c>
      <c r="Z6" s="334" t="s">
        <v>342</v>
      </c>
      <c r="AD6" s="335" t="s">
        <v>221</v>
      </c>
      <c r="AE6" s="336" t="str">
        <f>_xll.HLV5r3.Financial.Cache.CreateCurve_Old(AD7:AE13, H6:H31, J6:J31, S6:S31)</f>
        <v>Market.Retail.OFFER.RateCurve.AUD-LIBOR-BBA-3M</v>
      </c>
      <c r="AG6" s="335" t="s">
        <v>221</v>
      </c>
      <c r="AH6" s="336" t="str">
        <f>_xll.HLV5r3.Financial.Cache.CreateCurve_Old(AG7:AH13, H6:H31, K6:K31, S6:S31)</f>
        <v>Market.Retail.BID.RateCurve.AUD-LIBOR-BBA-3M</v>
      </c>
    </row>
    <row r="7" spans="2:34">
      <c r="B7" s="337" t="str">
        <f>TraderMids!Q39</f>
        <v>AUD-SpreadDeposit-1M-1M</v>
      </c>
      <c r="C7" s="53">
        <f>Spreads!$F$11-Spreads!$K$9</f>
        <v>2.5</v>
      </c>
      <c r="D7" s="10">
        <f>TraderMids!R39+C7/10000</f>
        <v>2.5000000000000001E-4</v>
      </c>
      <c r="E7" s="10">
        <f>TraderMids!R39+F7/10000</f>
        <v>-9.5E-4</v>
      </c>
      <c r="F7" s="55">
        <f>-Spreads!$F$10-Spreads!$L$9</f>
        <v>-9.5</v>
      </c>
      <c r="H7" s="337" t="str">
        <f>TraderMids!M8</f>
        <v>AUD-Deposit-1M</v>
      </c>
      <c r="I7" s="53">
        <f>Spreads!$F$9</f>
        <v>2.5</v>
      </c>
      <c r="J7" s="10">
        <f>TraderMids!O8+I7/10000</f>
        <v>4.845E-2</v>
      </c>
      <c r="K7" s="32">
        <f>TraderMids!O8+L7/10000</f>
        <v>4.795E-2</v>
      </c>
      <c r="L7" s="54">
        <f>-Spreads!$F$9</f>
        <v>-2.5</v>
      </c>
      <c r="N7" s="337" t="str">
        <f>TraderMids!M39</f>
        <v>AUD-SpreadDeposit-1M-6M</v>
      </c>
      <c r="O7" s="53">
        <f>Spreads!$L$10+Spreads!$F$11</f>
        <v>2.5</v>
      </c>
      <c r="P7" s="10">
        <f>TraderMids!N39+O7/10000</f>
        <v>1.2652597958140927E-3</v>
      </c>
      <c r="Q7" s="32">
        <f>TraderMids!N39+R7/10000</f>
        <v>3.6525979581409273E-4</v>
      </c>
      <c r="R7" s="54">
        <f>Spreads!$K$10-Spreads!$F$10</f>
        <v>-6.5</v>
      </c>
      <c r="S7" s="31">
        <v>0</v>
      </c>
      <c r="T7" s="338" t="s">
        <v>343</v>
      </c>
      <c r="U7" s="339">
        <f>U8+P13</f>
        <v>5.4383333333333256E-2</v>
      </c>
      <c r="V7" s="339">
        <f>V8+TraderMids!N45</f>
        <v>5.3983333333333258E-2</v>
      </c>
      <c r="W7" s="339">
        <f>W8+Q13</f>
        <v>5.3183333333333263E-2</v>
      </c>
      <c r="X7" s="339">
        <f t="shared" ref="X7:Y9" si="0">U7-V7</f>
        <v>3.9999999999999758E-4</v>
      </c>
      <c r="Y7" s="339">
        <f t="shared" si="0"/>
        <v>7.9999999999999516E-4</v>
      </c>
      <c r="Z7" s="339">
        <f>X7+Y7</f>
        <v>1.1999999999999927E-3</v>
      </c>
      <c r="AD7" s="340" t="s">
        <v>21</v>
      </c>
      <c r="AE7" s="341" t="s">
        <v>22</v>
      </c>
      <c r="AG7" s="340" t="s">
        <v>21</v>
      </c>
      <c r="AH7" s="341" t="s">
        <v>22</v>
      </c>
    </row>
    <row r="8" spans="2:34">
      <c r="B8" s="337" t="str">
        <f>TraderMids!Q40</f>
        <v>AUD-SpreadDeposit-2M-1M</v>
      </c>
      <c r="C8" s="53">
        <f>Spreads!$F$11-Spreads!$K$9</f>
        <v>2.5</v>
      </c>
      <c r="D8" s="10">
        <f>TraderMids!R40+C8/10000</f>
        <v>8.5000000000001025E-4</v>
      </c>
      <c r="E8" s="10">
        <f>TraderMids!R40+F8/10000</f>
        <v>-3.4999999999998975E-4</v>
      </c>
      <c r="F8" s="55">
        <f>-Spreads!$F$10-Spreads!$L$9</f>
        <v>-9.5</v>
      </c>
      <c r="H8" s="337" t="str">
        <f>TraderMids!M9</f>
        <v>AUD-Deposit-2M</v>
      </c>
      <c r="I8" s="53">
        <f>Spreads!$F$9</f>
        <v>2.5</v>
      </c>
      <c r="J8" s="10">
        <f>TraderMids!O9+I8/10000</f>
        <v>4.9350000000000005E-2</v>
      </c>
      <c r="K8" s="32">
        <f>TraderMids!O9+L8/10000</f>
        <v>4.8850000000000005E-2</v>
      </c>
      <c r="L8" s="54">
        <f>-Spreads!$F$9</f>
        <v>-2.5</v>
      </c>
      <c r="N8" s="337" t="str">
        <f>TraderMids!M40</f>
        <v>AUD-SpreadDeposit-2M-6M</v>
      </c>
      <c r="O8" s="53">
        <f>Spreads!$L$10+Spreads!$F$11</f>
        <v>2.5</v>
      </c>
      <c r="P8" s="10">
        <f>TraderMids!N40+O8/10000</f>
        <v>1.2652597958140927E-3</v>
      </c>
      <c r="Q8" s="32">
        <f>TraderMids!N40+R8/10000</f>
        <v>3.6525979581409273E-4</v>
      </c>
      <c r="R8" s="54">
        <f>Spreads!$K$10-Spreads!$F$10</f>
        <v>-6.5</v>
      </c>
      <c r="S8" s="31">
        <v>0</v>
      </c>
      <c r="T8" s="338" t="s">
        <v>344</v>
      </c>
      <c r="U8" s="339">
        <f>J18</f>
        <v>5.3608333333333258E-2</v>
      </c>
      <c r="V8" s="339">
        <f>TraderMids!O19</f>
        <v>5.320833333333326E-2</v>
      </c>
      <c r="W8" s="339">
        <f>K18</f>
        <v>5.2808333333333263E-2</v>
      </c>
      <c r="X8" s="339">
        <f t="shared" si="0"/>
        <v>3.9999999999999758E-4</v>
      </c>
      <c r="Y8" s="339">
        <f t="shared" si="0"/>
        <v>3.9999999999999758E-4</v>
      </c>
      <c r="Z8" s="339">
        <f>X8+Y8</f>
        <v>7.9999999999999516E-4</v>
      </c>
      <c r="AD8" s="131" t="s">
        <v>306</v>
      </c>
      <c r="AE8" s="360">
        <f>Today</f>
        <v>41513</v>
      </c>
      <c r="AG8" s="131" t="s">
        <v>306</v>
      </c>
      <c r="AH8" s="360">
        <f>AE8</f>
        <v>41513</v>
      </c>
    </row>
    <row r="9" spans="2:34">
      <c r="B9" s="337" t="str">
        <f>TraderMids!Q41</f>
        <v>AUD-SpreadDeposit-3M-1M</v>
      </c>
      <c r="C9" s="53">
        <f>Spreads!$F$11-Spreads!$K$9</f>
        <v>2.5</v>
      </c>
      <c r="D9" s="10">
        <f>TraderMids!R41+C9/10000</f>
        <v>1.249999999999994E-3</v>
      </c>
      <c r="E9" s="10">
        <f>TraderMids!R41+F9/10000</f>
        <v>4.9999999999993951E-5</v>
      </c>
      <c r="F9" s="55">
        <f>-Spreads!$F$10-Spreads!$L$9</f>
        <v>-9.5</v>
      </c>
      <c r="H9" s="337" t="str">
        <f>TraderMids!M10</f>
        <v>AUD-Deposit-3M</v>
      </c>
      <c r="I9" s="53">
        <f>Spreads!$F$9</f>
        <v>2.5</v>
      </c>
      <c r="J9" s="10">
        <f>TraderMids!O10+I9/10000</f>
        <v>5.015E-2</v>
      </c>
      <c r="K9" s="32">
        <f>TraderMids!O10+L9/10000</f>
        <v>4.965E-2</v>
      </c>
      <c r="L9" s="54">
        <f>-Spreads!$F$9</f>
        <v>-2.5</v>
      </c>
      <c r="N9" s="337" t="str">
        <f>TraderMids!M41</f>
        <v>AUD-SpreadDeposit-3M-6M</v>
      </c>
      <c r="O9" s="53">
        <f>Spreads!$L$10+Spreads!$F$11</f>
        <v>2.5</v>
      </c>
      <c r="P9" s="10">
        <f>TraderMids!N41+O9/10000</f>
        <v>1.2652597958140927E-3</v>
      </c>
      <c r="Q9" s="32">
        <f>TraderMids!N41+R9/10000</f>
        <v>3.6525979581409273E-4</v>
      </c>
      <c r="R9" s="54">
        <f>Spreads!$K$10-Spreads!$F$10</f>
        <v>-6.5</v>
      </c>
      <c r="S9" s="31">
        <v>0</v>
      </c>
      <c r="T9" s="338" t="s">
        <v>347</v>
      </c>
      <c r="U9" s="339">
        <f>U8-D13</f>
        <v>5.2408333333333258E-2</v>
      </c>
      <c r="V9" s="339">
        <f>V8-TraderMids!R45</f>
        <v>5.2008333333333261E-2</v>
      </c>
      <c r="W9" s="339">
        <f>W8-E13</f>
        <v>5.0908333333333264E-2</v>
      </c>
      <c r="X9" s="339">
        <f t="shared" si="0"/>
        <v>3.9999999999999758E-4</v>
      </c>
      <c r="Y9" s="339">
        <f t="shared" si="0"/>
        <v>1.0999999999999968E-3</v>
      </c>
      <c r="Z9" s="339">
        <f>X9+Y9</f>
        <v>1.4999999999999944E-3</v>
      </c>
      <c r="AD9" s="340" t="s">
        <v>25</v>
      </c>
      <c r="AE9" s="341" t="s">
        <v>349</v>
      </c>
      <c r="AG9" s="340" t="s">
        <v>25</v>
      </c>
      <c r="AH9" s="341" t="s">
        <v>350</v>
      </c>
    </row>
    <row r="10" spans="2:34">
      <c r="B10" s="337" t="str">
        <f>TraderMids!Q42</f>
        <v>AUD-SpreadDeposit-6M-1M</v>
      </c>
      <c r="C10" s="53">
        <f>Spreads!$F$11-Spreads!$K$9</f>
        <v>2.5</v>
      </c>
      <c r="D10" s="10">
        <f>TraderMids!R42+C10/10000</f>
        <v>1.3347402041858981E-3</v>
      </c>
      <c r="E10" s="10">
        <f>TraderMids!R42+F10/10000</f>
        <v>1.3474020418589806E-4</v>
      </c>
      <c r="F10" s="55">
        <f>-Spreads!$F$10-Spreads!$L$9</f>
        <v>-9.5</v>
      </c>
      <c r="H10" s="337" t="str">
        <f>TraderMids!M11</f>
        <v>AUD-IRFuture-IR-1</v>
      </c>
      <c r="I10" s="53">
        <f>Spreads!F9</f>
        <v>2.5</v>
      </c>
      <c r="J10" s="10">
        <f>TraderMids!O11+I10/10000</f>
        <v>5.0599999999999964E-2</v>
      </c>
      <c r="K10" s="32">
        <f>TraderMids!O11+L10/10000</f>
        <v>5.0099999999999964E-2</v>
      </c>
      <c r="L10" s="54">
        <f>-Spreads!F9</f>
        <v>-2.5</v>
      </c>
      <c r="N10" s="337" t="str">
        <f>TraderMids!M42</f>
        <v>AUD-SpreadDeposit-6M-6M</v>
      </c>
      <c r="O10" s="53">
        <f>Spreads!$L$10+Spreads!$F$11</f>
        <v>2.5</v>
      </c>
      <c r="P10" s="10">
        <f>TraderMids!N42+O10/10000</f>
        <v>1.2652597958140927E-3</v>
      </c>
      <c r="Q10" s="32">
        <f>TraderMids!N42+R10/10000</f>
        <v>3.6525979581409273E-4</v>
      </c>
      <c r="R10" s="54">
        <f>Spreads!$K$10-Spreads!$F$10</f>
        <v>-6.5</v>
      </c>
      <c r="S10" s="31">
        <v>0</v>
      </c>
      <c r="AD10" s="340" t="s">
        <v>41</v>
      </c>
      <c r="AE10" s="341" t="str">
        <f>AE11&amp;"-"&amp;AE12</f>
        <v>AUD-LIBOR-BBA-3M</v>
      </c>
      <c r="AG10" s="340" t="s">
        <v>41</v>
      </c>
      <c r="AH10" s="341" t="str">
        <f>AH11&amp;"-"&amp;AH12</f>
        <v>AUD-LIBOR-BBA-3M</v>
      </c>
    </row>
    <row r="11" spans="2:34">
      <c r="B11" s="337" t="str">
        <f>TraderMids!Q43</f>
        <v>AUD-BasisSwap-1Y-1M</v>
      </c>
      <c r="C11" s="53">
        <f>Spreads!$K$9</f>
        <v>0</v>
      </c>
      <c r="D11" s="10">
        <f>TraderMids!R43+C11/10000</f>
        <v>1.075E-3</v>
      </c>
      <c r="E11" s="10">
        <f>TraderMids!R43+F11/10000</f>
        <v>1.7750000000000001E-3</v>
      </c>
      <c r="F11" s="55">
        <f>Spreads!$L$9</f>
        <v>7</v>
      </c>
      <c r="H11" s="337" t="str">
        <f>TraderMids!M12</f>
        <v>AUD-IRFuture-IR-2</v>
      </c>
      <c r="I11" s="53">
        <f>Spreads!F10</f>
        <v>2.5</v>
      </c>
      <c r="J11" s="10">
        <f>TraderMids!O12+I11/10000</f>
        <v>5.1400000000000091E-2</v>
      </c>
      <c r="K11" s="32">
        <f>TraderMids!O12+L11/10000</f>
        <v>5.0900000000000091E-2</v>
      </c>
      <c r="L11" s="54">
        <f>-Spreads!F10</f>
        <v>-2.5</v>
      </c>
      <c r="N11" s="337" t="str">
        <f>TraderMids!M43</f>
        <v>AUD-BasisSwap-1Y-6M</v>
      </c>
      <c r="O11" s="53">
        <f>Spreads!$L$10</f>
        <v>0</v>
      </c>
      <c r="P11" s="10">
        <f>TraderMids!N43+O11/10000</f>
        <v>8.25E-4</v>
      </c>
      <c r="Q11" s="32">
        <f>TraderMids!N43+R11/10000</f>
        <v>4.2499999999999998E-4</v>
      </c>
      <c r="R11" s="54">
        <f>Spreads!$K$10</f>
        <v>-4</v>
      </c>
      <c r="S11" s="31">
        <v>0</v>
      </c>
      <c r="AD11" s="340" t="s">
        <v>38</v>
      </c>
      <c r="AE11" s="341" t="s">
        <v>39</v>
      </c>
      <c r="AG11" s="340" t="s">
        <v>38</v>
      </c>
      <c r="AH11" s="341" t="s">
        <v>39</v>
      </c>
    </row>
    <row r="12" spans="2:34">
      <c r="B12" s="337" t="str">
        <f>TraderMids!Q44</f>
        <v>AUD-BasisSwap-2Y-1M</v>
      </c>
      <c r="C12" s="53">
        <f>Spreads!$K$9</f>
        <v>0</v>
      </c>
      <c r="D12" s="10">
        <f>TraderMids!R44+C12/10000</f>
        <v>1.1749999999999998E-3</v>
      </c>
      <c r="E12" s="10">
        <f>TraderMids!R44+F12/10000</f>
        <v>1.8749999999999999E-3</v>
      </c>
      <c r="F12" s="55">
        <f>Spreads!$L$9</f>
        <v>7</v>
      </c>
      <c r="H12" s="337" t="str">
        <f>TraderMids!M13</f>
        <v>AUD-IRFuture-IR-3</v>
      </c>
      <c r="I12" s="53">
        <f>Spreads!F11</f>
        <v>2.5</v>
      </c>
      <c r="J12" s="10">
        <f>TraderMids!O13+I12/10000</f>
        <v>5.2099842770000022E-2</v>
      </c>
      <c r="K12" s="32">
        <f>TraderMids!O13+L12/10000</f>
        <v>5.1599842770000022E-2</v>
      </c>
      <c r="L12" s="54">
        <f>-Spreads!F11</f>
        <v>-2.5</v>
      </c>
      <c r="N12" s="337" t="str">
        <f>TraderMids!M44</f>
        <v>AUD-BasisSwap-2Y-6M</v>
      </c>
      <c r="O12" s="53">
        <f>Spreads!$L$10</f>
        <v>0</v>
      </c>
      <c r="P12" s="10">
        <f>TraderMids!N44+O12/10000</f>
        <v>8.0000000000000004E-4</v>
      </c>
      <c r="Q12" s="32">
        <f>TraderMids!N44+R12/10000</f>
        <v>4.0000000000000002E-4</v>
      </c>
      <c r="R12" s="54">
        <f>Spreads!$K$10</f>
        <v>-4</v>
      </c>
      <c r="S12" s="31">
        <v>0</v>
      </c>
      <c r="AD12" s="340" t="s">
        <v>28</v>
      </c>
      <c r="AE12" s="341" t="s">
        <v>10</v>
      </c>
      <c r="AG12" s="340" t="s">
        <v>28</v>
      </c>
      <c r="AH12" s="341" t="s">
        <v>10</v>
      </c>
    </row>
    <row r="13" spans="2:34" ht="13.5" thickBot="1">
      <c r="B13" s="337" t="str">
        <f>TraderMids!Q45</f>
        <v>AUD-BasisSwap-3Y-1M</v>
      </c>
      <c r="C13" s="53">
        <f>Spreads!$K$9</f>
        <v>0</v>
      </c>
      <c r="D13" s="10">
        <f>TraderMids!R45+C13/10000</f>
        <v>1.1999999999999999E-3</v>
      </c>
      <c r="E13" s="10">
        <f>TraderMids!R45+F13/10000</f>
        <v>1.8999999999999998E-3</v>
      </c>
      <c r="F13" s="55">
        <f>Spreads!$L$9</f>
        <v>7</v>
      </c>
      <c r="H13" s="337" t="str">
        <f>TraderMids!M14</f>
        <v>AUD-IRFuture-IR-4</v>
      </c>
      <c r="I13" s="53">
        <f>Spreads!F12</f>
        <v>2.5</v>
      </c>
      <c r="J13" s="10">
        <f>TraderMids!O14+I13/10000</f>
        <v>5.2895764215999862E-2</v>
      </c>
      <c r="K13" s="32">
        <f>TraderMids!O14+L13/10000</f>
        <v>5.2395764215999861E-2</v>
      </c>
      <c r="L13" s="54">
        <f>-Spreads!F12</f>
        <v>-2.5</v>
      </c>
      <c r="N13" s="337" t="str">
        <f>TraderMids!M45</f>
        <v>AUD-BasisSwap-3Y-6M</v>
      </c>
      <c r="O13" s="53">
        <f>Spreads!$L$10</f>
        <v>0</v>
      </c>
      <c r="P13" s="10">
        <f>TraderMids!N45+O13/10000</f>
        <v>7.7499999999999997E-4</v>
      </c>
      <c r="Q13" s="32">
        <f>TraderMids!N45+R13/10000</f>
        <v>3.7499999999999995E-4</v>
      </c>
      <c r="R13" s="54">
        <f>Spreads!$K$10</f>
        <v>-4</v>
      </c>
      <c r="S13" s="31">
        <v>0</v>
      </c>
      <c r="T13" s="334" t="s">
        <v>115</v>
      </c>
      <c r="U13" s="334" t="s">
        <v>339</v>
      </c>
      <c r="V13" s="334" t="s">
        <v>177</v>
      </c>
      <c r="W13" s="334" t="s">
        <v>338</v>
      </c>
      <c r="X13" s="334" t="s">
        <v>340</v>
      </c>
      <c r="Y13" s="334" t="s">
        <v>341</v>
      </c>
      <c r="Z13" s="334" t="s">
        <v>342</v>
      </c>
      <c r="AD13" s="340" t="s">
        <v>34</v>
      </c>
      <c r="AE13" s="341" t="s">
        <v>246</v>
      </c>
      <c r="AG13" s="340" t="s">
        <v>34</v>
      </c>
      <c r="AH13" s="341" t="s">
        <v>246</v>
      </c>
    </row>
    <row r="14" spans="2:34" ht="13.5" thickBot="1">
      <c r="B14" s="337" t="str">
        <f>TraderMids!Q46</f>
        <v>AUD-BasisSwap-4Y-1M</v>
      </c>
      <c r="C14" s="53">
        <f>Spreads!$K$9</f>
        <v>0</v>
      </c>
      <c r="D14" s="10">
        <f>TraderMids!R46+C14/10000</f>
        <v>1.1999999999999999E-3</v>
      </c>
      <c r="E14" s="10">
        <f>TraderMids!R46+F14/10000</f>
        <v>1.8999999999999998E-3</v>
      </c>
      <c r="F14" s="55">
        <f>Spreads!$L$9</f>
        <v>7</v>
      </c>
      <c r="H14" s="337" t="str">
        <f>TraderMids!M15</f>
        <v>AUD-IRFuture-IR-5</v>
      </c>
      <c r="I14" s="53">
        <f>Spreads!F13</f>
        <v>2.5</v>
      </c>
      <c r="J14" s="10">
        <f>TraderMids!O15+I14/10000</f>
        <v>5.3386116282999975E-2</v>
      </c>
      <c r="K14" s="32">
        <f>TraderMids!O15+L14/10000</f>
        <v>5.2886116282999975E-2</v>
      </c>
      <c r="L14" s="54">
        <f>-Spreads!F13</f>
        <v>-2.5</v>
      </c>
      <c r="N14" s="337" t="str">
        <f>TraderMids!M46</f>
        <v>AUD-BasisSwap-4Y-6M</v>
      </c>
      <c r="O14" s="53">
        <f>Spreads!$K$10</f>
        <v>-4</v>
      </c>
      <c r="P14" s="10">
        <f>TraderMids!N46+O14/10000</f>
        <v>3.7499999999999995E-4</v>
      </c>
      <c r="Q14" s="32">
        <f>TraderMids!N46+R14/10000</f>
        <v>7.7499999999999997E-4</v>
      </c>
      <c r="R14" s="54">
        <f>Spreads!$L$10</f>
        <v>0</v>
      </c>
      <c r="S14" s="31">
        <v>0</v>
      </c>
      <c r="T14" s="338" t="s">
        <v>343</v>
      </c>
      <c r="U14" s="339">
        <f>U15+P14</f>
        <v>5.5683333333333258E-2</v>
      </c>
      <c r="V14" s="339">
        <f>TraderMids!D28</f>
        <v>5.5283333333333254E-2</v>
      </c>
      <c r="W14" s="339">
        <f>W15+Q14</f>
        <v>5.4883333333333256E-2</v>
      </c>
      <c r="X14" s="339">
        <f t="shared" ref="X14:Y16" si="1">U14-V14</f>
        <v>4.0000000000000452E-4</v>
      </c>
      <c r="Y14" s="339">
        <f t="shared" si="1"/>
        <v>3.9999999999999758E-4</v>
      </c>
      <c r="Z14" s="339">
        <f>X14+Y14</f>
        <v>8.000000000000021E-4</v>
      </c>
      <c r="AD14" s="335" t="s">
        <v>221</v>
      </c>
      <c r="AE14" s="336" t="str">
        <f>_xll.HLV5r3.Financial.Cache.CreateRateBasisCurve(AD15:AE23, N6:N26, P6:P26)</f>
        <v>Market.Retail.OFFER.RateCurve.AUD-LIBOR-BBA-6M</v>
      </c>
      <c r="AG14" s="335" t="s">
        <v>221</v>
      </c>
      <c r="AH14" s="336" t="str">
        <f>_xll.HLV5r3.Financial.Cache.CreateRateBasisCurve(AG15:AH23, N6:N26, Q6:Q26)</f>
        <v>Market.Retail.BID.RateCurve.AUD-LIBOR-BBA-6M</v>
      </c>
    </row>
    <row r="15" spans="2:34">
      <c r="B15" s="337" t="str">
        <f>TraderMids!Q47</f>
        <v>AUD-BasisSwap-5Y-1M</v>
      </c>
      <c r="C15" s="53">
        <f>Spreads!$K$9</f>
        <v>0</v>
      </c>
      <c r="D15" s="10">
        <f>TraderMids!R47+C15/10000</f>
        <v>1.1749999999999998E-3</v>
      </c>
      <c r="E15" s="10">
        <f>TraderMids!R47+F15/10000</f>
        <v>1.8749999999999999E-3</v>
      </c>
      <c r="F15" s="55">
        <f>Spreads!$L$9</f>
        <v>7</v>
      </c>
      <c r="H15" s="337" t="str">
        <f>TraderMids!M16</f>
        <v>AUD-IRFuture-IR-6</v>
      </c>
      <c r="I15" s="53">
        <f>Spreads!F14</f>
        <v>2.5</v>
      </c>
      <c r="J15" s="10">
        <f>TraderMids!O16+I15/10000</f>
        <v>5.3820860767000135E-2</v>
      </c>
      <c r="K15" s="32">
        <f>TraderMids!O16+L15/10000</f>
        <v>5.3320860767000135E-2</v>
      </c>
      <c r="L15" s="54">
        <f>-Spreads!F14</f>
        <v>-2.5</v>
      </c>
      <c r="N15" s="337" t="str">
        <f>TraderMids!M47</f>
        <v>AUD-BasisSwap-5Y-6M</v>
      </c>
      <c r="O15" s="53">
        <f>Spreads!$K$10</f>
        <v>-4</v>
      </c>
      <c r="P15" s="10">
        <f>TraderMids!N47+O15/10000</f>
        <v>3.2499999999999993E-4</v>
      </c>
      <c r="Q15" s="32">
        <f>TraderMids!N47+R15/10000</f>
        <v>7.2499999999999995E-4</v>
      </c>
      <c r="R15" s="54">
        <f>Spreads!$L$10</f>
        <v>0</v>
      </c>
      <c r="S15" s="31">
        <v>0</v>
      </c>
      <c r="T15" s="338" t="s">
        <v>344</v>
      </c>
      <c r="U15" s="339">
        <f>J19</f>
        <v>5.5308333333333258E-2</v>
      </c>
      <c r="V15" s="339">
        <f>TraderMids!O20</f>
        <v>5.4508333333333256E-2</v>
      </c>
      <c r="W15" s="339">
        <f>K19</f>
        <v>5.4108333333333258E-2</v>
      </c>
      <c r="X15" s="339">
        <f t="shared" si="1"/>
        <v>8.000000000000021E-4</v>
      </c>
      <c r="Y15" s="339">
        <f t="shared" si="1"/>
        <v>3.9999999999999758E-4</v>
      </c>
      <c r="Z15" s="339">
        <f>X15+Y15</f>
        <v>1.1999999999999997E-3</v>
      </c>
      <c r="AD15" s="340" t="s">
        <v>21</v>
      </c>
      <c r="AE15" s="341" t="s">
        <v>269</v>
      </c>
      <c r="AG15" s="340" t="s">
        <v>21</v>
      </c>
      <c r="AH15" s="341" t="s">
        <v>269</v>
      </c>
    </row>
    <row r="16" spans="2:34">
      <c r="B16" s="337" t="str">
        <f>TraderMids!Q48</f>
        <v>AUD-BasisSwap-6Y-1M</v>
      </c>
      <c r="C16" s="53">
        <f>Spreads!$K$9</f>
        <v>0</v>
      </c>
      <c r="D16" s="10">
        <f>TraderMids!R48+C16/10000</f>
        <v>1.1249999999999999E-3</v>
      </c>
      <c r="E16" s="10">
        <f>TraderMids!R48+F16/10000</f>
        <v>1.8249999999999998E-3</v>
      </c>
      <c r="F16" s="55">
        <f>Spreads!$L$9</f>
        <v>7</v>
      </c>
      <c r="H16" s="337" t="str">
        <f>TraderMids!M17</f>
        <v>AUD-IRFuture-IR-7</v>
      </c>
      <c r="I16" s="53">
        <f>Spreads!F15</f>
        <v>2.5</v>
      </c>
      <c r="J16" s="10">
        <f>TraderMids!O17+I16/10000</f>
        <v>5.4200021843000053E-2</v>
      </c>
      <c r="K16" s="32">
        <f>TraderMids!O17+L16/10000</f>
        <v>5.3700021843000052E-2</v>
      </c>
      <c r="L16" s="54">
        <f>-Spreads!F15</f>
        <v>-2.5</v>
      </c>
      <c r="N16" s="337" t="str">
        <f>TraderMids!M48</f>
        <v>AUD-BasisSwap-6Y-6M</v>
      </c>
      <c r="O16" s="53">
        <f>Spreads!$K$10</f>
        <v>-4</v>
      </c>
      <c r="P16" s="10">
        <f>TraderMids!N48+O16/10000</f>
        <v>2.9999999999999997E-4</v>
      </c>
      <c r="Q16" s="32">
        <f>TraderMids!N48+R16/10000</f>
        <v>6.9999999999999999E-4</v>
      </c>
      <c r="R16" s="54">
        <f>Spreads!$L$10</f>
        <v>0</v>
      </c>
      <c r="S16" s="31">
        <v>0</v>
      </c>
      <c r="T16" s="338" t="s">
        <v>347</v>
      </c>
      <c r="U16" s="339">
        <f>U15-D14</f>
        <v>5.4108333333333258E-2</v>
      </c>
      <c r="V16" s="339">
        <f>V15-TraderMids!R46</f>
        <v>5.3308333333333256E-2</v>
      </c>
      <c r="W16" s="339">
        <f>W15-E14</f>
        <v>5.2208333333333259E-2</v>
      </c>
      <c r="X16" s="339">
        <f t="shared" si="1"/>
        <v>8.000000000000021E-4</v>
      </c>
      <c r="Y16" s="339">
        <f t="shared" si="1"/>
        <v>1.0999999999999968E-3</v>
      </c>
      <c r="Z16" s="339">
        <f>X16+Y16</f>
        <v>1.8999999999999989E-3</v>
      </c>
      <c r="AD16" s="131" t="s">
        <v>306</v>
      </c>
      <c r="AE16" s="360">
        <f>AE8</f>
        <v>41513</v>
      </c>
      <c r="AG16" s="131" t="s">
        <v>306</v>
      </c>
      <c r="AH16" s="360">
        <f>AE16</f>
        <v>41513</v>
      </c>
    </row>
    <row r="17" spans="2:34">
      <c r="B17" s="337" t="str">
        <f>TraderMids!Q49</f>
        <v>AUD-BasisSwap-7Y-1M</v>
      </c>
      <c r="C17" s="53">
        <f>Spreads!$K$9</f>
        <v>0</v>
      </c>
      <c r="D17" s="10">
        <f>TraderMids!R49+C17/10000</f>
        <v>1.075E-3</v>
      </c>
      <c r="E17" s="10">
        <f>TraderMids!R49+F17/10000</f>
        <v>1.7750000000000001E-3</v>
      </c>
      <c r="F17" s="55">
        <f>Spreads!$L$9</f>
        <v>7</v>
      </c>
      <c r="H17" s="337" t="str">
        <f>TraderMids!M18</f>
        <v>AUD-IRFuture-IR-8</v>
      </c>
      <c r="I17" s="53">
        <f>Spreads!F16</f>
        <v>2.5</v>
      </c>
      <c r="J17" s="10">
        <f>TraderMids!O18+I17/10000</f>
        <v>5.4471653546000073E-2</v>
      </c>
      <c r="K17" s="32">
        <f>TraderMids!O18+L17/10000</f>
        <v>5.3971653546000073E-2</v>
      </c>
      <c r="L17" s="54">
        <f>-Spreads!F16</f>
        <v>-2.5</v>
      </c>
      <c r="N17" s="337" t="str">
        <f>TraderMids!M49</f>
        <v>AUD-BasisSwap-7Y-6M</v>
      </c>
      <c r="O17" s="53">
        <f>Spreads!$K$10</f>
        <v>-4</v>
      </c>
      <c r="P17" s="10">
        <f>TraderMids!N49+O17/10000</f>
        <v>2.7500000000000002E-4</v>
      </c>
      <c r="Q17" s="32">
        <f>TraderMids!N49+R17/10000</f>
        <v>6.7500000000000004E-4</v>
      </c>
      <c r="R17" s="54">
        <f>Spreads!$L$10</f>
        <v>0</v>
      </c>
      <c r="S17" s="31">
        <v>0</v>
      </c>
      <c r="AD17" s="340" t="s">
        <v>25</v>
      </c>
      <c r="AE17" s="341" t="s">
        <v>349</v>
      </c>
      <c r="AG17" s="340" t="s">
        <v>25</v>
      </c>
      <c r="AH17" s="341" t="s">
        <v>350</v>
      </c>
    </row>
    <row r="18" spans="2:34">
      <c r="B18" s="337" t="str">
        <f>TraderMids!Q50</f>
        <v>AUD-BasisSwap-8Y-1M</v>
      </c>
      <c r="C18" s="53">
        <f>Spreads!$K$9</f>
        <v>0</v>
      </c>
      <c r="D18" s="10">
        <f>TraderMids!R50+C18/10000</f>
        <v>1.0333333333333334E-3</v>
      </c>
      <c r="E18" s="10">
        <f>TraderMids!R50+F18/10000</f>
        <v>1.7333333333333333E-3</v>
      </c>
      <c r="F18" s="55">
        <f>Spreads!$L$9</f>
        <v>7</v>
      </c>
      <c r="H18" s="337" t="str">
        <f>TraderMids!M19</f>
        <v>AUD-IRSwap-3Y</v>
      </c>
      <c r="I18" s="53">
        <f>Spreads!F17</f>
        <v>4</v>
      </c>
      <c r="J18" s="10">
        <f>TraderMids!O19+I18/10000</f>
        <v>5.3608333333333258E-2</v>
      </c>
      <c r="K18" s="32">
        <f>TraderMids!O19+L18/10000</f>
        <v>5.2808333333333263E-2</v>
      </c>
      <c r="L18" s="54">
        <f>-Spreads!F17</f>
        <v>-4</v>
      </c>
      <c r="N18" s="337" t="str">
        <f>TraderMids!M50</f>
        <v>AUD-BasisSwap-8Y-6M</v>
      </c>
      <c r="O18" s="53">
        <f>Spreads!$K$10</f>
        <v>-4</v>
      </c>
      <c r="P18" s="10">
        <f>TraderMids!N50+O18/10000</f>
        <v>2.6666666666666663E-4</v>
      </c>
      <c r="Q18" s="32">
        <f>TraderMids!N50+R18/10000</f>
        <v>6.6666666666666664E-4</v>
      </c>
      <c r="R18" s="54">
        <f>Spreads!$L$10</f>
        <v>0</v>
      </c>
      <c r="S18" s="31">
        <v>0</v>
      </c>
      <c r="AD18" s="340" t="s">
        <v>270</v>
      </c>
      <c r="AE18" s="341" t="str">
        <f>AE6</f>
        <v>Market.Retail.OFFER.RateCurve.AUD-LIBOR-BBA-3M</v>
      </c>
      <c r="AG18" s="340" t="s">
        <v>270</v>
      </c>
      <c r="AH18" s="341" t="str">
        <f>AH6</f>
        <v>Market.Retail.BID.RateCurve.AUD-LIBOR-BBA-3M</v>
      </c>
    </row>
    <row r="19" spans="2:34">
      <c r="B19" s="337" t="str">
        <f>TraderMids!Q51</f>
        <v>AUD-BasisSwap-9Y-1M</v>
      </c>
      <c r="C19" s="53">
        <f>Spreads!$K$9</f>
        <v>0</v>
      </c>
      <c r="D19" s="10">
        <f>TraderMids!R51+C19/10000</f>
        <v>9.9166666666666674E-4</v>
      </c>
      <c r="E19" s="10">
        <f>TraderMids!R51+F19/10000</f>
        <v>1.6916666666666668E-3</v>
      </c>
      <c r="F19" s="55">
        <f>Spreads!$L$9</f>
        <v>7</v>
      </c>
      <c r="H19" s="337" t="str">
        <f>TraderMids!M20</f>
        <v>AUD-IRSwap-4Y</v>
      </c>
      <c r="I19" s="53">
        <f>Spreads!F18-Spreads!$K$10</f>
        <v>8</v>
      </c>
      <c r="J19" s="10">
        <f>TraderMids!O20+I19/10000</f>
        <v>5.5308333333333258E-2</v>
      </c>
      <c r="K19" s="32">
        <f>TraderMids!O20+L19/10000</f>
        <v>5.4108333333333258E-2</v>
      </c>
      <c r="L19" s="54">
        <f>-Spreads!F18-Spreads!$L$10</f>
        <v>-4</v>
      </c>
      <c r="N19" s="337" t="str">
        <f>TraderMids!M51</f>
        <v>AUD-BasisSwap-9Y-6M</v>
      </c>
      <c r="O19" s="53">
        <f>Spreads!$K$10</f>
        <v>-4</v>
      </c>
      <c r="P19" s="10">
        <f>TraderMids!N51+O19/10000</f>
        <v>2.5833333333333334E-4</v>
      </c>
      <c r="Q19" s="32">
        <f>TraderMids!N51+R19/10000</f>
        <v>6.5833333333333336E-4</v>
      </c>
      <c r="R19" s="54">
        <f>Spreads!$L$10</f>
        <v>0</v>
      </c>
      <c r="S19" s="31">
        <v>0</v>
      </c>
      <c r="AD19" s="340" t="s">
        <v>38</v>
      </c>
      <c r="AE19" s="341" t="s">
        <v>39</v>
      </c>
      <c r="AG19" s="340" t="s">
        <v>38</v>
      </c>
      <c r="AH19" s="341" t="s">
        <v>39</v>
      </c>
    </row>
    <row r="20" spans="2:34">
      <c r="B20" s="337" t="str">
        <f>TraderMids!Q52</f>
        <v>AUD-BasisSwap-10Y-1M</v>
      </c>
      <c r="C20" s="53">
        <f>Spreads!$K$9</f>
        <v>0</v>
      </c>
      <c r="D20" s="10">
        <f>TraderMids!R52+C20/10000</f>
        <v>9.5E-4</v>
      </c>
      <c r="E20" s="10">
        <f>TraderMids!R52+F20/10000</f>
        <v>1.65E-3</v>
      </c>
      <c r="F20" s="55">
        <f>Spreads!$L$9</f>
        <v>7</v>
      </c>
      <c r="H20" s="337" t="str">
        <f>TraderMids!M21</f>
        <v>AUD-IRSwap-5Y</v>
      </c>
      <c r="I20" s="53">
        <f>Spreads!F19-Spreads!$K$10</f>
        <v>8</v>
      </c>
      <c r="J20" s="10">
        <f>TraderMids!O21+I20/10000</f>
        <v>5.6441666666666591E-2</v>
      </c>
      <c r="K20" s="32">
        <f>TraderMids!O21+L20/10000</f>
        <v>5.5241666666666592E-2</v>
      </c>
      <c r="L20" s="54">
        <f>-Spreads!F19-Spreads!$L$10</f>
        <v>-4</v>
      </c>
      <c r="N20" s="337" t="str">
        <f>TraderMids!M52</f>
        <v>AUD-BasisSwap-10Y-6M</v>
      </c>
      <c r="O20" s="53">
        <f>Spreads!$K$10</f>
        <v>-4</v>
      </c>
      <c r="P20" s="10">
        <f>TraderMids!N52+O20/10000</f>
        <v>2.4999999999999995E-4</v>
      </c>
      <c r="Q20" s="32">
        <f>TraderMids!N52+R20/10000</f>
        <v>6.4999999999999997E-4</v>
      </c>
      <c r="R20" s="54">
        <f>Spreads!$L$10</f>
        <v>0</v>
      </c>
      <c r="S20" s="31">
        <v>0</v>
      </c>
      <c r="AD20" s="340" t="s">
        <v>28</v>
      </c>
      <c r="AE20" s="341" t="s">
        <v>13</v>
      </c>
      <c r="AG20" s="340" t="s">
        <v>28</v>
      </c>
      <c r="AH20" s="341" t="s">
        <v>13</v>
      </c>
    </row>
    <row r="21" spans="2:34">
      <c r="B21" s="337" t="str">
        <f>TraderMids!Q53</f>
        <v>AUD-BasisSwap-12Y-1M</v>
      </c>
      <c r="C21" s="53">
        <f>Spreads!$K$9</f>
        <v>0</v>
      </c>
      <c r="D21" s="10">
        <f>TraderMids!R53+C21/10000</f>
        <v>8.3567447182005114E-4</v>
      </c>
      <c r="E21" s="10">
        <f>TraderMids!R53+F21/10000</f>
        <v>1.5356744718200512E-3</v>
      </c>
      <c r="F21" s="55">
        <f>Spreads!$L$9</f>
        <v>7</v>
      </c>
      <c r="H21" s="337" t="str">
        <f>TraderMids!M22</f>
        <v>AUD-IRSwap-6Y</v>
      </c>
      <c r="I21" s="53">
        <f>Spreads!F20-Spreads!$K$10</f>
        <v>8</v>
      </c>
      <c r="J21" s="10">
        <f>TraderMids!O22+I21/10000</f>
        <v>5.7400000000000097E-2</v>
      </c>
      <c r="K21" s="32">
        <f>TraderMids!O22+L21/10000</f>
        <v>5.6200000000000097E-2</v>
      </c>
      <c r="L21" s="54">
        <f>-Spreads!F20-Spreads!$L$10</f>
        <v>-4</v>
      </c>
      <c r="N21" s="337" t="str">
        <f>TraderMids!M53</f>
        <v>AUD-BasisSwap-12Y-6M</v>
      </c>
      <c r="O21" s="53">
        <f>Spreads!$K$10</f>
        <v>-4</v>
      </c>
      <c r="P21" s="10">
        <f>TraderMids!N53+O21/10000</f>
        <v>2.0000000000000004E-4</v>
      </c>
      <c r="Q21" s="32">
        <f>TraderMids!N53+R21/10000</f>
        <v>6.0000000000000006E-4</v>
      </c>
      <c r="R21" s="54">
        <f>Spreads!$L$10</f>
        <v>0</v>
      </c>
      <c r="S21" s="31">
        <v>0</v>
      </c>
      <c r="AD21" s="340" t="s">
        <v>41</v>
      </c>
      <c r="AE21" s="341" t="str">
        <f>AE19&amp;"-"&amp;AE20</f>
        <v>AUD-LIBOR-BBA-6M</v>
      </c>
      <c r="AG21" s="340" t="s">
        <v>41</v>
      </c>
      <c r="AH21" s="341" t="str">
        <f>AH19&amp;"-"&amp;AH20</f>
        <v>AUD-LIBOR-BBA-6M</v>
      </c>
    </row>
    <row r="22" spans="2:34">
      <c r="B22" s="337" t="str">
        <f>TraderMids!Q54</f>
        <v>AUD-BasisSwap-15Y-1M</v>
      </c>
      <c r="C22" s="53">
        <f>Spreads!$K$9</f>
        <v>0</v>
      </c>
      <c r="D22" s="10">
        <f>TraderMids!R54+C22/10000</f>
        <v>7.2363255302059643E-4</v>
      </c>
      <c r="E22" s="10">
        <f>TraderMids!R54+F22/10000</f>
        <v>1.4236325530205965E-3</v>
      </c>
      <c r="F22" s="55">
        <f>Spreads!$L$9</f>
        <v>7</v>
      </c>
      <c r="H22" s="337" t="str">
        <f>TraderMids!M23</f>
        <v>AUD-IRSwap-7Y</v>
      </c>
      <c r="I22" s="53">
        <f>Spreads!F21-Spreads!$K$10</f>
        <v>9</v>
      </c>
      <c r="J22" s="10">
        <f>TraderMids!O23+I22/10000</f>
        <v>5.8191666666666753E-2</v>
      </c>
      <c r="K22" s="32">
        <f>TraderMids!O23+L22/10000</f>
        <v>5.6791666666666754E-2</v>
      </c>
      <c r="L22" s="54">
        <f>-Spreads!F21-Spreads!$L$10</f>
        <v>-5</v>
      </c>
      <c r="N22" s="337" t="str">
        <f>TraderMids!M54</f>
        <v>AUD-BasisSwap-15Y-6M</v>
      </c>
      <c r="O22" s="53">
        <f>Spreads!$K$10</f>
        <v>-4</v>
      </c>
      <c r="P22" s="10">
        <f>TraderMids!N54+O22/10000</f>
        <v>1.2499999999999995E-4</v>
      </c>
      <c r="Q22" s="32">
        <f>TraderMids!N54+R22/10000</f>
        <v>5.2499999999999997E-4</v>
      </c>
      <c r="R22" s="54">
        <f>Spreads!$L$10</f>
        <v>0</v>
      </c>
      <c r="S22" s="31">
        <v>0</v>
      </c>
      <c r="AD22" s="340" t="s">
        <v>34</v>
      </c>
      <c r="AE22" s="341" t="s">
        <v>246</v>
      </c>
      <c r="AG22" s="340" t="s">
        <v>34</v>
      </c>
      <c r="AH22" s="341" t="s">
        <v>246</v>
      </c>
    </row>
    <row r="23" spans="2:34">
      <c r="B23" s="337" t="str">
        <f>TraderMids!Q55</f>
        <v>AUD-BasisSwap-20Y-1M</v>
      </c>
      <c r="C23" s="53">
        <f>Spreads!$K$9</f>
        <v>0</v>
      </c>
      <c r="D23" s="10">
        <f>TraderMids!R55+C23/10000</f>
        <v>6.1389101905463014E-4</v>
      </c>
      <c r="E23" s="10">
        <f>TraderMids!R55+F23/10000</f>
        <v>1.31389101905463E-3</v>
      </c>
      <c r="F23" s="55">
        <f>Spreads!$L$9</f>
        <v>7</v>
      </c>
      <c r="H23" s="337" t="str">
        <f>TraderMids!M24</f>
        <v>AUD-IRSwap-8Y</v>
      </c>
      <c r="I23" s="53">
        <f>Spreads!F22-Spreads!$K$10</f>
        <v>9</v>
      </c>
      <c r="J23" s="10">
        <f>TraderMids!O24+I23/10000</f>
        <v>5.8658333333333416E-2</v>
      </c>
      <c r="K23" s="32">
        <f>TraderMids!O24+L23/10000</f>
        <v>5.7258333333333418E-2</v>
      </c>
      <c r="L23" s="54">
        <f>-Spreads!F22-Spreads!$L$10</f>
        <v>-5</v>
      </c>
      <c r="N23" s="337" t="str">
        <f>TraderMids!M55</f>
        <v>AUD-BasisSwap-20Y-6M</v>
      </c>
      <c r="O23" s="53">
        <f>Spreads!$K$10</f>
        <v>-4</v>
      </c>
      <c r="P23" s="10">
        <f>TraderMids!N55+O23/10000</f>
        <v>4.9999999999999969E-5</v>
      </c>
      <c r="Q23" s="32">
        <f>TraderMids!N55+R23/10000</f>
        <v>4.4999999999999999E-4</v>
      </c>
      <c r="R23" s="54">
        <f>Spreads!$L$10</f>
        <v>0</v>
      </c>
      <c r="S23" s="31">
        <v>0</v>
      </c>
      <c r="AD23" s="340" t="s">
        <v>30</v>
      </c>
      <c r="AE23" s="341" t="str">
        <f>MID(AE19,1,3)</f>
        <v>AUD</v>
      </c>
      <c r="AG23" s="340" t="s">
        <v>30</v>
      </c>
      <c r="AH23" s="341" t="str">
        <f>MID(AH19,1,3)</f>
        <v>AUD</v>
      </c>
    </row>
    <row r="24" spans="2:34">
      <c r="B24" s="337" t="str">
        <f>TraderMids!Q56</f>
        <v>AUD-BasisSwap-25Y-1M</v>
      </c>
      <c r="C24" s="53">
        <f>Spreads!$K$9</f>
        <v>0</v>
      </c>
      <c r="D24" s="10">
        <f>TraderMids!R56+C24/10000</f>
        <v>5.4884374947530379E-4</v>
      </c>
      <c r="E24" s="10">
        <f>TraderMids!R56+F24/10000</f>
        <v>1.2488437494753038E-3</v>
      </c>
      <c r="F24" s="55">
        <f>Spreads!$L$9</f>
        <v>7</v>
      </c>
      <c r="H24" s="337" t="str">
        <f>TraderMids!M25</f>
        <v>AUD-IRSwap-9Y</v>
      </c>
      <c r="I24" s="53">
        <f>Spreads!F23-Spreads!$K$10</f>
        <v>9</v>
      </c>
      <c r="J24" s="10">
        <f>TraderMids!O25+I24/10000</f>
        <v>5.8990833333333423E-2</v>
      </c>
      <c r="K24" s="32">
        <f>TraderMids!O25+L24/10000</f>
        <v>5.7590833333333424E-2</v>
      </c>
      <c r="L24" s="54">
        <f>-Spreads!F23-Spreads!$L$10</f>
        <v>-5</v>
      </c>
      <c r="N24" s="337" t="str">
        <f>TraderMids!M56</f>
        <v>AUD-BasisSwap-25Y-6M</v>
      </c>
      <c r="O24" s="53">
        <f>Spreads!$K$10</f>
        <v>-4</v>
      </c>
      <c r="P24" s="10">
        <f>TraderMids!N56+O24/10000</f>
        <v>0</v>
      </c>
      <c r="Q24" s="32">
        <f>TraderMids!N56+R24/10000</f>
        <v>4.0000000000000002E-4</v>
      </c>
      <c r="R24" s="54">
        <f>Spreads!$L$10</f>
        <v>0</v>
      </c>
      <c r="S24" s="31">
        <v>0</v>
      </c>
    </row>
    <row r="25" spans="2:34" ht="13.5" thickBot="1">
      <c r="B25" s="337" t="str">
        <f>TraderMids!Q57</f>
        <v>AUD-BasisSwap-30Y-1M</v>
      </c>
      <c r="C25" s="53">
        <f>Spreads!$K$9</f>
        <v>0</v>
      </c>
      <c r="D25" s="10">
        <f>TraderMids!R57+C25/10000</f>
        <v>5.0556288479475578E-4</v>
      </c>
      <c r="E25" s="10">
        <f>TraderMids!R57+F25/10000</f>
        <v>1.2055628847947558E-3</v>
      </c>
      <c r="F25" s="55">
        <f>Spreads!$L$9</f>
        <v>7</v>
      </c>
      <c r="H25" s="337" t="str">
        <f>TraderMids!M26</f>
        <v>AUD-IRSwap-10Y</v>
      </c>
      <c r="I25" s="53">
        <f>Spreads!F24-Spreads!$K$10</f>
        <v>9</v>
      </c>
      <c r="J25" s="10">
        <f>TraderMids!O26+I25/10000</f>
        <v>5.9300000000000089E-2</v>
      </c>
      <c r="K25" s="32">
        <f>TraderMids!O26+L25/10000</f>
        <v>5.790000000000009E-2</v>
      </c>
      <c r="L25" s="54">
        <f>-Spreads!F24-Spreads!$L$10</f>
        <v>-5</v>
      </c>
      <c r="N25" s="337" t="str">
        <f>TraderMids!M57</f>
        <v>AUD-BasisSwap-30Y-6M</v>
      </c>
      <c r="O25" s="53">
        <f>Spreads!$K$10</f>
        <v>-4</v>
      </c>
      <c r="P25" s="10">
        <f>TraderMids!N57+O25/10000</f>
        <v>-2.5000000000000011E-5</v>
      </c>
      <c r="Q25" s="32">
        <f>TraderMids!N57+R25/10000</f>
        <v>3.7500000000000001E-4</v>
      </c>
      <c r="R25" s="54">
        <f>Spreads!$L$10</f>
        <v>0</v>
      </c>
      <c r="S25" s="31">
        <v>0</v>
      </c>
    </row>
    <row r="26" spans="2:34" ht="13.5" thickBot="1">
      <c r="B26" s="337" t="str">
        <f>TraderMids!Q58</f>
        <v>AUD-BasisSwap-40Y-1M</v>
      </c>
      <c r="C26" s="53">
        <f>Spreads!$K$9</f>
        <v>0</v>
      </c>
      <c r="D26" s="10">
        <f>TraderMids!R58+C26/10000</f>
        <v>4.5178570601226911E-4</v>
      </c>
      <c r="E26" s="36">
        <f>TraderMids!R58+F26/10000</f>
        <v>1.1517857060122691E-3</v>
      </c>
      <c r="F26" s="55">
        <f>Spreads!$L$9</f>
        <v>7</v>
      </c>
      <c r="H26" s="337" t="str">
        <f>TraderMids!M27</f>
        <v>AUD-IRSwap-12Y</v>
      </c>
      <c r="I26" s="53">
        <f>Spreads!F25-Spreads!$K$10</f>
        <v>10</v>
      </c>
      <c r="J26" s="10">
        <f>TraderMids!O27+I26/10000</f>
        <v>5.9966666666666758E-2</v>
      </c>
      <c r="K26" s="32">
        <f>TraderMids!O27+L26/10000</f>
        <v>5.8366666666666754E-2</v>
      </c>
      <c r="L26" s="54">
        <f>-Spreads!F25-Spreads!$L$10</f>
        <v>-6</v>
      </c>
      <c r="N26" s="337" t="str">
        <f>TraderMids!M58</f>
        <v>AUD-BasisSwap-40Y-6M</v>
      </c>
      <c r="O26" s="53">
        <f>Spreads!$K$10</f>
        <v>-4</v>
      </c>
      <c r="P26" s="10">
        <f>TraderMids!N58+O26/10000</f>
        <v>-9.1009331514472851E-5</v>
      </c>
      <c r="Q26" s="32">
        <f>TraderMids!N58+R26/10000</f>
        <v>3.0899066848552717E-4</v>
      </c>
      <c r="R26" s="54">
        <f>Spreads!$L$10</f>
        <v>0</v>
      </c>
      <c r="S26" s="31">
        <v>0</v>
      </c>
      <c r="AD26" s="335" t="s">
        <v>221</v>
      </c>
      <c r="AE26" s="336" t="str">
        <f>_xll.HLV5r3.Financial.Cache.CreateRateBasisCurve(AD27:AE35, B6:B26, D6:D26)</f>
        <v>Market.Retail.OFFER.RateCurve.AUD-LIBOR-BBA-1M</v>
      </c>
      <c r="AG26" s="335" t="s">
        <v>221</v>
      </c>
      <c r="AH26" s="336" t="str">
        <f>_xll.HLV5r3.Financial.Cache.CreateRateBasisCurve(AG27:AH35, B6:B26, E6:E26)</f>
        <v>Market.Retail.BID.RateCurve.AUD-LIBOR-BBA-1M</v>
      </c>
    </row>
    <row r="27" spans="2:34">
      <c r="B27" s="13"/>
      <c r="C27" s="13"/>
      <c r="D27" s="23"/>
      <c r="E27" s="37"/>
      <c r="F27" s="315"/>
      <c r="H27" s="337" t="str">
        <f>TraderMids!M28</f>
        <v>AUD-IRSwap-15Y</v>
      </c>
      <c r="I27" s="53">
        <f>Spreads!F26-Spreads!$K$10</f>
        <v>11</v>
      </c>
      <c r="J27" s="10">
        <f>TraderMids!O28+I27/10000</f>
        <v>6.043250000000009E-2</v>
      </c>
      <c r="K27" s="32">
        <f>TraderMids!O28+L27/10000</f>
        <v>5.8632500000000094E-2</v>
      </c>
      <c r="L27" s="54">
        <f>-Spreads!F26-Spreads!$L$10</f>
        <v>-7</v>
      </c>
      <c r="N27" s="13"/>
      <c r="O27" s="13"/>
      <c r="P27" s="10"/>
      <c r="Q27" s="32"/>
      <c r="R27" s="14"/>
      <c r="S27" s="31">
        <v>0</v>
      </c>
      <c r="AD27" s="340" t="s">
        <v>21</v>
      </c>
      <c r="AE27" s="341" t="s">
        <v>269</v>
      </c>
      <c r="AG27" s="340" t="s">
        <v>21</v>
      </c>
      <c r="AH27" s="341" t="s">
        <v>269</v>
      </c>
    </row>
    <row r="28" spans="2:34">
      <c r="B28" s="13"/>
      <c r="C28" s="13"/>
      <c r="D28" s="23"/>
      <c r="E28" s="37"/>
      <c r="F28" s="315"/>
      <c r="H28" s="337" t="str">
        <f>TraderMids!M29</f>
        <v>AUD-IRSwap-20Y</v>
      </c>
      <c r="I28" s="53">
        <f>Spreads!F27-Spreads!$K$10</f>
        <v>14</v>
      </c>
      <c r="J28" s="10">
        <f>TraderMids!O29+I28/10000</f>
        <v>5.9865833333333417E-2</v>
      </c>
      <c r="K28" s="32">
        <f>TraderMids!O29+L28/10000</f>
        <v>5.7465833333333417E-2</v>
      </c>
      <c r="L28" s="54">
        <f>-Spreads!F27-Spreads!$L$10</f>
        <v>-10</v>
      </c>
      <c r="N28" s="13"/>
      <c r="O28" s="13"/>
      <c r="P28" s="10"/>
      <c r="Q28" s="32"/>
      <c r="R28" s="14"/>
      <c r="S28" s="31">
        <v>0</v>
      </c>
      <c r="AD28" s="131" t="s">
        <v>306</v>
      </c>
      <c r="AE28" s="360">
        <f>AE16</f>
        <v>41513</v>
      </c>
      <c r="AG28" s="131" t="s">
        <v>306</v>
      </c>
      <c r="AH28" s="360">
        <f>AE28</f>
        <v>41513</v>
      </c>
    </row>
    <row r="29" spans="2:34">
      <c r="B29" s="13"/>
      <c r="C29" s="13"/>
      <c r="D29" s="23"/>
      <c r="E29" s="37"/>
      <c r="F29" s="315"/>
      <c r="H29" s="337" t="str">
        <f>TraderMids!M30</f>
        <v>AUD-IRSwap-25Y</v>
      </c>
      <c r="I29" s="53">
        <f>Spreads!F28-Spreads!$K$10</f>
        <v>14</v>
      </c>
      <c r="J29" s="10">
        <f>TraderMids!O30+I29/10000</f>
        <v>5.8520000000000086E-2</v>
      </c>
      <c r="K29" s="32">
        <f>TraderMids!O30+L29/10000</f>
        <v>5.6120000000000086E-2</v>
      </c>
      <c r="L29" s="54">
        <f>-Spreads!F28-Spreads!$L$10</f>
        <v>-10</v>
      </c>
      <c r="N29" s="13"/>
      <c r="O29" s="13"/>
      <c r="P29" s="10"/>
      <c r="Q29" s="32"/>
      <c r="R29" s="14"/>
      <c r="S29" s="31">
        <v>0</v>
      </c>
      <c r="AD29" s="340" t="s">
        <v>25</v>
      </c>
      <c r="AE29" s="341" t="s">
        <v>349</v>
      </c>
      <c r="AG29" s="340" t="s">
        <v>25</v>
      </c>
      <c r="AH29" s="341" t="s">
        <v>350</v>
      </c>
    </row>
    <row r="30" spans="2:34">
      <c r="B30" s="13"/>
      <c r="C30" s="13"/>
      <c r="D30" s="23"/>
      <c r="E30" s="37"/>
      <c r="F30" s="315"/>
      <c r="H30" s="337" t="str">
        <f>TraderMids!M31</f>
        <v>AUD-IRSwap-30Y</v>
      </c>
      <c r="I30" s="53">
        <f>Spreads!F29-Spreads!$K$10</f>
        <v>14</v>
      </c>
      <c r="J30" s="10">
        <f>TraderMids!O31+I30/10000</f>
        <v>5.7141666666666757E-2</v>
      </c>
      <c r="K30" s="32">
        <f>TraderMids!O31+L30/10000</f>
        <v>5.4741666666666758E-2</v>
      </c>
      <c r="L30" s="54">
        <f>-Spreads!F29-Spreads!$L$10</f>
        <v>-10</v>
      </c>
      <c r="N30" s="13"/>
      <c r="O30" s="13"/>
      <c r="P30" s="10"/>
      <c r="Q30" s="32"/>
      <c r="R30" s="14"/>
      <c r="S30" s="31">
        <v>0</v>
      </c>
      <c r="AD30" s="340" t="s">
        <v>270</v>
      </c>
      <c r="AE30" s="341" t="str">
        <f>AE6</f>
        <v>Market.Retail.OFFER.RateCurve.AUD-LIBOR-BBA-3M</v>
      </c>
      <c r="AG30" s="340" t="s">
        <v>270</v>
      </c>
      <c r="AH30" s="341" t="str">
        <f>AH6</f>
        <v>Market.Retail.BID.RateCurve.AUD-LIBOR-BBA-3M</v>
      </c>
    </row>
    <row r="31" spans="2:34">
      <c r="B31" s="13"/>
      <c r="C31" s="13"/>
      <c r="D31" s="23"/>
      <c r="E31" s="37"/>
      <c r="F31" s="315"/>
      <c r="H31" s="337" t="str">
        <f>TraderMids!M32</f>
        <v>AUD-IRSwap-40Y</v>
      </c>
      <c r="I31" s="53">
        <f>Spreads!F30-Spreads!$K$10</f>
        <v>4</v>
      </c>
      <c r="J31" s="10">
        <f>TraderMids!O32+I31/10000</f>
        <v>5.4212249315795553E-2</v>
      </c>
      <c r="K31" s="32">
        <f>TraderMids!O32+L31/10000</f>
        <v>5.3812249315795556E-2</v>
      </c>
      <c r="L31" s="54">
        <f>-Spreads!F30-Spreads!$L$10</f>
        <v>0</v>
      </c>
      <c r="N31" s="13"/>
      <c r="O31" s="13"/>
      <c r="P31" s="10"/>
      <c r="Q31" s="32"/>
      <c r="R31" s="14"/>
      <c r="S31" s="31">
        <v>0</v>
      </c>
      <c r="AD31" s="340" t="s">
        <v>38</v>
      </c>
      <c r="AE31" s="341" t="s">
        <v>39</v>
      </c>
      <c r="AG31" s="340" t="s">
        <v>38</v>
      </c>
      <c r="AH31" s="341" t="s">
        <v>39</v>
      </c>
    </row>
    <row r="32" spans="2:34">
      <c r="B32" s="13"/>
      <c r="C32" s="13"/>
      <c r="D32" s="23"/>
      <c r="E32" s="37"/>
      <c r="F32" s="315"/>
      <c r="H32" s="13"/>
      <c r="I32" s="13"/>
      <c r="J32" s="10"/>
      <c r="K32" s="32"/>
      <c r="L32" s="14"/>
      <c r="N32" s="13"/>
      <c r="O32" s="13"/>
      <c r="P32" s="10"/>
      <c r="Q32" s="32"/>
      <c r="R32" s="14"/>
      <c r="S32" s="31">
        <v>0</v>
      </c>
      <c r="AD32" s="340" t="s">
        <v>28</v>
      </c>
      <c r="AE32" s="341" t="s">
        <v>134</v>
      </c>
      <c r="AG32" s="340" t="s">
        <v>28</v>
      </c>
      <c r="AH32" s="341" t="s">
        <v>134</v>
      </c>
    </row>
    <row r="33" spans="2:34">
      <c r="B33" s="13"/>
      <c r="C33" s="13"/>
      <c r="D33" s="23"/>
      <c r="E33" s="37"/>
      <c r="F33" s="315"/>
      <c r="H33" s="13"/>
      <c r="I33" s="13"/>
      <c r="J33" s="10"/>
      <c r="K33" s="32"/>
      <c r="L33" s="14"/>
      <c r="N33" s="13"/>
      <c r="O33" s="13"/>
      <c r="P33" s="10"/>
      <c r="Q33" s="32"/>
      <c r="R33" s="14"/>
      <c r="S33" s="31">
        <v>0</v>
      </c>
      <c r="AD33" s="340" t="s">
        <v>41</v>
      </c>
      <c r="AE33" s="341" t="str">
        <f>AE31&amp;"-"&amp;AE32</f>
        <v>AUD-LIBOR-BBA-1M</v>
      </c>
      <c r="AG33" s="340" t="s">
        <v>41</v>
      </c>
      <c r="AH33" s="341" t="str">
        <f>AH31&amp;"-"&amp;AH32</f>
        <v>AUD-LIBOR-BBA-1M</v>
      </c>
    </row>
    <row r="34" spans="2:34">
      <c r="B34" s="13"/>
      <c r="C34" s="13"/>
      <c r="D34" s="23"/>
      <c r="E34" s="37"/>
      <c r="F34" s="315"/>
      <c r="H34" s="13"/>
      <c r="I34" s="13"/>
      <c r="J34" s="10"/>
      <c r="K34" s="32"/>
      <c r="L34" s="14"/>
      <c r="N34" s="13"/>
      <c r="O34" s="13"/>
      <c r="P34" s="10"/>
      <c r="Q34" s="32"/>
      <c r="R34" s="14"/>
      <c r="S34" s="31">
        <v>0</v>
      </c>
      <c r="AD34" s="340" t="s">
        <v>34</v>
      </c>
      <c r="AE34" s="341" t="s">
        <v>246</v>
      </c>
      <c r="AG34" s="340" t="s">
        <v>34</v>
      </c>
      <c r="AH34" s="341" t="s">
        <v>246</v>
      </c>
    </row>
    <row r="35" spans="2:34">
      <c r="B35" s="13"/>
      <c r="C35" s="13"/>
      <c r="D35" s="23"/>
      <c r="E35" s="37"/>
      <c r="F35" s="315"/>
      <c r="H35" s="13"/>
      <c r="I35" s="13"/>
      <c r="J35" s="23"/>
      <c r="K35" s="33"/>
      <c r="L35" s="14"/>
      <c r="N35" s="13"/>
      <c r="O35" s="13"/>
      <c r="P35" s="23"/>
      <c r="Q35" s="33"/>
      <c r="R35" s="14"/>
      <c r="S35" s="31">
        <v>0</v>
      </c>
      <c r="AD35" s="340" t="s">
        <v>30</v>
      </c>
      <c r="AE35" s="341" t="str">
        <f>MID(AE31,1,3)</f>
        <v>AUD</v>
      </c>
      <c r="AG35" s="340" t="s">
        <v>30</v>
      </c>
      <c r="AH35" s="341" t="str">
        <f>MID(AH31,1,3)</f>
        <v>AUD</v>
      </c>
    </row>
    <row r="36" spans="2:34">
      <c r="B36" s="13"/>
      <c r="C36" s="13"/>
      <c r="D36" s="23"/>
      <c r="E36" s="37"/>
      <c r="F36" s="315"/>
      <c r="H36" s="13"/>
      <c r="I36" s="13"/>
      <c r="J36" s="23"/>
      <c r="K36" s="33"/>
      <c r="L36" s="14"/>
      <c r="N36" s="13"/>
      <c r="O36" s="13"/>
      <c r="P36" s="23"/>
      <c r="Q36" s="33"/>
      <c r="R36" s="14"/>
      <c r="S36" s="31">
        <v>0</v>
      </c>
    </row>
    <row r="37" spans="2:34">
      <c r="B37" s="13"/>
      <c r="C37" s="13"/>
      <c r="D37" s="23"/>
      <c r="E37" s="37"/>
      <c r="F37" s="315"/>
      <c r="H37" s="13"/>
      <c r="I37" s="13"/>
      <c r="J37" s="23"/>
      <c r="K37" s="33"/>
      <c r="L37" s="14"/>
      <c r="N37" s="13"/>
      <c r="O37" s="13"/>
      <c r="P37" s="23"/>
      <c r="Q37" s="33"/>
      <c r="R37" s="14"/>
      <c r="S37" s="31">
        <v>0</v>
      </c>
      <c r="W37" s="31" t="s">
        <v>339</v>
      </c>
      <c r="Y37" s="31" t="s">
        <v>177</v>
      </c>
      <c r="AA37" s="31" t="s">
        <v>338</v>
      </c>
      <c r="AB37" s="31" t="s">
        <v>348</v>
      </c>
    </row>
    <row r="38" spans="2:34">
      <c r="B38" s="13"/>
      <c r="C38" s="13"/>
      <c r="D38" s="23"/>
      <c r="E38" s="37"/>
      <c r="F38" s="315"/>
      <c r="H38" s="13"/>
      <c r="I38" s="13"/>
      <c r="J38" s="23"/>
      <c r="K38" s="33"/>
      <c r="L38" s="14"/>
      <c r="N38" s="13"/>
      <c r="O38" s="13"/>
      <c r="P38" s="23"/>
      <c r="Q38" s="33"/>
      <c r="R38" s="14"/>
      <c r="S38" s="31">
        <v>0</v>
      </c>
      <c r="V38" s="31">
        <f t="array" ref="V38:W65">_xll.HLV5r3.Financial.Cache.GetDaysAndZeroRates(AE6, TraderMids!$D$3, 4)</f>
        <v>0</v>
      </c>
      <c r="W38" s="342">
        <v>4.7841993187520693E-2</v>
      </c>
      <c r="X38" s="31">
        <f t="array" ref="X38:Y65">_xll.HLV5r3.Financial.Cache.GetDaysAndZeroRates(TraderMids!V6, TraderMids!$D$3, 4)</f>
        <v>0</v>
      </c>
      <c r="Y38" s="342">
        <v>4.7591031838797093E-2</v>
      </c>
      <c r="Z38" s="31">
        <f t="array" ref="Z38:AA65">_xll.HLV5r3.Financial.Cache.GetDaysAndZeroRates(AH6, TraderMids!$D$3, 4)</f>
        <v>0</v>
      </c>
      <c r="AA38" s="342">
        <v>4.7340075545749372E-2</v>
      </c>
      <c r="AB38" s="343">
        <f>W38-AA38</f>
        <v>5.0191764177132114E-4</v>
      </c>
    </row>
    <row r="39" spans="2:34">
      <c r="B39" s="13"/>
      <c r="C39" s="13"/>
      <c r="D39" s="23"/>
      <c r="E39" s="37"/>
      <c r="F39" s="315"/>
      <c r="H39" s="13"/>
      <c r="I39" s="13"/>
      <c r="J39" s="23"/>
      <c r="K39" s="33"/>
      <c r="L39" s="14"/>
      <c r="N39" s="13"/>
      <c r="O39" s="13"/>
      <c r="P39" s="23"/>
      <c r="Q39" s="33"/>
      <c r="R39" s="14"/>
      <c r="S39" s="31">
        <v>0</v>
      </c>
      <c r="V39" s="31">
        <v>1</v>
      </c>
      <c r="W39" s="342">
        <v>4.7841993187520693E-2</v>
      </c>
      <c r="X39" s="31">
        <v>1</v>
      </c>
      <c r="Y39" s="342">
        <v>4.7591031838797093E-2</v>
      </c>
      <c r="Z39" s="31">
        <v>1</v>
      </c>
      <c r="AA39" s="342">
        <v>4.7340075545749372E-2</v>
      </c>
      <c r="AB39" s="343">
        <f t="shared" ref="AB39:AB64" si="2">W39-AA39</f>
        <v>5.0191764177132114E-4</v>
      </c>
    </row>
    <row r="40" spans="2:34">
      <c r="B40" s="13"/>
      <c r="C40" s="13"/>
      <c r="D40" s="23"/>
      <c r="E40" s="37"/>
      <c r="F40" s="315"/>
      <c r="H40" s="13"/>
      <c r="I40" s="13"/>
      <c r="J40" s="23"/>
      <c r="K40" s="33"/>
      <c r="L40" s="14"/>
      <c r="N40" s="13"/>
      <c r="O40" s="13"/>
      <c r="P40" s="23"/>
      <c r="Q40" s="33"/>
      <c r="R40" s="14"/>
      <c r="S40" s="31">
        <v>0</v>
      </c>
      <c r="V40" s="31">
        <v>34</v>
      </c>
      <c r="W40" s="342">
        <v>4.842406699210855E-2</v>
      </c>
      <c r="X40" s="31">
        <v>34</v>
      </c>
      <c r="Y40" s="342">
        <v>4.8174121512400525E-2</v>
      </c>
      <c r="Z40" s="31">
        <v>34</v>
      </c>
      <c r="AA40" s="342">
        <v>4.79241757540807E-2</v>
      </c>
      <c r="AB40" s="343">
        <f t="shared" si="2"/>
        <v>4.9989123802784974E-4</v>
      </c>
    </row>
    <row r="41" spans="2:34">
      <c r="B41" s="13"/>
      <c r="C41" s="13"/>
      <c r="D41" s="23"/>
      <c r="E41" s="37"/>
      <c r="F41" s="315"/>
      <c r="H41" s="13"/>
      <c r="I41" s="13"/>
      <c r="J41" s="23"/>
      <c r="K41" s="33"/>
      <c r="L41" s="14"/>
      <c r="N41" s="13"/>
      <c r="O41" s="13"/>
      <c r="P41" s="23"/>
      <c r="Q41" s="33"/>
      <c r="R41" s="14"/>
      <c r="S41" s="31">
        <v>0</v>
      </c>
      <c r="V41" s="31">
        <v>62</v>
      </c>
      <c r="W41" s="342">
        <v>4.9225701935779576E-2</v>
      </c>
      <c r="X41" s="31">
        <v>62</v>
      </c>
      <c r="Y41" s="342">
        <v>4.8976694712730584E-2</v>
      </c>
      <c r="Z41" s="31">
        <v>62</v>
      </c>
      <c r="AA41" s="342">
        <v>4.8727682481660928E-2</v>
      </c>
      <c r="AB41" s="343">
        <f t="shared" si="2"/>
        <v>4.9801945411864779E-4</v>
      </c>
    </row>
    <row r="42" spans="2:34">
      <c r="B42" s="13"/>
      <c r="C42" s="13"/>
      <c r="D42" s="23"/>
      <c r="E42" s="37"/>
      <c r="F42" s="315"/>
      <c r="H42" s="13"/>
      <c r="I42" s="13"/>
      <c r="J42" s="23"/>
      <c r="K42" s="33"/>
      <c r="L42" s="14"/>
      <c r="N42" s="13"/>
      <c r="O42" s="13"/>
      <c r="P42" s="23"/>
      <c r="Q42" s="33"/>
      <c r="R42" s="14"/>
      <c r="S42" s="31">
        <v>0</v>
      </c>
      <c r="V42" s="31">
        <v>93</v>
      </c>
      <c r="W42" s="342">
        <v>4.9916757039704329E-2</v>
      </c>
      <c r="X42" s="31">
        <v>93</v>
      </c>
      <c r="Y42" s="342">
        <v>4.9668812355349701E-2</v>
      </c>
      <c r="Z42" s="31">
        <v>93</v>
      </c>
      <c r="AA42" s="342">
        <v>4.942085750908376E-2</v>
      </c>
      <c r="AB42" s="343">
        <f t="shared" si="2"/>
        <v>4.9589953062056935E-4</v>
      </c>
    </row>
    <row r="43" spans="2:34">
      <c r="B43" s="13"/>
      <c r="C43" s="13"/>
      <c r="D43" s="23"/>
      <c r="E43" s="37"/>
      <c r="F43" s="315"/>
      <c r="H43" s="13"/>
      <c r="I43" s="13"/>
      <c r="J43" s="23"/>
      <c r="K43" s="33"/>
      <c r="L43" s="14"/>
      <c r="N43" s="13"/>
      <c r="O43" s="13"/>
      <c r="P43" s="23"/>
      <c r="Q43" s="33"/>
      <c r="R43" s="14"/>
      <c r="S43" s="31">
        <v>0</v>
      </c>
      <c r="V43" s="31">
        <v>107</v>
      </c>
      <c r="W43" s="342">
        <v>5.0032049341708351E-2</v>
      </c>
      <c r="X43" s="31">
        <v>107</v>
      </c>
      <c r="Y43" s="342">
        <v>4.9783689704039347E-2</v>
      </c>
      <c r="Z43" s="31">
        <v>107</v>
      </c>
      <c r="AA43" s="342">
        <v>4.9535322051469599E-2</v>
      </c>
      <c r="AB43" s="343">
        <f t="shared" si="2"/>
        <v>4.9672729023875206E-4</v>
      </c>
    </row>
    <row r="44" spans="2:34">
      <c r="B44" s="13"/>
      <c r="C44" s="13"/>
      <c r="D44" s="23"/>
      <c r="E44" s="37"/>
      <c r="F44" s="315"/>
      <c r="H44" s="13"/>
      <c r="I44" s="13"/>
      <c r="J44" s="23"/>
      <c r="K44" s="33"/>
      <c r="L44" s="14"/>
      <c r="N44" s="13"/>
      <c r="O44" s="13"/>
      <c r="P44" s="23"/>
      <c r="Q44" s="33"/>
      <c r="R44" s="14"/>
      <c r="S44" s="31">
        <v>0</v>
      </c>
      <c r="V44" s="31">
        <v>198</v>
      </c>
      <c r="W44" s="342">
        <v>5.0559658524195861E-2</v>
      </c>
      <c r="X44" s="31">
        <v>198</v>
      </c>
      <c r="Y44" s="342">
        <v>5.0311495716833576E-2</v>
      </c>
      <c r="Z44" s="31">
        <v>198</v>
      </c>
      <c r="AA44" s="342">
        <v>5.006332399037916E-2</v>
      </c>
      <c r="AB44" s="343">
        <f t="shared" si="2"/>
        <v>4.9633453381670023E-4</v>
      </c>
    </row>
    <row r="45" spans="2:34">
      <c r="B45" s="27"/>
      <c r="C45" s="27"/>
      <c r="D45" s="28"/>
      <c r="E45" s="38"/>
      <c r="F45" s="25"/>
      <c r="H45" s="27"/>
      <c r="I45" s="27"/>
      <c r="J45" s="28"/>
      <c r="K45" s="34"/>
      <c r="L45" s="29"/>
      <c r="N45" s="27"/>
      <c r="O45" s="27"/>
      <c r="P45" s="28"/>
      <c r="Q45" s="34"/>
      <c r="R45" s="29"/>
      <c r="S45" s="31">
        <v>0</v>
      </c>
      <c r="V45" s="31">
        <v>282</v>
      </c>
      <c r="W45" s="342">
        <v>5.0957295640024824E-2</v>
      </c>
      <c r="X45" s="31">
        <v>282</v>
      </c>
      <c r="Y45" s="342">
        <v>5.0709207475623685E-2</v>
      </c>
      <c r="Z45" s="31">
        <v>282</v>
      </c>
      <c r="AA45" s="342">
        <v>5.0461110091139183E-2</v>
      </c>
      <c r="AB45" s="343">
        <f t="shared" si="2"/>
        <v>4.9618554888564148E-4</v>
      </c>
    </row>
    <row r="46" spans="2:34">
      <c r="V46" s="31">
        <v>380</v>
      </c>
      <c r="W46" s="342">
        <v>5.1389617402003651E-2</v>
      </c>
      <c r="X46" s="31">
        <v>380</v>
      </c>
      <c r="Y46" s="342">
        <v>5.1141584481092295E-2</v>
      </c>
      <c r="Z46" s="31">
        <v>380</v>
      </c>
      <c r="AA46" s="342">
        <v>5.0893542146601689E-2</v>
      </c>
      <c r="AB46" s="343">
        <f t="shared" si="2"/>
        <v>4.9607525540196207E-4</v>
      </c>
    </row>
    <row r="47" spans="2:34">
      <c r="V47" s="31">
        <v>471</v>
      </c>
      <c r="W47" s="342">
        <v>5.1729990193771336E-2</v>
      </c>
      <c r="X47" s="31">
        <v>471</v>
      </c>
      <c r="Y47" s="342">
        <v>5.1481992566582591E-2</v>
      </c>
      <c r="Z47" s="31">
        <v>471</v>
      </c>
      <c r="AA47" s="342">
        <v>5.1233985415790606E-2</v>
      </c>
      <c r="AB47" s="343">
        <f t="shared" si="2"/>
        <v>4.9600477798072973E-4</v>
      </c>
    </row>
    <row r="48" spans="2:34">
      <c r="V48" s="31">
        <v>562</v>
      </c>
      <c r="W48" s="342">
        <v>5.2029990133397597E-2</v>
      </c>
      <c r="X48" s="31">
        <v>562</v>
      </c>
      <c r="Y48" s="342">
        <v>5.1782019197482043E-2</v>
      </c>
      <c r="Z48" s="31">
        <v>562</v>
      </c>
      <c r="AA48" s="342">
        <v>5.1534038663750614E-2</v>
      </c>
      <c r="AB48" s="343">
        <f t="shared" si="2"/>
        <v>4.9595146964698245E-4</v>
      </c>
    </row>
    <row r="49" spans="22:28">
      <c r="V49" s="31">
        <v>653</v>
      </c>
      <c r="W49" s="342">
        <v>5.2298799784522565E-2</v>
      </c>
      <c r="X49" s="31">
        <v>653</v>
      </c>
      <c r="Y49" s="342">
        <v>5.2050850217455036E-2</v>
      </c>
      <c r="Z49" s="31">
        <v>653</v>
      </c>
      <c r="AA49" s="342">
        <v>5.1802890999264939E-2</v>
      </c>
      <c r="AB49" s="343">
        <f t="shared" si="2"/>
        <v>4.9590878525762605E-4</v>
      </c>
    </row>
    <row r="50" spans="22:28">
      <c r="V50" s="31">
        <v>744</v>
      </c>
      <c r="W50" s="342">
        <v>5.2534828289087621E-2</v>
      </c>
      <c r="X50" s="31">
        <v>744</v>
      </c>
      <c r="Y50" s="342">
        <v>5.228689619518434E-2</v>
      </c>
      <c r="Z50" s="31">
        <v>744</v>
      </c>
      <c r="AA50" s="342">
        <v>5.2038954410009275E-2</v>
      </c>
      <c r="AB50" s="343">
        <f t="shared" si="2"/>
        <v>4.9587387907834568E-4</v>
      </c>
    </row>
    <row r="51" spans="22:28">
      <c r="V51" s="31">
        <v>1098</v>
      </c>
      <c r="W51" s="342">
        <v>5.3445493959395129E-2</v>
      </c>
      <c r="X51" s="31">
        <v>1098</v>
      </c>
      <c r="Y51" s="342">
        <v>5.3039781882037396E-2</v>
      </c>
      <c r="Z51" s="31">
        <v>1098</v>
      </c>
      <c r="AA51" s="342">
        <v>5.2634181835632177E-2</v>
      </c>
      <c r="AB51" s="343">
        <f t="shared" si="2"/>
        <v>8.1131212376295281E-4</v>
      </c>
    </row>
    <row r="52" spans="22:28">
      <c r="V52" s="31">
        <v>1462</v>
      </c>
      <c r="W52" s="342">
        <v>5.4854198588720315E-2</v>
      </c>
      <c r="X52" s="31">
        <v>1462</v>
      </c>
      <c r="Y52" s="342">
        <v>5.4029052524993126E-2</v>
      </c>
      <c r="Z52" s="31">
        <v>1462</v>
      </c>
      <c r="AA52" s="342">
        <v>5.3630868071991245E-2</v>
      </c>
      <c r="AB52" s="343">
        <f t="shared" si="2"/>
        <v>1.2233305167290709E-3</v>
      </c>
    </row>
    <row r="53" spans="22:28">
      <c r="V53" s="31">
        <v>1827</v>
      </c>
      <c r="W53" s="342">
        <v>5.6066624789287367E-2</v>
      </c>
      <c r="X53" s="31">
        <v>1827</v>
      </c>
      <c r="Y53" s="342">
        <v>5.5247540435358289E-2</v>
      </c>
      <c r="Z53" s="31">
        <v>1827</v>
      </c>
      <c r="AA53" s="342">
        <v>5.4849792830849786E-2</v>
      </c>
      <c r="AB53" s="343">
        <f t="shared" si="2"/>
        <v>1.2168319584375809E-3</v>
      </c>
    </row>
    <row r="54" spans="22:28">
      <c r="V54" s="31">
        <v>2192</v>
      </c>
      <c r="W54" s="342">
        <v>5.7110436340446213E-2</v>
      </c>
      <c r="X54" s="31">
        <v>2192</v>
      </c>
      <c r="Y54" s="342">
        <v>5.6294980342815215E-2</v>
      </c>
      <c r="Z54" s="31">
        <v>2192</v>
      </c>
      <c r="AA54" s="342">
        <v>5.5897294415956367E-2</v>
      </c>
      <c r="AB54" s="343">
        <f t="shared" si="2"/>
        <v>1.2131419244898467E-3</v>
      </c>
    </row>
    <row r="55" spans="22:28">
      <c r="V55" s="31">
        <v>2558</v>
      </c>
      <c r="W55" s="342">
        <v>5.7986855767102163E-2</v>
      </c>
      <c r="X55" s="31">
        <v>2558</v>
      </c>
      <c r="Y55" s="342">
        <v>5.7056043447262006E-2</v>
      </c>
      <c r="Z55" s="31">
        <v>2558</v>
      </c>
      <c r="AA55" s="342">
        <v>5.6540931169488218E-2</v>
      </c>
      <c r="AB55" s="343">
        <f t="shared" si="2"/>
        <v>1.4459245976139457E-3</v>
      </c>
    </row>
    <row r="56" spans="22:28">
      <c r="V56" s="31">
        <v>2925</v>
      </c>
      <c r="W56" s="342">
        <v>5.8493473909957849E-2</v>
      </c>
      <c r="X56" s="31">
        <v>2925</v>
      </c>
      <c r="Y56" s="342">
        <v>5.7567004511657416E-2</v>
      </c>
      <c r="Z56" s="31">
        <v>2925</v>
      </c>
      <c r="AA56" s="342">
        <v>5.7054058448219536E-2</v>
      </c>
      <c r="AB56" s="343">
        <f t="shared" si="2"/>
        <v>1.4394154617383137E-3</v>
      </c>
    </row>
    <row r="57" spans="22:28">
      <c r="V57" s="31">
        <v>3289</v>
      </c>
      <c r="W57" s="342">
        <v>5.8853085182411391E-2</v>
      </c>
      <c r="X57" s="31">
        <v>3289</v>
      </c>
      <c r="Y57" s="342">
        <v>5.7930089616935021E-2</v>
      </c>
      <c r="Z57" s="31">
        <v>3289</v>
      </c>
      <c r="AA57" s="342">
        <v>5.7418879978628823E-2</v>
      </c>
      <c r="AB57" s="343">
        <f t="shared" si="2"/>
        <v>1.4342052037825681E-3</v>
      </c>
    </row>
    <row r="58" spans="22:28">
      <c r="V58" s="31">
        <v>3653</v>
      </c>
      <c r="W58" s="342">
        <v>5.9199236245504494E-2</v>
      </c>
      <c r="X58" s="31">
        <v>3653</v>
      </c>
      <c r="Y58" s="342">
        <v>5.8278732667580435E-2</v>
      </c>
      <c r="Z58" s="31">
        <v>3653</v>
      </c>
      <c r="AA58" s="342">
        <v>5.7768753747359014E-2</v>
      </c>
      <c r="AB58" s="343">
        <f t="shared" si="2"/>
        <v>1.43048249814548E-3</v>
      </c>
    </row>
    <row r="59" spans="22:28">
      <c r="V59" s="31">
        <v>4384</v>
      </c>
      <c r="W59" s="342">
        <v>6.0002218721743716E-2</v>
      </c>
      <c r="X59" s="31">
        <v>4384</v>
      </c>
      <c r="Y59" s="342">
        <v>5.8948082807415147E-2</v>
      </c>
      <c r="Z59" s="31">
        <v>4384</v>
      </c>
      <c r="AA59" s="342">
        <v>5.8304276136192712E-2</v>
      </c>
      <c r="AB59" s="343">
        <f t="shared" si="2"/>
        <v>1.6979425855510044E-3</v>
      </c>
    </row>
    <row r="60" spans="22:28">
      <c r="V60" s="31">
        <v>5480</v>
      </c>
      <c r="W60" s="342">
        <v>6.0532817069463896E-2</v>
      </c>
      <c r="X60" s="31">
        <v>5480</v>
      </c>
      <c r="Y60" s="342">
        <v>5.9342411954257379E-2</v>
      </c>
      <c r="Z60" s="31">
        <v>5480</v>
      </c>
      <c r="AA60" s="342">
        <v>5.8562063622400906E-2</v>
      </c>
      <c r="AB60" s="343">
        <f t="shared" si="2"/>
        <v>1.9707534470629895E-3</v>
      </c>
    </row>
    <row r="61" spans="22:28">
      <c r="V61" s="31">
        <v>7307</v>
      </c>
      <c r="W61" s="342">
        <v>5.9384074756358984E-2</v>
      </c>
      <c r="X61" s="31">
        <v>7307</v>
      </c>
      <c r="Y61" s="342">
        <v>5.7751428932219184E-2</v>
      </c>
      <c r="Z61" s="31">
        <v>7307</v>
      </c>
      <c r="AA61" s="342">
        <v>5.6531466753280135E-2</v>
      </c>
      <c r="AB61" s="343">
        <f t="shared" si="2"/>
        <v>2.8526080030788492E-3</v>
      </c>
    </row>
    <row r="62" spans="22:28">
      <c r="V62" s="31">
        <v>9134</v>
      </c>
      <c r="W62" s="342">
        <v>5.6780194080617186E-2</v>
      </c>
      <c r="X62" s="31">
        <v>9134</v>
      </c>
      <c r="Y62" s="342">
        <v>5.5260154484702007E-2</v>
      </c>
      <c r="Z62" s="31">
        <v>9134</v>
      </c>
      <c r="AA62" s="342">
        <v>5.4134036245200967E-2</v>
      </c>
      <c r="AB62" s="343">
        <f t="shared" si="2"/>
        <v>2.6461578354162185E-3</v>
      </c>
    </row>
    <row r="63" spans="22:28">
      <c r="V63" s="31">
        <v>10958</v>
      </c>
      <c r="W63" s="342">
        <v>5.4026088858851296E-2</v>
      </c>
      <c r="X63" s="31">
        <v>10958</v>
      </c>
      <c r="Y63" s="342">
        <v>5.2606822102598372E-2</v>
      </c>
      <c r="Z63" s="31">
        <v>10958</v>
      </c>
      <c r="AA63" s="342">
        <v>5.1561580308547406E-2</v>
      </c>
      <c r="AB63" s="343">
        <f t="shared" si="2"/>
        <v>2.4645085503038899E-3</v>
      </c>
    </row>
    <row r="64" spans="22:28">
      <c r="V64" s="31">
        <v>14611</v>
      </c>
      <c r="W64" s="342">
        <v>4.7863061143905483E-2</v>
      </c>
      <c r="X64" s="31">
        <v>14611</v>
      </c>
      <c r="Y64" s="342">
        <v>4.8741411635091048E-2</v>
      </c>
      <c r="Z64" s="31">
        <v>14611</v>
      </c>
      <c r="AA64" s="342">
        <v>5.0014913874545819E-2</v>
      </c>
      <c r="AB64" s="343">
        <f t="shared" si="2"/>
        <v>-2.1518527306403357E-3</v>
      </c>
    </row>
    <row r="65" spans="22:28">
      <c r="V65" s="31" t="e">
        <v>#N/A</v>
      </c>
      <c r="W65" s="342" t="e">
        <v>#N/A</v>
      </c>
      <c r="X65" s="31" t="e">
        <v>#N/A</v>
      </c>
      <c r="Y65" s="342" t="e">
        <v>#N/A</v>
      </c>
      <c r="Z65" s="31" t="e">
        <v>#N/A</v>
      </c>
      <c r="AA65" s="342" t="e">
        <v>#N/A</v>
      </c>
    </row>
    <row r="66" spans="22:28">
      <c r="W66" s="31" t="s">
        <v>339</v>
      </c>
      <c r="Y66" s="31" t="s">
        <v>177</v>
      </c>
      <c r="AA66" s="31" t="s">
        <v>338</v>
      </c>
    </row>
    <row r="67" spans="22:28">
      <c r="V67" s="31">
        <f t="array" ref="V67:W88">_xll.HLV5r3.Financial.Cache.GetDaysAndZeroRates(AE14, TraderMids!$D$3, 4)</f>
        <v>0</v>
      </c>
      <c r="W67" s="342">
        <v>4.9112195953473048E-2</v>
      </c>
      <c r="X67" s="31">
        <f t="array" ref="X67:Y88">_xll.HLV5r3.Financial.Cache.GetDaysAndZeroRates( TraderMids!V37, TraderMids!$D$3, 4)</f>
        <v>0</v>
      </c>
      <c r="Y67" s="342">
        <v>4.8610227134529893E-2</v>
      </c>
      <c r="Z67" s="31">
        <f t="array" ref="Z67:AA88">_xll.HLV5r3.Financial.Cache.GetDaysAndZeroRates(AH14, TraderMids!$D$3, 4)</f>
        <v>0</v>
      </c>
      <c r="AA67" s="344">
        <v>4.7706734225705816E-2</v>
      </c>
      <c r="AB67" s="343">
        <f t="shared" ref="AB67:AB88" si="3">W67-AA67</f>
        <v>1.4054617277672321E-3</v>
      </c>
    </row>
    <row r="68" spans="22:28">
      <c r="V68" s="31">
        <v>1</v>
      </c>
      <c r="W68" s="342">
        <v>4.9112195953473048E-2</v>
      </c>
      <c r="X68" s="31">
        <v>1</v>
      </c>
      <c r="Y68" s="342">
        <v>4.8610227134529893E-2</v>
      </c>
      <c r="Z68" s="31">
        <v>1</v>
      </c>
      <c r="AA68" s="344">
        <v>4.7706734225705816E-2</v>
      </c>
      <c r="AB68" s="343">
        <f t="shared" si="3"/>
        <v>1.4054617277672321E-3</v>
      </c>
    </row>
    <row r="69" spans="22:28">
      <c r="V69" s="31">
        <v>34</v>
      </c>
      <c r="W69" s="342">
        <v>4.9689046585406516E-2</v>
      </c>
      <c r="X69" s="31">
        <v>34</v>
      </c>
      <c r="Y69" s="342">
        <v>4.918915816734426E-2</v>
      </c>
      <c r="Z69" s="31">
        <v>34</v>
      </c>
      <c r="AA69" s="344">
        <v>4.8289356206747236E-2</v>
      </c>
      <c r="AB69" s="343">
        <f t="shared" si="3"/>
        <v>1.3996903786592796E-3</v>
      </c>
    </row>
    <row r="70" spans="22:28">
      <c r="V70" s="31">
        <v>62</v>
      </c>
      <c r="W70" s="342">
        <v>5.0485860446669584E-2</v>
      </c>
      <c r="X70" s="31">
        <v>62</v>
      </c>
      <c r="Y70" s="342">
        <v>4.9987891676090968E-2</v>
      </c>
      <c r="Z70" s="31">
        <v>62</v>
      </c>
      <c r="AA70" s="344">
        <v>4.9091497419527563E-2</v>
      </c>
      <c r="AB70" s="343">
        <f t="shared" si="3"/>
        <v>1.3943630271420204E-3</v>
      </c>
    </row>
    <row r="71" spans="22:28">
      <c r="V71" s="31">
        <v>93</v>
      </c>
      <c r="W71" s="342">
        <v>5.117145896026809E-2</v>
      </c>
      <c r="X71" s="31">
        <v>93</v>
      </c>
      <c r="Y71" s="342">
        <v>5.0675662263335752E-2</v>
      </c>
      <c r="Z71" s="31">
        <v>93</v>
      </c>
      <c r="AA71" s="344">
        <v>4.9783125814411022E-2</v>
      </c>
      <c r="AB71" s="343">
        <f t="shared" si="3"/>
        <v>1.388333145857068E-3</v>
      </c>
    </row>
    <row r="72" spans="22:28">
      <c r="V72" s="31">
        <v>185</v>
      </c>
      <c r="W72" s="342">
        <v>5.1722852855400347E-2</v>
      </c>
      <c r="X72" s="31">
        <v>185</v>
      </c>
      <c r="Y72" s="342">
        <v>5.1230089901692644E-2</v>
      </c>
      <c r="Z72" s="31">
        <v>185</v>
      </c>
      <c r="AA72" s="344">
        <v>5.0345590641298621E-2</v>
      </c>
      <c r="AB72" s="343">
        <f t="shared" si="3"/>
        <v>1.3772622141017266E-3</v>
      </c>
    </row>
    <row r="73" spans="22:28">
      <c r="V73" s="31">
        <v>366</v>
      </c>
      <c r="W73" s="342">
        <v>5.2140928458798363E-2</v>
      </c>
      <c r="X73" s="31">
        <v>366</v>
      </c>
      <c r="Y73" s="342">
        <v>5.189590252713927E-2</v>
      </c>
      <c r="Z73" s="31">
        <v>366</v>
      </c>
      <c r="AA73" s="344">
        <v>5.1254057536521458E-2</v>
      </c>
      <c r="AB73" s="343">
        <f t="shared" si="3"/>
        <v>8.8687092227690556E-4</v>
      </c>
    </row>
    <row r="74" spans="22:28">
      <c r="V74" s="31">
        <v>731</v>
      </c>
      <c r="W74" s="342">
        <v>5.3291376167674542E-2</v>
      </c>
      <c r="X74" s="31">
        <v>731</v>
      </c>
      <c r="Y74" s="342">
        <v>5.3045007052901383E-2</v>
      </c>
      <c r="Z74" s="31">
        <v>731</v>
      </c>
      <c r="AA74" s="344">
        <v>5.240174744941406E-2</v>
      </c>
      <c r="AB74" s="343">
        <f t="shared" si="3"/>
        <v>8.8962871826048229E-4</v>
      </c>
    </row>
    <row r="75" spans="22:28">
      <c r="V75" s="31">
        <v>1098</v>
      </c>
      <c r="W75" s="342">
        <v>5.4211032016146632E-2</v>
      </c>
      <c r="X75" s="31">
        <v>1098</v>
      </c>
      <c r="Y75" s="342">
        <v>5.3806297514614521E-2</v>
      </c>
      <c r="Z75" s="31">
        <v>1098</v>
      </c>
      <c r="AA75" s="344">
        <v>5.3004695619637943E-2</v>
      </c>
      <c r="AB75" s="343">
        <f t="shared" si="3"/>
        <v>1.2063363965086893E-3</v>
      </c>
    </row>
    <row r="76" spans="22:28">
      <c r="V76" s="31">
        <v>1462</v>
      </c>
      <c r="W76" s="342">
        <v>5.5188458433768517E-2</v>
      </c>
      <c r="X76" s="31">
        <v>1462</v>
      </c>
      <c r="Y76" s="342">
        <v>5.4797050769739286E-2</v>
      </c>
      <c r="Z76" s="31">
        <v>1462</v>
      </c>
      <c r="AA76" s="344">
        <v>5.4434791014887018E-2</v>
      </c>
      <c r="AB76" s="343">
        <f t="shared" si="3"/>
        <v>7.5366741888149846E-4</v>
      </c>
    </row>
    <row r="77" spans="22:28">
      <c r="V77" s="31">
        <v>1827</v>
      </c>
      <c r="W77" s="342">
        <v>5.6352523398604859E-2</v>
      </c>
      <c r="X77" s="31">
        <v>1827</v>
      </c>
      <c r="Y77" s="342">
        <v>5.5961503611255736E-2</v>
      </c>
      <c r="Z77" s="31">
        <v>1827</v>
      </c>
      <c r="AA77" s="344">
        <v>5.5593279658324057E-2</v>
      </c>
      <c r="AB77" s="343">
        <f t="shared" si="3"/>
        <v>7.5924374028080166E-4</v>
      </c>
    </row>
    <row r="78" spans="22:28">
      <c r="V78" s="31">
        <v>2192</v>
      </c>
      <c r="W78" s="342">
        <v>5.7373583068901723E-2</v>
      </c>
      <c r="X78" s="31">
        <v>2192</v>
      </c>
      <c r="Y78" s="342">
        <v>5.6982606155776772E-2</v>
      </c>
      <c r="Z78" s="31">
        <v>2192</v>
      </c>
      <c r="AA78" s="344">
        <v>5.6610118037195178E-2</v>
      </c>
      <c r="AB78" s="343">
        <f t="shared" si="3"/>
        <v>7.6346503170654501E-4</v>
      </c>
    </row>
    <row r="79" spans="22:28">
      <c r="V79" s="31">
        <v>2558</v>
      </c>
      <c r="W79" s="342">
        <v>5.8225166124136862E-2</v>
      </c>
      <c r="X79" s="31">
        <v>2558</v>
      </c>
      <c r="Y79" s="342">
        <v>5.7716203428454627E-2</v>
      </c>
      <c r="Z79" s="31">
        <v>2558</v>
      </c>
      <c r="AA79" s="344">
        <v>5.7222823849489401E-2</v>
      </c>
      <c r="AB79" s="343">
        <f t="shared" si="3"/>
        <v>1.0023422746474608E-3</v>
      </c>
    </row>
    <row r="80" spans="22:28">
      <c r="V80" s="31">
        <v>2925</v>
      </c>
      <c r="W80" s="342">
        <v>5.8725910090689837E-2</v>
      </c>
      <c r="X80" s="31">
        <v>2925</v>
      </c>
      <c r="Y80" s="342">
        <v>5.8219162789027834E-2</v>
      </c>
      <c r="Z80" s="31">
        <v>2925</v>
      </c>
      <c r="AA80" s="344">
        <v>5.7725480720450584E-2</v>
      </c>
      <c r="AB80" s="343">
        <f t="shared" si="3"/>
        <v>1.000429370239253E-3</v>
      </c>
    </row>
    <row r="81" spans="22:28">
      <c r="V81" s="31">
        <v>3289</v>
      </c>
      <c r="W81" s="342">
        <v>5.9078539075006375E-2</v>
      </c>
      <c r="X81" s="31">
        <v>3289</v>
      </c>
      <c r="Y81" s="342">
        <v>5.8573562479190322E-2</v>
      </c>
      <c r="Z81" s="31">
        <v>3289</v>
      </c>
      <c r="AA81" s="344">
        <v>5.8079669490915364E-2</v>
      </c>
      <c r="AB81" s="343">
        <f t="shared" si="3"/>
        <v>9.9886958409101112E-4</v>
      </c>
    </row>
    <row r="82" spans="22:28">
      <c r="V82" s="31">
        <v>3653</v>
      </c>
      <c r="W82" s="342">
        <v>5.9416896746279591E-2</v>
      </c>
      <c r="X82" s="31">
        <v>3653</v>
      </c>
      <c r="Y82" s="342">
        <v>5.8913190729790621E-2</v>
      </c>
      <c r="Z82" s="31">
        <v>3653</v>
      </c>
      <c r="AA82" s="344">
        <v>5.8418973516181083E-2</v>
      </c>
      <c r="AB82" s="343">
        <f t="shared" si="3"/>
        <v>9.9792323009850747E-4</v>
      </c>
    </row>
    <row r="83" spans="22:28">
      <c r="V83" s="31">
        <v>4384</v>
      </c>
      <c r="W83" s="342">
        <v>6.0156185261634576E-2</v>
      </c>
      <c r="X83" s="31">
        <v>4384</v>
      </c>
      <c r="Y83" s="342">
        <v>5.9517561312199874E-2</v>
      </c>
      <c r="Z83" s="31">
        <v>4384</v>
      </c>
      <c r="AA83" s="344">
        <v>5.8886918218805206E-2</v>
      </c>
      <c r="AB83" s="343">
        <f t="shared" si="3"/>
        <v>1.2692670428293695E-3</v>
      </c>
    </row>
    <row r="84" spans="22:28">
      <c r="V84" s="31">
        <v>5480</v>
      </c>
      <c r="W84" s="342">
        <v>6.05833972142511E-2</v>
      </c>
      <c r="X84" s="31">
        <v>5480</v>
      </c>
      <c r="Y84" s="342">
        <v>5.9806977125112404E-2</v>
      </c>
      <c r="Z84" s="31">
        <v>5480</v>
      </c>
      <c r="AA84" s="344">
        <v>5.9037487275910294E-2</v>
      </c>
      <c r="AB84" s="343">
        <f t="shared" si="3"/>
        <v>1.5459099383408059E-3</v>
      </c>
    </row>
    <row r="85" spans="22:28">
      <c r="V85" s="31">
        <v>7307</v>
      </c>
      <c r="W85" s="342">
        <v>5.9329230711346881E-2</v>
      </c>
      <c r="X85" s="31">
        <v>7307</v>
      </c>
      <c r="Y85" s="342">
        <v>5.810264589571279E-2</v>
      </c>
      <c r="Z85" s="31">
        <v>7307</v>
      </c>
      <c r="AA85" s="344">
        <v>5.6890679398303945E-2</v>
      </c>
      <c r="AB85" s="343">
        <f t="shared" si="3"/>
        <v>2.4385513130429359E-3</v>
      </c>
    </row>
    <row r="86" spans="22:28">
      <c r="V86" s="31">
        <v>9134</v>
      </c>
      <c r="W86" s="342">
        <v>5.6658147811619486E-2</v>
      </c>
      <c r="X86" s="31">
        <v>9134</v>
      </c>
      <c r="Y86" s="342">
        <v>5.5530888278021884E-2</v>
      </c>
      <c r="Z86" s="31">
        <v>9134</v>
      </c>
      <c r="AA86" s="344">
        <v>5.4412444268361781E-2</v>
      </c>
      <c r="AB86" s="343">
        <f t="shared" si="3"/>
        <v>2.2457035432577044E-3</v>
      </c>
    </row>
    <row r="87" spans="22:28">
      <c r="V87" s="31">
        <v>10958</v>
      </c>
      <c r="W87" s="342">
        <v>5.3883326087087013E-2</v>
      </c>
      <c r="X87" s="31">
        <v>10958</v>
      </c>
      <c r="Y87" s="342">
        <v>5.2840480796479739E-2</v>
      </c>
      <c r="Z87" s="31">
        <v>10958</v>
      </c>
      <c r="AA87" s="344">
        <v>5.1802188204280064E-2</v>
      </c>
      <c r="AB87" s="343">
        <f t="shared" si="3"/>
        <v>2.0811378828069493E-3</v>
      </c>
    </row>
    <row r="88" spans="22:28">
      <c r="V88" s="31">
        <v>14611</v>
      </c>
      <c r="W88" s="342">
        <v>4.7639455697983557E-2</v>
      </c>
      <c r="X88" s="31">
        <v>14611</v>
      </c>
      <c r="Y88" s="342">
        <v>4.8850397913466459E-2</v>
      </c>
      <c r="Z88" s="31">
        <v>14611</v>
      </c>
      <c r="AA88" s="344">
        <v>5.0128162978984037E-2</v>
      </c>
      <c r="AB88" s="343">
        <f t="shared" si="3"/>
        <v>-2.4887072810004796E-3</v>
      </c>
    </row>
    <row r="91" spans="22:28">
      <c r="W91" s="31" t="s">
        <v>339</v>
      </c>
      <c r="Y91" s="31" t="s">
        <v>177</v>
      </c>
      <c r="AA91" s="31" t="s">
        <v>338</v>
      </c>
    </row>
    <row r="92" spans="22:28">
      <c r="V92" s="31">
        <f t="array" ref="V92:W113">_xll.HLV5r3.Financial.Cache.GetDaysAndZeroRates(AE26, TraderMids!$D$3, 4)</f>
        <v>0</v>
      </c>
      <c r="W92" s="342">
        <v>4.8092959592093365E-2</v>
      </c>
      <c r="X92" s="31">
        <f t="array" ref="X92:Y113">_xll.HLV5r3.Financial.Cache.GetDaysAndZeroRates(TraderMids!V49, TraderMids!$D$3, 4)</f>
        <v>0</v>
      </c>
      <c r="Y92" s="342">
        <v>4.7591031838797093E-2</v>
      </c>
      <c r="Z92" s="31">
        <f t="array" ref="Z92:AA113">_xll.HLV5r3.Financial.Cache.GetDaysAndZeroRates(AH26, TraderMids!$D$3, 4)</f>
        <v>0</v>
      </c>
      <c r="AA92" s="344">
        <v>4.6386487739545679E-2</v>
      </c>
      <c r="AB92" s="343">
        <f t="shared" ref="AB92:AB113" si="4">W92-AA92</f>
        <v>1.7064718525476863E-3</v>
      </c>
    </row>
    <row r="93" spans="22:28">
      <c r="V93" s="31">
        <v>1</v>
      </c>
      <c r="W93" s="342">
        <v>4.8092959592093365E-2</v>
      </c>
      <c r="X93" s="31">
        <v>1</v>
      </c>
      <c r="Y93" s="342">
        <v>4.7591031838797093E-2</v>
      </c>
      <c r="Z93" s="31">
        <v>1</v>
      </c>
      <c r="AA93" s="344">
        <v>4.6386487739545679E-2</v>
      </c>
      <c r="AB93" s="343">
        <f t="shared" si="4"/>
        <v>1.7064718525476863E-3</v>
      </c>
    </row>
    <row r="94" spans="22:28">
      <c r="V94" s="31">
        <v>34</v>
      </c>
      <c r="W94" s="342">
        <v>4.8674012193092864E-2</v>
      </c>
      <c r="X94" s="31">
        <v>34</v>
      </c>
      <c r="Y94" s="342">
        <v>4.8174121512400525E-2</v>
      </c>
      <c r="Z94" s="31">
        <v>34</v>
      </c>
      <c r="AA94" s="344">
        <v>4.6974379331023108E-2</v>
      </c>
      <c r="AB94" s="343">
        <f t="shared" si="4"/>
        <v>1.6996328620697554E-3</v>
      </c>
    </row>
    <row r="95" spans="22:28">
      <c r="V95" s="31">
        <v>62</v>
      </c>
      <c r="W95" s="342">
        <v>5.0062572525539473E-2</v>
      </c>
      <c r="X95" s="31">
        <v>62</v>
      </c>
      <c r="Y95" s="342">
        <v>4.956458751288384E-2</v>
      </c>
      <c r="Z95" s="31">
        <v>62</v>
      </c>
      <c r="AA95" s="344">
        <v>4.8369341751707928E-2</v>
      </c>
      <c r="AB95" s="343">
        <f t="shared" si="4"/>
        <v>1.6932307738315444E-3</v>
      </c>
    </row>
    <row r="96" spans="22:28">
      <c r="V96" s="31">
        <v>93</v>
      </c>
      <c r="W96" s="342">
        <v>5.1145530960928554E-2</v>
      </c>
      <c r="X96" s="31">
        <v>93</v>
      </c>
      <c r="Y96" s="342">
        <v>5.0649733473687064E-2</v>
      </c>
      <c r="Z96" s="31">
        <v>93</v>
      </c>
      <c r="AA96" s="344">
        <v>4.9459653646399815E-2</v>
      </c>
      <c r="AB96" s="343">
        <f t="shared" si="4"/>
        <v>1.6858773145287387E-3</v>
      </c>
    </row>
    <row r="97" spans="22:28">
      <c r="V97" s="31">
        <v>185</v>
      </c>
      <c r="W97" s="342">
        <v>5.1784960836291916E-2</v>
      </c>
      <c r="X97" s="31">
        <v>185</v>
      </c>
      <c r="Y97" s="342">
        <v>5.1292212060240594E-2</v>
      </c>
      <c r="Z97" s="31">
        <v>185</v>
      </c>
      <c r="AA97" s="344">
        <v>5.0113965755978818E-2</v>
      </c>
      <c r="AB97" s="343">
        <f t="shared" si="4"/>
        <v>1.670995080313098E-3</v>
      </c>
    </row>
    <row r="98" spans="22:28">
      <c r="V98" s="31">
        <v>366</v>
      </c>
      <c r="W98" s="342">
        <v>5.0221895227973157E-2</v>
      </c>
      <c r="X98" s="31">
        <v>366</v>
      </c>
      <c r="Y98" s="342">
        <v>4.9976949300786444E-2</v>
      </c>
      <c r="Z98" s="31">
        <v>366</v>
      </c>
      <c r="AA98" s="344">
        <v>4.9031953615994439E-2</v>
      </c>
      <c r="AB98" s="343">
        <f t="shared" si="4"/>
        <v>1.1899416119787176E-3</v>
      </c>
    </row>
    <row r="99" spans="22:28">
      <c r="V99" s="31">
        <v>731</v>
      </c>
      <c r="W99" s="342">
        <v>5.1306570153376363E-2</v>
      </c>
      <c r="X99" s="31">
        <v>731</v>
      </c>
      <c r="Y99" s="342">
        <v>5.1060234452629416E-2</v>
      </c>
      <c r="Z99" s="31">
        <v>731</v>
      </c>
      <c r="AA99" s="344">
        <v>5.0113447175466952E-2</v>
      </c>
      <c r="AB99" s="343">
        <f t="shared" si="4"/>
        <v>1.193122977909411E-3</v>
      </c>
    </row>
    <row r="100" spans="22:28">
      <c r="V100" s="31">
        <v>1098</v>
      </c>
      <c r="W100" s="342">
        <v>5.2229572942799507E-2</v>
      </c>
      <c r="X100" s="31">
        <v>1098</v>
      </c>
      <c r="Y100" s="342">
        <v>5.1825209606123579E-2</v>
      </c>
      <c r="Z100" s="31">
        <v>1098</v>
      </c>
      <c r="AA100" s="344">
        <v>5.0720199395200893E-2</v>
      </c>
      <c r="AB100" s="343">
        <f t="shared" si="4"/>
        <v>1.5093735475986136E-3</v>
      </c>
    </row>
    <row r="101" spans="22:28">
      <c r="V101" s="31">
        <v>1462</v>
      </c>
      <c r="W101" s="342">
        <v>5.3639143369723641E-2</v>
      </c>
      <c r="X101" s="31">
        <v>1462</v>
      </c>
      <c r="Y101" s="342">
        <v>5.2815949943743945E-2</v>
      </c>
      <c r="Z101" s="31">
        <v>1462</v>
      </c>
      <c r="AA101" s="344">
        <v>5.1717083463257651E-2</v>
      </c>
      <c r="AB101" s="343">
        <f t="shared" si="4"/>
        <v>1.9220599064659893E-3</v>
      </c>
    </row>
    <row r="102" spans="22:28">
      <c r="V102" s="31">
        <v>1827</v>
      </c>
      <c r="W102" s="342">
        <v>5.4879276391448073E-2</v>
      </c>
      <c r="X102" s="31">
        <v>1827</v>
      </c>
      <c r="Y102" s="342">
        <v>5.4061721468511514E-2</v>
      </c>
      <c r="Z102" s="31">
        <v>1827</v>
      </c>
      <c r="AA102" s="344">
        <v>5.2961527750923665E-2</v>
      </c>
      <c r="AB102" s="343">
        <f t="shared" si="4"/>
        <v>1.9177486405244082E-3</v>
      </c>
    </row>
    <row r="103" spans="22:28">
      <c r="V103" s="31">
        <v>2192</v>
      </c>
      <c r="W103" s="342">
        <v>5.5979780362088505E-2</v>
      </c>
      <c r="X103" s="31">
        <v>2192</v>
      </c>
      <c r="Y103" s="342">
        <v>5.5165471805090682E-2</v>
      </c>
      <c r="Z103" s="31">
        <v>2192</v>
      </c>
      <c r="AA103" s="344">
        <v>5.4063550434322316E-2</v>
      </c>
      <c r="AB103" s="343">
        <f t="shared" si="4"/>
        <v>1.9162299277661887E-3</v>
      </c>
    </row>
    <row r="104" spans="22:28">
      <c r="V104" s="31">
        <v>2558</v>
      </c>
      <c r="W104" s="342">
        <v>5.6913879640998921E-2</v>
      </c>
      <c r="X104" s="31">
        <v>2558</v>
      </c>
      <c r="Y104" s="342">
        <v>5.5984275421972818E-2</v>
      </c>
      <c r="Z104" s="31">
        <v>2558</v>
      </c>
      <c r="AA104" s="344">
        <v>5.476413861665641E-2</v>
      </c>
      <c r="AB104" s="343">
        <f t="shared" si="4"/>
        <v>2.1497410243425108E-3</v>
      </c>
    </row>
    <row r="105" spans="22:28">
      <c r="V105" s="31">
        <v>2925</v>
      </c>
      <c r="W105" s="342">
        <v>5.7469945436658953E-2</v>
      </c>
      <c r="X105" s="31">
        <v>2925</v>
      </c>
      <c r="Y105" s="342">
        <v>5.6544332839724376E-2</v>
      </c>
      <c r="Z105" s="31">
        <v>2925</v>
      </c>
      <c r="AA105" s="344">
        <v>5.5325238807334642E-2</v>
      </c>
      <c r="AB105" s="343">
        <f t="shared" si="4"/>
        <v>2.1447066293243111E-3</v>
      </c>
    </row>
    <row r="106" spans="22:28">
      <c r="V106" s="31">
        <v>3289</v>
      </c>
      <c r="W106" s="342">
        <v>5.7880405519264322E-2</v>
      </c>
      <c r="X106" s="31">
        <v>3289</v>
      </c>
      <c r="Y106" s="342">
        <v>5.6957936366016426E-2</v>
      </c>
      <c r="Z106" s="31">
        <v>3289</v>
      </c>
      <c r="AA106" s="344">
        <v>5.5739680056269947E-2</v>
      </c>
      <c r="AB106" s="343">
        <f t="shared" si="4"/>
        <v>2.1407254629943751E-3</v>
      </c>
    </row>
    <row r="107" spans="22:28">
      <c r="V107" s="31">
        <v>3653</v>
      </c>
      <c r="W107" s="342">
        <v>5.8278450701207518E-2</v>
      </c>
      <c r="X107" s="31">
        <v>3653</v>
      </c>
      <c r="Y107" s="342">
        <v>5.7358150585104184E-2</v>
      </c>
      <c r="Z107" s="31">
        <v>3653</v>
      </c>
      <c r="AA107" s="344">
        <v>5.61400829584775E-2</v>
      </c>
      <c r="AB107" s="343">
        <f t="shared" si="4"/>
        <v>2.1383677427300185E-3</v>
      </c>
    </row>
    <row r="108" spans="22:28">
      <c r="V108" s="31">
        <v>4384</v>
      </c>
      <c r="W108" s="342">
        <v>5.9231790265165785E-2</v>
      </c>
      <c r="X108" s="31">
        <v>4384</v>
      </c>
      <c r="Y108" s="342">
        <v>5.8177361314378118E-2</v>
      </c>
      <c r="Z108" s="31">
        <v>4384</v>
      </c>
      <c r="AA108" s="344">
        <v>5.6823585679171451E-2</v>
      </c>
      <c r="AB108" s="343">
        <f t="shared" si="4"/>
        <v>2.4082045859943335E-3</v>
      </c>
    </row>
    <row r="109" spans="22:28">
      <c r="V109" s="31">
        <v>5480</v>
      </c>
      <c r="W109" s="342">
        <v>5.9915493203073211E-2</v>
      </c>
      <c r="X109" s="31">
        <v>5480</v>
      </c>
      <c r="Y109" s="342">
        <v>5.872380955500045E-2</v>
      </c>
      <c r="Z109" s="31">
        <v>5480</v>
      </c>
      <c r="AA109" s="344">
        <v>5.7232202806801524E-2</v>
      </c>
      <c r="AB109" s="343">
        <f t="shared" si="4"/>
        <v>2.683290396271687E-3</v>
      </c>
    </row>
    <row r="110" spans="22:28">
      <c r="V110" s="31">
        <v>7307</v>
      </c>
      <c r="W110" s="342">
        <v>5.8927480930245579E-2</v>
      </c>
      <c r="X110" s="31">
        <v>7307</v>
      </c>
      <c r="Y110" s="342">
        <v>5.7292259705700843E-2</v>
      </c>
      <c r="Z110" s="31">
        <v>7307</v>
      </c>
      <c r="AA110" s="344">
        <v>5.5374161706501113E-2</v>
      </c>
      <c r="AB110" s="343">
        <f t="shared" si="4"/>
        <v>3.5533192237444666E-3</v>
      </c>
    </row>
    <row r="111" spans="22:28">
      <c r="V111" s="31">
        <v>9134</v>
      </c>
      <c r="W111" s="342">
        <v>5.6424127936799628E-2</v>
      </c>
      <c r="X111" s="31">
        <v>9134</v>
      </c>
      <c r="Y111" s="342">
        <v>5.4899026239796811E-2</v>
      </c>
      <c r="Z111" s="31">
        <v>9134</v>
      </c>
      <c r="AA111" s="344">
        <v>5.3092157858715794E-2</v>
      </c>
      <c r="AB111" s="343">
        <f t="shared" si="4"/>
        <v>3.3319700780838346E-3</v>
      </c>
    </row>
    <row r="112" spans="22:28">
      <c r="V112" s="31">
        <v>10958</v>
      </c>
      <c r="W112" s="342">
        <v>5.3737466414037982E-2</v>
      </c>
      <c r="X112" s="31">
        <v>10958</v>
      </c>
      <c r="Y112" s="342">
        <v>5.231166657374331E-2</v>
      </c>
      <c r="Z112" s="31">
        <v>10958</v>
      </c>
      <c r="AA112" s="344">
        <v>5.0609051583254683E-2</v>
      </c>
      <c r="AB112" s="343">
        <f t="shared" si="4"/>
        <v>3.1284148307832993E-3</v>
      </c>
    </row>
    <row r="113" spans="22:28">
      <c r="V113" s="31">
        <v>14611</v>
      </c>
      <c r="W113" s="342">
        <v>4.7657057870902797E-2</v>
      </c>
      <c r="X113" s="31">
        <v>14611</v>
      </c>
      <c r="Y113" s="342">
        <v>4.8528485380574971E-2</v>
      </c>
      <c r="Z113" s="31">
        <v>14611</v>
      </c>
      <c r="AA113" s="344">
        <v>4.9158978398441633E-2</v>
      </c>
      <c r="AB113" s="343">
        <f t="shared" si="4"/>
        <v>-1.5019205275388359E-3</v>
      </c>
    </row>
  </sheetData>
  <protectedRanges>
    <protectedRange sqref="AE13 AH13" name="Range2_1_1_1_1"/>
    <protectedRange sqref="AE22 AE34 AH22 AH34" name="Range2_1_1_1_1_1"/>
  </protectedRanges>
  <mergeCells count="4">
    <mergeCell ref="B2:AB2"/>
    <mergeCell ref="B4:F4"/>
    <mergeCell ref="H4:L4"/>
    <mergeCell ref="N4:R4"/>
  </mergeCells>
  <dataValidations count="5">
    <dataValidation type="list" allowBlank="1" showInputMessage="1" showErrorMessage="1" sqref="AH35 AH23 AE35 AE23" xr:uid="{00000000-0002-0000-0400-000000000000}">
      <formula1>Currency</formula1>
    </dataValidation>
    <dataValidation type="list" allowBlank="1" showInputMessage="1" showErrorMessage="1" sqref="AH32 AH20 AH12 AE32 AE20 AE12" xr:uid="{00000000-0002-0000-0400-000001000000}">
      <formula1>"1D,1M,3M,6M"</formula1>
    </dataValidation>
    <dataValidation type="list" allowBlank="1" showInputMessage="1" showErrorMessage="1" sqref="AH31 AH19 AE31 AE19 AE11 AH11" xr:uid="{00000000-0002-0000-0400-000002000000}">
      <formula1>RateIndex</formula1>
    </dataValidation>
    <dataValidation type="list" allowBlank="1" showInputMessage="1" showErrorMessage="1" sqref="AE7 AH7" xr:uid="{00000000-0002-0000-0400-000003000000}">
      <formula1>"RateCurve, DiscountCurve, InflationCurve, RateSpreadCurve"</formula1>
    </dataValidation>
    <dataValidation type="list" allowBlank="1" showInputMessage="1" showErrorMessage="1" sqref="AE15 AH27 AH15 AE27" xr:uid="{00000000-0002-0000-0400-000004000000}">
      <formula1>"RateCurve, DiscountCurve, InflationCurve, RateSpreadCurve, RateBasisCurve"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M45"/>
  <sheetViews>
    <sheetView workbookViewId="0">
      <selection activeCell="F9" sqref="F9"/>
    </sheetView>
  </sheetViews>
  <sheetFormatPr defaultRowHeight="12.75"/>
  <cols>
    <col min="1" max="1" width="9.140625" style="31"/>
    <col min="2" max="2" width="15.42578125" style="31" bestFit="1" customWidth="1"/>
    <col min="3" max="3" width="11" style="31" customWidth="1"/>
    <col min="4" max="4" width="7.140625" style="31" bestFit="1" customWidth="1"/>
    <col min="5" max="5" width="9.140625" style="31"/>
    <col min="6" max="6" width="15" style="31" bestFit="1" customWidth="1"/>
    <col min="7" max="7" width="10.5703125" style="31" bestFit="1" customWidth="1"/>
    <col min="8" max="8" width="7.140625" style="31" bestFit="1" customWidth="1"/>
    <col min="9" max="9" width="9.140625" style="31"/>
    <col min="10" max="10" width="15" style="31" bestFit="1" customWidth="1"/>
    <col min="11" max="11" width="10.5703125" style="31" bestFit="1" customWidth="1"/>
    <col min="12" max="12" width="7.140625" style="31" bestFit="1" customWidth="1"/>
    <col min="13" max="13" width="2" style="31" bestFit="1" customWidth="1"/>
    <col min="14" max="16384" width="9.140625" style="31"/>
  </cols>
  <sheetData>
    <row r="2" spans="2:13" ht="28.5">
      <c r="B2" s="82" t="s">
        <v>111</v>
      </c>
      <c r="C2" s="80"/>
      <c r="D2" s="80"/>
      <c r="E2" s="80"/>
      <c r="F2" s="80"/>
      <c r="G2" s="80"/>
      <c r="H2" s="80"/>
      <c r="I2" s="80"/>
      <c r="J2" s="80"/>
      <c r="K2" s="80"/>
      <c r="L2" s="80"/>
    </row>
    <row r="4" spans="2:13">
      <c r="B4" s="393" t="s">
        <v>81</v>
      </c>
      <c r="C4" s="397"/>
      <c r="D4" s="396"/>
      <c r="F4" s="393" t="s">
        <v>80</v>
      </c>
      <c r="G4" s="397"/>
      <c r="H4" s="396"/>
      <c r="J4" s="393" t="s">
        <v>82</v>
      </c>
      <c r="K4" s="397"/>
      <c r="L4" s="396"/>
    </row>
    <row r="5" spans="2:13">
      <c r="B5" s="5" t="s">
        <v>19</v>
      </c>
      <c r="C5" s="6" t="s">
        <v>55</v>
      </c>
      <c r="D5" s="81" t="s">
        <v>79</v>
      </c>
      <c r="F5" s="6" t="s">
        <v>19</v>
      </c>
      <c r="G5" s="6" t="s">
        <v>55</v>
      </c>
      <c r="H5" s="81" t="s">
        <v>79</v>
      </c>
      <c r="J5" s="6" t="s">
        <v>19</v>
      </c>
      <c r="K5" s="6" t="s">
        <v>55</v>
      </c>
      <c r="L5" s="81" t="s">
        <v>79</v>
      </c>
    </row>
    <row r="6" spans="2:13">
      <c r="B6" s="7" t="s">
        <v>23</v>
      </c>
      <c r="C6" s="53">
        <v>0</v>
      </c>
      <c r="D6" s="9">
        <f>MarketDataAUD!B14/100+C6/10000</f>
        <v>4.7500000000000001E-2</v>
      </c>
      <c r="E6" s="83"/>
      <c r="F6" s="7" t="str">
        <f>B6</f>
        <v>AUD-Deposit-1D</v>
      </c>
      <c r="G6" s="85">
        <v>0</v>
      </c>
      <c r="H6" s="9">
        <f>MarketDataAUD!B14/100+G6/10000</f>
        <v>4.7500000000000001E-2</v>
      </c>
      <c r="I6" s="83"/>
      <c r="J6" s="7" t="str">
        <f>F6</f>
        <v>AUD-Deposit-1D</v>
      </c>
      <c r="K6" s="85">
        <v>0</v>
      </c>
      <c r="L6" s="9">
        <f>MarketDataAUD!B14/100+K6/10000</f>
        <v>4.7500000000000001E-2</v>
      </c>
    </row>
    <row r="7" spans="2:13">
      <c r="B7" s="11" t="s">
        <v>24</v>
      </c>
      <c r="C7" s="53">
        <v>0</v>
      </c>
      <c r="D7" s="10">
        <f>MarketDataAUD!D23/100+C7/10000</f>
        <v>4.82E-2</v>
      </c>
      <c r="E7" s="83"/>
      <c r="F7" s="11" t="str">
        <f t="shared" ref="F7:F20" si="0">B7</f>
        <v>AUD-Deposit-1M</v>
      </c>
      <c r="G7" s="85">
        <v>0</v>
      </c>
      <c r="H7" s="10">
        <f>MarketDataAUD!D23/100+G7/10000</f>
        <v>4.82E-2</v>
      </c>
      <c r="I7" s="83"/>
      <c r="J7" s="11" t="str">
        <f t="shared" ref="J7:J20" si="1">F7</f>
        <v>AUD-Deposit-1M</v>
      </c>
      <c r="K7" s="85">
        <v>0</v>
      </c>
      <c r="L7" s="10">
        <f>MarketDataAUD!D23/100+K7/10000</f>
        <v>4.82E-2</v>
      </c>
    </row>
    <row r="8" spans="2:13">
      <c r="B8" s="11" t="s">
        <v>27</v>
      </c>
      <c r="C8" s="53">
        <v>0</v>
      </c>
      <c r="D8" s="10">
        <f>MarketDataAUD!D24/100+C8/10000</f>
        <v>4.9100000000000005E-2</v>
      </c>
      <c r="E8" s="83"/>
      <c r="F8" s="11" t="str">
        <f t="shared" si="0"/>
        <v>AUD-Deposit-2M</v>
      </c>
      <c r="G8" s="85">
        <v>0</v>
      </c>
      <c r="H8" s="10">
        <f>MarketDataAUD!D24/100+G8/10000</f>
        <v>4.9100000000000005E-2</v>
      </c>
      <c r="I8" s="83"/>
      <c r="J8" s="11" t="str">
        <f t="shared" si="1"/>
        <v>AUD-Deposit-2M</v>
      </c>
      <c r="K8" s="85">
        <v>0</v>
      </c>
      <c r="L8" s="10">
        <f>MarketDataAUD!D24/100+K8/10000</f>
        <v>4.9100000000000005E-2</v>
      </c>
    </row>
    <row r="9" spans="2:13">
      <c r="B9" s="11"/>
      <c r="C9" s="53"/>
      <c r="D9" s="10"/>
      <c r="E9" s="83"/>
      <c r="F9" s="11" t="s">
        <v>83</v>
      </c>
      <c r="G9" s="85">
        <v>0</v>
      </c>
      <c r="H9" s="10">
        <f>MarketDataAUD!D25/100+G9/10000</f>
        <v>4.99E-2</v>
      </c>
      <c r="I9" s="83"/>
      <c r="J9" s="11" t="str">
        <f t="shared" si="1"/>
        <v>AUD-Deposit-88D</v>
      </c>
      <c r="K9" s="85">
        <v>0</v>
      </c>
      <c r="L9" s="10">
        <f>MarketDataAUD!D25/100+K9/10000</f>
        <v>4.99E-2</v>
      </c>
    </row>
    <row r="10" spans="2:13">
      <c r="B10" s="11" t="str">
        <f>Spreads!B9</f>
        <v>AUD-IRFuture-IR-1</v>
      </c>
      <c r="C10" s="53">
        <v>0</v>
      </c>
      <c r="D10" s="10">
        <f>MarketDataAUD!F31+C10/10000</f>
        <v>5.0349999999999964E-2</v>
      </c>
      <c r="E10" s="83"/>
      <c r="F10" s="11" t="str">
        <f t="shared" si="0"/>
        <v>AUD-IRFuture-IR-1</v>
      </c>
      <c r="G10" s="85">
        <v>0</v>
      </c>
      <c r="H10" s="10">
        <f>MarketDataAUD!F31+G10/10000</f>
        <v>5.0349999999999964E-2</v>
      </c>
      <c r="I10" s="83"/>
      <c r="J10" s="11" t="str">
        <f t="shared" si="1"/>
        <v>AUD-IRFuture-IR-1</v>
      </c>
      <c r="K10" s="85">
        <v>1</v>
      </c>
      <c r="L10" s="10">
        <f>MarketDataAUD!F31+K10/10000</f>
        <v>5.0449999999999967E-2</v>
      </c>
      <c r="M10" s="94"/>
    </row>
    <row r="11" spans="2:13">
      <c r="B11" s="11" t="str">
        <f>Spreads!B10</f>
        <v>AUD-IRFuture-IR-2</v>
      </c>
      <c r="C11" s="53">
        <v>0</v>
      </c>
      <c r="D11" s="10">
        <f>MarketDataAUD!F32+C11/10000</f>
        <v>5.1150000000000091E-2</v>
      </c>
      <c r="E11" s="83"/>
      <c r="F11" s="11" t="str">
        <f t="shared" si="0"/>
        <v>AUD-IRFuture-IR-2</v>
      </c>
      <c r="G11" s="85">
        <v>0</v>
      </c>
      <c r="H11" s="10">
        <f>MarketDataAUD!F32+G11/10000</f>
        <v>5.1150000000000091E-2</v>
      </c>
      <c r="I11" s="83"/>
      <c r="J11" s="11" t="str">
        <f t="shared" si="1"/>
        <v>AUD-IRFuture-IR-2</v>
      </c>
      <c r="K11" s="85">
        <v>1</v>
      </c>
      <c r="L11" s="10">
        <f>MarketDataAUD!F32+K11/10000</f>
        <v>5.1250000000000094E-2</v>
      </c>
      <c r="M11" s="94"/>
    </row>
    <row r="12" spans="2:13">
      <c r="B12" s="11" t="str">
        <f>Spreads!B11</f>
        <v>AUD-IRFuture-IR-3</v>
      </c>
      <c r="C12" s="53">
        <v>0</v>
      </c>
      <c r="D12" s="10">
        <f>MarketDataAUD!F33+C12/10000</f>
        <v>5.1850000000000021E-2</v>
      </c>
      <c r="E12" s="83"/>
      <c r="F12" s="11" t="str">
        <f t="shared" si="0"/>
        <v>AUD-IRFuture-IR-3</v>
      </c>
      <c r="G12" s="85">
        <v>0</v>
      </c>
      <c r="H12" s="10">
        <f>MarketDataAUD!F33+G12/10000</f>
        <v>5.1850000000000021E-2</v>
      </c>
      <c r="I12" s="83"/>
      <c r="J12" s="11" t="str">
        <f t="shared" si="1"/>
        <v>AUD-IRFuture-IR-3</v>
      </c>
      <c r="K12" s="85">
        <v>1</v>
      </c>
      <c r="L12" s="10">
        <f>MarketDataAUD!F33+K12/10000</f>
        <v>5.1950000000000024E-2</v>
      </c>
      <c r="M12" s="94"/>
    </row>
    <row r="13" spans="2:13">
      <c r="B13" s="11" t="str">
        <f>Spreads!B12</f>
        <v>AUD-IRFuture-IR-4</v>
      </c>
      <c r="C13" s="53">
        <v>0</v>
      </c>
      <c r="D13" s="10">
        <f>MarketDataAUD!F34+C13/10000</f>
        <v>5.2649999999999864E-2</v>
      </c>
      <c r="E13" s="83"/>
      <c r="F13" s="11" t="str">
        <f t="shared" si="0"/>
        <v>AUD-IRFuture-IR-4</v>
      </c>
      <c r="G13" s="85">
        <v>0</v>
      </c>
      <c r="H13" s="10">
        <f>MarketDataAUD!F34+G13/10000</f>
        <v>5.2649999999999864E-2</v>
      </c>
      <c r="I13" s="83"/>
      <c r="J13" s="11" t="str">
        <f t="shared" si="1"/>
        <v>AUD-IRFuture-IR-4</v>
      </c>
      <c r="K13" s="85">
        <v>1</v>
      </c>
      <c r="L13" s="10">
        <f>MarketDataAUD!F34+K13/10000</f>
        <v>5.2749999999999866E-2</v>
      </c>
      <c r="M13" s="94"/>
    </row>
    <row r="14" spans="2:13">
      <c r="B14" s="11" t="str">
        <f>Spreads!B13</f>
        <v>AUD-IRFuture-IR-5</v>
      </c>
      <c r="C14" s="53">
        <v>0</v>
      </c>
      <c r="D14" s="10">
        <f>MarketDataAUD!F35+C14/10000</f>
        <v>5.3149999999999975E-2</v>
      </c>
      <c r="E14" s="83"/>
      <c r="F14" s="11" t="str">
        <f t="shared" si="0"/>
        <v>AUD-IRFuture-IR-5</v>
      </c>
      <c r="G14" s="85">
        <v>0</v>
      </c>
      <c r="H14" s="10">
        <f>MarketDataAUD!F35+G14/10000</f>
        <v>5.3149999999999975E-2</v>
      </c>
      <c r="I14" s="83"/>
      <c r="J14" s="11" t="str">
        <f t="shared" si="1"/>
        <v>AUD-IRFuture-IR-5</v>
      </c>
      <c r="K14" s="85">
        <v>1</v>
      </c>
      <c r="L14" s="10">
        <f>MarketDataAUD!F35+K14/10000</f>
        <v>5.3249999999999978E-2</v>
      </c>
      <c r="M14" s="94"/>
    </row>
    <row r="15" spans="2:13">
      <c r="B15" s="11" t="str">
        <f>Spreads!B14</f>
        <v>AUD-IRFuture-IR-6</v>
      </c>
      <c r="C15" s="53">
        <v>0</v>
      </c>
      <c r="D15" s="10">
        <f>MarketDataAUD!F36+C15/10000</f>
        <v>5.3600000000000134E-2</v>
      </c>
      <c r="E15" s="83"/>
      <c r="F15" s="11" t="str">
        <f t="shared" si="0"/>
        <v>AUD-IRFuture-IR-6</v>
      </c>
      <c r="G15" s="85">
        <v>0</v>
      </c>
      <c r="H15" s="10">
        <f>MarketDataAUD!F36+G15/10000</f>
        <v>5.3600000000000134E-2</v>
      </c>
      <c r="I15" s="83"/>
      <c r="J15" s="11" t="str">
        <f t="shared" si="1"/>
        <v>AUD-IRFuture-IR-6</v>
      </c>
      <c r="K15" s="85">
        <v>1.5</v>
      </c>
      <c r="L15" s="10">
        <f>MarketDataAUD!F36+K15/10000</f>
        <v>5.3750000000000131E-2</v>
      </c>
      <c r="M15" s="94"/>
    </row>
    <row r="16" spans="2:13">
      <c r="B16" s="11" t="str">
        <f>Spreads!B15</f>
        <v>AUD-IRFuture-IR-7</v>
      </c>
      <c r="C16" s="53">
        <v>0</v>
      </c>
      <c r="D16" s="10">
        <f>MarketDataAUD!F37+C16/10000</f>
        <v>5.4000000000000055E-2</v>
      </c>
      <c r="E16" s="83"/>
      <c r="F16" s="11" t="str">
        <f t="shared" si="0"/>
        <v>AUD-IRFuture-IR-7</v>
      </c>
      <c r="G16" s="85">
        <v>0</v>
      </c>
      <c r="H16" s="10">
        <f>MarketDataAUD!F37+G16/10000</f>
        <v>5.4000000000000055E-2</v>
      </c>
      <c r="I16" s="83"/>
      <c r="J16" s="11" t="str">
        <f t="shared" si="1"/>
        <v>AUD-IRFuture-IR-7</v>
      </c>
      <c r="K16" s="85">
        <v>1.5</v>
      </c>
      <c r="L16" s="10">
        <f>MarketDataAUD!F37+K16/10000</f>
        <v>5.4150000000000052E-2</v>
      </c>
      <c r="M16" s="94"/>
    </row>
    <row r="17" spans="1:13">
      <c r="B17" s="11" t="str">
        <f>Spreads!B16</f>
        <v>AUD-IRFuture-IR-8</v>
      </c>
      <c r="C17" s="53">
        <v>0</v>
      </c>
      <c r="D17" s="10">
        <f>MarketDataAUD!F38+C17/10000</f>
        <v>5.430000000000007E-2</v>
      </c>
      <c r="E17" s="83"/>
      <c r="F17" s="11" t="str">
        <f t="shared" si="0"/>
        <v>AUD-IRFuture-IR-8</v>
      </c>
      <c r="G17" s="85">
        <v>0</v>
      </c>
      <c r="H17" s="10">
        <f>MarketDataAUD!F38+G17/10000</f>
        <v>5.430000000000007E-2</v>
      </c>
      <c r="I17" s="83"/>
      <c r="J17" s="11" t="str">
        <f t="shared" si="1"/>
        <v>AUD-IRFuture-IR-8</v>
      </c>
      <c r="K17" s="85">
        <v>1.5</v>
      </c>
      <c r="L17" s="10">
        <f>ROUND(MarketDataAUD!F38+K17/10000,8)</f>
        <v>5.4449999999999998E-2</v>
      </c>
      <c r="M17" s="94"/>
    </row>
    <row r="18" spans="1:13">
      <c r="B18" s="11" t="str">
        <f>Spreads!B17</f>
        <v>AUD-IRSwap-3Y</v>
      </c>
      <c r="C18" s="53">
        <v>0</v>
      </c>
      <c r="D18" s="10">
        <f>MarketDataAUD!G45/100+C18/10000</f>
        <v>5.320833333333326E-2</v>
      </c>
      <c r="E18" s="83"/>
      <c r="F18" s="11" t="str">
        <f t="shared" si="0"/>
        <v>AUD-IRSwap-3Y</v>
      </c>
      <c r="G18" s="85">
        <v>0</v>
      </c>
      <c r="H18" s="10">
        <f>MarketDataAUD!G45/100+G18/10000</f>
        <v>5.320833333333326E-2</v>
      </c>
      <c r="I18" s="83"/>
      <c r="J18" s="11" t="str">
        <f t="shared" si="1"/>
        <v>AUD-IRSwap-3Y</v>
      </c>
      <c r="K18" s="85">
        <v>0</v>
      </c>
      <c r="L18" s="108">
        <f>MarketDataAUD!J65/100</f>
        <v>5.3399999999999871E-2</v>
      </c>
    </row>
    <row r="19" spans="1:13">
      <c r="B19" s="11" t="str">
        <f>Spreads!B18</f>
        <v>AUD-IRSwap-4Y</v>
      </c>
      <c r="C19" s="53">
        <v>0</v>
      </c>
      <c r="D19" s="10">
        <f>MarketDataAUD!G46/100+C19/10000</f>
        <v>5.5283333333333254E-2</v>
      </c>
      <c r="E19" s="83"/>
      <c r="F19" s="11" t="str">
        <f t="shared" si="0"/>
        <v>AUD-IRSwap-4Y</v>
      </c>
      <c r="G19" s="85">
        <v>0</v>
      </c>
      <c r="H19" s="10">
        <f>MarketDataAUD!G46/100+G19/10000</f>
        <v>5.5283333333333254E-2</v>
      </c>
      <c r="I19" s="83"/>
      <c r="J19" s="11" t="str">
        <f t="shared" si="1"/>
        <v>AUD-IRSwap-4Y</v>
      </c>
      <c r="K19" s="85">
        <v>0</v>
      </c>
      <c r="L19" s="108">
        <f>MarketDataAUD!J66/100</f>
        <v>5.5474999999999872E-2</v>
      </c>
    </row>
    <row r="20" spans="1:13">
      <c r="B20" s="11" t="str">
        <f>Spreads!B19</f>
        <v>AUD-IRSwap-5Y</v>
      </c>
      <c r="C20" s="53">
        <v>0</v>
      </c>
      <c r="D20" s="10">
        <f>MarketDataAUD!G47/100+C20/10000</f>
        <v>5.6366666666666586E-2</v>
      </c>
      <c r="E20" s="83"/>
      <c r="F20" s="11" t="str">
        <f t="shared" si="0"/>
        <v>AUD-IRSwap-5Y</v>
      </c>
      <c r="G20" s="85">
        <v>0</v>
      </c>
      <c r="H20" s="10">
        <f>MarketDataAUD!G47/100+G20/10000</f>
        <v>5.6366666666666586E-2</v>
      </c>
      <c r="I20" s="83"/>
      <c r="J20" s="11" t="str">
        <f t="shared" si="1"/>
        <v>AUD-IRSwap-5Y</v>
      </c>
      <c r="K20" s="85">
        <v>0</v>
      </c>
      <c r="L20" s="108">
        <f>MarketDataAUD!J67/100</f>
        <v>5.659999999999988E-2</v>
      </c>
    </row>
    <row r="21" spans="1:13">
      <c r="B21" s="11" t="str">
        <f>Spreads!B21</f>
        <v>AUD-IRSwap-7Y</v>
      </c>
      <c r="C21" s="53">
        <v>0</v>
      </c>
      <c r="D21" s="10">
        <f>MarketDataAUD!G49/100+C21/10000</f>
        <v>5.7966666666666757E-2</v>
      </c>
      <c r="E21" s="83"/>
      <c r="F21" s="11" t="str">
        <f t="shared" ref="F21:F26" si="2">B21</f>
        <v>AUD-IRSwap-7Y</v>
      </c>
      <c r="G21" s="85">
        <v>0</v>
      </c>
      <c r="H21" s="10">
        <f>MarketDataAUD!G49/100+G21/10000</f>
        <v>5.7966666666666757E-2</v>
      </c>
      <c r="I21" s="83"/>
      <c r="J21" s="11" t="str">
        <f>F21</f>
        <v>AUD-IRSwap-7Y</v>
      </c>
      <c r="K21" s="85">
        <v>0</v>
      </c>
      <c r="L21" s="108">
        <f>MarketDataAUD!J69/100</f>
        <v>5.827500000000007E-2</v>
      </c>
    </row>
    <row r="22" spans="1:13">
      <c r="B22" s="11" t="str">
        <f>Spreads!B24</f>
        <v>AUD-IRSwap-10Y</v>
      </c>
      <c r="C22" s="53">
        <v>0</v>
      </c>
      <c r="D22" s="10">
        <f>MarketDataAUD!G52/100+C22/10000</f>
        <v>5.9050000000000089E-2</v>
      </c>
      <c r="E22" s="83"/>
      <c r="F22" s="11" t="str">
        <f t="shared" si="2"/>
        <v>AUD-IRSwap-10Y</v>
      </c>
      <c r="G22" s="85">
        <v>0</v>
      </c>
      <c r="H22" s="10">
        <f>MarketDataAUD!G52/100+G22/10000</f>
        <v>5.9050000000000089E-2</v>
      </c>
      <c r="I22" s="83"/>
      <c r="J22" s="11" t="str">
        <f>F22</f>
        <v>AUD-IRSwap-10Y</v>
      </c>
      <c r="K22" s="85">
        <v>0</v>
      </c>
      <c r="L22" s="108">
        <f>MarketDataAUD!J72/100</f>
        <v>5.9375000000000074E-2</v>
      </c>
    </row>
    <row r="23" spans="1:13">
      <c r="B23" s="11" t="str">
        <f>Spreads!B26</f>
        <v>AUD-IRSwap-15Y</v>
      </c>
      <c r="C23" s="53">
        <v>0</v>
      </c>
      <c r="D23" s="10">
        <f>MarketDataAUD!G54/100+C23/10000</f>
        <v>5.9857500000000091E-2</v>
      </c>
      <c r="E23" s="83"/>
      <c r="F23" s="11" t="str">
        <f t="shared" si="2"/>
        <v>AUD-IRSwap-15Y</v>
      </c>
      <c r="G23" s="85">
        <v>0</v>
      </c>
      <c r="H23" s="10">
        <f>MarketDataAUD!G54/100+G23/10000</f>
        <v>5.9857500000000091E-2</v>
      </c>
      <c r="I23" s="83"/>
      <c r="J23" s="11" t="str">
        <f>F23</f>
        <v>AUD-IRSwap-15Y</v>
      </c>
      <c r="K23" s="85">
        <v>0</v>
      </c>
      <c r="L23" s="108">
        <f>MarketDataAUD!J74/100</f>
        <v>6.0450000000000073E-2</v>
      </c>
    </row>
    <row r="24" spans="1:13">
      <c r="B24" s="11" t="str">
        <f>Spreads!B27</f>
        <v>AUD-IRSwap-20Y</v>
      </c>
      <c r="C24" s="53">
        <v>0</v>
      </c>
      <c r="D24" s="10">
        <f>MarketDataAUD!G55/100+C24/10000</f>
        <v>5.8915833333333417E-2</v>
      </c>
      <c r="E24" s="83"/>
      <c r="F24" s="11" t="str">
        <f t="shared" si="2"/>
        <v>AUD-IRSwap-20Y</v>
      </c>
      <c r="G24" s="85">
        <v>0</v>
      </c>
      <c r="H24" s="10">
        <f>MarketDataAUD!G55/100+G24/10000</f>
        <v>5.8915833333333417E-2</v>
      </c>
      <c r="I24" s="83"/>
      <c r="J24" s="11" t="str">
        <f>F24</f>
        <v>AUD-IRSwap-20Y</v>
      </c>
      <c r="K24" s="85">
        <v>0</v>
      </c>
      <c r="L24" s="108">
        <f>MarketDataAUD!J75/100</f>
        <v>5.9825000000000073E-2</v>
      </c>
    </row>
    <row r="25" spans="1:13">
      <c r="B25" s="11" t="str">
        <f>Spreads!B28</f>
        <v>AUD-IRSwap-25Y</v>
      </c>
      <c r="C25" s="53">
        <v>0</v>
      </c>
      <c r="D25" s="10">
        <f>MarketDataAUD!G56/100+C25/10000</f>
        <v>5.7520000000000085E-2</v>
      </c>
      <c r="E25" s="83"/>
      <c r="F25" s="11" t="str">
        <f t="shared" si="2"/>
        <v>AUD-IRSwap-25Y</v>
      </c>
      <c r="G25" s="85">
        <v>0</v>
      </c>
      <c r="H25" s="10">
        <f>MarketDataAUD!G56/100+G25/10000</f>
        <v>5.7520000000000085E-2</v>
      </c>
      <c r="I25" s="83"/>
      <c r="J25" s="11" t="str">
        <f>F25</f>
        <v>AUD-IRSwap-25Y</v>
      </c>
      <c r="K25" s="85">
        <v>0</v>
      </c>
      <c r="L25" s="108">
        <f>MarketDataAUD!J76/100</f>
        <v>5.8425000000000067E-2</v>
      </c>
    </row>
    <row r="26" spans="1:13">
      <c r="A26" s="91"/>
      <c r="B26" s="14" t="str">
        <f>Spreads!B29</f>
        <v>AUD-IRSwap-30Y</v>
      </c>
      <c r="C26" s="53">
        <v>0</v>
      </c>
      <c r="D26" s="10">
        <f>MarketDataAUD!G57/100+C26/10000</f>
        <v>5.6116666666666759E-2</v>
      </c>
      <c r="E26" s="83"/>
      <c r="F26" s="11" t="str">
        <f t="shared" si="2"/>
        <v>AUD-IRSwap-30Y</v>
      </c>
      <c r="G26" s="85">
        <v>0</v>
      </c>
      <c r="H26" s="10">
        <f>MarketDataAUD!G57/100+G26/10000</f>
        <v>5.6116666666666759E-2</v>
      </c>
      <c r="I26" s="83"/>
      <c r="J26" s="11" t="s">
        <v>84</v>
      </c>
      <c r="K26" s="85">
        <v>0</v>
      </c>
      <c r="L26" s="108">
        <f>$L$25*((5-M26)/5)+$L$30*(M26/5)</f>
        <v>5.8135000000000076E-2</v>
      </c>
      <c r="M26" s="31">
        <v>1</v>
      </c>
    </row>
    <row r="27" spans="1:13">
      <c r="A27" s="91"/>
      <c r="C27" s="53"/>
      <c r="D27" s="10"/>
      <c r="E27" s="83"/>
      <c r="F27" s="83"/>
      <c r="G27" s="85"/>
      <c r="H27" s="10"/>
      <c r="I27" s="83"/>
      <c r="J27" s="11" t="s">
        <v>85</v>
      </c>
      <c r="K27" s="85">
        <v>0</v>
      </c>
      <c r="L27" s="108">
        <f t="shared" ref="L27:L29" si="3">$L$25*((5-M27)/5)+$L$30*(M27/5)</f>
        <v>5.7845000000000063E-2</v>
      </c>
      <c r="M27" s="31">
        <v>2</v>
      </c>
    </row>
    <row r="28" spans="1:13">
      <c r="A28" s="91"/>
      <c r="C28" s="53"/>
      <c r="D28" s="10"/>
      <c r="E28" s="83"/>
      <c r="F28" s="83"/>
      <c r="G28" s="85"/>
      <c r="H28" s="10"/>
      <c r="I28" s="83"/>
      <c r="J28" s="11" t="s">
        <v>86</v>
      </c>
      <c r="K28" s="85">
        <v>0</v>
      </c>
      <c r="L28" s="108">
        <f t="shared" si="3"/>
        <v>5.7555000000000071E-2</v>
      </c>
      <c r="M28" s="31">
        <v>3</v>
      </c>
    </row>
    <row r="29" spans="1:13">
      <c r="A29" s="91"/>
      <c r="C29" s="53"/>
      <c r="D29" s="10"/>
      <c r="E29" s="83"/>
      <c r="F29" s="83"/>
      <c r="G29" s="85"/>
      <c r="H29" s="10"/>
      <c r="I29" s="83"/>
      <c r="J29" s="11" t="s">
        <v>87</v>
      </c>
      <c r="K29" s="85">
        <v>0</v>
      </c>
      <c r="L29" s="108">
        <f t="shared" si="3"/>
        <v>5.7265000000000073E-2</v>
      </c>
      <c r="M29" s="31">
        <v>4</v>
      </c>
    </row>
    <row r="30" spans="1:13">
      <c r="A30" s="91"/>
      <c r="C30" s="53"/>
      <c r="D30" s="10"/>
      <c r="E30" s="83"/>
      <c r="F30" s="83"/>
      <c r="G30" s="85"/>
      <c r="H30" s="10"/>
      <c r="I30" s="83"/>
      <c r="J30" s="11" t="s">
        <v>50</v>
      </c>
      <c r="K30" s="85">
        <v>0</v>
      </c>
      <c r="L30" s="108">
        <f>MarketDataAUD!J77/100</f>
        <v>5.6975000000000067E-2</v>
      </c>
    </row>
    <row r="31" spans="1:13">
      <c r="B31" s="11"/>
      <c r="C31" s="53"/>
      <c r="D31" s="23"/>
      <c r="F31" s="11"/>
      <c r="G31" s="53"/>
      <c r="H31" s="10"/>
      <c r="I31" s="83"/>
      <c r="J31" s="83"/>
      <c r="K31" s="85"/>
      <c r="L31" s="10"/>
    </row>
    <row r="32" spans="1:13">
      <c r="B32" s="11"/>
      <c r="C32" s="53"/>
      <c r="D32" s="23"/>
      <c r="F32" s="11"/>
      <c r="G32" s="53"/>
      <c r="H32" s="10"/>
      <c r="I32" s="83"/>
      <c r="J32" s="83"/>
      <c r="K32" s="85"/>
      <c r="L32" s="10"/>
    </row>
    <row r="33" spans="2:12">
      <c r="B33" s="11"/>
      <c r="C33" s="53"/>
      <c r="D33" s="23"/>
      <c r="F33" s="11"/>
      <c r="G33" s="53"/>
      <c r="H33" s="23"/>
      <c r="I33" s="83"/>
      <c r="J33" s="83"/>
      <c r="K33" s="85"/>
      <c r="L33" s="10"/>
    </row>
    <row r="34" spans="2:12">
      <c r="B34" s="13"/>
      <c r="C34" s="13"/>
      <c r="D34" s="23"/>
      <c r="F34" s="13"/>
      <c r="G34" s="13"/>
      <c r="H34" s="23"/>
      <c r="I34" s="83"/>
      <c r="J34" s="83"/>
      <c r="K34" s="85"/>
      <c r="L34" s="10"/>
    </row>
    <row r="35" spans="2:12">
      <c r="B35" s="13"/>
      <c r="C35" s="13"/>
      <c r="D35" s="23"/>
      <c r="F35" s="13"/>
      <c r="G35" s="13"/>
      <c r="H35" s="23"/>
      <c r="J35" s="13"/>
      <c r="K35" s="13"/>
      <c r="L35" s="23"/>
    </row>
    <row r="36" spans="2:12">
      <c r="B36" s="13"/>
      <c r="C36" s="13"/>
      <c r="D36" s="23"/>
      <c r="F36" s="13"/>
      <c r="G36" s="13"/>
      <c r="H36" s="23"/>
      <c r="J36" s="13"/>
      <c r="K36" s="13"/>
      <c r="L36" s="23"/>
    </row>
    <row r="37" spans="2:12">
      <c r="B37" s="13"/>
      <c r="C37" s="13"/>
      <c r="D37" s="23"/>
      <c r="F37" s="13"/>
      <c r="G37" s="13"/>
      <c r="H37" s="23"/>
      <c r="J37" s="13"/>
      <c r="K37" s="13"/>
      <c r="L37" s="23"/>
    </row>
    <row r="38" spans="2:12">
      <c r="B38" s="13"/>
      <c r="C38" s="13"/>
      <c r="D38" s="23"/>
      <c r="F38" s="13"/>
      <c r="G38" s="13"/>
      <c r="H38" s="23"/>
      <c r="J38" s="13"/>
      <c r="K38" s="13"/>
      <c r="L38" s="23"/>
    </row>
    <row r="39" spans="2:12">
      <c r="B39" s="13"/>
      <c r="C39" s="13"/>
      <c r="D39" s="23"/>
      <c r="F39" s="13"/>
      <c r="G39" s="13"/>
      <c r="H39" s="23"/>
      <c r="J39" s="13"/>
      <c r="K39" s="13"/>
      <c r="L39" s="23"/>
    </row>
    <row r="40" spans="2:12">
      <c r="B40" s="13"/>
      <c r="C40" s="13"/>
      <c r="D40" s="23"/>
      <c r="F40" s="13"/>
      <c r="G40" s="13"/>
      <c r="H40" s="23"/>
      <c r="J40" s="13"/>
      <c r="K40" s="13"/>
      <c r="L40" s="23"/>
    </row>
    <row r="41" spans="2:12">
      <c r="B41" s="13"/>
      <c r="C41" s="13"/>
      <c r="D41" s="23"/>
      <c r="F41" s="13"/>
      <c r="G41" s="13"/>
      <c r="H41" s="23"/>
      <c r="J41" s="13"/>
      <c r="K41" s="13"/>
      <c r="L41" s="23"/>
    </row>
    <row r="42" spans="2:12">
      <c r="B42" s="13"/>
      <c r="C42" s="13"/>
      <c r="D42" s="23"/>
      <c r="F42" s="13"/>
      <c r="G42" s="13"/>
      <c r="H42" s="23"/>
      <c r="J42" s="13"/>
      <c r="K42" s="13"/>
      <c r="L42" s="23"/>
    </row>
    <row r="43" spans="2:12">
      <c r="B43" s="13"/>
      <c r="C43" s="13"/>
      <c r="D43" s="23"/>
      <c r="F43" s="13"/>
      <c r="G43" s="13"/>
      <c r="H43" s="23"/>
      <c r="J43" s="13"/>
      <c r="K43" s="13"/>
      <c r="L43" s="23"/>
    </row>
    <row r="44" spans="2:12">
      <c r="B44" s="13"/>
      <c r="C44" s="13"/>
      <c r="D44" s="23"/>
      <c r="F44" s="13"/>
      <c r="G44" s="13"/>
      <c r="H44" s="23"/>
      <c r="J44" s="13"/>
      <c r="K44" s="13"/>
      <c r="L44" s="23"/>
    </row>
    <row r="45" spans="2:12">
      <c r="B45" s="27"/>
      <c r="C45" s="27"/>
      <c r="D45" s="28"/>
      <c r="F45" s="27"/>
      <c r="G45" s="27"/>
      <c r="H45" s="28"/>
      <c r="J45" s="27"/>
      <c r="K45" s="27"/>
      <c r="L45" s="28"/>
    </row>
  </sheetData>
  <mergeCells count="3">
    <mergeCell ref="F4:H4"/>
    <mergeCell ref="B4:D4"/>
    <mergeCell ref="J4:L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G45"/>
  <sheetViews>
    <sheetView workbookViewId="0">
      <selection activeCell="K31" sqref="K31"/>
    </sheetView>
  </sheetViews>
  <sheetFormatPr defaultRowHeight="12.75"/>
  <cols>
    <col min="1" max="1" width="9.140625" style="31"/>
    <col min="2" max="2" width="15.42578125" style="31" bestFit="1" customWidth="1"/>
    <col min="3" max="3" width="9.7109375" style="31" bestFit="1" customWidth="1"/>
    <col min="4" max="4" width="9.140625" style="31"/>
    <col min="5" max="5" width="15" style="31" bestFit="1" customWidth="1"/>
    <col min="6" max="6" width="9.7109375" style="31" bestFit="1" customWidth="1"/>
    <col min="7" max="16384" width="9.140625" style="31"/>
  </cols>
  <sheetData>
    <row r="2" spans="1:7" ht="28.5">
      <c r="B2" s="82" t="s">
        <v>71</v>
      </c>
      <c r="C2" s="82"/>
      <c r="D2" s="82"/>
      <c r="E2" s="82"/>
      <c r="F2" s="82"/>
      <c r="G2" s="82"/>
    </row>
    <row r="4" spans="1:7">
      <c r="B4" s="393" t="s">
        <v>88</v>
      </c>
      <c r="C4" s="396"/>
      <c r="E4" s="393" t="s">
        <v>89</v>
      </c>
      <c r="F4" s="396"/>
    </row>
    <row r="5" spans="1:7">
      <c r="B5" s="6" t="s">
        <v>19</v>
      </c>
      <c r="C5" s="81" t="s">
        <v>79</v>
      </c>
      <c r="E5" s="6" t="s">
        <v>19</v>
      </c>
      <c r="F5" s="81" t="s">
        <v>79</v>
      </c>
    </row>
    <row r="6" spans="1:7">
      <c r="A6" s="90" t="s">
        <v>92</v>
      </c>
      <c r="B6" s="11" t="s">
        <v>90</v>
      </c>
      <c r="C6" s="93">
        <f>MarketDataAUD!O55/100</f>
        <v>5.0499999999999969E-2</v>
      </c>
      <c r="D6" s="83"/>
      <c r="E6" s="11" t="s">
        <v>90</v>
      </c>
      <c r="F6" s="93">
        <f>MarketDataAUD!O58/100</f>
        <v>5.0399999999999917E-2</v>
      </c>
      <c r="G6" s="84"/>
    </row>
    <row r="7" spans="1:7">
      <c r="A7" s="90" t="s">
        <v>93</v>
      </c>
      <c r="B7" s="11" t="s">
        <v>91</v>
      </c>
      <c r="C7" s="92">
        <f>MarketDataAUD!O56/100</f>
        <v>5.3700000000000046E-2</v>
      </c>
      <c r="D7" s="83"/>
      <c r="E7" s="11" t="s">
        <v>91</v>
      </c>
      <c r="F7" s="92">
        <f>MarketDataAUD!O59/100</f>
        <v>5.3650000000000093E-2</v>
      </c>
      <c r="G7" s="84"/>
    </row>
    <row r="8" spans="1:7">
      <c r="B8" s="11"/>
      <c r="C8" s="10"/>
      <c r="D8" s="83"/>
      <c r="E8" s="11"/>
      <c r="F8" s="10"/>
      <c r="G8" s="84"/>
    </row>
    <row r="9" spans="1:7">
      <c r="B9" s="11"/>
      <c r="C9" s="10"/>
      <c r="D9" s="83"/>
      <c r="E9" s="11"/>
      <c r="F9" s="10"/>
      <c r="G9" s="84"/>
    </row>
    <row r="10" spans="1:7">
      <c r="B10" s="11"/>
      <c r="C10" s="10"/>
      <c r="D10" s="83"/>
      <c r="E10" s="11"/>
      <c r="F10" s="10"/>
      <c r="G10" s="84"/>
    </row>
    <row r="11" spans="1:7">
      <c r="B11" s="11"/>
      <c r="C11" s="10"/>
      <c r="D11" s="83"/>
      <c r="E11" s="11"/>
      <c r="F11" s="10"/>
      <c r="G11" s="84"/>
    </row>
    <row r="12" spans="1:7">
      <c r="B12" s="11"/>
      <c r="C12" s="10"/>
      <c r="D12" s="83"/>
      <c r="E12" s="11"/>
      <c r="F12" s="10"/>
      <c r="G12" s="84"/>
    </row>
    <row r="13" spans="1:7">
      <c r="B13" s="11"/>
      <c r="C13" s="10"/>
      <c r="D13" s="83"/>
      <c r="E13" s="11"/>
      <c r="F13" s="10"/>
      <c r="G13" s="84"/>
    </row>
    <row r="14" spans="1:7">
      <c r="B14" s="11"/>
      <c r="C14" s="10"/>
      <c r="D14" s="83"/>
      <c r="E14" s="11"/>
      <c r="F14" s="10"/>
      <c r="G14" s="84"/>
    </row>
    <row r="15" spans="1:7">
      <c r="B15" s="11"/>
      <c r="C15" s="10"/>
      <c r="D15" s="83"/>
      <c r="E15" s="11"/>
      <c r="F15" s="10"/>
      <c r="G15" s="84"/>
    </row>
    <row r="16" spans="1:7">
      <c r="B16" s="11"/>
      <c r="C16" s="10"/>
      <c r="D16" s="83"/>
      <c r="E16" s="11"/>
      <c r="F16" s="10"/>
      <c r="G16" s="84"/>
    </row>
    <row r="17" spans="2:7">
      <c r="B17" s="11"/>
      <c r="C17" s="10"/>
      <c r="D17" s="83"/>
      <c r="E17" s="11"/>
      <c r="F17" s="10"/>
      <c r="G17" s="84"/>
    </row>
    <row r="18" spans="2:7">
      <c r="B18" s="11"/>
      <c r="C18" s="10"/>
      <c r="D18" s="83"/>
      <c r="E18" s="11"/>
      <c r="F18" s="10"/>
      <c r="G18" s="84"/>
    </row>
    <row r="19" spans="2:7">
      <c r="B19" s="11"/>
      <c r="C19" s="10"/>
      <c r="D19" s="83"/>
      <c r="E19" s="11"/>
      <c r="F19" s="10"/>
      <c r="G19" s="84"/>
    </row>
    <row r="20" spans="2:7">
      <c r="B20" s="11"/>
      <c r="C20" s="10"/>
      <c r="D20" s="83"/>
      <c r="E20" s="11"/>
      <c r="F20" s="10"/>
      <c r="G20" s="84"/>
    </row>
    <row r="21" spans="2:7">
      <c r="B21" s="11"/>
      <c r="C21" s="10"/>
      <c r="D21" s="83"/>
      <c r="E21" s="11"/>
      <c r="F21" s="10"/>
      <c r="G21" s="84"/>
    </row>
    <row r="22" spans="2:7">
      <c r="B22" s="11"/>
      <c r="C22" s="10"/>
      <c r="D22" s="83"/>
      <c r="E22" s="11"/>
      <c r="F22" s="10"/>
      <c r="G22" s="84"/>
    </row>
    <row r="23" spans="2:7">
      <c r="B23" s="11"/>
      <c r="C23" s="10"/>
      <c r="D23" s="83"/>
      <c r="E23" s="11"/>
      <c r="F23" s="10"/>
      <c r="G23" s="84"/>
    </row>
    <row r="24" spans="2:7">
      <c r="B24" s="11"/>
      <c r="C24" s="10"/>
      <c r="D24" s="83"/>
      <c r="E24" s="11"/>
      <c r="F24" s="10"/>
      <c r="G24" s="84"/>
    </row>
    <row r="25" spans="2:7">
      <c r="B25" s="11"/>
      <c r="C25" s="10"/>
      <c r="D25" s="83"/>
      <c r="E25" s="11"/>
      <c r="F25" s="10"/>
      <c r="G25" s="84"/>
    </row>
    <row r="26" spans="2:7">
      <c r="B26" s="11"/>
      <c r="C26" s="10"/>
      <c r="D26" s="83"/>
      <c r="E26" s="11"/>
      <c r="F26" s="10"/>
      <c r="G26" s="84"/>
    </row>
    <row r="27" spans="2:7">
      <c r="B27" s="11"/>
      <c r="C27" s="10"/>
      <c r="D27" s="83"/>
      <c r="E27" s="11"/>
      <c r="F27" s="10"/>
      <c r="G27" s="84"/>
    </row>
    <row r="28" spans="2:7">
      <c r="B28" s="11"/>
      <c r="C28" s="10"/>
      <c r="D28" s="83"/>
      <c r="E28" s="11"/>
      <c r="F28" s="10"/>
      <c r="G28" s="84"/>
    </row>
    <row r="29" spans="2:7">
      <c r="B29" s="11"/>
      <c r="C29" s="10"/>
      <c r="D29" s="83"/>
      <c r="E29" s="11"/>
      <c r="F29" s="10"/>
      <c r="G29" s="84"/>
    </row>
    <row r="30" spans="2:7">
      <c r="B30" s="11"/>
      <c r="C30" s="10"/>
      <c r="D30" s="83"/>
      <c r="E30" s="11"/>
      <c r="F30" s="10"/>
      <c r="G30" s="84"/>
    </row>
    <row r="31" spans="2:7">
      <c r="B31" s="11"/>
      <c r="C31" s="23"/>
      <c r="E31" s="11"/>
      <c r="F31" s="10"/>
      <c r="G31" s="84"/>
    </row>
    <row r="32" spans="2:7">
      <c r="B32" s="11"/>
      <c r="C32" s="23"/>
      <c r="E32" s="11"/>
      <c r="F32" s="10"/>
      <c r="G32" s="84"/>
    </row>
    <row r="33" spans="2:7">
      <c r="B33" s="11"/>
      <c r="C33" s="23"/>
      <c r="E33" s="11"/>
      <c r="F33" s="23"/>
      <c r="G33" s="84"/>
    </row>
    <row r="34" spans="2:7">
      <c r="B34" s="13"/>
      <c r="C34" s="23"/>
      <c r="E34" s="13"/>
      <c r="F34" s="23"/>
    </row>
    <row r="35" spans="2:7">
      <c r="B35" s="13"/>
      <c r="C35" s="23"/>
      <c r="E35" s="13"/>
      <c r="F35" s="23"/>
    </row>
    <row r="36" spans="2:7">
      <c r="B36" s="13"/>
      <c r="C36" s="23"/>
      <c r="E36" s="13"/>
      <c r="F36" s="23"/>
    </row>
    <row r="37" spans="2:7">
      <c r="B37" s="13"/>
      <c r="C37" s="23"/>
      <c r="E37" s="13"/>
      <c r="F37" s="23"/>
    </row>
    <row r="38" spans="2:7">
      <c r="B38" s="13"/>
      <c r="C38" s="23"/>
      <c r="E38" s="13"/>
      <c r="F38" s="23"/>
    </row>
    <row r="39" spans="2:7">
      <c r="B39" s="13"/>
      <c r="C39" s="23"/>
      <c r="E39" s="13"/>
      <c r="F39" s="23"/>
    </row>
    <row r="40" spans="2:7">
      <c r="B40" s="13"/>
      <c r="C40" s="23"/>
      <c r="E40" s="13"/>
      <c r="F40" s="23"/>
    </row>
    <row r="41" spans="2:7">
      <c r="B41" s="13"/>
      <c r="C41" s="23"/>
      <c r="E41" s="13"/>
      <c r="F41" s="23"/>
    </row>
    <row r="42" spans="2:7">
      <c r="B42" s="13"/>
      <c r="C42" s="23"/>
      <c r="E42" s="13"/>
      <c r="F42" s="23"/>
    </row>
    <row r="43" spans="2:7">
      <c r="B43" s="13"/>
      <c r="C43" s="23"/>
      <c r="E43" s="13"/>
      <c r="F43" s="23"/>
    </row>
    <row r="44" spans="2:7">
      <c r="B44" s="13"/>
      <c r="C44" s="23"/>
      <c r="E44" s="13"/>
      <c r="F44" s="23"/>
    </row>
    <row r="45" spans="2:7">
      <c r="B45" s="27"/>
      <c r="C45" s="28"/>
      <c r="E45" s="27"/>
      <c r="F45" s="28"/>
    </row>
  </sheetData>
  <mergeCells count="2">
    <mergeCell ref="B4:C4"/>
    <mergeCell ref="E4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2:BN76"/>
  <sheetViews>
    <sheetView workbookViewId="0">
      <selection activeCell="P6" sqref="P6:Q9"/>
    </sheetView>
  </sheetViews>
  <sheetFormatPr defaultRowHeight="12.75"/>
  <cols>
    <col min="1" max="1" width="1.5703125" style="168" customWidth="1"/>
    <col min="2" max="2" width="12.140625" style="168" customWidth="1"/>
    <col min="3" max="4" width="6.28515625" style="168" bestFit="1" customWidth="1"/>
    <col min="5" max="5" width="11.140625" style="168" bestFit="1" customWidth="1"/>
    <col min="6" max="11" width="6.28515625" style="168" bestFit="1" customWidth="1"/>
    <col min="12" max="12" width="2" style="168" customWidth="1"/>
    <col min="13" max="13" width="18.5703125" style="168" bestFit="1" customWidth="1"/>
    <col min="14" max="14" width="48.7109375" style="168" bestFit="1" customWidth="1"/>
    <col min="15" max="15" width="5.5703125" style="168" bestFit="1" customWidth="1"/>
    <col min="16" max="16" width="11" style="168" bestFit="1" customWidth="1"/>
    <col min="17" max="17" width="16.42578125" style="168" bestFit="1" customWidth="1"/>
    <col min="18" max="20" width="9.140625" style="168"/>
    <col min="21" max="21" width="11" style="168" bestFit="1" customWidth="1"/>
    <col min="22" max="27" width="11" style="168" customWidth="1"/>
    <col min="28" max="28" width="9.140625" style="168"/>
    <col min="29" max="29" width="10.140625" style="168" bestFit="1" customWidth="1"/>
    <col min="30" max="35" width="9.140625" style="168"/>
    <col min="36" max="36" width="9.5703125" style="168" bestFit="1" customWidth="1"/>
    <col min="37" max="38" width="9.140625" style="168"/>
    <col min="39" max="39" width="10.140625" style="168" bestFit="1" customWidth="1"/>
    <col min="40" max="40" width="12" style="168" bestFit="1" customWidth="1"/>
    <col min="41" max="45" width="9.140625" style="168"/>
    <col min="46" max="46" width="9.5703125" style="168" bestFit="1" customWidth="1"/>
    <col min="47" max="48" width="9.140625" style="168"/>
    <col min="49" max="49" width="10.140625" style="168" bestFit="1" customWidth="1"/>
    <col min="50" max="55" width="9.140625" style="168"/>
    <col min="56" max="56" width="9.5703125" style="168" bestFit="1" customWidth="1"/>
    <col min="57" max="58" width="9.140625" style="168"/>
    <col min="59" max="59" width="10.140625" style="168" bestFit="1" customWidth="1"/>
    <col min="60" max="65" width="9.140625" style="168"/>
    <col min="66" max="66" width="9.5703125" style="168" bestFit="1" customWidth="1"/>
    <col min="67" max="16384" width="9.140625" style="168"/>
  </cols>
  <sheetData>
    <row r="2" spans="1:66" ht="29.25" thickBot="1">
      <c r="B2" s="112" t="s">
        <v>112</v>
      </c>
      <c r="C2" s="112"/>
      <c r="D2" s="112"/>
      <c r="E2" s="112"/>
      <c r="F2" s="112"/>
      <c r="G2" s="112"/>
    </row>
    <row r="3" spans="1:66" ht="13.5" thickBot="1">
      <c r="E3" s="169"/>
      <c r="F3" s="169"/>
      <c r="P3" s="385" t="s">
        <v>207</v>
      </c>
      <c r="Q3" s="386"/>
    </row>
    <row r="4" spans="1:66" ht="15.75" thickBot="1">
      <c r="E4" s="185"/>
      <c r="F4" s="185"/>
      <c r="P4" s="118"/>
      <c r="Q4" s="118"/>
    </row>
    <row r="5" spans="1:66" ht="13.5" thickBot="1">
      <c r="E5" s="113" t="s">
        <v>110</v>
      </c>
      <c r="F5" s="86">
        <v>0.3</v>
      </c>
      <c r="P5" s="120" t="s">
        <v>222</v>
      </c>
      <c r="Q5" s="122" t="s">
        <v>223</v>
      </c>
      <c r="U5" s="120" t="s">
        <v>304</v>
      </c>
      <c r="V5" s="390" t="s">
        <v>221</v>
      </c>
      <c r="W5" s="390"/>
      <c r="X5" s="390"/>
      <c r="Y5" s="390"/>
      <c r="Z5" s="389"/>
    </row>
    <row r="6" spans="1:66">
      <c r="E6" s="113" t="s">
        <v>305</v>
      </c>
      <c r="F6" s="86">
        <v>250</v>
      </c>
      <c r="P6" s="131" t="s">
        <v>232</v>
      </c>
      <c r="Q6" s="133" t="s">
        <v>233</v>
      </c>
      <c r="U6" s="173" t="s">
        <v>227</v>
      </c>
      <c r="V6" s="398" t="str">
        <f>TraderMids!V6</f>
        <v>Market.TemporaryCurve.RateCurve.AUD-BBR-BBSW-3M</v>
      </c>
      <c r="W6" s="398"/>
      <c r="X6" s="398"/>
      <c r="Y6" s="398"/>
      <c r="Z6" s="398"/>
    </row>
    <row r="7" spans="1:66">
      <c r="C7" s="185"/>
      <c r="D7" s="185"/>
      <c r="E7" s="185"/>
      <c r="F7" s="185"/>
      <c r="G7" s="185"/>
      <c r="H7" s="185"/>
      <c r="I7" s="185"/>
      <c r="J7" s="185"/>
      <c r="K7" s="185"/>
      <c r="P7" s="131" t="s">
        <v>238</v>
      </c>
      <c r="Q7" s="133" t="s">
        <v>239</v>
      </c>
      <c r="U7" s="186" t="s">
        <v>325</v>
      </c>
      <c r="V7" s="399" t="str">
        <f>TraderMids!V37</f>
        <v>Market.TemporaryCurve.RateCurve.AUD-LIBOR-BBA-6M</v>
      </c>
      <c r="W7" s="399"/>
      <c r="X7" s="399"/>
      <c r="Y7" s="399"/>
      <c r="Z7" s="399"/>
    </row>
    <row r="8" spans="1:66" ht="13.5" thickBot="1">
      <c r="B8" s="187"/>
      <c r="C8" s="393" t="s">
        <v>107</v>
      </c>
      <c r="D8" s="395"/>
      <c r="E8" s="400"/>
      <c r="F8" s="400"/>
      <c r="G8" s="400"/>
      <c r="H8" s="400"/>
      <c r="I8" s="400"/>
      <c r="J8" s="400"/>
      <c r="K8" s="401"/>
      <c r="P8" s="131" t="s">
        <v>240</v>
      </c>
      <c r="Q8" s="133" t="s">
        <v>241</v>
      </c>
    </row>
    <row r="9" spans="1:66" ht="15.75" thickBot="1">
      <c r="B9" s="29"/>
      <c r="C9" s="348" t="s">
        <v>127</v>
      </c>
      <c r="D9" s="348" t="s">
        <v>113</v>
      </c>
      <c r="E9" s="348" t="s">
        <v>114</v>
      </c>
      <c r="F9" s="348" t="s">
        <v>115</v>
      </c>
      <c r="G9" s="348" t="s">
        <v>116</v>
      </c>
      <c r="H9" s="348" t="s">
        <v>117</v>
      </c>
      <c r="I9" s="4" t="s">
        <v>118</v>
      </c>
      <c r="J9" s="4" t="s">
        <v>119</v>
      </c>
      <c r="K9" s="4" t="s">
        <v>120</v>
      </c>
      <c r="M9" s="120" t="s">
        <v>221</v>
      </c>
      <c r="N9" s="122" t="str">
        <f>_xll.HLV5r3.Financial.Cache.CreateVolatilitySurfaceWithProperties(M10:N26, B53:B62, C52:K52, C53:K62)</f>
        <v>Market.Curve.RateATMVolatilityMatrix.AUD-IRSwap</v>
      </c>
      <c r="P9" s="148" t="s">
        <v>243</v>
      </c>
      <c r="Q9" s="149" t="s">
        <v>244</v>
      </c>
    </row>
    <row r="10" spans="1:66">
      <c r="A10" s="172"/>
      <c r="B10" s="88" t="s">
        <v>134</v>
      </c>
      <c r="C10" s="174">
        <f>'ICAP Swaption'!E6</f>
        <v>3.7</v>
      </c>
      <c r="D10" s="174">
        <f>'ICAP Swaption'!F6</f>
        <v>4.2</v>
      </c>
      <c r="E10" s="174">
        <f>'ICAP Swaption'!G6</f>
        <v>4.4000000000000004</v>
      </c>
      <c r="F10" s="174">
        <f>'ICAP Swaption'!H6</f>
        <v>4.4000000000000004</v>
      </c>
      <c r="G10" s="174">
        <f>'ICAP Swaption'!I6</f>
        <v>4.4000000000000004</v>
      </c>
      <c r="H10" s="174">
        <f>'ICAP Swaption'!J6</f>
        <v>4.4000000000000004</v>
      </c>
      <c r="I10" s="174">
        <f>'ICAP Swaption'!K6</f>
        <v>4.3499999999999996</v>
      </c>
      <c r="J10" s="174">
        <f>'ICAP Swaption'!L6</f>
        <v>4.3499999999999996</v>
      </c>
      <c r="K10" s="174">
        <f>'ICAP Swaption'!M6</f>
        <v>4.3499999999999996</v>
      </c>
      <c r="M10" s="131" t="s">
        <v>21</v>
      </c>
      <c r="N10" s="132" t="s">
        <v>326</v>
      </c>
    </row>
    <row r="11" spans="1:66" ht="13.5" thickBot="1">
      <c r="A11" s="172"/>
      <c r="B11" s="88" t="s">
        <v>133</v>
      </c>
      <c r="C11" s="174">
        <f>'ICAP Swaption'!E7</f>
        <v>3.8</v>
      </c>
      <c r="D11" s="174">
        <f>'ICAP Swaption'!F7</f>
        <v>4.3</v>
      </c>
      <c r="E11" s="174">
        <f>'ICAP Swaption'!G7</f>
        <v>4.5</v>
      </c>
      <c r="F11" s="174">
        <f>'ICAP Swaption'!H7</f>
        <v>4.5</v>
      </c>
      <c r="G11" s="174">
        <f>'ICAP Swaption'!I7</f>
        <v>4.5</v>
      </c>
      <c r="H11" s="174">
        <f>'ICAP Swaption'!J7</f>
        <v>4.5</v>
      </c>
      <c r="I11" s="174">
        <f>'ICAP Swaption'!K7</f>
        <v>4.45</v>
      </c>
      <c r="J11" s="174">
        <f>'ICAP Swaption'!L7</f>
        <v>4.45</v>
      </c>
      <c r="K11" s="174">
        <f>'ICAP Swaption'!M7</f>
        <v>4.45</v>
      </c>
      <c r="M11" s="131" t="s">
        <v>36</v>
      </c>
      <c r="N11" s="171">
        <f>Today</f>
        <v>41513</v>
      </c>
    </row>
    <row r="12" spans="1:66" ht="15.75" customHeight="1" thickBot="1">
      <c r="A12" s="172"/>
      <c r="B12" s="88" t="s">
        <v>10</v>
      </c>
      <c r="C12" s="174">
        <f>'ICAP Swaption'!E8</f>
        <v>4.2</v>
      </c>
      <c r="D12" s="174">
        <f>'ICAP Swaption'!F8</f>
        <v>4.9000000000000004</v>
      </c>
      <c r="E12" s="174">
        <f>'ICAP Swaption'!G8</f>
        <v>4.9000000000000004</v>
      </c>
      <c r="F12" s="174">
        <f>'ICAP Swaption'!H8</f>
        <v>4.9000000000000004</v>
      </c>
      <c r="G12" s="174">
        <f>'ICAP Swaption'!I8</f>
        <v>4.9000000000000004</v>
      </c>
      <c r="H12" s="174">
        <f>'ICAP Swaption'!J8</f>
        <v>4.8</v>
      </c>
      <c r="I12" s="174">
        <f>'ICAP Swaption'!K8</f>
        <v>4.7</v>
      </c>
      <c r="J12" s="174">
        <f>'ICAP Swaption'!L8</f>
        <v>4.7</v>
      </c>
      <c r="K12" s="174">
        <f>'ICAP Swaption'!M8</f>
        <v>4.7</v>
      </c>
      <c r="M12" s="131" t="s">
        <v>306</v>
      </c>
      <c r="N12" s="171">
        <f>N11</f>
        <v>41513</v>
      </c>
      <c r="P12" s="385" t="s">
        <v>251</v>
      </c>
      <c r="Q12" s="387"/>
      <c r="R12" s="387"/>
      <c r="S12" s="387"/>
      <c r="T12" s="387"/>
      <c r="U12" s="387"/>
      <c r="V12" s="387"/>
      <c r="W12" s="387"/>
      <c r="X12" s="387"/>
      <c r="Y12" s="387"/>
      <c r="Z12" s="386"/>
      <c r="AA12" s="153"/>
      <c r="AB12" s="385" t="s">
        <v>327</v>
      </c>
      <c r="AC12" s="387"/>
      <c r="AD12" s="387"/>
      <c r="AE12" s="387"/>
      <c r="AF12" s="387"/>
      <c r="AG12" s="387"/>
      <c r="AH12" s="387"/>
      <c r="AI12" s="387"/>
      <c r="AJ12" s="387"/>
      <c r="AK12" s="387"/>
      <c r="AL12" s="387"/>
      <c r="AM12" s="387"/>
      <c r="AN12" s="387"/>
      <c r="AO12" s="387"/>
      <c r="AP12" s="387"/>
      <c r="AQ12" s="387"/>
      <c r="AR12" s="387"/>
      <c r="AS12" s="387"/>
      <c r="AT12" s="387"/>
      <c r="AU12" s="387"/>
      <c r="AV12" s="387"/>
      <c r="AW12" s="387"/>
      <c r="AX12" s="387"/>
      <c r="AY12" s="387"/>
      <c r="AZ12" s="387"/>
      <c r="BA12" s="387"/>
      <c r="BB12" s="387"/>
      <c r="BC12" s="387"/>
      <c r="BD12" s="387"/>
      <c r="BE12" s="387"/>
      <c r="BF12" s="387"/>
      <c r="BG12" s="387"/>
      <c r="BH12" s="387"/>
      <c r="BI12" s="387"/>
      <c r="BJ12" s="387"/>
      <c r="BK12" s="387"/>
      <c r="BL12" s="387"/>
      <c r="BM12" s="387"/>
      <c r="BN12" s="386"/>
    </row>
    <row r="13" spans="1:66" ht="15.75" thickBot="1">
      <c r="A13" s="172"/>
      <c r="B13" s="88" t="s">
        <v>13</v>
      </c>
      <c r="C13" s="174">
        <f>'ICAP Swaption'!E9</f>
        <v>4.9000000000000004</v>
      </c>
      <c r="D13" s="174">
        <f>'ICAP Swaption'!F9</f>
        <v>5</v>
      </c>
      <c r="E13" s="174">
        <f>'ICAP Swaption'!G9</f>
        <v>5.0999999999999996</v>
      </c>
      <c r="F13" s="174">
        <f>'ICAP Swaption'!H9</f>
        <v>5.0999999999999996</v>
      </c>
      <c r="G13" s="174">
        <f>'ICAP Swaption'!I9</f>
        <v>5.0999999999999996</v>
      </c>
      <c r="H13" s="174">
        <f>'ICAP Swaption'!J9</f>
        <v>5.05</v>
      </c>
      <c r="I13" s="174">
        <f>'ICAP Swaption'!K9</f>
        <v>4.9000000000000004</v>
      </c>
      <c r="J13" s="174">
        <f>'ICAP Swaption'!L9</f>
        <v>4.9000000000000004</v>
      </c>
      <c r="K13" s="174">
        <f>'ICAP Swaption'!M9</f>
        <v>4.9000000000000004</v>
      </c>
      <c r="M13" s="131" t="s">
        <v>25</v>
      </c>
      <c r="N13" s="132" t="s">
        <v>26</v>
      </c>
      <c r="P13" s="188" t="s">
        <v>328</v>
      </c>
      <c r="Q13" s="118"/>
      <c r="R13" s="118"/>
      <c r="S13" s="118"/>
      <c r="T13" s="118"/>
      <c r="V13" s="188" t="s">
        <v>329</v>
      </c>
      <c r="W13" s="118"/>
      <c r="X13" s="118"/>
      <c r="Y13" s="118"/>
      <c r="Z13" s="118"/>
    </row>
    <row r="14" spans="1:66" ht="15.75" thickBot="1">
      <c r="A14" s="172"/>
      <c r="B14" s="88" t="s">
        <v>127</v>
      </c>
      <c r="C14" s="174">
        <f>'ICAP Swaption'!E10</f>
        <v>5.5</v>
      </c>
      <c r="D14" s="174">
        <f>'ICAP Swaption'!F10</f>
        <v>5.7</v>
      </c>
      <c r="E14" s="174">
        <f>'ICAP Swaption'!G10</f>
        <v>5.7</v>
      </c>
      <c r="F14" s="174">
        <f>'ICAP Swaption'!H10</f>
        <v>5.6</v>
      </c>
      <c r="G14" s="174">
        <f>'ICAP Swaption'!I10</f>
        <v>5.5</v>
      </c>
      <c r="H14" s="174">
        <f>'ICAP Swaption'!J10</f>
        <v>5.35</v>
      </c>
      <c r="I14" s="174">
        <f>'ICAP Swaption'!K10</f>
        <v>5.2</v>
      </c>
      <c r="J14" s="174">
        <f>'ICAP Swaption'!L10</f>
        <v>5.2</v>
      </c>
      <c r="K14" s="174">
        <f>'ICAP Swaption'!M10</f>
        <v>5.2</v>
      </c>
      <c r="M14" s="131" t="s">
        <v>19</v>
      </c>
      <c r="N14" s="132" t="s">
        <v>330</v>
      </c>
      <c r="P14" s="120" t="s">
        <v>258</v>
      </c>
      <c r="Q14" s="123" t="s">
        <v>234</v>
      </c>
      <c r="R14" s="123" t="s">
        <v>256</v>
      </c>
      <c r="S14" s="123" t="s">
        <v>257</v>
      </c>
      <c r="T14" s="122" t="s">
        <v>209</v>
      </c>
      <c r="V14" s="120" t="s">
        <v>258</v>
      </c>
      <c r="W14" s="123" t="s">
        <v>234</v>
      </c>
      <c r="X14" s="123" t="s">
        <v>256</v>
      </c>
      <c r="Y14" s="123" t="s">
        <v>257</v>
      </c>
      <c r="Z14" s="122" t="s">
        <v>209</v>
      </c>
      <c r="AB14" s="188" t="s">
        <v>328</v>
      </c>
      <c r="AC14" s="118"/>
      <c r="AD14" s="388" t="s">
        <v>256</v>
      </c>
      <c r="AE14" s="389"/>
      <c r="AF14" s="118"/>
      <c r="AL14" s="188" t="s">
        <v>329</v>
      </c>
      <c r="AM14" s="118"/>
      <c r="AN14" s="388" t="s">
        <v>256</v>
      </c>
      <c r="AO14" s="389"/>
      <c r="AP14" s="118"/>
      <c r="AV14" s="188" t="s">
        <v>331</v>
      </c>
      <c r="AW14" s="118"/>
      <c r="AX14" s="388" t="s">
        <v>256</v>
      </c>
      <c r="AY14" s="389"/>
      <c r="AZ14" s="118"/>
      <c r="BF14" s="188" t="s">
        <v>332</v>
      </c>
      <c r="BG14" s="118"/>
      <c r="BH14" s="388" t="s">
        <v>256</v>
      </c>
      <c r="BI14" s="389"/>
      <c r="BJ14" s="118"/>
    </row>
    <row r="15" spans="1:66" ht="13.5" thickBot="1">
      <c r="A15" s="172"/>
      <c r="B15" s="88" t="s">
        <v>113</v>
      </c>
      <c r="C15" s="174">
        <f>'ICAP Swaption'!E11</f>
        <v>6</v>
      </c>
      <c r="D15" s="174">
        <f>'ICAP Swaption'!F11</f>
        <v>6</v>
      </c>
      <c r="E15" s="174">
        <f>'ICAP Swaption'!G11</f>
        <v>5.85</v>
      </c>
      <c r="F15" s="174">
        <f>'ICAP Swaption'!H11</f>
        <v>5.72</v>
      </c>
      <c r="G15" s="174">
        <f>'ICAP Swaption'!I11</f>
        <v>5.6</v>
      </c>
      <c r="H15" s="174">
        <f>'ICAP Swaption'!J11</f>
        <v>5.45</v>
      </c>
      <c r="I15" s="174">
        <f>'ICAP Swaption'!K11</f>
        <v>5.2</v>
      </c>
      <c r="J15" s="174">
        <f>'ICAP Swaption'!L11</f>
        <v>5.2</v>
      </c>
      <c r="K15" s="174">
        <f>'ICAP Swaption'!M11</f>
        <v>5.2</v>
      </c>
      <c r="M15" s="131" t="s">
        <v>309</v>
      </c>
      <c r="N15" s="132" t="s">
        <v>310</v>
      </c>
      <c r="P15" s="135">
        <v>0</v>
      </c>
      <c r="Q15" s="189">
        <f>_xll.HLV5r3.Financial.Cache.AddPeriod($N$11, "1D",$Q$6,$Q$7,"Business")</f>
        <v>41514</v>
      </c>
      <c r="R15" s="190">
        <f t="array" ref="R15:R69">_xll.HLV5r3.Financial.Cache.GetValues($V$6, Q15:Q69)</f>
        <v>0.99986987994712995</v>
      </c>
      <c r="S15" s="190"/>
      <c r="T15" s="190"/>
      <c r="V15" s="135">
        <v>0</v>
      </c>
      <c r="W15" s="189">
        <f>_xll.HLV5r3.Financial.Cache.AddPeriod($N$11, "1M",$Q$6,$Q$7, "Calendar")</f>
        <v>41544</v>
      </c>
      <c r="X15" s="190">
        <f t="array" ref="X15:X27">_xll.HLV5r3.Financial.Cache.GetValues($V$6, W15:W27)</f>
        <v>0.9959294810267646</v>
      </c>
      <c r="Y15" s="190"/>
      <c r="Z15" s="190"/>
      <c r="AB15" s="120" t="s">
        <v>259</v>
      </c>
      <c r="AC15" s="123" t="s">
        <v>234</v>
      </c>
      <c r="AD15" s="123" t="s">
        <v>333</v>
      </c>
      <c r="AE15" s="123" t="s">
        <v>334</v>
      </c>
      <c r="AF15" s="123" t="s">
        <v>257</v>
      </c>
      <c r="AG15" s="123" t="s">
        <v>229</v>
      </c>
      <c r="AH15" s="123" t="s">
        <v>335</v>
      </c>
      <c r="AI15" s="123" t="s">
        <v>336</v>
      </c>
      <c r="AJ15" s="122" t="s">
        <v>209</v>
      </c>
      <c r="AL15" s="120" t="s">
        <v>259</v>
      </c>
      <c r="AM15" s="123" t="s">
        <v>234</v>
      </c>
      <c r="AN15" s="123" t="s">
        <v>333</v>
      </c>
      <c r="AO15" s="123" t="s">
        <v>334</v>
      </c>
      <c r="AP15" s="123" t="s">
        <v>257</v>
      </c>
      <c r="AQ15" s="123" t="s">
        <v>229</v>
      </c>
      <c r="AR15" s="123" t="s">
        <v>335</v>
      </c>
      <c r="AS15" s="123" t="s">
        <v>336</v>
      </c>
      <c r="AT15" s="122" t="s">
        <v>209</v>
      </c>
      <c r="AV15" s="120" t="s">
        <v>259</v>
      </c>
      <c r="AW15" s="123" t="s">
        <v>234</v>
      </c>
      <c r="AX15" s="123" t="s">
        <v>333</v>
      </c>
      <c r="AY15" s="123" t="s">
        <v>334</v>
      </c>
      <c r="AZ15" s="123" t="s">
        <v>257</v>
      </c>
      <c r="BA15" s="123" t="s">
        <v>229</v>
      </c>
      <c r="BB15" s="123" t="s">
        <v>335</v>
      </c>
      <c r="BC15" s="123" t="s">
        <v>336</v>
      </c>
      <c r="BD15" s="122" t="s">
        <v>209</v>
      </c>
      <c r="BF15" s="120" t="s">
        <v>259</v>
      </c>
      <c r="BG15" s="123" t="s">
        <v>234</v>
      </c>
      <c r="BH15" s="123" t="s">
        <v>333</v>
      </c>
      <c r="BI15" s="123" t="s">
        <v>334</v>
      </c>
      <c r="BJ15" s="123" t="s">
        <v>257</v>
      </c>
      <c r="BK15" s="123" t="s">
        <v>229</v>
      </c>
      <c r="BL15" s="123" t="s">
        <v>335</v>
      </c>
      <c r="BM15" s="123" t="s">
        <v>336</v>
      </c>
      <c r="BN15" s="122" t="s">
        <v>209</v>
      </c>
    </row>
    <row r="16" spans="1:66">
      <c r="A16" s="172"/>
      <c r="B16" s="88" t="s">
        <v>114</v>
      </c>
      <c r="C16" s="174">
        <f>'ICAP Swaption'!E12</f>
        <v>5.8</v>
      </c>
      <c r="D16" s="174">
        <f>'ICAP Swaption'!F12</f>
        <v>5.7</v>
      </c>
      <c r="E16" s="174">
        <f>'ICAP Swaption'!G12</f>
        <v>5.6</v>
      </c>
      <c r="F16" s="174">
        <f>'ICAP Swaption'!H12</f>
        <v>5.5</v>
      </c>
      <c r="G16" s="174">
        <f>'ICAP Swaption'!I12</f>
        <v>5.4</v>
      </c>
      <c r="H16" s="174">
        <f>'ICAP Swaption'!J12</f>
        <v>5.3</v>
      </c>
      <c r="I16" s="174">
        <f>'ICAP Swaption'!K12</f>
        <v>5.15</v>
      </c>
      <c r="J16" s="174">
        <f>'ICAP Swaption'!L12</f>
        <v>5.15</v>
      </c>
      <c r="K16" s="174">
        <f>'ICAP Swaption'!M12</f>
        <v>5.15</v>
      </c>
      <c r="M16" s="131" t="s">
        <v>41</v>
      </c>
      <c r="N16" s="132" t="str">
        <f>N14&amp;"-"&amp;N15</f>
        <v>AUD-IRSwap-SydneySwapDesk</v>
      </c>
      <c r="O16" s="363" t="str">
        <f>P16*3&amp;"M"</f>
        <v>3M</v>
      </c>
      <c r="P16" s="135">
        <f>P15+1</f>
        <v>1</v>
      </c>
      <c r="Q16" s="189">
        <f t="array" ref="Q16:Q69">_xll.HLV5r3.Financial.Cache.AddManyPeriods($Q$15, "Calendar", O16:O69, $Q$8, $Q$6)</f>
        <v>41606</v>
      </c>
      <c r="R16" s="190">
        <v>0.98745019134865508</v>
      </c>
      <c r="S16" s="190">
        <f t="array" ref="S16:S69">_xll.HLV5r3.Financial.Cache.YearFractions(Q15:Q68, Q16:Q69, $Q$9)</f>
        <v>0.25205479452054796</v>
      </c>
      <c r="T16" s="190">
        <f>R16*S16</f>
        <v>0.24889155507966101</v>
      </c>
      <c r="U16" s="363" t="str">
        <f>V16*3&amp;"M"</f>
        <v>3M</v>
      </c>
      <c r="V16" s="135">
        <f>V15+1</f>
        <v>1</v>
      </c>
      <c r="W16" s="189">
        <f t="array" ref="W16:W27">_xll.HLV5r3.Financial.Cache.AddManyPeriods($Q$15, "Calendar", U16:U27, $Q$8, $Q$6)</f>
        <v>41606</v>
      </c>
      <c r="X16" s="190">
        <v>0.98745019134865508</v>
      </c>
      <c r="Y16" s="190">
        <f t="array" ref="Y16:Y27">_xll.HLV5r3.Financial.Cache.YearFractions(W15:W26, W16:W27, $Q$9)</f>
        <v>0.16986301369863013</v>
      </c>
      <c r="Z16" s="190">
        <f>X16*Y16</f>
        <v>0.16773126537977154</v>
      </c>
      <c r="AB16" s="135">
        <v>0</v>
      </c>
      <c r="AC16" s="191">
        <f>_xll.HLV5r3.Financial.Cache.AddPeriod($N$11, "1D",$Q$6,$Q$7,"Business")</f>
        <v>41514</v>
      </c>
      <c r="AD16" s="192">
        <f t="array" ref="AD16:AD76">_xll.HLV5r3.Financial.Cache.GetValues($V$6, AC16:AC76)</f>
        <v>0.99986987994712995</v>
      </c>
      <c r="AE16" s="192">
        <f t="array" ref="AE16:AE76">_xll.HLV5r3.Financial.Cache.GetValues($V$7, AC16:AC76)</f>
        <v>0.99986709914499605</v>
      </c>
      <c r="AF16" s="192"/>
      <c r="AG16" s="195"/>
      <c r="AH16" s="195"/>
      <c r="AI16" s="195"/>
      <c r="AJ16" s="192"/>
      <c r="AL16" s="135">
        <v>0</v>
      </c>
      <c r="AM16" s="191">
        <f>_xll.HLV5r3.Financial.Cache.AddPeriod($N$11, "1M",$Q$6,$Q$7,"Calendar")</f>
        <v>41544</v>
      </c>
      <c r="AN16" s="192">
        <f t="array" ref="AN16:AN76">_xll.HLV5r3.Financial.Cache.GetValues($V$6, AM16:AM76)</f>
        <v>0.9959294810267646</v>
      </c>
      <c r="AO16" s="192">
        <f t="array" ref="AO16:AO76">_xll.HLV5r3.Financial.Cache.GetValues($V$7, AM16:AM76)</f>
        <v>0.99584394169630841</v>
      </c>
      <c r="AP16" s="192"/>
      <c r="AQ16" s="195"/>
      <c r="AR16" s="195"/>
      <c r="AS16" s="195"/>
      <c r="AT16" s="192"/>
      <c r="AV16" s="135">
        <v>0</v>
      </c>
      <c r="AW16" s="191">
        <f>_xll.HLV5r3.Financial.Cache.AddPeriod($N$11, "2M",$Q$6,$Q$7,"Calendar")</f>
        <v>41575</v>
      </c>
      <c r="AX16" s="192">
        <f t="array" ref="AX16:AX76">_xll.HLV5r3.Financial.Cache.GetValues($V$6, AW16:AW76)</f>
        <v>0.99173197192218698</v>
      </c>
      <c r="AY16" s="192">
        <f t="array" ref="AY16:AY76">_xll.HLV5r3.Financial.Cache.GetValues($V$7, AW16:AW76)</f>
        <v>0.99156234116130304</v>
      </c>
      <c r="AZ16" s="192"/>
      <c r="BA16" s="195"/>
      <c r="BB16" s="195"/>
      <c r="BC16" s="195"/>
      <c r="BD16" s="192"/>
      <c r="BF16" s="135">
        <v>0</v>
      </c>
      <c r="BG16" s="191">
        <f>_xll.HLV5r3.Financial.Cache.AddPeriod($N$11, "3M",$Q$6,$Q$7, "Calendar")</f>
        <v>41605</v>
      </c>
      <c r="BH16" s="192">
        <f t="array" ref="BH16:BH76">_xll.HLV5r3.Financial.Cache.GetValues($V$6, BG16:BG76)</f>
        <v>0.98758982871203338</v>
      </c>
      <c r="BI16" s="192">
        <f t="array" ref="BI16:BI76">_xll.HLV5r3.Financial.Cache.GetValues($V$7, BG16:BG76)</f>
        <v>0.98734023668975057</v>
      </c>
      <c r="BJ16" s="192"/>
      <c r="BK16" s="195"/>
      <c r="BL16" s="195"/>
      <c r="BM16" s="195"/>
      <c r="BN16" s="192"/>
    </row>
    <row r="17" spans="1:66">
      <c r="A17" s="172"/>
      <c r="B17" s="88" t="s">
        <v>116</v>
      </c>
      <c r="C17" s="174">
        <f>'ICAP Swaption'!E13</f>
        <v>5.32</v>
      </c>
      <c r="D17" s="174">
        <f>'ICAP Swaption'!F13</f>
        <v>5.28</v>
      </c>
      <c r="E17" s="174">
        <f>'ICAP Swaption'!G13</f>
        <v>5.2</v>
      </c>
      <c r="F17" s="174">
        <f>'ICAP Swaption'!H13</f>
        <v>5.18</v>
      </c>
      <c r="G17" s="174">
        <f>'ICAP Swaption'!I13</f>
        <v>5.0999999999999996</v>
      </c>
      <c r="H17" s="174">
        <f>'ICAP Swaption'!J13</f>
        <v>5.09</v>
      </c>
      <c r="I17" s="174">
        <f>'ICAP Swaption'!K13</f>
        <v>5.07</v>
      </c>
      <c r="J17" s="174">
        <f>'ICAP Swaption'!L13</f>
        <v>5.07</v>
      </c>
      <c r="K17" s="174">
        <f>'ICAP Swaption'!M13</f>
        <v>5.07</v>
      </c>
      <c r="M17" s="131" t="s">
        <v>43</v>
      </c>
      <c r="N17" s="132" t="str">
        <f>N10&amp;"."&amp;N14</f>
        <v>RateATMVolatilityMatrix.AUD-IRSwap</v>
      </c>
      <c r="O17" s="363" t="str">
        <f t="shared" ref="O17:O69" si="0">P17*3&amp;"M"</f>
        <v>6M</v>
      </c>
      <c r="P17" s="135">
        <f>P16+1</f>
        <v>2</v>
      </c>
      <c r="Q17" s="189">
        <v>41698</v>
      </c>
      <c r="R17" s="190">
        <v>0.9749111080261329</v>
      </c>
      <c r="S17" s="190">
        <v>0.25205479452054796</v>
      </c>
      <c r="T17" s="190">
        <f>T16+R17*S17</f>
        <v>0.49462257408898769</v>
      </c>
      <c r="U17" s="363" t="str">
        <f t="shared" ref="U17:U27" si="1">V17*3&amp;"M"</f>
        <v>6M</v>
      </c>
      <c r="V17" s="135">
        <f>V16+1</f>
        <v>2</v>
      </c>
      <c r="W17" s="189">
        <v>41698</v>
      </c>
      <c r="X17" s="190">
        <v>0.9749111080261329</v>
      </c>
      <c r="Y17" s="190">
        <v>0.25205479452054796</v>
      </c>
      <c r="Z17" s="190">
        <f>Z16+X17*Y17</f>
        <v>0.41346228438909821</v>
      </c>
      <c r="AA17" s="363" t="str">
        <f>AB17*6&amp;"M"</f>
        <v>6M</v>
      </c>
      <c r="AB17" s="135">
        <f>AB16+1</f>
        <v>1</v>
      </c>
      <c r="AC17" s="196">
        <f t="array" ref="AC17:AC76">_xll.HLV5r3.Financial.Cache.AddManyPeriods($AC$16, "Calendar", AA17:AA76, $Q$8, $Q$6)</f>
        <v>41698</v>
      </c>
      <c r="AD17" s="193">
        <v>0.9749111080261329</v>
      </c>
      <c r="AE17" s="193">
        <v>0.97442213409169598</v>
      </c>
      <c r="AF17" s="193">
        <f t="array" ref="AF17:AF76">_xll.HLV5r3.Financial.Cache.YearFractions(AC16:AC75, AC17:AC76, $Q$9)</f>
        <v>0.50410958904109593</v>
      </c>
      <c r="AG17" s="197">
        <f>(AE16/AE17-1)/AF17</f>
        <v>5.1799999999998438E-2</v>
      </c>
      <c r="AH17" s="198">
        <f>AG17*AF17</f>
        <v>2.6112876712327981E-2</v>
      </c>
      <c r="AI17" s="198">
        <f>AH17*AD17</f>
        <v>2.5457733569365475E-2</v>
      </c>
      <c r="AJ17" s="193">
        <f>AD17*AF17</f>
        <v>0.49146203801865335</v>
      </c>
      <c r="AK17" s="363" t="str">
        <f>AL17*6&amp;"M"</f>
        <v>6M</v>
      </c>
      <c r="AL17" s="135">
        <f>AL16+1</f>
        <v>1</v>
      </c>
      <c r="AM17" s="196">
        <f t="array" ref="AM17:AM76">_xll.HLV5r3.Financial.Cache.AddManyPeriods($AC$16, "Calendar", AK17:AK76, $Q$8, $Q$6)</f>
        <v>41698</v>
      </c>
      <c r="AN17" s="193">
        <v>0.9749111080261329</v>
      </c>
      <c r="AO17" s="193">
        <v>0.97442213409169598</v>
      </c>
      <c r="AP17" s="193">
        <f t="array" ref="AP17:AP76">_xll.HLV5r3.Financial.Cache.YearFractions(AM16:AM75, AM17:AM76, $Q$9)</f>
        <v>0.42191780821917807</v>
      </c>
      <c r="AQ17" s="197">
        <f>(AO16/AO17-1)/AP17</f>
        <v>5.2105206049321284E-2</v>
      </c>
      <c r="AR17" s="198">
        <f>AQ17*AP17</f>
        <v>2.1984114333138294E-2</v>
      </c>
      <c r="AS17" s="198">
        <f>AR17*AN17</f>
        <v>2.1432557263493045E-2</v>
      </c>
      <c r="AT17" s="193">
        <f>AN17*AP17</f>
        <v>0.41133235790691636</v>
      </c>
      <c r="AU17" s="363" t="str">
        <f>AV17*6&amp;"M"</f>
        <v>6M</v>
      </c>
      <c r="AV17" s="135">
        <f>AV16+1</f>
        <v>1</v>
      </c>
      <c r="AW17" s="196">
        <f t="array" ref="AW17:AW76">_xll.HLV5r3.Financial.Cache.AddManyPeriods( $AC$16, "Calendar", AU17:AU76, $Q$8, $Q$6)</f>
        <v>41698</v>
      </c>
      <c r="AX17" s="193">
        <v>0.9749111080261329</v>
      </c>
      <c r="AY17" s="193">
        <v>0.97442213409169598</v>
      </c>
      <c r="AZ17" s="193">
        <f t="array" ref="AZ17:AZ76">_xll.HLV5r3.Financial.Cache.YearFractions(AW16:AW75, AW17:AW76, $Q$9)</f>
        <v>0.33698630136986302</v>
      </c>
      <c r="BA17" s="197">
        <f>(AY16/AY17-1)/AZ17</f>
        <v>5.2198338195876763E-2</v>
      </c>
      <c r="BB17" s="198">
        <f>BA17*AZ17</f>
        <v>1.7590124926281758E-2</v>
      </c>
      <c r="BC17" s="198">
        <f>BB17*AX17</f>
        <v>1.7148808182199448E-2</v>
      </c>
      <c r="BD17" s="193">
        <f>AX17*AZ17</f>
        <v>0.32853168845812147</v>
      </c>
      <c r="BE17" s="363" t="str">
        <f>BF17*6&amp;"M"</f>
        <v>6M</v>
      </c>
      <c r="BF17" s="135">
        <f>BF16+1</f>
        <v>1</v>
      </c>
      <c r="BG17" s="196">
        <f t="array" ref="BG17:BG76">_xll.HLV5r3.Financial.Cache.AddManyPeriods($AC$16, "Calendar", BE17:BE76, $Q$8, $Q$6)</f>
        <v>41698</v>
      </c>
      <c r="BH17" s="193">
        <v>0.9749111080261329</v>
      </c>
      <c r="BI17" s="193">
        <v>0.97442213409169598</v>
      </c>
      <c r="BJ17" s="193">
        <f t="array" ref="BJ17:BJ76">_xll.HLV5r3.Financial.Cache.YearFractions(BG16:BG75, BG17:BG76, $Q$9)</f>
        <v>0.25479452054794521</v>
      </c>
      <c r="BK17" s="197">
        <f>(BI16/BI17-1)/BJ17</f>
        <v>5.2030919983564079E-2</v>
      </c>
      <c r="BL17" s="198">
        <f>BK17*BJ17</f>
        <v>1.3257193310880711E-2</v>
      </c>
      <c r="BM17" s="198">
        <f>BL17*BH17</f>
        <v>1.292458502002735E-2</v>
      </c>
      <c r="BN17" s="193">
        <f>BH17*BJ17</f>
        <v>0.24840200834638457</v>
      </c>
    </row>
    <row r="18" spans="1:66">
      <c r="A18" s="172"/>
      <c r="B18" s="88" t="s">
        <v>117</v>
      </c>
      <c r="C18" s="174">
        <f>'ICAP Swaption'!E14</f>
        <v>5.25</v>
      </c>
      <c r="D18" s="174">
        <f>'ICAP Swaption'!F14</f>
        <v>5.15</v>
      </c>
      <c r="E18" s="174">
        <f>'ICAP Swaption'!G14</f>
        <v>5.0999999999999996</v>
      </c>
      <c r="F18" s="174">
        <f>'ICAP Swaption'!H14</f>
        <v>5.0999999999999996</v>
      </c>
      <c r="G18" s="174">
        <f>'ICAP Swaption'!I14</f>
        <v>5.0999999999999996</v>
      </c>
      <c r="H18" s="174">
        <f>'ICAP Swaption'!J14</f>
        <v>5.08</v>
      </c>
      <c r="I18" s="174">
        <f>'ICAP Swaption'!K14</f>
        <v>5.05</v>
      </c>
      <c r="J18" s="174">
        <f>'ICAP Swaption'!L14</f>
        <v>5.05</v>
      </c>
      <c r="K18" s="174">
        <f>'ICAP Swaption'!M14</f>
        <v>5.05</v>
      </c>
      <c r="M18" s="131" t="s">
        <v>34</v>
      </c>
      <c r="N18" s="132" t="s">
        <v>311</v>
      </c>
      <c r="O18" s="363" t="str">
        <f t="shared" si="0"/>
        <v>9M</v>
      </c>
      <c r="P18" s="135">
        <f>P17+1</f>
        <v>3</v>
      </c>
      <c r="Q18" s="189">
        <v>41787</v>
      </c>
      <c r="R18" s="190">
        <v>0.96275326019266816</v>
      </c>
      <c r="S18" s="190">
        <v>0.24383561643835616</v>
      </c>
      <c r="T18" s="190">
        <f t="shared" ref="T18:T69" si="2">T17+R18*S18</f>
        <v>0.72937610876610404</v>
      </c>
      <c r="U18" s="363" t="str">
        <f t="shared" si="1"/>
        <v>9M</v>
      </c>
      <c r="V18" s="135">
        <f>V17+1</f>
        <v>3</v>
      </c>
      <c r="W18" s="189">
        <v>41787</v>
      </c>
      <c r="X18" s="190">
        <v>0.96275326019266816</v>
      </c>
      <c r="Y18" s="190">
        <v>0.24383561643835616</v>
      </c>
      <c r="Z18" s="190">
        <f t="shared" ref="Z18:Z27" si="3">Z17+X18*Y18</f>
        <v>0.64821581906621462</v>
      </c>
      <c r="AA18" s="363" t="str">
        <f t="shared" ref="AA18:AA76" si="4">AB18*6&amp;"M"</f>
        <v>12M</v>
      </c>
      <c r="AB18" s="135">
        <f>AB17+1</f>
        <v>2</v>
      </c>
      <c r="AC18" s="196">
        <v>41879</v>
      </c>
      <c r="AD18" s="193">
        <v>0.95017313942125392</v>
      </c>
      <c r="AE18" s="193">
        <v>0.94939923087691702</v>
      </c>
      <c r="AF18" s="193">
        <v>0.49589041095890413</v>
      </c>
      <c r="AG18" s="197">
        <f t="shared" ref="AG18:AG76" si="5">(AE17/AE18-1)/AF18</f>
        <v>5.3149980577852918E-2</v>
      </c>
      <c r="AH18" s="198">
        <f>AG18*AF18</f>
        <v>2.6356565711209257E-2</v>
      </c>
      <c r="AI18" s="198">
        <f>AH18*AD18+AI17</f>
        <v>5.0501034355547744E-2</v>
      </c>
      <c r="AJ18" s="193">
        <f t="shared" ref="AJ18:AJ76" si="6">AJ17+AD18*AF18</f>
        <v>0.96264378660837102</v>
      </c>
      <c r="AK18" s="363" t="str">
        <f t="shared" ref="AK18:AK76" si="7">AL18*6&amp;"M"</f>
        <v>12M</v>
      </c>
      <c r="AL18" s="135">
        <f>AL17+1</f>
        <v>2</v>
      </c>
      <c r="AM18" s="196">
        <v>41879</v>
      </c>
      <c r="AN18" s="193">
        <v>0.95017313942125392</v>
      </c>
      <c r="AO18" s="193">
        <v>0.94939923087691702</v>
      </c>
      <c r="AP18" s="193">
        <v>0.49589041095890413</v>
      </c>
      <c r="AQ18" s="197">
        <f t="shared" ref="AQ18:AQ76" si="8">(AO17/AO18-1)/AP18</f>
        <v>5.3149980577852918E-2</v>
      </c>
      <c r="AR18" s="198">
        <f t="shared" ref="AR18:AR76" si="9">AQ18*AP18</f>
        <v>2.6356565711209257E-2</v>
      </c>
      <c r="AS18" s="198">
        <f>AR18*AN18+AS17</f>
        <v>4.6475858049675314E-2</v>
      </c>
      <c r="AT18" s="193">
        <f t="shared" ref="AT18:AT76" si="10">AT17+AN18*AP18</f>
        <v>0.88251410649663409</v>
      </c>
      <c r="AU18" s="363" t="str">
        <f t="shared" ref="AU18:AU76" si="11">AV18*6&amp;"M"</f>
        <v>12M</v>
      </c>
      <c r="AV18" s="135">
        <f>AV17+1</f>
        <v>2</v>
      </c>
      <c r="AW18" s="196">
        <v>41879</v>
      </c>
      <c r="AX18" s="193">
        <v>0.95017313942125392</v>
      </c>
      <c r="AY18" s="193">
        <v>0.94939923087691702</v>
      </c>
      <c r="AZ18" s="193">
        <v>0.49589041095890413</v>
      </c>
      <c r="BA18" s="197">
        <f t="shared" ref="BA18:BA76" si="12">(AY17/AY18-1)/AZ18</f>
        <v>5.3149980577852918E-2</v>
      </c>
      <c r="BB18" s="198">
        <f t="shared" ref="BB18:BB76" si="13">BA18*AZ18</f>
        <v>2.6356565711209257E-2</v>
      </c>
      <c r="BC18" s="198">
        <f>BB18*AX18+BC17</f>
        <v>4.2192108968381721E-2</v>
      </c>
      <c r="BD18" s="193">
        <f t="shared" ref="BD18:BD76" si="14">BD17+AX18*AZ18</f>
        <v>0.79971343704783915</v>
      </c>
      <c r="BE18" s="363" t="str">
        <f t="shared" ref="BE18:BE76" si="15">BF18*6&amp;"M"</f>
        <v>12M</v>
      </c>
      <c r="BF18" s="135">
        <f>BF17+1</f>
        <v>2</v>
      </c>
      <c r="BG18" s="196">
        <v>41879</v>
      </c>
      <c r="BH18" s="193">
        <v>0.95017313942125392</v>
      </c>
      <c r="BI18" s="193">
        <v>0.94939923087691702</v>
      </c>
      <c r="BJ18" s="193">
        <v>0.49589041095890413</v>
      </c>
      <c r="BK18" s="197">
        <f t="shared" ref="BK18:BK76" si="16">(BI17/BI18-1)/BJ18</f>
        <v>5.3149980577852918E-2</v>
      </c>
      <c r="BL18" s="198">
        <f t="shared" ref="BL18:BL76" si="17">BK18*BJ18</f>
        <v>2.6356565711209257E-2</v>
      </c>
      <c r="BM18" s="198">
        <f>BL18*BH18+BM17</f>
        <v>3.796788580620962E-2</v>
      </c>
      <c r="BN18" s="193">
        <f t="shared" ref="BN18:BN76" si="18">BN17+BH18*BJ18</f>
        <v>0.71958375693610233</v>
      </c>
    </row>
    <row r="19" spans="1:66">
      <c r="A19" s="172"/>
      <c r="B19" s="87" t="s">
        <v>118</v>
      </c>
      <c r="C19" s="181">
        <f>'ICAP Swaption'!E15</f>
        <v>5.15</v>
      </c>
      <c r="D19" s="181">
        <f>'ICAP Swaption'!F15</f>
        <v>5.0999999999999996</v>
      </c>
      <c r="E19" s="181">
        <f>'ICAP Swaption'!G15</f>
        <v>5.05</v>
      </c>
      <c r="F19" s="181">
        <f>'ICAP Swaption'!H15</f>
        <v>5.05</v>
      </c>
      <c r="G19" s="181">
        <f>'ICAP Swaption'!I15</f>
        <v>5.05</v>
      </c>
      <c r="H19" s="181">
        <f>'ICAP Swaption'!J15</f>
        <v>5.05</v>
      </c>
      <c r="I19" s="181">
        <f>'ICAP Swaption'!K15</f>
        <v>5.05</v>
      </c>
      <c r="J19" s="181">
        <f>'ICAP Swaption'!L15</f>
        <v>5.05</v>
      </c>
      <c r="K19" s="181">
        <f>'ICAP Swaption'!M15</f>
        <v>5.05</v>
      </c>
      <c r="M19" s="131" t="s">
        <v>30</v>
      </c>
      <c r="N19" s="132" t="str">
        <f>MID(N14,1,3)</f>
        <v>AUD</v>
      </c>
      <c r="O19" s="363" t="str">
        <f t="shared" si="0"/>
        <v>12M</v>
      </c>
      <c r="P19" s="135">
        <f t="shared" ref="P19:P69" si="19">P18+1</f>
        <v>4</v>
      </c>
      <c r="Q19" s="189">
        <v>41879</v>
      </c>
      <c r="R19" s="190">
        <v>0.95017313942125392</v>
      </c>
      <c r="S19" s="190">
        <v>0.25205479452054796</v>
      </c>
      <c r="T19" s="190">
        <f t="shared" si="2"/>
        <v>0.96887180418187213</v>
      </c>
      <c r="U19" s="363" t="str">
        <f t="shared" si="1"/>
        <v>12M</v>
      </c>
      <c r="V19" s="135">
        <f t="shared" ref="V19:V27" si="20">V18+1</f>
        <v>4</v>
      </c>
      <c r="W19" s="189">
        <v>41879</v>
      </c>
      <c r="X19" s="190">
        <v>0.95017313942125392</v>
      </c>
      <c r="Y19" s="190">
        <v>0.25205479452054796</v>
      </c>
      <c r="Z19" s="190">
        <f t="shared" si="3"/>
        <v>0.88771151448198271</v>
      </c>
      <c r="AA19" s="363" t="str">
        <f t="shared" si="4"/>
        <v>18M</v>
      </c>
      <c r="AB19" s="135">
        <f>AB18+1</f>
        <v>3</v>
      </c>
      <c r="AC19" s="196">
        <v>42062</v>
      </c>
      <c r="AD19" s="193">
        <v>0.92528444656880526</v>
      </c>
      <c r="AE19" s="193">
        <v>0.92417110479079512</v>
      </c>
      <c r="AF19" s="193">
        <v>0.50136986301369868</v>
      </c>
      <c r="AG19" s="197">
        <f t="shared" si="5"/>
        <v>5.4447053471923988E-2</v>
      </c>
      <c r="AH19" s="198">
        <f t="shared" ref="AH19:AH76" si="21">AG19*AF19</f>
        <v>2.7298111740718056E-2</v>
      </c>
      <c r="AI19" s="198">
        <f t="shared" ref="AI19:AI76" si="22">AH19*AD19+AI18</f>
        <v>7.5759552569931457E-2</v>
      </c>
      <c r="AJ19" s="193">
        <f t="shared" si="6"/>
        <v>1.4265535228332789</v>
      </c>
      <c r="AK19" s="363" t="str">
        <f t="shared" si="7"/>
        <v>18M</v>
      </c>
      <c r="AL19" s="135">
        <f>AL18+1</f>
        <v>3</v>
      </c>
      <c r="AM19" s="196">
        <v>42062</v>
      </c>
      <c r="AN19" s="193">
        <v>0.92528444656880526</v>
      </c>
      <c r="AO19" s="193">
        <v>0.92417110479079512</v>
      </c>
      <c r="AP19" s="193">
        <v>0.50136986301369868</v>
      </c>
      <c r="AQ19" s="197">
        <f t="shared" si="8"/>
        <v>5.4447053471923988E-2</v>
      </c>
      <c r="AR19" s="198">
        <f t="shared" si="9"/>
        <v>2.7298111740718056E-2</v>
      </c>
      <c r="AS19" s="198">
        <f t="shared" ref="AS19:AS76" si="23">AR19*AN19+AS18</f>
        <v>7.1734376264059027E-2</v>
      </c>
      <c r="AT19" s="193">
        <f t="shared" si="10"/>
        <v>1.346423842721542</v>
      </c>
      <c r="AU19" s="363" t="str">
        <f t="shared" si="11"/>
        <v>18M</v>
      </c>
      <c r="AV19" s="135">
        <f>AV18+1</f>
        <v>3</v>
      </c>
      <c r="AW19" s="196">
        <v>42062</v>
      </c>
      <c r="AX19" s="193">
        <v>0.92528444656880526</v>
      </c>
      <c r="AY19" s="193">
        <v>0.92417110479079512</v>
      </c>
      <c r="AZ19" s="193">
        <v>0.50136986301369868</v>
      </c>
      <c r="BA19" s="197">
        <f t="shared" si="12"/>
        <v>5.4447053471923988E-2</v>
      </c>
      <c r="BB19" s="198">
        <f t="shared" si="13"/>
        <v>2.7298111740718056E-2</v>
      </c>
      <c r="BC19" s="198">
        <f t="shared" ref="BC19:BC76" si="24">BB19*AX19+BC18</f>
        <v>6.7450627182765427E-2</v>
      </c>
      <c r="BD19" s="193">
        <f t="shared" si="14"/>
        <v>1.263623173272747</v>
      </c>
      <c r="BE19" s="363" t="str">
        <f t="shared" si="15"/>
        <v>18M</v>
      </c>
      <c r="BF19" s="135">
        <f>BF18+1</f>
        <v>3</v>
      </c>
      <c r="BG19" s="196">
        <v>42062</v>
      </c>
      <c r="BH19" s="193">
        <v>0.92528444656880526</v>
      </c>
      <c r="BI19" s="193">
        <v>0.92417110479079512</v>
      </c>
      <c r="BJ19" s="193">
        <v>0.50136986301369868</v>
      </c>
      <c r="BK19" s="197">
        <f t="shared" si="16"/>
        <v>5.4447053471923988E-2</v>
      </c>
      <c r="BL19" s="198">
        <f t="shared" si="17"/>
        <v>2.7298111740718056E-2</v>
      </c>
      <c r="BM19" s="198">
        <f t="shared" ref="BM19:BM76" si="25">BL19*BH19+BM18</f>
        <v>6.3226404020593333E-2</v>
      </c>
      <c r="BN19" s="193">
        <f t="shared" si="18"/>
        <v>1.1834934931610102</v>
      </c>
    </row>
    <row r="20" spans="1:66">
      <c r="C20" s="172"/>
      <c r="D20" s="172"/>
      <c r="E20" s="172"/>
      <c r="F20" s="172"/>
      <c r="G20" s="172"/>
      <c r="H20" s="172"/>
      <c r="I20" s="172"/>
      <c r="M20" s="131" t="s">
        <v>312</v>
      </c>
      <c r="N20" s="132" t="s">
        <v>313</v>
      </c>
      <c r="O20" s="363" t="str">
        <f t="shared" si="0"/>
        <v>15M</v>
      </c>
      <c r="P20" s="135">
        <f t="shared" si="19"/>
        <v>5</v>
      </c>
      <c r="Q20" s="189">
        <v>41971</v>
      </c>
      <c r="R20" s="190">
        <v>0.93762950873244577</v>
      </c>
      <c r="S20" s="190">
        <v>0.25205479452054796</v>
      </c>
      <c r="T20" s="190">
        <f t="shared" si="2"/>
        <v>1.205205817341831</v>
      </c>
      <c r="U20" s="363" t="str">
        <f t="shared" si="1"/>
        <v>15M</v>
      </c>
      <c r="V20" s="135">
        <f t="shared" si="20"/>
        <v>5</v>
      </c>
      <c r="W20" s="189">
        <v>41971</v>
      </c>
      <c r="X20" s="190">
        <v>0.93762950873244577</v>
      </c>
      <c r="Y20" s="190">
        <v>0.25205479452054796</v>
      </c>
      <c r="Z20" s="190">
        <f t="shared" si="3"/>
        <v>1.1240455276419417</v>
      </c>
      <c r="AA20" s="363" t="str">
        <f t="shared" si="4"/>
        <v>24M</v>
      </c>
      <c r="AB20" s="135">
        <f t="shared" ref="AB20:AB76" si="26">AB19+1</f>
        <v>4</v>
      </c>
      <c r="AC20" s="196">
        <v>42244</v>
      </c>
      <c r="AD20" s="193">
        <v>0.90084476698200089</v>
      </c>
      <c r="AE20" s="193">
        <v>0.89942354152860604</v>
      </c>
      <c r="AF20" s="193">
        <v>0.49863013698630138</v>
      </c>
      <c r="AG20" s="197">
        <f t="shared" si="5"/>
        <v>5.5181013010119719E-2</v>
      </c>
      <c r="AH20" s="198">
        <f t="shared" si="21"/>
        <v>2.7514916076278872E-2</v>
      </c>
      <c r="AI20" s="198">
        <f t="shared" si="22"/>
        <v>0.10054622073119621</v>
      </c>
      <c r="AJ20" s="193">
        <f t="shared" si="6"/>
        <v>1.8757418723969068</v>
      </c>
      <c r="AK20" s="363" t="str">
        <f t="shared" si="7"/>
        <v>24M</v>
      </c>
      <c r="AL20" s="135">
        <f t="shared" ref="AL20:AL76" si="27">AL19+1</f>
        <v>4</v>
      </c>
      <c r="AM20" s="196">
        <v>42244</v>
      </c>
      <c r="AN20" s="193">
        <v>0.90084476698200089</v>
      </c>
      <c r="AO20" s="193">
        <v>0.89942354152860604</v>
      </c>
      <c r="AP20" s="193">
        <v>0.49863013698630138</v>
      </c>
      <c r="AQ20" s="197">
        <f t="shared" si="8"/>
        <v>5.5181013010119719E-2</v>
      </c>
      <c r="AR20" s="198">
        <f t="shared" si="9"/>
        <v>2.7514916076278872E-2</v>
      </c>
      <c r="AS20" s="198">
        <f t="shared" si="23"/>
        <v>9.6521044425323776E-2</v>
      </c>
      <c r="AT20" s="193">
        <f t="shared" si="10"/>
        <v>1.7956121922851698</v>
      </c>
      <c r="AU20" s="363" t="str">
        <f t="shared" si="11"/>
        <v>24M</v>
      </c>
      <c r="AV20" s="135">
        <f t="shared" ref="AV20:AV76" si="28">AV19+1</f>
        <v>4</v>
      </c>
      <c r="AW20" s="196">
        <v>42244</v>
      </c>
      <c r="AX20" s="193">
        <v>0.90084476698200089</v>
      </c>
      <c r="AY20" s="193">
        <v>0.89942354152860604</v>
      </c>
      <c r="AZ20" s="193">
        <v>0.49863013698630138</v>
      </c>
      <c r="BA20" s="197">
        <f t="shared" si="12"/>
        <v>5.5181013010119719E-2</v>
      </c>
      <c r="BB20" s="198">
        <f t="shared" si="13"/>
        <v>2.7514916076278872E-2</v>
      </c>
      <c r="BC20" s="198">
        <f t="shared" si="24"/>
        <v>9.2237295344030176E-2</v>
      </c>
      <c r="BD20" s="193">
        <f t="shared" si="14"/>
        <v>1.7128115228363749</v>
      </c>
      <c r="BE20" s="363" t="str">
        <f t="shared" si="15"/>
        <v>24M</v>
      </c>
      <c r="BF20" s="135">
        <f t="shared" ref="BF20:BF76" si="29">BF19+1</f>
        <v>4</v>
      </c>
      <c r="BG20" s="196">
        <v>42244</v>
      </c>
      <c r="BH20" s="193">
        <v>0.90084476698200089</v>
      </c>
      <c r="BI20" s="193">
        <v>0.89942354152860604</v>
      </c>
      <c r="BJ20" s="193">
        <v>0.49863013698630138</v>
      </c>
      <c r="BK20" s="197">
        <f t="shared" si="16"/>
        <v>5.5181013010119719E-2</v>
      </c>
      <c r="BL20" s="198">
        <f t="shared" si="17"/>
        <v>2.7514916076278872E-2</v>
      </c>
      <c r="BM20" s="198">
        <f t="shared" si="25"/>
        <v>8.8013072181858082E-2</v>
      </c>
      <c r="BN20" s="193">
        <f t="shared" si="18"/>
        <v>1.6326818427246379</v>
      </c>
    </row>
    <row r="21" spans="1:66">
      <c r="C21" s="172"/>
      <c r="D21" s="172"/>
      <c r="E21" s="172"/>
      <c r="F21" s="172"/>
      <c r="G21" s="172"/>
      <c r="H21" s="172"/>
      <c r="I21" s="172"/>
      <c r="M21" s="131" t="s">
        <v>315</v>
      </c>
      <c r="N21" s="132" t="s">
        <v>316</v>
      </c>
      <c r="O21" s="363" t="str">
        <f t="shared" si="0"/>
        <v>18M</v>
      </c>
      <c r="P21" s="135">
        <f t="shared" si="19"/>
        <v>6</v>
      </c>
      <c r="Q21" s="189">
        <v>42062</v>
      </c>
      <c r="R21" s="190">
        <v>0.92528444656880526</v>
      </c>
      <c r="S21" s="190">
        <v>0.24931506849315069</v>
      </c>
      <c r="T21" s="190">
        <f t="shared" si="2"/>
        <v>1.4358931725137798</v>
      </c>
      <c r="U21" s="363" t="str">
        <f t="shared" si="1"/>
        <v>18M</v>
      </c>
      <c r="V21" s="135">
        <f t="shared" si="20"/>
        <v>6</v>
      </c>
      <c r="W21" s="189">
        <v>42062</v>
      </c>
      <c r="X21" s="190">
        <v>0.92528444656880526</v>
      </c>
      <c r="Y21" s="190">
        <v>0.24931506849315069</v>
      </c>
      <c r="Z21" s="190">
        <f t="shared" si="3"/>
        <v>1.3547328828138903</v>
      </c>
      <c r="AA21" s="363" t="str">
        <f t="shared" si="4"/>
        <v>30M</v>
      </c>
      <c r="AB21" s="135">
        <f t="shared" si="26"/>
        <v>5</v>
      </c>
      <c r="AC21" s="196">
        <v>42429</v>
      </c>
      <c r="AD21" s="193">
        <v>0.87647452765565725</v>
      </c>
      <c r="AE21" s="193">
        <v>0.87477009192509947</v>
      </c>
      <c r="AF21" s="193">
        <v>0.50684931506849318</v>
      </c>
      <c r="AG21" s="197">
        <f t="shared" si="5"/>
        <v>5.5603855467013963E-2</v>
      </c>
      <c r="AH21" s="198">
        <f t="shared" si="21"/>
        <v>2.8182776058623515E-2</v>
      </c>
      <c r="AI21" s="198">
        <f t="shared" si="22"/>
        <v>0.12524770606520341</v>
      </c>
      <c r="AJ21" s="193">
        <f t="shared" si="6"/>
        <v>2.319982386414158</v>
      </c>
      <c r="AK21" s="363" t="str">
        <f t="shared" si="7"/>
        <v>30M</v>
      </c>
      <c r="AL21" s="135">
        <f t="shared" si="27"/>
        <v>5</v>
      </c>
      <c r="AM21" s="196">
        <v>42429</v>
      </c>
      <c r="AN21" s="193">
        <v>0.87647452765565725</v>
      </c>
      <c r="AO21" s="193">
        <v>0.87477009192509947</v>
      </c>
      <c r="AP21" s="193">
        <v>0.50684931506849318</v>
      </c>
      <c r="AQ21" s="197">
        <f t="shared" si="8"/>
        <v>5.5603855467013963E-2</v>
      </c>
      <c r="AR21" s="198">
        <f t="shared" si="9"/>
        <v>2.8182776058623515E-2</v>
      </c>
      <c r="AS21" s="198">
        <f t="shared" si="23"/>
        <v>0.12122252975933098</v>
      </c>
      <c r="AT21" s="193">
        <f t="shared" si="10"/>
        <v>2.2398527063024209</v>
      </c>
      <c r="AU21" s="363" t="str">
        <f t="shared" si="11"/>
        <v>30M</v>
      </c>
      <c r="AV21" s="135">
        <f t="shared" si="28"/>
        <v>5</v>
      </c>
      <c r="AW21" s="196">
        <v>42429</v>
      </c>
      <c r="AX21" s="193">
        <v>0.87647452765565725</v>
      </c>
      <c r="AY21" s="193">
        <v>0.87477009192509947</v>
      </c>
      <c r="AZ21" s="193">
        <v>0.50684931506849318</v>
      </c>
      <c r="BA21" s="197">
        <f t="shared" si="12"/>
        <v>5.5603855467013963E-2</v>
      </c>
      <c r="BB21" s="198">
        <f t="shared" si="13"/>
        <v>2.8182776058623515E-2</v>
      </c>
      <c r="BC21" s="198">
        <f t="shared" si="24"/>
        <v>0.1169387806780374</v>
      </c>
      <c r="BD21" s="193">
        <f t="shared" si="14"/>
        <v>2.1570520368536261</v>
      </c>
      <c r="BE21" s="363" t="str">
        <f t="shared" si="15"/>
        <v>30M</v>
      </c>
      <c r="BF21" s="135">
        <f t="shared" si="29"/>
        <v>5</v>
      </c>
      <c r="BG21" s="196">
        <v>42429</v>
      </c>
      <c r="BH21" s="193">
        <v>0.87647452765565725</v>
      </c>
      <c r="BI21" s="193">
        <v>0.87477009192509947</v>
      </c>
      <c r="BJ21" s="193">
        <v>0.50684931506849318</v>
      </c>
      <c r="BK21" s="197">
        <f t="shared" si="16"/>
        <v>5.5603855467013963E-2</v>
      </c>
      <c r="BL21" s="198">
        <f t="shared" si="17"/>
        <v>2.8182776058623515E-2</v>
      </c>
      <c r="BM21" s="198">
        <f t="shared" si="25"/>
        <v>0.11271455751586529</v>
      </c>
      <c r="BN21" s="193">
        <f t="shared" si="18"/>
        <v>2.0769223567418891</v>
      </c>
    </row>
    <row r="22" spans="1:66">
      <c r="B22" s="187"/>
      <c r="C22" s="393" t="s">
        <v>94</v>
      </c>
      <c r="D22" s="394"/>
      <c r="E22" s="394"/>
      <c r="F22" s="394"/>
      <c r="G22" s="394"/>
      <c r="H22" s="394"/>
      <c r="I22" s="394"/>
      <c r="J22" s="394"/>
      <c r="K22" s="402"/>
      <c r="M22" s="131" t="s">
        <v>317</v>
      </c>
      <c r="N22" s="132" t="s">
        <v>231</v>
      </c>
      <c r="O22" s="363" t="str">
        <f t="shared" si="0"/>
        <v>21M</v>
      </c>
      <c r="P22" s="135">
        <f t="shared" si="19"/>
        <v>7</v>
      </c>
      <c r="Q22" s="189">
        <v>42152</v>
      </c>
      <c r="R22" s="190">
        <v>0.91314966333375325</v>
      </c>
      <c r="S22" s="190">
        <v>0.24657534246575341</v>
      </c>
      <c r="T22" s="190">
        <f t="shared" si="2"/>
        <v>1.6610533634727873</v>
      </c>
      <c r="U22" s="363" t="str">
        <f t="shared" si="1"/>
        <v>21M</v>
      </c>
      <c r="V22" s="135">
        <f t="shared" si="20"/>
        <v>7</v>
      </c>
      <c r="W22" s="189">
        <v>42152</v>
      </c>
      <c r="X22" s="190">
        <v>0.91314966333375325</v>
      </c>
      <c r="Y22" s="190">
        <v>0.24657534246575341</v>
      </c>
      <c r="Z22" s="190">
        <f t="shared" si="3"/>
        <v>1.5798930737728978</v>
      </c>
      <c r="AA22" s="363" t="str">
        <f t="shared" si="4"/>
        <v>36M</v>
      </c>
      <c r="AB22" s="135">
        <f t="shared" si="26"/>
        <v>6</v>
      </c>
      <c r="AC22" s="196">
        <v>42611</v>
      </c>
      <c r="AD22" s="193">
        <v>0.85282261369548029</v>
      </c>
      <c r="AE22" s="193">
        <v>0.85086709643790603</v>
      </c>
      <c r="AF22" s="193">
        <v>0.49863013698630138</v>
      </c>
      <c r="AG22" s="197">
        <f t="shared" si="5"/>
        <v>5.633938169088043E-2</v>
      </c>
      <c r="AH22" s="198">
        <f t="shared" si="21"/>
        <v>2.8092513610247227E-2</v>
      </c>
      <c r="AI22" s="198">
        <f t="shared" si="22"/>
        <v>0.1492056369475703</v>
      </c>
      <c r="AJ22" s="193">
        <f t="shared" si="6"/>
        <v>2.7452254431061509</v>
      </c>
      <c r="AK22" s="363" t="str">
        <f t="shared" si="7"/>
        <v>36M</v>
      </c>
      <c r="AL22" s="135">
        <f t="shared" si="27"/>
        <v>6</v>
      </c>
      <c r="AM22" s="196">
        <v>42611</v>
      </c>
      <c r="AN22" s="193">
        <v>0.85282261369548029</v>
      </c>
      <c r="AO22" s="193">
        <v>0.85086709643790603</v>
      </c>
      <c r="AP22" s="193">
        <v>0.49863013698630138</v>
      </c>
      <c r="AQ22" s="197">
        <f t="shared" si="8"/>
        <v>5.633938169088043E-2</v>
      </c>
      <c r="AR22" s="198">
        <f t="shared" si="9"/>
        <v>2.8092513610247227E-2</v>
      </c>
      <c r="AS22" s="198">
        <f t="shared" si="23"/>
        <v>0.14518046064169787</v>
      </c>
      <c r="AT22" s="193">
        <f t="shared" si="10"/>
        <v>2.6650957629944139</v>
      </c>
      <c r="AU22" s="363" t="str">
        <f t="shared" si="11"/>
        <v>36M</v>
      </c>
      <c r="AV22" s="135">
        <f t="shared" si="28"/>
        <v>6</v>
      </c>
      <c r="AW22" s="196">
        <v>42611</v>
      </c>
      <c r="AX22" s="193">
        <v>0.85282261369548029</v>
      </c>
      <c r="AY22" s="193">
        <v>0.85086709643790603</v>
      </c>
      <c r="AZ22" s="193">
        <v>0.49863013698630138</v>
      </c>
      <c r="BA22" s="197">
        <f t="shared" si="12"/>
        <v>5.633938169088043E-2</v>
      </c>
      <c r="BB22" s="198">
        <f t="shared" si="13"/>
        <v>2.8092513610247227E-2</v>
      </c>
      <c r="BC22" s="198">
        <f t="shared" si="24"/>
        <v>0.14089671156040429</v>
      </c>
      <c r="BD22" s="193">
        <f t="shared" si="14"/>
        <v>2.582295093545619</v>
      </c>
      <c r="BE22" s="363" t="str">
        <f t="shared" si="15"/>
        <v>36M</v>
      </c>
      <c r="BF22" s="135">
        <f t="shared" si="29"/>
        <v>6</v>
      </c>
      <c r="BG22" s="196">
        <v>42611</v>
      </c>
      <c r="BH22" s="193">
        <v>0.85282261369548029</v>
      </c>
      <c r="BI22" s="193">
        <v>0.85086709643790603</v>
      </c>
      <c r="BJ22" s="193">
        <v>0.49863013698630138</v>
      </c>
      <c r="BK22" s="197">
        <f t="shared" si="16"/>
        <v>5.633938169088043E-2</v>
      </c>
      <c r="BL22" s="198">
        <f t="shared" si="17"/>
        <v>2.8092513610247227E-2</v>
      </c>
      <c r="BM22" s="198">
        <f t="shared" si="25"/>
        <v>0.13667248839823218</v>
      </c>
      <c r="BN22" s="193">
        <f t="shared" si="18"/>
        <v>2.502165413433882</v>
      </c>
    </row>
    <row r="23" spans="1:66">
      <c r="B23" s="29"/>
      <c r="C23" s="348" t="str">
        <f>C9</f>
        <v>1Y</v>
      </c>
      <c r="D23" s="348" t="str">
        <f t="shared" ref="D23:K23" si="30">D9</f>
        <v>2Y</v>
      </c>
      <c r="E23" s="348" t="str">
        <f t="shared" si="30"/>
        <v>3Y</v>
      </c>
      <c r="F23" s="348" t="str">
        <f t="shared" si="30"/>
        <v>4Y</v>
      </c>
      <c r="G23" s="348" t="str">
        <f t="shared" si="30"/>
        <v>5Y</v>
      </c>
      <c r="H23" s="348" t="str">
        <f t="shared" si="30"/>
        <v>7Y</v>
      </c>
      <c r="I23" s="348" t="str">
        <f t="shared" si="30"/>
        <v>10Y</v>
      </c>
      <c r="J23" s="348" t="str">
        <f t="shared" si="30"/>
        <v>15Y</v>
      </c>
      <c r="K23" s="4" t="str">
        <f t="shared" si="30"/>
        <v>20Y</v>
      </c>
      <c r="M23" s="131" t="s">
        <v>319</v>
      </c>
      <c r="N23" s="132" t="s">
        <v>177</v>
      </c>
      <c r="O23" s="363" t="str">
        <f t="shared" si="0"/>
        <v>24M</v>
      </c>
      <c r="P23" s="135">
        <f t="shared" si="19"/>
        <v>8</v>
      </c>
      <c r="Q23" s="189">
        <v>42244</v>
      </c>
      <c r="R23" s="190">
        <v>0.90084476698200089</v>
      </c>
      <c r="S23" s="190">
        <v>0.25205479452054796</v>
      </c>
      <c r="T23" s="190">
        <f t="shared" si="2"/>
        <v>1.8881156061093465</v>
      </c>
      <c r="U23" s="363" t="str">
        <f t="shared" si="1"/>
        <v>24M</v>
      </c>
      <c r="V23" s="135">
        <f t="shared" si="20"/>
        <v>8</v>
      </c>
      <c r="W23" s="189">
        <v>42244</v>
      </c>
      <c r="X23" s="190">
        <v>0.90084476698200089</v>
      </c>
      <c r="Y23" s="190">
        <v>0.25205479452054796</v>
      </c>
      <c r="Z23" s="190">
        <f t="shared" si="3"/>
        <v>1.8069553164094569</v>
      </c>
      <c r="AA23" s="363" t="str">
        <f t="shared" si="4"/>
        <v>42M</v>
      </c>
      <c r="AB23" s="135">
        <f t="shared" si="26"/>
        <v>7</v>
      </c>
      <c r="AC23" s="196">
        <v>42794</v>
      </c>
      <c r="AD23" s="193">
        <v>0.82904941363331319</v>
      </c>
      <c r="AE23" s="193">
        <v>0.8268299362329844</v>
      </c>
      <c r="AF23" s="193">
        <v>0.50136986301369868</v>
      </c>
      <c r="AG23" s="197">
        <f t="shared" si="5"/>
        <v>5.7984075934717147E-2</v>
      </c>
      <c r="AH23" s="198">
        <f t="shared" si="21"/>
        <v>2.9071468208365037E-2</v>
      </c>
      <c r="AI23" s="198">
        <f t="shared" si="22"/>
        <v>0.17330732061917484</v>
      </c>
      <c r="AJ23" s="193">
        <f t="shared" si="6"/>
        <v>3.1608858340510722</v>
      </c>
      <c r="AK23" s="363" t="str">
        <f t="shared" si="7"/>
        <v>42M</v>
      </c>
      <c r="AL23" s="135">
        <f t="shared" si="27"/>
        <v>7</v>
      </c>
      <c r="AM23" s="196">
        <v>42794</v>
      </c>
      <c r="AN23" s="193">
        <v>0.82904941363331319</v>
      </c>
      <c r="AO23" s="193">
        <v>0.8268299362329844</v>
      </c>
      <c r="AP23" s="193">
        <v>0.50136986301369868</v>
      </c>
      <c r="AQ23" s="197">
        <f t="shared" si="8"/>
        <v>5.7984075934717147E-2</v>
      </c>
      <c r="AR23" s="198">
        <f t="shared" si="9"/>
        <v>2.9071468208365037E-2</v>
      </c>
      <c r="AS23" s="198">
        <f t="shared" si="23"/>
        <v>0.16928214431330241</v>
      </c>
      <c r="AT23" s="193">
        <f t="shared" si="10"/>
        <v>3.0807561539393351</v>
      </c>
      <c r="AU23" s="363" t="str">
        <f t="shared" si="11"/>
        <v>42M</v>
      </c>
      <c r="AV23" s="135">
        <f t="shared" si="28"/>
        <v>7</v>
      </c>
      <c r="AW23" s="196">
        <v>42794</v>
      </c>
      <c r="AX23" s="193">
        <v>0.82904941363331319</v>
      </c>
      <c r="AY23" s="193">
        <v>0.8268299362329844</v>
      </c>
      <c r="AZ23" s="193">
        <v>0.50136986301369868</v>
      </c>
      <c r="BA23" s="197">
        <f t="shared" si="12"/>
        <v>5.7984075934717147E-2</v>
      </c>
      <c r="BB23" s="198">
        <f t="shared" si="13"/>
        <v>2.9071468208365037E-2</v>
      </c>
      <c r="BC23" s="198">
        <f t="shared" si="24"/>
        <v>0.16499839523200882</v>
      </c>
      <c r="BD23" s="193">
        <f t="shared" si="14"/>
        <v>2.9979554844905403</v>
      </c>
      <c r="BE23" s="363" t="str">
        <f t="shared" si="15"/>
        <v>42M</v>
      </c>
      <c r="BF23" s="135">
        <f t="shared" si="29"/>
        <v>7</v>
      </c>
      <c r="BG23" s="196">
        <v>42794</v>
      </c>
      <c r="BH23" s="193">
        <v>0.82904941363331319</v>
      </c>
      <c r="BI23" s="193">
        <v>0.8268299362329844</v>
      </c>
      <c r="BJ23" s="193">
        <v>0.50136986301369868</v>
      </c>
      <c r="BK23" s="197">
        <f t="shared" si="16"/>
        <v>5.7984075934717147E-2</v>
      </c>
      <c r="BL23" s="198">
        <f t="shared" si="17"/>
        <v>2.9071468208365037E-2</v>
      </c>
      <c r="BM23" s="198">
        <f t="shared" si="25"/>
        <v>0.16077417206983671</v>
      </c>
      <c r="BN23" s="193">
        <f t="shared" si="18"/>
        <v>2.9178258043788032</v>
      </c>
    </row>
    <row r="24" spans="1:66">
      <c r="B24" s="88" t="str">
        <f>B10</f>
        <v>1M</v>
      </c>
      <c r="C24" s="352">
        <f t="shared" ref="C24:K33" si="31">C10+$F$5</f>
        <v>4</v>
      </c>
      <c r="D24" s="174">
        <f t="shared" si="31"/>
        <v>4.5</v>
      </c>
      <c r="E24" s="174">
        <f t="shared" si="31"/>
        <v>4.7</v>
      </c>
      <c r="F24" s="174">
        <f t="shared" si="31"/>
        <v>4.7</v>
      </c>
      <c r="G24" s="174">
        <f t="shared" si="31"/>
        <v>4.7</v>
      </c>
      <c r="H24" s="174">
        <f t="shared" si="31"/>
        <v>4.7</v>
      </c>
      <c r="I24" s="174">
        <f t="shared" si="31"/>
        <v>4.6499999999999995</v>
      </c>
      <c r="J24" s="174">
        <f t="shared" si="31"/>
        <v>4.6499999999999995</v>
      </c>
      <c r="K24" s="174">
        <f t="shared" si="31"/>
        <v>4.6499999999999995</v>
      </c>
      <c r="M24" s="131" t="s">
        <v>320</v>
      </c>
      <c r="N24" s="132" t="s">
        <v>321</v>
      </c>
      <c r="O24" s="363" t="str">
        <f t="shared" si="0"/>
        <v>27M</v>
      </c>
      <c r="P24" s="135">
        <f t="shared" si="19"/>
        <v>9</v>
      </c>
      <c r="Q24" s="189">
        <v>42338</v>
      </c>
      <c r="R24" s="190">
        <v>0.8884173249650833</v>
      </c>
      <c r="S24" s="190">
        <v>0.25753424657534246</v>
      </c>
      <c r="T24" s="190">
        <f t="shared" si="2"/>
        <v>2.1169134925387105</v>
      </c>
      <c r="U24" s="363" t="str">
        <f t="shared" si="1"/>
        <v>27M</v>
      </c>
      <c r="V24" s="135">
        <f t="shared" si="20"/>
        <v>9</v>
      </c>
      <c r="W24" s="189">
        <v>42338</v>
      </c>
      <c r="X24" s="190">
        <v>0.8884173249650833</v>
      </c>
      <c r="Y24" s="190">
        <v>0.25753424657534246</v>
      </c>
      <c r="Z24" s="190">
        <f t="shared" si="3"/>
        <v>2.035753202838821</v>
      </c>
      <c r="AA24" s="363" t="str">
        <f t="shared" si="4"/>
        <v>48M</v>
      </c>
      <c r="AB24" s="135">
        <f t="shared" si="26"/>
        <v>8</v>
      </c>
      <c r="AC24" s="196">
        <v>42975</v>
      </c>
      <c r="AD24" s="193">
        <v>0.80579450336970149</v>
      </c>
      <c r="AE24" s="193">
        <v>0.80333068090906201</v>
      </c>
      <c r="AF24" s="193">
        <v>0.49589041095890413</v>
      </c>
      <c r="AG24" s="197">
        <f t="shared" si="5"/>
        <v>5.8989407716823809E-2</v>
      </c>
      <c r="AH24" s="198">
        <f t="shared" si="21"/>
        <v>2.9252281634918109E-2</v>
      </c>
      <c r="AI24" s="198">
        <f t="shared" si="22"/>
        <v>0.19687864837161431</v>
      </c>
      <c r="AJ24" s="193">
        <f t="shared" si="6"/>
        <v>3.5604716014754993</v>
      </c>
      <c r="AK24" s="363" t="str">
        <f t="shared" si="7"/>
        <v>48M</v>
      </c>
      <c r="AL24" s="135">
        <f t="shared" si="27"/>
        <v>8</v>
      </c>
      <c r="AM24" s="196">
        <v>42975</v>
      </c>
      <c r="AN24" s="193">
        <v>0.80579450336970149</v>
      </c>
      <c r="AO24" s="193">
        <v>0.80333068090906201</v>
      </c>
      <c r="AP24" s="193">
        <v>0.49589041095890413</v>
      </c>
      <c r="AQ24" s="197">
        <f t="shared" si="8"/>
        <v>5.8989407716823809E-2</v>
      </c>
      <c r="AR24" s="198">
        <f t="shared" si="9"/>
        <v>2.9252281634918109E-2</v>
      </c>
      <c r="AS24" s="198">
        <f t="shared" si="23"/>
        <v>0.19285347206574188</v>
      </c>
      <c r="AT24" s="193">
        <f t="shared" si="10"/>
        <v>3.4803419213637623</v>
      </c>
      <c r="AU24" s="363" t="str">
        <f t="shared" si="11"/>
        <v>48M</v>
      </c>
      <c r="AV24" s="135">
        <f t="shared" si="28"/>
        <v>8</v>
      </c>
      <c r="AW24" s="196">
        <v>42975</v>
      </c>
      <c r="AX24" s="193">
        <v>0.80579450336970149</v>
      </c>
      <c r="AY24" s="193">
        <v>0.80333068090906201</v>
      </c>
      <c r="AZ24" s="193">
        <v>0.49589041095890413</v>
      </c>
      <c r="BA24" s="197">
        <f t="shared" si="12"/>
        <v>5.8989407716823809E-2</v>
      </c>
      <c r="BB24" s="198">
        <f t="shared" si="13"/>
        <v>2.9252281634918109E-2</v>
      </c>
      <c r="BC24" s="198">
        <f t="shared" si="24"/>
        <v>0.1885697229844483</v>
      </c>
      <c r="BD24" s="193">
        <f t="shared" si="14"/>
        <v>3.3975412519149675</v>
      </c>
      <c r="BE24" s="363" t="str">
        <f t="shared" si="15"/>
        <v>48M</v>
      </c>
      <c r="BF24" s="135">
        <f t="shared" si="29"/>
        <v>8</v>
      </c>
      <c r="BG24" s="196">
        <v>42975</v>
      </c>
      <c r="BH24" s="193">
        <v>0.80579450336970149</v>
      </c>
      <c r="BI24" s="193">
        <v>0.80333068090906201</v>
      </c>
      <c r="BJ24" s="193">
        <v>0.49589041095890413</v>
      </c>
      <c r="BK24" s="197">
        <f t="shared" si="16"/>
        <v>5.8989407716823809E-2</v>
      </c>
      <c r="BL24" s="198">
        <f t="shared" si="17"/>
        <v>2.9252281634918109E-2</v>
      </c>
      <c r="BM24" s="198">
        <f t="shared" si="25"/>
        <v>0.18434549982227619</v>
      </c>
      <c r="BN24" s="193">
        <f t="shared" si="18"/>
        <v>3.3174115718032304</v>
      </c>
    </row>
    <row r="25" spans="1:66">
      <c r="B25" s="88" t="str">
        <f t="shared" ref="B25:B33" si="32">B11</f>
        <v>2M</v>
      </c>
      <c r="C25" s="174">
        <f t="shared" si="31"/>
        <v>4.0999999999999996</v>
      </c>
      <c r="D25" s="174">
        <f t="shared" si="31"/>
        <v>4.5999999999999996</v>
      </c>
      <c r="E25" s="174">
        <f t="shared" si="31"/>
        <v>4.8</v>
      </c>
      <c r="F25" s="174">
        <f t="shared" si="31"/>
        <v>4.8</v>
      </c>
      <c r="G25" s="174">
        <f t="shared" si="31"/>
        <v>4.8</v>
      </c>
      <c r="H25" s="174">
        <f t="shared" si="31"/>
        <v>4.8</v>
      </c>
      <c r="I25" s="174">
        <f t="shared" si="31"/>
        <v>4.75</v>
      </c>
      <c r="J25" s="174">
        <f t="shared" si="31"/>
        <v>4.75</v>
      </c>
      <c r="K25" s="174">
        <f t="shared" si="31"/>
        <v>4.75</v>
      </c>
      <c r="M25" s="131" t="s">
        <v>322</v>
      </c>
      <c r="N25" s="171">
        <f>N11</f>
        <v>41513</v>
      </c>
      <c r="O25" s="363" t="str">
        <f t="shared" si="0"/>
        <v>30M</v>
      </c>
      <c r="P25" s="135">
        <f t="shared" si="19"/>
        <v>10</v>
      </c>
      <c r="Q25" s="189">
        <v>42429</v>
      </c>
      <c r="R25" s="190">
        <v>0.87647452765565725</v>
      </c>
      <c r="S25" s="190">
        <v>0.24931506849315069</v>
      </c>
      <c r="T25" s="190">
        <f t="shared" si="2"/>
        <v>2.3354317994336826</v>
      </c>
      <c r="U25" s="363" t="str">
        <f t="shared" si="1"/>
        <v>30M</v>
      </c>
      <c r="V25" s="135">
        <f t="shared" si="20"/>
        <v>10</v>
      </c>
      <c r="W25" s="189">
        <v>42429</v>
      </c>
      <c r="X25" s="190">
        <v>0.87647452765565725</v>
      </c>
      <c r="Y25" s="190">
        <v>0.24931506849315069</v>
      </c>
      <c r="Z25" s="190">
        <f t="shared" si="3"/>
        <v>2.2542715097337931</v>
      </c>
      <c r="AA25" s="363" t="str">
        <f t="shared" si="4"/>
        <v>54M</v>
      </c>
      <c r="AB25" s="135">
        <f t="shared" si="26"/>
        <v>9</v>
      </c>
      <c r="AC25" s="196">
        <v>43159</v>
      </c>
      <c r="AD25" s="193">
        <v>0.78203198882235825</v>
      </c>
      <c r="AE25" s="193">
        <v>0.77943583355567458</v>
      </c>
      <c r="AF25" s="193">
        <v>0.50410958904109593</v>
      </c>
      <c r="AG25" s="197">
        <f t="shared" si="5"/>
        <v>6.081335084126363E-2</v>
      </c>
      <c r="AH25" s="198">
        <f t="shared" si="21"/>
        <v>3.0656593300801394E-2</v>
      </c>
      <c r="AI25" s="198">
        <f t="shared" si="22"/>
        <v>0.22085308500115822</v>
      </c>
      <c r="AJ25" s="193">
        <f t="shared" si="6"/>
        <v>3.9547014259777291</v>
      </c>
      <c r="AK25" s="363" t="str">
        <f t="shared" si="7"/>
        <v>54M</v>
      </c>
      <c r="AL25" s="135">
        <f t="shared" si="27"/>
        <v>9</v>
      </c>
      <c r="AM25" s="196">
        <v>43159</v>
      </c>
      <c r="AN25" s="193">
        <v>0.78203198882235825</v>
      </c>
      <c r="AO25" s="193">
        <v>0.77943583355567458</v>
      </c>
      <c r="AP25" s="193">
        <v>0.50410958904109593</v>
      </c>
      <c r="AQ25" s="197">
        <f t="shared" si="8"/>
        <v>6.081335084126363E-2</v>
      </c>
      <c r="AR25" s="198">
        <f t="shared" si="9"/>
        <v>3.0656593300801394E-2</v>
      </c>
      <c r="AS25" s="198">
        <f t="shared" si="23"/>
        <v>0.21682790869528579</v>
      </c>
      <c r="AT25" s="193">
        <f t="shared" si="10"/>
        <v>3.8745717458659921</v>
      </c>
      <c r="AU25" s="363" t="str">
        <f t="shared" si="11"/>
        <v>54M</v>
      </c>
      <c r="AV25" s="135">
        <f t="shared" si="28"/>
        <v>9</v>
      </c>
      <c r="AW25" s="196">
        <v>43159</v>
      </c>
      <c r="AX25" s="193">
        <v>0.78203198882235825</v>
      </c>
      <c r="AY25" s="193">
        <v>0.77943583355567458</v>
      </c>
      <c r="AZ25" s="193">
        <v>0.50410958904109593</v>
      </c>
      <c r="BA25" s="197">
        <f t="shared" si="12"/>
        <v>6.081335084126363E-2</v>
      </c>
      <c r="BB25" s="198">
        <f t="shared" si="13"/>
        <v>3.0656593300801394E-2</v>
      </c>
      <c r="BC25" s="198">
        <f t="shared" si="24"/>
        <v>0.2125441596139922</v>
      </c>
      <c r="BD25" s="193">
        <f t="shared" si="14"/>
        <v>3.7917710764171972</v>
      </c>
      <c r="BE25" s="363" t="str">
        <f t="shared" si="15"/>
        <v>54M</v>
      </c>
      <c r="BF25" s="135">
        <f t="shared" si="29"/>
        <v>9</v>
      </c>
      <c r="BG25" s="196">
        <v>43159</v>
      </c>
      <c r="BH25" s="193">
        <v>0.78203198882235825</v>
      </c>
      <c r="BI25" s="193">
        <v>0.77943583355567458</v>
      </c>
      <c r="BJ25" s="193">
        <v>0.50410958904109593</v>
      </c>
      <c r="BK25" s="197">
        <f t="shared" si="16"/>
        <v>6.081335084126363E-2</v>
      </c>
      <c r="BL25" s="198">
        <f t="shared" si="17"/>
        <v>3.0656593300801394E-2</v>
      </c>
      <c r="BM25" s="198">
        <f t="shared" si="25"/>
        <v>0.20831993645182009</v>
      </c>
      <c r="BN25" s="193">
        <f t="shared" si="18"/>
        <v>3.7116413963054602</v>
      </c>
    </row>
    <row r="26" spans="1:66">
      <c r="B26" s="88" t="str">
        <f t="shared" si="32"/>
        <v>3M</v>
      </c>
      <c r="C26" s="174">
        <f t="shared" si="31"/>
        <v>4.5</v>
      </c>
      <c r="D26" s="174">
        <f t="shared" si="31"/>
        <v>5.2</v>
      </c>
      <c r="E26" s="174">
        <f t="shared" si="31"/>
        <v>5.2</v>
      </c>
      <c r="F26" s="174">
        <f t="shared" si="31"/>
        <v>5.2</v>
      </c>
      <c r="G26" s="174">
        <f t="shared" si="31"/>
        <v>5.2</v>
      </c>
      <c r="H26" s="174">
        <f t="shared" si="31"/>
        <v>5.0999999999999996</v>
      </c>
      <c r="I26" s="174">
        <f t="shared" si="31"/>
        <v>5</v>
      </c>
      <c r="J26" s="174">
        <f t="shared" si="31"/>
        <v>5</v>
      </c>
      <c r="K26" s="174">
        <f t="shared" si="31"/>
        <v>5</v>
      </c>
      <c r="M26" s="131" t="s">
        <v>323</v>
      </c>
      <c r="N26" s="132" t="s">
        <v>324</v>
      </c>
      <c r="O26" s="363" t="str">
        <f t="shared" si="0"/>
        <v>33M</v>
      </c>
      <c r="P26" s="135">
        <f t="shared" si="19"/>
        <v>11</v>
      </c>
      <c r="Q26" s="189">
        <v>42520</v>
      </c>
      <c r="R26" s="190">
        <v>0.86460921691536297</v>
      </c>
      <c r="S26" s="190">
        <v>0.24931506849315069</v>
      </c>
      <c r="T26" s="190">
        <f t="shared" si="2"/>
        <v>2.5509919055687456</v>
      </c>
      <c r="U26" s="363" t="str">
        <f t="shared" si="1"/>
        <v>33M</v>
      </c>
      <c r="V26" s="135">
        <f t="shared" si="20"/>
        <v>11</v>
      </c>
      <c r="W26" s="189">
        <v>42520</v>
      </c>
      <c r="X26" s="190">
        <v>0.86460921691536297</v>
      </c>
      <c r="Y26" s="190">
        <v>0.24931506849315069</v>
      </c>
      <c r="Z26" s="190">
        <f t="shared" si="3"/>
        <v>2.469831615868856</v>
      </c>
      <c r="AA26" s="363" t="str">
        <f t="shared" si="4"/>
        <v>60M</v>
      </c>
      <c r="AB26" s="135">
        <f t="shared" si="26"/>
        <v>10</v>
      </c>
      <c r="AC26" s="196">
        <v>43340</v>
      </c>
      <c r="AD26" s="193">
        <v>0.75888442582152948</v>
      </c>
      <c r="AE26" s="193">
        <v>0.756189683939405</v>
      </c>
      <c r="AF26" s="193">
        <v>0.49589041095890413</v>
      </c>
      <c r="AG26" s="197">
        <f t="shared" si="5"/>
        <v>6.1991846127595264E-2</v>
      </c>
      <c r="AH26" s="198">
        <f t="shared" si="21"/>
        <v>3.0741162052314364E-2</v>
      </c>
      <c r="AI26" s="198">
        <f t="shared" si="22"/>
        <v>0.24418207411431539</v>
      </c>
      <c r="AJ26" s="193">
        <f t="shared" si="6"/>
        <v>4.3310249357686796</v>
      </c>
      <c r="AK26" s="363" t="str">
        <f t="shared" si="7"/>
        <v>60M</v>
      </c>
      <c r="AL26" s="135">
        <f t="shared" si="27"/>
        <v>10</v>
      </c>
      <c r="AM26" s="196">
        <v>43340</v>
      </c>
      <c r="AN26" s="193">
        <v>0.75888442582152948</v>
      </c>
      <c r="AO26" s="193">
        <v>0.756189683939405</v>
      </c>
      <c r="AP26" s="193">
        <v>0.49589041095890413</v>
      </c>
      <c r="AQ26" s="197">
        <f t="shared" si="8"/>
        <v>6.1991846127595264E-2</v>
      </c>
      <c r="AR26" s="198">
        <f t="shared" si="9"/>
        <v>3.0741162052314364E-2</v>
      </c>
      <c r="AS26" s="198">
        <f t="shared" si="23"/>
        <v>0.24015689780844296</v>
      </c>
      <c r="AT26" s="193">
        <f t="shared" si="10"/>
        <v>4.2508952556569426</v>
      </c>
      <c r="AU26" s="363" t="str">
        <f t="shared" si="11"/>
        <v>60M</v>
      </c>
      <c r="AV26" s="135">
        <f t="shared" si="28"/>
        <v>10</v>
      </c>
      <c r="AW26" s="196">
        <v>43340</v>
      </c>
      <c r="AX26" s="193">
        <v>0.75888442582152948</v>
      </c>
      <c r="AY26" s="193">
        <v>0.756189683939405</v>
      </c>
      <c r="AZ26" s="193">
        <v>0.49589041095890413</v>
      </c>
      <c r="BA26" s="197">
        <f t="shared" si="12"/>
        <v>6.1991846127595264E-2</v>
      </c>
      <c r="BB26" s="198">
        <f t="shared" si="13"/>
        <v>3.0741162052314364E-2</v>
      </c>
      <c r="BC26" s="198">
        <f t="shared" si="24"/>
        <v>0.23587314872714937</v>
      </c>
      <c r="BD26" s="193">
        <f t="shared" si="14"/>
        <v>4.1680945862081478</v>
      </c>
      <c r="BE26" s="363" t="str">
        <f t="shared" si="15"/>
        <v>60M</v>
      </c>
      <c r="BF26" s="135">
        <f t="shared" si="29"/>
        <v>10</v>
      </c>
      <c r="BG26" s="196">
        <v>43340</v>
      </c>
      <c r="BH26" s="193">
        <v>0.75888442582152948</v>
      </c>
      <c r="BI26" s="193">
        <v>0.756189683939405</v>
      </c>
      <c r="BJ26" s="193">
        <v>0.49589041095890413</v>
      </c>
      <c r="BK26" s="197">
        <f t="shared" si="16"/>
        <v>6.1991846127595264E-2</v>
      </c>
      <c r="BL26" s="198">
        <f t="shared" si="17"/>
        <v>3.0741162052314364E-2</v>
      </c>
      <c r="BM26" s="198">
        <f t="shared" si="25"/>
        <v>0.23164892556497726</v>
      </c>
      <c r="BN26" s="193">
        <f t="shared" si="18"/>
        <v>4.0879649060964107</v>
      </c>
    </row>
    <row r="27" spans="1:66">
      <c r="B27" s="88" t="str">
        <f t="shared" si="32"/>
        <v>6M</v>
      </c>
      <c r="C27" s="174">
        <f t="shared" si="31"/>
        <v>5.2</v>
      </c>
      <c r="D27" s="174">
        <f t="shared" si="31"/>
        <v>5.3</v>
      </c>
      <c r="E27" s="174">
        <f t="shared" si="31"/>
        <v>5.3999999999999995</v>
      </c>
      <c r="F27" s="174">
        <f t="shared" si="31"/>
        <v>5.3999999999999995</v>
      </c>
      <c r="G27" s="174">
        <f t="shared" si="31"/>
        <v>5.3999999999999995</v>
      </c>
      <c r="H27" s="174">
        <f t="shared" si="31"/>
        <v>5.35</v>
      </c>
      <c r="I27" s="174">
        <f t="shared" si="31"/>
        <v>5.2</v>
      </c>
      <c r="J27" s="174">
        <f t="shared" si="31"/>
        <v>5.2</v>
      </c>
      <c r="K27" s="174">
        <f t="shared" si="31"/>
        <v>5.2</v>
      </c>
      <c r="O27" s="363" t="str">
        <f t="shared" si="0"/>
        <v>36M</v>
      </c>
      <c r="P27" s="135">
        <f t="shared" si="19"/>
        <v>12</v>
      </c>
      <c r="Q27" s="189">
        <v>42611</v>
      </c>
      <c r="R27" s="190">
        <v>0.85282261369548029</v>
      </c>
      <c r="S27" s="190">
        <v>0.24931506849315069</v>
      </c>
      <c r="T27" s="190">
        <f t="shared" si="2"/>
        <v>2.7636134339147418</v>
      </c>
      <c r="U27" s="363" t="str">
        <f t="shared" si="1"/>
        <v>36M</v>
      </c>
      <c r="V27" s="135">
        <f t="shared" si="20"/>
        <v>12</v>
      </c>
      <c r="W27" s="189">
        <v>42611</v>
      </c>
      <c r="X27" s="190">
        <v>0.85282261369548029</v>
      </c>
      <c r="Y27" s="190">
        <v>0.24931506849315069</v>
      </c>
      <c r="Z27" s="190">
        <f t="shared" si="3"/>
        <v>2.6824531442148523</v>
      </c>
      <c r="AA27" s="363" t="str">
        <f t="shared" si="4"/>
        <v>66M</v>
      </c>
      <c r="AB27" s="135">
        <f t="shared" si="26"/>
        <v>11</v>
      </c>
      <c r="AC27" s="196">
        <v>43524</v>
      </c>
      <c r="AD27" s="193">
        <v>0.73595330196388686</v>
      </c>
      <c r="AE27" s="193">
        <v>0.73313080969753386</v>
      </c>
      <c r="AF27" s="193">
        <v>0.50410958904109593</v>
      </c>
      <c r="AG27" s="197">
        <f t="shared" si="5"/>
        <v>6.2392397062805714E-2</v>
      </c>
      <c r="AH27" s="198">
        <f t="shared" si="21"/>
        <v>3.1452605642619869E-2</v>
      </c>
      <c r="AI27" s="198">
        <f t="shared" si="22"/>
        <v>0.26732972309236946</v>
      </c>
      <c r="AJ27" s="193">
        <f t="shared" si="6"/>
        <v>4.7020260523751318</v>
      </c>
      <c r="AK27" s="363" t="str">
        <f t="shared" si="7"/>
        <v>66M</v>
      </c>
      <c r="AL27" s="135">
        <f t="shared" si="27"/>
        <v>11</v>
      </c>
      <c r="AM27" s="196">
        <v>43524</v>
      </c>
      <c r="AN27" s="193">
        <v>0.73595330196388686</v>
      </c>
      <c r="AO27" s="193">
        <v>0.73313080969753386</v>
      </c>
      <c r="AP27" s="193">
        <v>0.50410958904109593</v>
      </c>
      <c r="AQ27" s="197">
        <f t="shared" si="8"/>
        <v>6.2392397062805714E-2</v>
      </c>
      <c r="AR27" s="198">
        <f t="shared" si="9"/>
        <v>3.1452605642619869E-2</v>
      </c>
      <c r="AS27" s="198">
        <f t="shared" si="23"/>
        <v>0.26330454678649701</v>
      </c>
      <c r="AT27" s="193">
        <f t="shared" si="10"/>
        <v>4.6218963722633948</v>
      </c>
      <c r="AU27" s="363" t="str">
        <f t="shared" si="11"/>
        <v>66M</v>
      </c>
      <c r="AV27" s="135">
        <f t="shared" si="28"/>
        <v>11</v>
      </c>
      <c r="AW27" s="196">
        <v>43524</v>
      </c>
      <c r="AX27" s="193">
        <v>0.73595330196388686</v>
      </c>
      <c r="AY27" s="193">
        <v>0.73313080969753386</v>
      </c>
      <c r="AZ27" s="193">
        <v>0.50410958904109593</v>
      </c>
      <c r="BA27" s="197">
        <f t="shared" si="12"/>
        <v>6.2392397062805714E-2</v>
      </c>
      <c r="BB27" s="198">
        <f t="shared" si="13"/>
        <v>3.1452605642619869E-2</v>
      </c>
      <c r="BC27" s="198">
        <f t="shared" si="24"/>
        <v>0.25902079770520342</v>
      </c>
      <c r="BD27" s="193">
        <f t="shared" si="14"/>
        <v>4.5390957028146</v>
      </c>
      <c r="BE27" s="363" t="str">
        <f t="shared" si="15"/>
        <v>66M</v>
      </c>
      <c r="BF27" s="135">
        <f t="shared" si="29"/>
        <v>11</v>
      </c>
      <c r="BG27" s="196">
        <v>43524</v>
      </c>
      <c r="BH27" s="193">
        <v>0.73595330196388686</v>
      </c>
      <c r="BI27" s="193">
        <v>0.73313080969753386</v>
      </c>
      <c r="BJ27" s="193">
        <v>0.50410958904109593</v>
      </c>
      <c r="BK27" s="197">
        <f t="shared" si="16"/>
        <v>6.2392397062805714E-2</v>
      </c>
      <c r="BL27" s="198">
        <f t="shared" si="17"/>
        <v>3.1452605642619869E-2</v>
      </c>
      <c r="BM27" s="198">
        <f t="shared" si="25"/>
        <v>0.25479657454303134</v>
      </c>
      <c r="BN27" s="193">
        <f t="shared" si="18"/>
        <v>4.4589660227028629</v>
      </c>
    </row>
    <row r="28" spans="1:66">
      <c r="B28" s="88" t="str">
        <f t="shared" si="32"/>
        <v>1Y</v>
      </c>
      <c r="C28" s="174">
        <f t="shared" si="31"/>
        <v>5.8</v>
      </c>
      <c r="D28" s="174">
        <f t="shared" si="31"/>
        <v>6</v>
      </c>
      <c r="E28" s="174">
        <f t="shared" si="31"/>
        <v>6</v>
      </c>
      <c r="F28" s="174">
        <f t="shared" si="31"/>
        <v>5.8999999999999995</v>
      </c>
      <c r="G28" s="174">
        <f t="shared" si="31"/>
        <v>5.8</v>
      </c>
      <c r="H28" s="174">
        <f t="shared" si="31"/>
        <v>5.6499999999999995</v>
      </c>
      <c r="I28" s="174">
        <f t="shared" si="31"/>
        <v>5.5</v>
      </c>
      <c r="J28" s="174">
        <f t="shared" si="31"/>
        <v>5.5</v>
      </c>
      <c r="K28" s="174">
        <f t="shared" si="31"/>
        <v>5.5</v>
      </c>
      <c r="O28" s="363" t="str">
        <f t="shared" si="0"/>
        <v>39M</v>
      </c>
      <c r="P28" s="135">
        <f t="shared" si="19"/>
        <v>13</v>
      </c>
      <c r="Q28" s="189">
        <v>42702</v>
      </c>
      <c r="R28" s="190">
        <v>0.84096912733156715</v>
      </c>
      <c r="S28" s="190">
        <v>0.24931506849315069</v>
      </c>
      <c r="T28" s="190">
        <f t="shared" si="2"/>
        <v>2.9732797094960368</v>
      </c>
      <c r="AA28" s="363" t="str">
        <f t="shared" si="4"/>
        <v>72M</v>
      </c>
      <c r="AB28" s="135">
        <f t="shared" si="26"/>
        <v>12</v>
      </c>
      <c r="AC28" s="196">
        <v>43705</v>
      </c>
      <c r="AD28" s="193">
        <v>0.71370339623658607</v>
      </c>
      <c r="AE28" s="193">
        <v>0.71077600734788304</v>
      </c>
      <c r="AF28" s="193">
        <v>0.49589041095890413</v>
      </c>
      <c r="AG28" s="197">
        <f t="shared" si="5"/>
        <v>6.3423815406227463E-2</v>
      </c>
      <c r="AH28" s="198">
        <f t="shared" si="21"/>
        <v>3.1451261886375814E-2</v>
      </c>
      <c r="AI28" s="198">
        <f t="shared" si="22"/>
        <v>0.28977659551660218</v>
      </c>
      <c r="AJ28" s="193">
        <f t="shared" si="6"/>
        <v>5.0559447228376584</v>
      </c>
      <c r="AK28" s="363" t="str">
        <f t="shared" si="7"/>
        <v>72M</v>
      </c>
      <c r="AL28" s="135">
        <f t="shared" si="27"/>
        <v>12</v>
      </c>
      <c r="AM28" s="196">
        <v>43705</v>
      </c>
      <c r="AN28" s="193">
        <v>0.71370339623658607</v>
      </c>
      <c r="AO28" s="193">
        <v>0.71077600734788304</v>
      </c>
      <c r="AP28" s="193">
        <v>0.49589041095890413</v>
      </c>
      <c r="AQ28" s="197">
        <f t="shared" si="8"/>
        <v>6.3423815406227463E-2</v>
      </c>
      <c r="AR28" s="198">
        <f t="shared" si="9"/>
        <v>3.1451261886375814E-2</v>
      </c>
      <c r="AS28" s="198">
        <f t="shared" si="23"/>
        <v>0.28575141921072972</v>
      </c>
      <c r="AT28" s="193">
        <f t="shared" si="10"/>
        <v>4.9758150427259213</v>
      </c>
      <c r="AU28" s="363" t="str">
        <f t="shared" si="11"/>
        <v>72M</v>
      </c>
      <c r="AV28" s="135">
        <f t="shared" si="28"/>
        <v>12</v>
      </c>
      <c r="AW28" s="196">
        <v>43705</v>
      </c>
      <c r="AX28" s="193">
        <v>0.71370339623658607</v>
      </c>
      <c r="AY28" s="193">
        <v>0.71077600734788304</v>
      </c>
      <c r="AZ28" s="193">
        <v>0.49589041095890413</v>
      </c>
      <c r="BA28" s="197">
        <f t="shared" si="12"/>
        <v>6.3423815406227463E-2</v>
      </c>
      <c r="BB28" s="198">
        <f t="shared" si="13"/>
        <v>3.1451261886375814E-2</v>
      </c>
      <c r="BC28" s="198">
        <f t="shared" si="24"/>
        <v>0.28146767012943613</v>
      </c>
      <c r="BD28" s="193">
        <f t="shared" si="14"/>
        <v>4.8930143732771265</v>
      </c>
      <c r="BE28" s="363" t="str">
        <f t="shared" si="15"/>
        <v>72M</v>
      </c>
      <c r="BF28" s="135">
        <f t="shared" si="29"/>
        <v>12</v>
      </c>
      <c r="BG28" s="196">
        <v>43705</v>
      </c>
      <c r="BH28" s="193">
        <v>0.71370339623658607</v>
      </c>
      <c r="BI28" s="193">
        <v>0.71077600734788304</v>
      </c>
      <c r="BJ28" s="193">
        <v>0.49589041095890413</v>
      </c>
      <c r="BK28" s="197">
        <f t="shared" si="16"/>
        <v>6.3423815406227463E-2</v>
      </c>
      <c r="BL28" s="198">
        <f t="shared" si="17"/>
        <v>3.1451261886375814E-2</v>
      </c>
      <c r="BM28" s="198">
        <f t="shared" si="25"/>
        <v>0.27724344696726405</v>
      </c>
      <c r="BN28" s="193">
        <f t="shared" si="18"/>
        <v>4.8128846931653895</v>
      </c>
    </row>
    <row r="29" spans="1:66">
      <c r="B29" s="88" t="str">
        <f t="shared" si="32"/>
        <v>2Y</v>
      </c>
      <c r="C29" s="174">
        <f t="shared" si="31"/>
        <v>6.3</v>
      </c>
      <c r="D29" s="174">
        <f t="shared" si="31"/>
        <v>6.3</v>
      </c>
      <c r="E29" s="174">
        <f t="shared" si="31"/>
        <v>6.1499999999999995</v>
      </c>
      <c r="F29" s="174">
        <f t="shared" si="31"/>
        <v>6.02</v>
      </c>
      <c r="G29" s="174">
        <f t="shared" si="31"/>
        <v>5.8999999999999995</v>
      </c>
      <c r="H29" s="174">
        <f t="shared" si="31"/>
        <v>5.75</v>
      </c>
      <c r="I29" s="174">
        <f t="shared" si="31"/>
        <v>5.5</v>
      </c>
      <c r="J29" s="174">
        <f t="shared" si="31"/>
        <v>5.5</v>
      </c>
      <c r="K29" s="174">
        <f t="shared" si="31"/>
        <v>5.5</v>
      </c>
      <c r="O29" s="363" t="str">
        <f t="shared" si="0"/>
        <v>42M</v>
      </c>
      <c r="P29" s="135">
        <f t="shared" si="19"/>
        <v>14</v>
      </c>
      <c r="Q29" s="189">
        <v>42794</v>
      </c>
      <c r="R29" s="190">
        <v>0.82904941363331319</v>
      </c>
      <c r="S29" s="190">
        <v>0.25205479452054796</v>
      </c>
      <c r="T29" s="190">
        <f t="shared" si="2"/>
        <v>3.1822455890967625</v>
      </c>
      <c r="AA29" s="363" t="str">
        <f t="shared" si="4"/>
        <v>78M</v>
      </c>
      <c r="AB29" s="135">
        <f t="shared" si="26"/>
        <v>13</v>
      </c>
      <c r="AC29" s="196">
        <v>43889</v>
      </c>
      <c r="AD29" s="194">
        <v>0.69206226846252039</v>
      </c>
      <c r="AE29" s="194">
        <v>0.68904762902845562</v>
      </c>
      <c r="AF29" s="194">
        <v>0.50410958904109593</v>
      </c>
      <c r="AG29" s="197">
        <f t="shared" si="5"/>
        <v>6.2553715861139905E-2</v>
      </c>
      <c r="AH29" s="198">
        <f t="shared" si="21"/>
        <v>3.153392799575272E-2</v>
      </c>
      <c r="AI29" s="198">
        <f t="shared" si="22"/>
        <v>0.31160003725887658</v>
      </c>
      <c r="AJ29" s="193">
        <f t="shared" si="6"/>
        <v>5.4048199485831478</v>
      </c>
      <c r="AK29" s="363" t="str">
        <f t="shared" si="7"/>
        <v>78M</v>
      </c>
      <c r="AL29" s="135">
        <f t="shared" si="27"/>
        <v>13</v>
      </c>
      <c r="AM29" s="196">
        <v>43889</v>
      </c>
      <c r="AN29" s="194">
        <v>0.69206226846252039</v>
      </c>
      <c r="AO29" s="194">
        <v>0.68904762902845562</v>
      </c>
      <c r="AP29" s="194">
        <v>0.50410958904109593</v>
      </c>
      <c r="AQ29" s="197">
        <f t="shared" si="8"/>
        <v>6.2553715861139905E-2</v>
      </c>
      <c r="AR29" s="198">
        <f t="shared" si="9"/>
        <v>3.153392799575272E-2</v>
      </c>
      <c r="AS29" s="198">
        <f t="shared" si="23"/>
        <v>0.30757486095300413</v>
      </c>
      <c r="AT29" s="193">
        <f t="shared" si="10"/>
        <v>5.3246902684714108</v>
      </c>
      <c r="AU29" s="363" t="str">
        <f t="shared" si="11"/>
        <v>78M</v>
      </c>
      <c r="AV29" s="135">
        <f t="shared" si="28"/>
        <v>13</v>
      </c>
      <c r="AW29" s="196">
        <v>43889</v>
      </c>
      <c r="AX29" s="194">
        <v>0.69206226846252039</v>
      </c>
      <c r="AY29" s="194">
        <v>0.68904762902845562</v>
      </c>
      <c r="AZ29" s="194">
        <v>0.50410958904109593</v>
      </c>
      <c r="BA29" s="197">
        <f t="shared" si="12"/>
        <v>6.2553715861139905E-2</v>
      </c>
      <c r="BB29" s="198">
        <f t="shared" si="13"/>
        <v>3.153392799575272E-2</v>
      </c>
      <c r="BC29" s="198">
        <f t="shared" si="24"/>
        <v>0.30329111187171054</v>
      </c>
      <c r="BD29" s="193">
        <f t="shared" si="14"/>
        <v>5.241889599022616</v>
      </c>
      <c r="BE29" s="363" t="str">
        <f t="shared" si="15"/>
        <v>78M</v>
      </c>
      <c r="BF29" s="135">
        <f t="shared" si="29"/>
        <v>13</v>
      </c>
      <c r="BG29" s="196">
        <v>43889</v>
      </c>
      <c r="BH29" s="194">
        <v>0.69206226846252039</v>
      </c>
      <c r="BI29" s="194">
        <v>0.68904762902845562</v>
      </c>
      <c r="BJ29" s="194">
        <v>0.50410958904109593</v>
      </c>
      <c r="BK29" s="197">
        <f t="shared" si="16"/>
        <v>6.2553715861139905E-2</v>
      </c>
      <c r="BL29" s="198">
        <f t="shared" si="17"/>
        <v>3.153392799575272E-2</v>
      </c>
      <c r="BM29" s="198">
        <f t="shared" si="25"/>
        <v>0.29906688870953846</v>
      </c>
      <c r="BN29" s="193">
        <f t="shared" si="18"/>
        <v>5.1617599189108789</v>
      </c>
    </row>
    <row r="30" spans="1:66" ht="12.75" customHeight="1" thickBot="1">
      <c r="B30" s="88" t="str">
        <f t="shared" si="32"/>
        <v>3Y</v>
      </c>
      <c r="C30" s="174">
        <f t="shared" si="31"/>
        <v>6.1</v>
      </c>
      <c r="D30" s="174">
        <f t="shared" si="31"/>
        <v>6</v>
      </c>
      <c r="E30" s="174">
        <f t="shared" si="31"/>
        <v>5.8999999999999995</v>
      </c>
      <c r="F30" s="174">
        <f t="shared" si="31"/>
        <v>5.8</v>
      </c>
      <c r="G30" s="174">
        <f t="shared" si="31"/>
        <v>5.7</v>
      </c>
      <c r="H30" s="174">
        <f t="shared" si="31"/>
        <v>5.6</v>
      </c>
      <c r="I30" s="174">
        <f t="shared" si="31"/>
        <v>5.45</v>
      </c>
      <c r="J30" s="174">
        <f t="shared" si="31"/>
        <v>5.45</v>
      </c>
      <c r="K30" s="174">
        <f t="shared" si="31"/>
        <v>5.45</v>
      </c>
      <c r="O30" s="363" t="str">
        <f t="shared" si="0"/>
        <v>45M</v>
      </c>
      <c r="P30" s="135">
        <f t="shared" si="19"/>
        <v>15</v>
      </c>
      <c r="Q30" s="189">
        <v>42884</v>
      </c>
      <c r="R30" s="190">
        <v>0.8174530984234698</v>
      </c>
      <c r="S30" s="190">
        <v>0.24657534246575341</v>
      </c>
      <c r="T30" s="190">
        <f t="shared" si="2"/>
        <v>3.3838093667902207</v>
      </c>
      <c r="V30" s="188" t="s">
        <v>331</v>
      </c>
      <c r="W30" s="118"/>
      <c r="X30" s="118"/>
      <c r="Y30" s="118"/>
      <c r="Z30" s="118"/>
      <c r="AA30" s="363" t="str">
        <f t="shared" si="4"/>
        <v>84M</v>
      </c>
      <c r="AB30" s="135">
        <f t="shared" si="26"/>
        <v>14</v>
      </c>
      <c r="AC30" s="196">
        <v>44071</v>
      </c>
      <c r="AD30" s="194">
        <v>0.6710486397459271</v>
      </c>
      <c r="AE30" s="194">
        <v>0.66796588148138303</v>
      </c>
      <c r="AF30" s="194">
        <v>0.49863013698630138</v>
      </c>
      <c r="AG30" s="197">
        <f t="shared" si="5"/>
        <v>6.3295641355380614E-2</v>
      </c>
      <c r="AH30" s="198">
        <f t="shared" si="21"/>
        <v>3.1561114319669237E-2</v>
      </c>
      <c r="AI30" s="198">
        <f t="shared" si="22"/>
        <v>0.33277908009195634</v>
      </c>
      <c r="AJ30" s="193">
        <f t="shared" si="6"/>
        <v>5.7394250237441309</v>
      </c>
      <c r="AK30" s="363" t="str">
        <f t="shared" si="7"/>
        <v>84M</v>
      </c>
      <c r="AL30" s="135">
        <f t="shared" si="27"/>
        <v>14</v>
      </c>
      <c r="AM30" s="196">
        <v>44071</v>
      </c>
      <c r="AN30" s="194">
        <v>0.6710486397459271</v>
      </c>
      <c r="AO30" s="194">
        <v>0.66796588148138303</v>
      </c>
      <c r="AP30" s="194">
        <v>0.49863013698630138</v>
      </c>
      <c r="AQ30" s="197">
        <f t="shared" si="8"/>
        <v>6.3295641355380614E-2</v>
      </c>
      <c r="AR30" s="198">
        <f t="shared" si="9"/>
        <v>3.1561114319669237E-2</v>
      </c>
      <c r="AS30" s="198">
        <f t="shared" si="23"/>
        <v>0.32875390378608388</v>
      </c>
      <c r="AT30" s="193">
        <f t="shared" si="10"/>
        <v>5.6592953436323938</v>
      </c>
      <c r="AU30" s="363" t="str">
        <f t="shared" si="11"/>
        <v>84M</v>
      </c>
      <c r="AV30" s="135">
        <f t="shared" si="28"/>
        <v>14</v>
      </c>
      <c r="AW30" s="196">
        <v>44071</v>
      </c>
      <c r="AX30" s="194">
        <v>0.6710486397459271</v>
      </c>
      <c r="AY30" s="194">
        <v>0.66796588148138303</v>
      </c>
      <c r="AZ30" s="194">
        <v>0.49863013698630138</v>
      </c>
      <c r="BA30" s="197">
        <f t="shared" si="12"/>
        <v>6.3295641355380614E-2</v>
      </c>
      <c r="BB30" s="198">
        <f t="shared" si="13"/>
        <v>3.1561114319669237E-2</v>
      </c>
      <c r="BC30" s="198">
        <f t="shared" si="24"/>
        <v>0.32447015470479029</v>
      </c>
      <c r="BD30" s="193">
        <f t="shared" si="14"/>
        <v>5.576494674183599</v>
      </c>
      <c r="BE30" s="363" t="str">
        <f t="shared" si="15"/>
        <v>84M</v>
      </c>
      <c r="BF30" s="135">
        <f t="shared" si="29"/>
        <v>14</v>
      </c>
      <c r="BG30" s="196">
        <v>44071</v>
      </c>
      <c r="BH30" s="194">
        <v>0.6710486397459271</v>
      </c>
      <c r="BI30" s="194">
        <v>0.66796588148138303</v>
      </c>
      <c r="BJ30" s="194">
        <v>0.49863013698630138</v>
      </c>
      <c r="BK30" s="197">
        <f t="shared" si="16"/>
        <v>6.3295641355380614E-2</v>
      </c>
      <c r="BL30" s="198">
        <f t="shared" si="17"/>
        <v>3.1561114319669237E-2</v>
      </c>
      <c r="BM30" s="198">
        <f t="shared" si="25"/>
        <v>0.32024593154261821</v>
      </c>
      <c r="BN30" s="193">
        <f t="shared" si="18"/>
        <v>5.496364994071862</v>
      </c>
    </row>
    <row r="31" spans="1:66" ht="13.5" thickBot="1">
      <c r="B31" s="88" t="str">
        <f t="shared" si="32"/>
        <v>5Y</v>
      </c>
      <c r="C31" s="174">
        <f t="shared" si="31"/>
        <v>5.62</v>
      </c>
      <c r="D31" s="174">
        <f t="shared" si="31"/>
        <v>5.58</v>
      </c>
      <c r="E31" s="174">
        <f t="shared" si="31"/>
        <v>5.5</v>
      </c>
      <c r="F31" s="174">
        <f t="shared" si="31"/>
        <v>5.4799999999999995</v>
      </c>
      <c r="G31" s="174">
        <f t="shared" si="31"/>
        <v>5.3999999999999995</v>
      </c>
      <c r="H31" s="174">
        <f t="shared" si="31"/>
        <v>5.39</v>
      </c>
      <c r="I31" s="174">
        <f t="shared" si="31"/>
        <v>5.37</v>
      </c>
      <c r="J31" s="174">
        <f t="shared" si="31"/>
        <v>5.37</v>
      </c>
      <c r="K31" s="174">
        <f t="shared" si="31"/>
        <v>5.37</v>
      </c>
      <c r="O31" s="363" t="str">
        <f t="shared" si="0"/>
        <v>48M</v>
      </c>
      <c r="P31" s="135">
        <f t="shared" si="19"/>
        <v>16</v>
      </c>
      <c r="Q31" s="189">
        <v>42975</v>
      </c>
      <c r="R31" s="190">
        <v>0.80579450336970149</v>
      </c>
      <c r="S31" s="190">
        <v>0.24931506849315069</v>
      </c>
      <c r="T31" s="190">
        <f t="shared" si="2"/>
        <v>3.5847060785892424</v>
      </c>
      <c r="V31" s="120" t="s">
        <v>258</v>
      </c>
      <c r="W31" s="123" t="s">
        <v>234</v>
      </c>
      <c r="X31" s="123" t="s">
        <v>256</v>
      </c>
      <c r="Y31" s="123" t="s">
        <v>257</v>
      </c>
      <c r="Z31" s="122" t="s">
        <v>209</v>
      </c>
      <c r="AA31" s="363" t="str">
        <f t="shared" si="4"/>
        <v>90M</v>
      </c>
      <c r="AB31" s="135">
        <f t="shared" si="26"/>
        <v>15</v>
      </c>
      <c r="AC31" s="196">
        <v>44253</v>
      </c>
      <c r="AD31" s="194">
        <v>0.65103668055388109</v>
      </c>
      <c r="AE31" s="194">
        <v>0.64785285729767805</v>
      </c>
      <c r="AF31" s="194">
        <v>0.49863013698630138</v>
      </c>
      <c r="AG31" s="197">
        <f t="shared" si="5"/>
        <v>6.2261914931656302E-2</v>
      </c>
      <c r="AH31" s="198">
        <f t="shared" si="21"/>
        <v>3.1045667171401226E-2</v>
      </c>
      <c r="AI31" s="198">
        <f t="shared" si="22"/>
        <v>0.35299094819280596</v>
      </c>
      <c r="AJ31" s="193">
        <f t="shared" si="6"/>
        <v>6.0640515329518196</v>
      </c>
      <c r="AK31" s="363" t="str">
        <f t="shared" si="7"/>
        <v>90M</v>
      </c>
      <c r="AL31" s="135">
        <f t="shared" si="27"/>
        <v>15</v>
      </c>
      <c r="AM31" s="196">
        <v>44253</v>
      </c>
      <c r="AN31" s="194">
        <v>0.65103668055388109</v>
      </c>
      <c r="AO31" s="194">
        <v>0.64785285729767805</v>
      </c>
      <c r="AP31" s="194">
        <v>0.49863013698630138</v>
      </c>
      <c r="AQ31" s="197">
        <f t="shared" si="8"/>
        <v>6.2261914931656302E-2</v>
      </c>
      <c r="AR31" s="198">
        <f t="shared" si="9"/>
        <v>3.1045667171401226E-2</v>
      </c>
      <c r="AS31" s="198">
        <f t="shared" si="23"/>
        <v>0.34896577188693351</v>
      </c>
      <c r="AT31" s="193">
        <f t="shared" si="10"/>
        <v>5.9839218528400826</v>
      </c>
      <c r="AU31" s="363" t="str">
        <f t="shared" si="11"/>
        <v>90M</v>
      </c>
      <c r="AV31" s="135">
        <f t="shared" si="28"/>
        <v>15</v>
      </c>
      <c r="AW31" s="196">
        <v>44253</v>
      </c>
      <c r="AX31" s="194">
        <v>0.65103668055388109</v>
      </c>
      <c r="AY31" s="194">
        <v>0.64785285729767805</v>
      </c>
      <c r="AZ31" s="194">
        <v>0.49863013698630138</v>
      </c>
      <c r="BA31" s="197">
        <f t="shared" si="12"/>
        <v>6.2261914931656302E-2</v>
      </c>
      <c r="BB31" s="198">
        <f t="shared" si="13"/>
        <v>3.1045667171401226E-2</v>
      </c>
      <c r="BC31" s="198">
        <f t="shared" si="24"/>
        <v>0.34468202280563992</v>
      </c>
      <c r="BD31" s="193">
        <f t="shared" si="14"/>
        <v>5.9011211833912878</v>
      </c>
      <c r="BE31" s="363" t="str">
        <f t="shared" si="15"/>
        <v>90M</v>
      </c>
      <c r="BF31" s="135">
        <f t="shared" si="29"/>
        <v>15</v>
      </c>
      <c r="BG31" s="196">
        <v>44253</v>
      </c>
      <c r="BH31" s="194">
        <v>0.65103668055388109</v>
      </c>
      <c r="BI31" s="194">
        <v>0.64785285729767805</v>
      </c>
      <c r="BJ31" s="194">
        <v>0.49863013698630138</v>
      </c>
      <c r="BK31" s="197">
        <f t="shared" si="16"/>
        <v>6.2261914931656302E-2</v>
      </c>
      <c r="BL31" s="198">
        <f t="shared" si="17"/>
        <v>3.1045667171401226E-2</v>
      </c>
      <c r="BM31" s="198">
        <f t="shared" si="25"/>
        <v>0.34045779964346784</v>
      </c>
      <c r="BN31" s="193">
        <f t="shared" si="18"/>
        <v>5.8209915032795507</v>
      </c>
    </row>
    <row r="32" spans="1:66">
      <c r="B32" s="88" t="str">
        <f t="shared" si="32"/>
        <v>7Y</v>
      </c>
      <c r="C32" s="174">
        <f t="shared" si="31"/>
        <v>5.55</v>
      </c>
      <c r="D32" s="174">
        <f t="shared" si="31"/>
        <v>5.45</v>
      </c>
      <c r="E32" s="174">
        <f t="shared" si="31"/>
        <v>5.3999999999999995</v>
      </c>
      <c r="F32" s="174">
        <f t="shared" si="31"/>
        <v>5.3999999999999995</v>
      </c>
      <c r="G32" s="174">
        <f t="shared" si="31"/>
        <v>5.3999999999999995</v>
      </c>
      <c r="H32" s="174">
        <f t="shared" si="31"/>
        <v>5.38</v>
      </c>
      <c r="I32" s="174">
        <f t="shared" si="31"/>
        <v>5.35</v>
      </c>
      <c r="J32" s="174">
        <f t="shared" si="31"/>
        <v>5.35</v>
      </c>
      <c r="K32" s="174">
        <f t="shared" si="31"/>
        <v>5.35</v>
      </c>
      <c r="N32" s="199"/>
      <c r="O32" s="363" t="str">
        <f t="shared" si="0"/>
        <v>51M</v>
      </c>
      <c r="P32" s="135">
        <f t="shared" si="19"/>
        <v>17</v>
      </c>
      <c r="Q32" s="189">
        <v>43067</v>
      </c>
      <c r="R32" s="190">
        <v>0.79388547788359731</v>
      </c>
      <c r="S32" s="190">
        <v>0.25205479452054796</v>
      </c>
      <c r="T32" s="190">
        <f t="shared" si="2"/>
        <v>3.7848087195900395</v>
      </c>
      <c r="V32" s="135">
        <v>0</v>
      </c>
      <c r="W32" s="189">
        <f>_xll.HLV5r3.Financial.Cache.AddPeriod($N$11, "2M",$Q$6,$Q$7, "Calendar")</f>
        <v>41575</v>
      </c>
      <c r="X32" s="190">
        <f t="array" ref="X32:X44">_xll.HLV5r3.Financial.Cache.GetValues($V$6, W32:W44)</f>
        <v>0.99173197192218698</v>
      </c>
      <c r="Y32" s="190"/>
      <c r="Z32" s="190"/>
      <c r="AA32" s="363" t="str">
        <f t="shared" si="4"/>
        <v>96M</v>
      </c>
      <c r="AB32" s="135">
        <f t="shared" si="26"/>
        <v>16</v>
      </c>
      <c r="AC32" s="196">
        <v>44438</v>
      </c>
      <c r="AD32" s="194">
        <v>0.63114376440884412</v>
      </c>
      <c r="AE32" s="194">
        <v>0.62786963972935805</v>
      </c>
      <c r="AF32" s="194">
        <v>0.50684931506849318</v>
      </c>
      <c r="AG32" s="197">
        <f t="shared" si="5"/>
        <v>6.2793843945581782E-2</v>
      </c>
      <c r="AH32" s="198">
        <f t="shared" si="21"/>
        <v>3.1827016794335972E-2</v>
      </c>
      <c r="AI32" s="198">
        <f t="shared" si="22"/>
        <v>0.37307837138228667</v>
      </c>
      <c r="AJ32" s="193">
        <f t="shared" si="6"/>
        <v>6.3839463176521924</v>
      </c>
      <c r="AK32" s="363" t="str">
        <f t="shared" si="7"/>
        <v>96M</v>
      </c>
      <c r="AL32" s="135">
        <f t="shared" si="27"/>
        <v>16</v>
      </c>
      <c r="AM32" s="196">
        <v>44438</v>
      </c>
      <c r="AN32" s="194">
        <v>0.63114376440884412</v>
      </c>
      <c r="AO32" s="194">
        <v>0.62786963972935805</v>
      </c>
      <c r="AP32" s="194">
        <v>0.50684931506849318</v>
      </c>
      <c r="AQ32" s="197">
        <f t="shared" si="8"/>
        <v>6.2793843945581782E-2</v>
      </c>
      <c r="AR32" s="198">
        <f t="shared" si="9"/>
        <v>3.1827016794335972E-2</v>
      </c>
      <c r="AS32" s="198">
        <f t="shared" si="23"/>
        <v>0.36905319507641421</v>
      </c>
      <c r="AT32" s="193">
        <f t="shared" si="10"/>
        <v>6.3038166375404554</v>
      </c>
      <c r="AU32" s="363" t="str">
        <f t="shared" si="11"/>
        <v>96M</v>
      </c>
      <c r="AV32" s="135">
        <f t="shared" si="28"/>
        <v>16</v>
      </c>
      <c r="AW32" s="196">
        <v>44438</v>
      </c>
      <c r="AX32" s="194">
        <v>0.63114376440884412</v>
      </c>
      <c r="AY32" s="194">
        <v>0.62786963972935805</v>
      </c>
      <c r="AZ32" s="194">
        <v>0.50684931506849318</v>
      </c>
      <c r="BA32" s="197">
        <f t="shared" si="12"/>
        <v>6.2793843945581782E-2</v>
      </c>
      <c r="BB32" s="198">
        <f t="shared" si="13"/>
        <v>3.1827016794335972E-2</v>
      </c>
      <c r="BC32" s="198">
        <f t="shared" si="24"/>
        <v>0.36476944599512062</v>
      </c>
      <c r="BD32" s="193">
        <f t="shared" si="14"/>
        <v>6.2210159680916606</v>
      </c>
      <c r="BE32" s="363" t="str">
        <f t="shared" si="15"/>
        <v>96M</v>
      </c>
      <c r="BF32" s="135">
        <f t="shared" si="29"/>
        <v>16</v>
      </c>
      <c r="BG32" s="196">
        <v>44438</v>
      </c>
      <c r="BH32" s="194">
        <v>0.63114376440884412</v>
      </c>
      <c r="BI32" s="194">
        <v>0.62786963972935805</v>
      </c>
      <c r="BJ32" s="194">
        <v>0.50684931506849318</v>
      </c>
      <c r="BK32" s="197">
        <f t="shared" si="16"/>
        <v>6.2793843945581782E-2</v>
      </c>
      <c r="BL32" s="198">
        <f t="shared" si="17"/>
        <v>3.1827016794335972E-2</v>
      </c>
      <c r="BM32" s="198">
        <f t="shared" si="25"/>
        <v>0.36054522283294854</v>
      </c>
      <c r="BN32" s="193">
        <f t="shared" si="18"/>
        <v>6.1408862879799235</v>
      </c>
    </row>
    <row r="33" spans="1:66">
      <c r="B33" s="87" t="str">
        <f t="shared" si="32"/>
        <v>10Y</v>
      </c>
      <c r="C33" s="181">
        <f t="shared" si="31"/>
        <v>5.45</v>
      </c>
      <c r="D33" s="181">
        <f t="shared" si="31"/>
        <v>5.3999999999999995</v>
      </c>
      <c r="E33" s="181">
        <f t="shared" si="31"/>
        <v>5.35</v>
      </c>
      <c r="F33" s="181">
        <f t="shared" si="31"/>
        <v>5.35</v>
      </c>
      <c r="G33" s="181">
        <f t="shared" si="31"/>
        <v>5.35</v>
      </c>
      <c r="H33" s="181">
        <f t="shared" si="31"/>
        <v>5.35</v>
      </c>
      <c r="I33" s="181">
        <f t="shared" si="31"/>
        <v>5.35</v>
      </c>
      <c r="J33" s="181">
        <f t="shared" si="31"/>
        <v>5.35</v>
      </c>
      <c r="K33" s="181">
        <f t="shared" si="31"/>
        <v>5.35</v>
      </c>
      <c r="O33" s="363" t="str">
        <f t="shared" si="0"/>
        <v>54M</v>
      </c>
      <c r="P33" s="135">
        <f t="shared" si="19"/>
        <v>18</v>
      </c>
      <c r="Q33" s="189">
        <v>43159</v>
      </c>
      <c r="R33" s="190">
        <v>0.78203198882235825</v>
      </c>
      <c r="S33" s="190">
        <v>0.25205479452054796</v>
      </c>
      <c r="T33" s="190">
        <f t="shared" si="2"/>
        <v>3.9819236318411546</v>
      </c>
      <c r="U33" s="363" t="str">
        <f>V33*3&amp;"M"</f>
        <v>3M</v>
      </c>
      <c r="V33" s="135">
        <f>V32+1</f>
        <v>1</v>
      </c>
      <c r="W33" s="189">
        <f t="array" ref="W33:W44">_xll.HLV5r3.Financial.Cache.AddManyPeriods( $Q$15, "Calendar", U33:U44, $Q$8, $Q$6)</f>
        <v>41606</v>
      </c>
      <c r="X33" s="190">
        <v>0.98745019134865508</v>
      </c>
      <c r="Y33" s="190">
        <f t="array" ref="Y33:Y44">_xll.HLV5r3.Financial.Cache.YearFractions(W32:W43, W33:W44, $Q$9)</f>
        <v>8.4931506849315067E-2</v>
      </c>
      <c r="Z33" s="190">
        <f>X33*Y33</f>
        <v>8.3865632689885769E-2</v>
      </c>
      <c r="AA33" s="363" t="str">
        <f t="shared" si="4"/>
        <v>102M</v>
      </c>
      <c r="AB33" s="135">
        <f t="shared" si="26"/>
        <v>17</v>
      </c>
      <c r="AC33" s="196">
        <v>44620</v>
      </c>
      <c r="AD33" s="194">
        <v>0.61238408645848619</v>
      </c>
      <c r="AE33" s="194">
        <v>0.60903261181153279</v>
      </c>
      <c r="AF33" s="194">
        <v>0.49863013698630138</v>
      </c>
      <c r="AG33" s="197">
        <f t="shared" si="5"/>
        <v>6.2028790012866472E-2</v>
      </c>
      <c r="AH33" s="198">
        <f t="shared" si="21"/>
        <v>3.0929424061210131E-2</v>
      </c>
      <c r="AI33" s="198">
        <f t="shared" si="22"/>
        <v>0.39201905848069796</v>
      </c>
      <c r="AJ33" s="193">
        <f t="shared" si="6"/>
        <v>6.6892994785712183</v>
      </c>
      <c r="AK33" s="363" t="str">
        <f t="shared" si="7"/>
        <v>102M</v>
      </c>
      <c r="AL33" s="135">
        <f t="shared" si="27"/>
        <v>17</v>
      </c>
      <c r="AM33" s="196">
        <v>44620</v>
      </c>
      <c r="AN33" s="194">
        <v>0.61238408645848619</v>
      </c>
      <c r="AO33" s="194">
        <v>0.60903261181153279</v>
      </c>
      <c r="AP33" s="194">
        <v>0.49863013698630138</v>
      </c>
      <c r="AQ33" s="197">
        <f t="shared" si="8"/>
        <v>6.2028790012866472E-2</v>
      </c>
      <c r="AR33" s="198">
        <f t="shared" si="9"/>
        <v>3.0929424061210131E-2</v>
      </c>
      <c r="AS33" s="198">
        <f t="shared" si="23"/>
        <v>0.3879938821748255</v>
      </c>
      <c r="AT33" s="193">
        <f t="shared" si="10"/>
        <v>6.6091697984594813</v>
      </c>
      <c r="AU33" s="363" t="str">
        <f t="shared" si="11"/>
        <v>102M</v>
      </c>
      <c r="AV33" s="135">
        <f t="shared" si="28"/>
        <v>17</v>
      </c>
      <c r="AW33" s="196">
        <v>44620</v>
      </c>
      <c r="AX33" s="194">
        <v>0.61238408645848619</v>
      </c>
      <c r="AY33" s="194">
        <v>0.60903261181153279</v>
      </c>
      <c r="AZ33" s="194">
        <v>0.49863013698630138</v>
      </c>
      <c r="BA33" s="197">
        <f t="shared" si="12"/>
        <v>6.2028790012866472E-2</v>
      </c>
      <c r="BB33" s="198">
        <f t="shared" si="13"/>
        <v>3.0929424061210131E-2</v>
      </c>
      <c r="BC33" s="198">
        <f t="shared" si="24"/>
        <v>0.38371013309353191</v>
      </c>
      <c r="BD33" s="193">
        <f t="shared" si="14"/>
        <v>6.5263691290106864</v>
      </c>
      <c r="BE33" s="363" t="str">
        <f t="shared" si="15"/>
        <v>102M</v>
      </c>
      <c r="BF33" s="135">
        <f t="shared" si="29"/>
        <v>17</v>
      </c>
      <c r="BG33" s="196">
        <v>44620</v>
      </c>
      <c r="BH33" s="194">
        <v>0.61238408645848619</v>
      </c>
      <c r="BI33" s="194">
        <v>0.60903261181153279</v>
      </c>
      <c r="BJ33" s="194">
        <v>0.49863013698630138</v>
      </c>
      <c r="BK33" s="197">
        <f t="shared" si="16"/>
        <v>6.2028790012866472E-2</v>
      </c>
      <c r="BL33" s="198">
        <f t="shared" si="17"/>
        <v>3.0929424061210131E-2</v>
      </c>
      <c r="BM33" s="198">
        <f t="shared" si="25"/>
        <v>0.37948590993135983</v>
      </c>
      <c r="BN33" s="193">
        <f t="shared" si="18"/>
        <v>6.4462394488989494</v>
      </c>
    </row>
    <row r="34" spans="1:66">
      <c r="O34" s="363" t="str">
        <f t="shared" si="0"/>
        <v>57M</v>
      </c>
      <c r="P34" s="135">
        <f t="shared" si="19"/>
        <v>19</v>
      </c>
      <c r="Q34" s="189">
        <v>43248</v>
      </c>
      <c r="R34" s="190">
        <v>0.77062052023169381</v>
      </c>
      <c r="S34" s="190">
        <v>0.24383561643835616</v>
      </c>
      <c r="T34" s="190">
        <f t="shared" si="2"/>
        <v>4.1698283614318967</v>
      </c>
      <c r="U34" s="363" t="str">
        <f t="shared" ref="U34:U44" si="33">V34*3&amp;"M"</f>
        <v>6M</v>
      </c>
      <c r="V34" s="135">
        <f>V33+1</f>
        <v>2</v>
      </c>
      <c r="W34" s="189">
        <v>41698</v>
      </c>
      <c r="X34" s="190">
        <v>0.9749111080261329</v>
      </c>
      <c r="Y34" s="190">
        <v>0.25205479452054796</v>
      </c>
      <c r="Z34" s="190">
        <f>Z33+X34*Y34</f>
        <v>0.32959665169921243</v>
      </c>
      <c r="AA34" s="363" t="str">
        <f t="shared" si="4"/>
        <v>108M</v>
      </c>
      <c r="AB34" s="135">
        <f t="shared" si="26"/>
        <v>18</v>
      </c>
      <c r="AC34" s="196">
        <v>44802</v>
      </c>
      <c r="AD34" s="194">
        <v>0.59407500045085404</v>
      </c>
      <c r="AE34" s="194">
        <v>0.59065688272126105</v>
      </c>
      <c r="AF34" s="194">
        <v>0.49863013698630138</v>
      </c>
      <c r="AG34" s="197">
        <f t="shared" si="5"/>
        <v>6.2392270035371171E-2</v>
      </c>
      <c r="AH34" s="198">
        <f t="shared" si="21"/>
        <v>3.1110666154623434E-2</v>
      </c>
      <c r="AI34" s="198">
        <f t="shared" si="22"/>
        <v>0.41050112749053225</v>
      </c>
      <c r="AJ34" s="193">
        <f t="shared" si="6"/>
        <v>6.985523177426165</v>
      </c>
      <c r="AK34" s="363" t="str">
        <f t="shared" si="7"/>
        <v>108M</v>
      </c>
      <c r="AL34" s="135">
        <f t="shared" si="27"/>
        <v>18</v>
      </c>
      <c r="AM34" s="196">
        <v>44802</v>
      </c>
      <c r="AN34" s="194">
        <v>0.59407500045085404</v>
      </c>
      <c r="AO34" s="194">
        <v>0.59065688272126105</v>
      </c>
      <c r="AP34" s="194">
        <v>0.49863013698630138</v>
      </c>
      <c r="AQ34" s="197">
        <f t="shared" si="8"/>
        <v>6.2392270035371171E-2</v>
      </c>
      <c r="AR34" s="198">
        <f t="shared" si="9"/>
        <v>3.1110666154623434E-2</v>
      </c>
      <c r="AS34" s="198">
        <f t="shared" si="23"/>
        <v>0.40647595118465979</v>
      </c>
      <c r="AT34" s="193">
        <f t="shared" si="10"/>
        <v>6.905393497314428</v>
      </c>
      <c r="AU34" s="363" t="str">
        <f t="shared" si="11"/>
        <v>108M</v>
      </c>
      <c r="AV34" s="135">
        <f t="shared" si="28"/>
        <v>18</v>
      </c>
      <c r="AW34" s="196">
        <v>44802</v>
      </c>
      <c r="AX34" s="194">
        <v>0.59407500045085404</v>
      </c>
      <c r="AY34" s="194">
        <v>0.59065688272126105</v>
      </c>
      <c r="AZ34" s="194">
        <v>0.49863013698630138</v>
      </c>
      <c r="BA34" s="197">
        <f t="shared" si="12"/>
        <v>6.2392270035371171E-2</v>
      </c>
      <c r="BB34" s="198">
        <f t="shared" si="13"/>
        <v>3.1110666154623434E-2</v>
      </c>
      <c r="BC34" s="198">
        <f t="shared" si="24"/>
        <v>0.4021922021033662</v>
      </c>
      <c r="BD34" s="193">
        <f t="shared" si="14"/>
        <v>6.8225928278656331</v>
      </c>
      <c r="BE34" s="363" t="str">
        <f t="shared" si="15"/>
        <v>108M</v>
      </c>
      <c r="BF34" s="135">
        <f t="shared" si="29"/>
        <v>18</v>
      </c>
      <c r="BG34" s="196">
        <v>44802</v>
      </c>
      <c r="BH34" s="194">
        <v>0.59407500045085404</v>
      </c>
      <c r="BI34" s="194">
        <v>0.59065688272126105</v>
      </c>
      <c r="BJ34" s="194">
        <v>0.49863013698630138</v>
      </c>
      <c r="BK34" s="197">
        <f t="shared" si="16"/>
        <v>6.2392270035371171E-2</v>
      </c>
      <c r="BL34" s="198">
        <f t="shared" si="17"/>
        <v>3.1110666154623434E-2</v>
      </c>
      <c r="BM34" s="198">
        <f t="shared" si="25"/>
        <v>0.39796797894119412</v>
      </c>
      <c r="BN34" s="193">
        <f t="shared" si="18"/>
        <v>6.7424631477538961</v>
      </c>
    </row>
    <row r="35" spans="1:66">
      <c r="O35" s="363" t="str">
        <f t="shared" si="0"/>
        <v>60M</v>
      </c>
      <c r="P35" s="135">
        <f t="shared" si="19"/>
        <v>20</v>
      </c>
      <c r="Q35" s="189">
        <v>43340</v>
      </c>
      <c r="R35" s="190">
        <v>0.75888442582152948</v>
      </c>
      <c r="S35" s="190">
        <v>0.25205479452054796</v>
      </c>
      <c r="T35" s="190">
        <f t="shared" si="2"/>
        <v>4.3611088194471863</v>
      </c>
      <c r="U35" s="363" t="str">
        <f t="shared" si="33"/>
        <v>9M</v>
      </c>
      <c r="V35" s="135">
        <f>V34+1</f>
        <v>3</v>
      </c>
      <c r="W35" s="189">
        <v>41787</v>
      </c>
      <c r="X35" s="190">
        <v>0.96275326019266816</v>
      </c>
      <c r="Y35" s="190">
        <v>0.24383561643835616</v>
      </c>
      <c r="Z35" s="190">
        <f t="shared" ref="Z35:Z44" si="34">Z34+X35*Y35</f>
        <v>0.56435018637632872</v>
      </c>
      <c r="AA35" s="363" t="str">
        <f t="shared" si="4"/>
        <v>114M</v>
      </c>
      <c r="AB35" s="135">
        <f t="shared" si="26"/>
        <v>19</v>
      </c>
      <c r="AC35" s="196">
        <v>44985</v>
      </c>
      <c r="AD35" s="194">
        <v>0.57615212904020252</v>
      </c>
      <c r="AE35" s="194">
        <v>0.57267786709912627</v>
      </c>
      <c r="AF35" s="194">
        <v>0.50136986301369868</v>
      </c>
      <c r="AG35" s="197">
        <f t="shared" si="5"/>
        <v>6.2617725107675937E-2</v>
      </c>
      <c r="AH35" s="198">
        <f t="shared" si="21"/>
        <v>3.1394640259464923E-2</v>
      </c>
      <c r="AI35" s="198">
        <f t="shared" si="22"/>
        <v>0.42858921631647423</v>
      </c>
      <c r="AJ35" s="193">
        <f t="shared" si="6"/>
        <v>7.2743884914381018</v>
      </c>
      <c r="AK35" s="363" t="str">
        <f t="shared" si="7"/>
        <v>114M</v>
      </c>
      <c r="AL35" s="135">
        <f t="shared" si="27"/>
        <v>19</v>
      </c>
      <c r="AM35" s="196">
        <v>44985</v>
      </c>
      <c r="AN35" s="194">
        <v>0.57615212904020252</v>
      </c>
      <c r="AO35" s="194">
        <v>0.57267786709912627</v>
      </c>
      <c r="AP35" s="194">
        <v>0.50136986301369868</v>
      </c>
      <c r="AQ35" s="197">
        <f t="shared" si="8"/>
        <v>6.2617725107675937E-2</v>
      </c>
      <c r="AR35" s="198">
        <f t="shared" si="9"/>
        <v>3.1394640259464923E-2</v>
      </c>
      <c r="AS35" s="198">
        <f t="shared" si="23"/>
        <v>0.42456404001060177</v>
      </c>
      <c r="AT35" s="193">
        <f t="shared" si="10"/>
        <v>7.1942588113263648</v>
      </c>
      <c r="AU35" s="363" t="str">
        <f t="shared" si="11"/>
        <v>114M</v>
      </c>
      <c r="AV35" s="135">
        <f t="shared" si="28"/>
        <v>19</v>
      </c>
      <c r="AW35" s="196">
        <v>44985</v>
      </c>
      <c r="AX35" s="194">
        <v>0.57615212904020252</v>
      </c>
      <c r="AY35" s="194">
        <v>0.57267786709912627</v>
      </c>
      <c r="AZ35" s="194">
        <v>0.50136986301369868</v>
      </c>
      <c r="BA35" s="197">
        <f t="shared" si="12"/>
        <v>6.2617725107675937E-2</v>
      </c>
      <c r="BB35" s="198">
        <f t="shared" si="13"/>
        <v>3.1394640259464923E-2</v>
      </c>
      <c r="BC35" s="198">
        <f t="shared" si="24"/>
        <v>0.42028029092930819</v>
      </c>
      <c r="BD35" s="193">
        <f t="shared" si="14"/>
        <v>7.11145814187757</v>
      </c>
      <c r="BE35" s="363" t="str">
        <f t="shared" si="15"/>
        <v>114M</v>
      </c>
      <c r="BF35" s="135">
        <f t="shared" si="29"/>
        <v>19</v>
      </c>
      <c r="BG35" s="196">
        <v>44985</v>
      </c>
      <c r="BH35" s="194">
        <v>0.57615212904020252</v>
      </c>
      <c r="BI35" s="194">
        <v>0.57267786709912627</v>
      </c>
      <c r="BJ35" s="194">
        <v>0.50136986301369868</v>
      </c>
      <c r="BK35" s="197">
        <f t="shared" si="16"/>
        <v>6.2617725107675937E-2</v>
      </c>
      <c r="BL35" s="198">
        <f t="shared" si="17"/>
        <v>3.1394640259464923E-2</v>
      </c>
      <c r="BM35" s="198">
        <f t="shared" si="25"/>
        <v>0.41605606776713611</v>
      </c>
      <c r="BN35" s="193">
        <f t="shared" si="18"/>
        <v>7.0313284617658329</v>
      </c>
    </row>
    <row r="36" spans="1:66">
      <c r="C36" s="168">
        <v>1</v>
      </c>
      <c r="D36" s="168">
        <v>2</v>
      </c>
      <c r="E36" s="168">
        <v>3</v>
      </c>
      <c r="F36" s="168">
        <v>4</v>
      </c>
      <c r="G36" s="168">
        <v>5</v>
      </c>
      <c r="H36" s="168">
        <v>7</v>
      </c>
      <c r="I36" s="168">
        <v>10</v>
      </c>
      <c r="J36" s="168">
        <v>15</v>
      </c>
      <c r="K36" s="168">
        <v>20</v>
      </c>
      <c r="O36" s="363" t="str">
        <f t="shared" si="0"/>
        <v>63M</v>
      </c>
      <c r="P36" s="135">
        <f t="shared" si="19"/>
        <v>21</v>
      </c>
      <c r="Q36" s="189">
        <v>43432</v>
      </c>
      <c r="R36" s="190">
        <v>0.7473803890583729</v>
      </c>
      <c r="S36" s="190">
        <v>0.25205479452054796</v>
      </c>
      <c r="T36" s="190">
        <f t="shared" si="2"/>
        <v>4.5494896298399814</v>
      </c>
      <c r="U36" s="363" t="str">
        <f t="shared" si="33"/>
        <v>12M</v>
      </c>
      <c r="V36" s="135">
        <f t="shared" ref="V36:V44" si="35">V35+1</f>
        <v>4</v>
      </c>
      <c r="W36" s="189">
        <v>41879</v>
      </c>
      <c r="X36" s="190">
        <v>0.95017313942125392</v>
      </c>
      <c r="Y36" s="190">
        <v>0.25205479452054796</v>
      </c>
      <c r="Z36" s="190">
        <f t="shared" si="34"/>
        <v>0.80384588179209682</v>
      </c>
      <c r="AA36" s="363" t="str">
        <f t="shared" si="4"/>
        <v>120M</v>
      </c>
      <c r="AB36" s="135">
        <f t="shared" si="26"/>
        <v>20</v>
      </c>
      <c r="AC36" s="196">
        <v>45166</v>
      </c>
      <c r="AD36" s="194">
        <v>0.55886096107089644</v>
      </c>
      <c r="AE36" s="194">
        <v>0.55534068611521403</v>
      </c>
      <c r="AF36" s="194">
        <v>0.49589041095890413</v>
      </c>
      <c r="AG36" s="197">
        <f t="shared" si="5"/>
        <v>6.2955442366894376E-2</v>
      </c>
      <c r="AH36" s="198">
        <f t="shared" si="21"/>
        <v>3.1219000187418855E-2</v>
      </c>
      <c r="AI36" s="198">
        <f t="shared" si="22"/>
        <v>0.44603629676488765</v>
      </c>
      <c r="AJ36" s="193">
        <f t="shared" si="6"/>
        <v>7.5515222830924369</v>
      </c>
      <c r="AK36" s="363" t="str">
        <f t="shared" si="7"/>
        <v>120M</v>
      </c>
      <c r="AL36" s="135">
        <f t="shared" si="27"/>
        <v>20</v>
      </c>
      <c r="AM36" s="196">
        <v>45166</v>
      </c>
      <c r="AN36" s="194">
        <v>0.55886096107089644</v>
      </c>
      <c r="AO36" s="194">
        <v>0.55534068611521403</v>
      </c>
      <c r="AP36" s="194">
        <v>0.49589041095890413</v>
      </c>
      <c r="AQ36" s="197">
        <f t="shared" si="8"/>
        <v>6.2955442366894376E-2</v>
      </c>
      <c r="AR36" s="198">
        <f t="shared" si="9"/>
        <v>3.1219000187418855E-2</v>
      </c>
      <c r="AS36" s="198">
        <f t="shared" si="23"/>
        <v>0.44201112045901519</v>
      </c>
      <c r="AT36" s="193">
        <f t="shared" si="10"/>
        <v>7.4713926029806998</v>
      </c>
      <c r="AU36" s="363" t="str">
        <f t="shared" si="11"/>
        <v>120M</v>
      </c>
      <c r="AV36" s="135">
        <f t="shared" si="28"/>
        <v>20</v>
      </c>
      <c r="AW36" s="196">
        <v>45166</v>
      </c>
      <c r="AX36" s="194">
        <v>0.55886096107089644</v>
      </c>
      <c r="AY36" s="194">
        <v>0.55534068611521403</v>
      </c>
      <c r="AZ36" s="194">
        <v>0.49589041095890413</v>
      </c>
      <c r="BA36" s="197">
        <f t="shared" si="12"/>
        <v>6.2955442366894376E-2</v>
      </c>
      <c r="BB36" s="198">
        <f t="shared" si="13"/>
        <v>3.1219000187418855E-2</v>
      </c>
      <c r="BC36" s="198">
        <f t="shared" si="24"/>
        <v>0.43772737137772161</v>
      </c>
      <c r="BD36" s="193">
        <f t="shared" si="14"/>
        <v>7.388591933531905</v>
      </c>
      <c r="BE36" s="363" t="str">
        <f t="shared" si="15"/>
        <v>120M</v>
      </c>
      <c r="BF36" s="135">
        <f t="shared" si="29"/>
        <v>20</v>
      </c>
      <c r="BG36" s="196">
        <v>45166</v>
      </c>
      <c r="BH36" s="194">
        <v>0.55886096107089644</v>
      </c>
      <c r="BI36" s="194">
        <v>0.55534068611521403</v>
      </c>
      <c r="BJ36" s="194">
        <v>0.49589041095890413</v>
      </c>
      <c r="BK36" s="197">
        <f t="shared" si="16"/>
        <v>6.2955442366894376E-2</v>
      </c>
      <c r="BL36" s="198">
        <f t="shared" si="17"/>
        <v>3.1219000187418855E-2</v>
      </c>
      <c r="BM36" s="198">
        <f t="shared" si="25"/>
        <v>0.43350314821554953</v>
      </c>
      <c r="BN36" s="193">
        <f t="shared" si="18"/>
        <v>7.308462253420168</v>
      </c>
    </row>
    <row r="37" spans="1:66">
      <c r="B37" s="187"/>
      <c r="C37" s="393" t="s">
        <v>307</v>
      </c>
      <c r="D37" s="394"/>
      <c r="E37" s="394"/>
      <c r="F37" s="394"/>
      <c r="G37" s="394"/>
      <c r="H37" s="394"/>
      <c r="I37" s="394"/>
      <c r="J37" s="394"/>
      <c r="K37" s="402"/>
      <c r="O37" s="363" t="str">
        <f t="shared" si="0"/>
        <v>66M</v>
      </c>
      <c r="P37" s="135">
        <f t="shared" si="19"/>
        <v>22</v>
      </c>
      <c r="Q37" s="189">
        <v>43524</v>
      </c>
      <c r="R37" s="190">
        <v>0.73595330196388686</v>
      </c>
      <c r="S37" s="190">
        <v>0.25205479452054796</v>
      </c>
      <c r="T37" s="190">
        <f t="shared" si="2"/>
        <v>4.7349901881432075</v>
      </c>
      <c r="U37" s="363" t="str">
        <f t="shared" si="33"/>
        <v>15M</v>
      </c>
      <c r="V37" s="135">
        <f t="shared" si="35"/>
        <v>5</v>
      </c>
      <c r="W37" s="189">
        <v>41971</v>
      </c>
      <c r="X37" s="190">
        <v>0.93762950873244577</v>
      </c>
      <c r="Y37" s="190">
        <v>0.25205479452054796</v>
      </c>
      <c r="Z37" s="190">
        <f t="shared" si="34"/>
        <v>1.0401798949520558</v>
      </c>
      <c r="AA37" s="363" t="str">
        <f t="shared" si="4"/>
        <v>126M</v>
      </c>
      <c r="AB37" s="135">
        <f t="shared" si="26"/>
        <v>21</v>
      </c>
      <c r="AC37" s="196">
        <v>45350</v>
      </c>
      <c r="AD37" s="194">
        <v>0.54176390996529111</v>
      </c>
      <c r="AE37" s="194">
        <v>0.53827214459903849</v>
      </c>
      <c r="AF37" s="194">
        <v>0.50410958904109593</v>
      </c>
      <c r="AG37" s="197">
        <f t="shared" si="5"/>
        <v>6.2902737833125166E-2</v>
      </c>
      <c r="AH37" s="198">
        <f t="shared" si="21"/>
        <v>3.1709873318616522E-2</v>
      </c>
      <c r="AI37" s="198">
        <f t="shared" si="22"/>
        <v>0.46321556171848538</v>
      </c>
      <c r="AJ37" s="193">
        <f t="shared" si="6"/>
        <v>7.8246306651023367</v>
      </c>
      <c r="AK37" s="363" t="str">
        <f t="shared" si="7"/>
        <v>126M</v>
      </c>
      <c r="AL37" s="135">
        <f t="shared" si="27"/>
        <v>21</v>
      </c>
      <c r="AM37" s="196">
        <v>45350</v>
      </c>
      <c r="AN37" s="194">
        <v>0.54176390996529111</v>
      </c>
      <c r="AO37" s="194">
        <v>0.53827214459903849</v>
      </c>
      <c r="AP37" s="194">
        <v>0.50410958904109593</v>
      </c>
      <c r="AQ37" s="197">
        <f t="shared" si="8"/>
        <v>6.2902737833125166E-2</v>
      </c>
      <c r="AR37" s="198">
        <f t="shared" si="9"/>
        <v>3.1709873318616522E-2</v>
      </c>
      <c r="AS37" s="198">
        <f t="shared" si="23"/>
        <v>0.45919038541261292</v>
      </c>
      <c r="AT37" s="193">
        <f t="shared" si="10"/>
        <v>7.7445009849905997</v>
      </c>
      <c r="AU37" s="363" t="str">
        <f t="shared" si="11"/>
        <v>126M</v>
      </c>
      <c r="AV37" s="135">
        <f t="shared" si="28"/>
        <v>21</v>
      </c>
      <c r="AW37" s="196">
        <v>45350</v>
      </c>
      <c r="AX37" s="194">
        <v>0.54176390996529111</v>
      </c>
      <c r="AY37" s="194">
        <v>0.53827214459903849</v>
      </c>
      <c r="AZ37" s="194">
        <v>0.50410958904109593</v>
      </c>
      <c r="BA37" s="197">
        <f t="shared" si="12"/>
        <v>6.2902737833125166E-2</v>
      </c>
      <c r="BB37" s="198">
        <f t="shared" si="13"/>
        <v>3.1709873318616522E-2</v>
      </c>
      <c r="BC37" s="198">
        <f t="shared" si="24"/>
        <v>0.45490663633131934</v>
      </c>
      <c r="BD37" s="193">
        <f t="shared" si="14"/>
        <v>7.6617003155418049</v>
      </c>
      <c r="BE37" s="363" t="str">
        <f t="shared" si="15"/>
        <v>126M</v>
      </c>
      <c r="BF37" s="135">
        <f t="shared" si="29"/>
        <v>21</v>
      </c>
      <c r="BG37" s="196">
        <v>45350</v>
      </c>
      <c r="BH37" s="194">
        <v>0.54176390996529111</v>
      </c>
      <c r="BI37" s="194">
        <v>0.53827214459903849</v>
      </c>
      <c r="BJ37" s="194">
        <v>0.50410958904109593</v>
      </c>
      <c r="BK37" s="197">
        <f t="shared" si="16"/>
        <v>6.2902737833125166E-2</v>
      </c>
      <c r="BL37" s="198">
        <f t="shared" si="17"/>
        <v>3.1709873318616522E-2</v>
      </c>
      <c r="BM37" s="198">
        <f t="shared" si="25"/>
        <v>0.45068241316914726</v>
      </c>
      <c r="BN37" s="193">
        <f t="shared" si="18"/>
        <v>7.5815706354300678</v>
      </c>
    </row>
    <row r="38" spans="1:66">
      <c r="B38" s="29"/>
      <c r="C38" s="348" t="str">
        <f>C9</f>
        <v>1Y</v>
      </c>
      <c r="D38" s="348" t="str">
        <f t="shared" ref="D38:K38" si="36">D9</f>
        <v>2Y</v>
      </c>
      <c r="E38" s="348" t="str">
        <f t="shared" si="36"/>
        <v>3Y</v>
      </c>
      <c r="F38" s="348" t="str">
        <f t="shared" si="36"/>
        <v>4Y</v>
      </c>
      <c r="G38" s="348" t="str">
        <f t="shared" si="36"/>
        <v>5Y</v>
      </c>
      <c r="H38" s="348" t="str">
        <f t="shared" si="36"/>
        <v>7Y</v>
      </c>
      <c r="I38" s="348" t="str">
        <f t="shared" si="36"/>
        <v>10Y</v>
      </c>
      <c r="J38" s="348" t="str">
        <f t="shared" si="36"/>
        <v>15Y</v>
      </c>
      <c r="K38" s="4" t="str">
        <f t="shared" si="36"/>
        <v>20Y</v>
      </c>
      <c r="O38" s="363" t="str">
        <f t="shared" si="0"/>
        <v>69M</v>
      </c>
      <c r="P38" s="135">
        <f t="shared" si="19"/>
        <v>23</v>
      </c>
      <c r="Q38" s="189">
        <v>43613</v>
      </c>
      <c r="R38" s="190">
        <v>0.72497379202515522</v>
      </c>
      <c r="S38" s="190">
        <v>0.24383561643835616</v>
      </c>
      <c r="T38" s="190">
        <f t="shared" si="2"/>
        <v>4.9117646196233142</v>
      </c>
      <c r="U38" s="363" t="str">
        <f t="shared" si="33"/>
        <v>18M</v>
      </c>
      <c r="V38" s="135">
        <f t="shared" si="35"/>
        <v>6</v>
      </c>
      <c r="W38" s="189">
        <v>42062</v>
      </c>
      <c r="X38" s="190">
        <v>0.92528444656880526</v>
      </c>
      <c r="Y38" s="190">
        <v>0.24931506849315069</v>
      </c>
      <c r="Z38" s="190">
        <f t="shared" si="34"/>
        <v>1.2708672501240046</v>
      </c>
      <c r="AA38" s="363" t="str">
        <f t="shared" si="4"/>
        <v>132M</v>
      </c>
      <c r="AB38" s="135">
        <f t="shared" si="26"/>
        <v>22</v>
      </c>
      <c r="AC38" s="196">
        <v>45532</v>
      </c>
      <c r="AD38" s="194">
        <v>0.5252799771602269</v>
      </c>
      <c r="AE38" s="194">
        <v>0.52182695165830106</v>
      </c>
      <c r="AF38" s="194">
        <v>0.49863013698630138</v>
      </c>
      <c r="AG38" s="197">
        <f t="shared" si="5"/>
        <v>6.3202454337855096E-2</v>
      </c>
      <c r="AH38" s="198">
        <f t="shared" si="21"/>
        <v>3.1514648464355144E-2</v>
      </c>
      <c r="AI38" s="198">
        <f t="shared" si="22"/>
        <v>0.47976957554405442</v>
      </c>
      <c r="AJ38" s="193">
        <f t="shared" si="6"/>
        <v>8.086551092069902</v>
      </c>
      <c r="AK38" s="363" t="str">
        <f t="shared" si="7"/>
        <v>132M</v>
      </c>
      <c r="AL38" s="135">
        <f t="shared" si="27"/>
        <v>22</v>
      </c>
      <c r="AM38" s="196">
        <v>45532</v>
      </c>
      <c r="AN38" s="194">
        <v>0.5252799771602269</v>
      </c>
      <c r="AO38" s="194">
        <v>0.52182695165830106</v>
      </c>
      <c r="AP38" s="194">
        <v>0.49863013698630138</v>
      </c>
      <c r="AQ38" s="197">
        <f t="shared" si="8"/>
        <v>6.3202454337855096E-2</v>
      </c>
      <c r="AR38" s="198">
        <f t="shared" si="9"/>
        <v>3.1514648464355144E-2</v>
      </c>
      <c r="AS38" s="198">
        <f t="shared" si="23"/>
        <v>0.47574439923818196</v>
      </c>
      <c r="AT38" s="193">
        <f t="shared" si="10"/>
        <v>8.0064214119581649</v>
      </c>
      <c r="AU38" s="363" t="str">
        <f t="shared" si="11"/>
        <v>132M</v>
      </c>
      <c r="AV38" s="135">
        <f t="shared" si="28"/>
        <v>22</v>
      </c>
      <c r="AW38" s="196">
        <v>45532</v>
      </c>
      <c r="AX38" s="194">
        <v>0.5252799771602269</v>
      </c>
      <c r="AY38" s="194">
        <v>0.52182695165830106</v>
      </c>
      <c r="AZ38" s="194">
        <v>0.49863013698630138</v>
      </c>
      <c r="BA38" s="197">
        <f t="shared" si="12"/>
        <v>6.3202454337855096E-2</v>
      </c>
      <c r="BB38" s="198">
        <f t="shared" si="13"/>
        <v>3.1514648464355144E-2</v>
      </c>
      <c r="BC38" s="198">
        <f t="shared" si="24"/>
        <v>0.47146065015688837</v>
      </c>
      <c r="BD38" s="193">
        <f t="shared" si="14"/>
        <v>7.9236207425093701</v>
      </c>
      <c r="BE38" s="363" t="str">
        <f t="shared" si="15"/>
        <v>132M</v>
      </c>
      <c r="BF38" s="135">
        <f t="shared" si="29"/>
        <v>22</v>
      </c>
      <c r="BG38" s="196">
        <v>45532</v>
      </c>
      <c r="BH38" s="194">
        <v>0.5252799771602269</v>
      </c>
      <c r="BI38" s="194">
        <v>0.52182695165830106</v>
      </c>
      <c r="BJ38" s="194">
        <v>0.49863013698630138</v>
      </c>
      <c r="BK38" s="197">
        <f t="shared" si="16"/>
        <v>6.3202454337855096E-2</v>
      </c>
      <c r="BL38" s="198">
        <f t="shared" si="17"/>
        <v>3.1514648464355144E-2</v>
      </c>
      <c r="BM38" s="198">
        <f t="shared" si="25"/>
        <v>0.46723642699471629</v>
      </c>
      <c r="BN38" s="193">
        <f t="shared" si="18"/>
        <v>7.8434910623976331</v>
      </c>
    </row>
    <row r="39" spans="1:66">
      <c r="A39" s="168">
        <f>1/12</f>
        <v>8.3333333333333329E-2</v>
      </c>
      <c r="B39" s="88" t="str">
        <f>B10</f>
        <v>1M</v>
      </c>
      <c r="C39" s="176">
        <f>($X$15-VLOOKUP(C$36*4,$V$16:$Z$27,3,FALSE))/VLOOKUP(C$36*4,$V$16:$Z$27,5,FALSE)</f>
        <v>5.1544156923785583E-2</v>
      </c>
      <c r="D39" s="176">
        <f>($X$15-VLOOKUP(D$36*4,$V$16:$Z$27,3,FALSE))/VLOOKUP(D$36*4,$V$16:$Z$27,5,FALSE)</f>
        <v>5.2621508225064194E-2</v>
      </c>
      <c r="E39" s="176">
        <f>($X$15-VLOOKUP(E$36*4,$V$16:$Z$27,3,FALSE))/VLOOKUP(E$36*4,$V$16:$Z$27,5,FALSE)</f>
        <v>5.3349251464062886E-2</v>
      </c>
      <c r="F39" s="176">
        <f t="shared" ref="F39:K39" si="37">VLOOKUP(F$36*2,$AL$17:$AT$76,8,FALSE)/VLOOKUP(F$36*2,$AL$17:$AT$76,9,FALSE)</f>
        <v>5.5412219955151068E-2</v>
      </c>
      <c r="G39" s="176">
        <f t="shared" si="37"/>
        <v>5.6495604658536473E-2</v>
      </c>
      <c r="H39" s="176">
        <f t="shared" si="37"/>
        <v>5.8090960768814481E-2</v>
      </c>
      <c r="I39" s="176">
        <f t="shared" si="37"/>
        <v>5.916047301311346E-2</v>
      </c>
      <c r="J39" s="176">
        <f t="shared" si="37"/>
        <v>5.9950640483083219E-2</v>
      </c>
      <c r="K39" s="176">
        <f t="shared" si="37"/>
        <v>5.8985805480339069E-2</v>
      </c>
      <c r="O39" s="363" t="str">
        <f t="shared" si="0"/>
        <v>72M</v>
      </c>
      <c r="P39" s="135">
        <f t="shared" si="19"/>
        <v>24</v>
      </c>
      <c r="Q39" s="189">
        <v>43705</v>
      </c>
      <c r="R39" s="190">
        <v>0.71370339623658607</v>
      </c>
      <c r="S39" s="190">
        <v>0.25205479452054796</v>
      </c>
      <c r="T39" s="190">
        <f t="shared" si="2"/>
        <v>5.0916569825103437</v>
      </c>
      <c r="U39" s="363" t="str">
        <f t="shared" si="33"/>
        <v>21M</v>
      </c>
      <c r="V39" s="135">
        <f t="shared" si="35"/>
        <v>7</v>
      </c>
      <c r="W39" s="189">
        <v>42152</v>
      </c>
      <c r="X39" s="190">
        <v>0.91314966333375325</v>
      </c>
      <c r="Y39" s="190">
        <v>0.24657534246575341</v>
      </c>
      <c r="Z39" s="190">
        <f t="shared" si="34"/>
        <v>1.4960274410830121</v>
      </c>
      <c r="AA39" s="363" t="str">
        <f t="shared" si="4"/>
        <v>138M</v>
      </c>
      <c r="AB39" s="135">
        <f t="shared" si="26"/>
        <v>23</v>
      </c>
      <c r="AC39" s="196">
        <v>45716</v>
      </c>
      <c r="AD39" s="194">
        <v>0.50903914055170885</v>
      </c>
      <c r="AE39" s="194">
        <v>0.50563500826643082</v>
      </c>
      <c r="AF39" s="194">
        <v>0.50410958904109593</v>
      </c>
      <c r="AG39" s="197">
        <f t="shared" si="5"/>
        <v>6.3523860455829917E-2</v>
      </c>
      <c r="AH39" s="198">
        <f t="shared" si="21"/>
        <v>3.2022987188692342E-2</v>
      </c>
      <c r="AI39" s="198">
        <f t="shared" si="22"/>
        <v>0.49607052942048474</v>
      </c>
      <c r="AJ39" s="193">
        <f t="shared" si="6"/>
        <v>8.3431626040192572</v>
      </c>
      <c r="AK39" s="363" t="str">
        <f t="shared" si="7"/>
        <v>138M</v>
      </c>
      <c r="AL39" s="135">
        <f t="shared" si="27"/>
        <v>23</v>
      </c>
      <c r="AM39" s="196">
        <v>45716</v>
      </c>
      <c r="AN39" s="194">
        <v>0.50903914055170885</v>
      </c>
      <c r="AO39" s="194">
        <v>0.50563500826643082</v>
      </c>
      <c r="AP39" s="194">
        <v>0.50410958904109593</v>
      </c>
      <c r="AQ39" s="197">
        <f t="shared" si="8"/>
        <v>6.3523860455829917E-2</v>
      </c>
      <c r="AR39" s="198">
        <f t="shared" si="9"/>
        <v>3.2022987188692342E-2</v>
      </c>
      <c r="AS39" s="198">
        <f t="shared" si="23"/>
        <v>0.49204535311461228</v>
      </c>
      <c r="AT39" s="193">
        <f t="shared" si="10"/>
        <v>8.2630329239075202</v>
      </c>
      <c r="AU39" s="363" t="str">
        <f t="shared" si="11"/>
        <v>138M</v>
      </c>
      <c r="AV39" s="135">
        <f t="shared" si="28"/>
        <v>23</v>
      </c>
      <c r="AW39" s="196">
        <v>45716</v>
      </c>
      <c r="AX39" s="194">
        <v>0.50903914055170885</v>
      </c>
      <c r="AY39" s="194">
        <v>0.50563500826643082</v>
      </c>
      <c r="AZ39" s="194">
        <v>0.50410958904109593</v>
      </c>
      <c r="BA39" s="197">
        <f t="shared" si="12"/>
        <v>6.3523860455829917E-2</v>
      </c>
      <c r="BB39" s="198">
        <f t="shared" si="13"/>
        <v>3.2022987188692342E-2</v>
      </c>
      <c r="BC39" s="198">
        <f t="shared" si="24"/>
        <v>0.4877616040333187</v>
      </c>
      <c r="BD39" s="193">
        <f t="shared" si="14"/>
        <v>8.1802322544587245</v>
      </c>
      <c r="BE39" s="363" t="str">
        <f t="shared" si="15"/>
        <v>138M</v>
      </c>
      <c r="BF39" s="135">
        <f t="shared" si="29"/>
        <v>23</v>
      </c>
      <c r="BG39" s="196">
        <v>45716</v>
      </c>
      <c r="BH39" s="194">
        <v>0.50903914055170885</v>
      </c>
      <c r="BI39" s="194">
        <v>0.50563500826643082</v>
      </c>
      <c r="BJ39" s="194">
        <v>0.50410958904109593</v>
      </c>
      <c r="BK39" s="197">
        <f t="shared" si="16"/>
        <v>6.3523860455829917E-2</v>
      </c>
      <c r="BL39" s="198">
        <f t="shared" si="17"/>
        <v>3.2022987188692342E-2</v>
      </c>
      <c r="BM39" s="198">
        <f t="shared" si="25"/>
        <v>0.48353738087114662</v>
      </c>
      <c r="BN39" s="193">
        <f t="shared" si="18"/>
        <v>8.1001025743469874</v>
      </c>
    </row>
    <row r="40" spans="1:66">
      <c r="A40" s="168">
        <f>1/6</f>
        <v>0.16666666666666666</v>
      </c>
      <c r="B40" s="88" t="str">
        <f t="shared" ref="B40:B48" si="38">B11</f>
        <v>2M</v>
      </c>
      <c r="C40" s="176">
        <f>($X$32-VLOOKUP(C$36*4,$V$33:$Z$44,3,FALSE))/VLOOKUP(C$36*4,$V$33:$Z$44,5,FALSE)</f>
        <v>5.1700000512886445E-2</v>
      </c>
      <c r="D40" s="176">
        <f>($X$32-VLOOKUP(D$36*4,$V$33:$Z$44,3,FALSE))/VLOOKUP(D$36*4,$V$33:$Z$44,5,FALSE)</f>
        <v>5.2746647953919139E-2</v>
      </c>
      <c r="E40" s="176">
        <f>($X$32-VLOOKUP(E$36*4,$V$33:$Z$44,3,FALSE))/VLOOKUP(E$36*4,$V$33:$Z$44,5,FALSE)</f>
        <v>5.3455716850262437E-2</v>
      </c>
      <c r="F40" s="176">
        <f t="shared" ref="F40:K40" si="39">VLOOKUP(F$36*2,$AV$17:$BD$76,8,FALSE)/VLOOKUP(F$36*2,$AV$17:$BD$76,9,FALSE)</f>
        <v>5.5501819993550958E-2</v>
      </c>
      <c r="G40" s="176">
        <f t="shared" si="39"/>
        <v>5.6590162206882857E-2</v>
      </c>
      <c r="H40" s="176">
        <f t="shared" si="39"/>
        <v>5.8185324950981478E-2</v>
      </c>
      <c r="I40" s="176">
        <f t="shared" si="39"/>
        <v>5.9243679352647446E-2</v>
      </c>
      <c r="J40" s="176">
        <f t="shared" si="39"/>
        <v>6.0020339593425148E-2</v>
      </c>
      <c r="K40" s="176">
        <f t="shared" si="39"/>
        <v>5.9037820111209401E-2</v>
      </c>
      <c r="O40" s="363" t="str">
        <f t="shared" si="0"/>
        <v>75M</v>
      </c>
      <c r="P40" s="135">
        <f t="shared" si="19"/>
        <v>25</v>
      </c>
      <c r="Q40" s="189">
        <v>43797</v>
      </c>
      <c r="R40" s="190">
        <v>0.70283325034545852</v>
      </c>
      <c r="S40" s="190">
        <v>0.25205479452054796</v>
      </c>
      <c r="T40" s="190">
        <f t="shared" si="2"/>
        <v>5.2688094730083774</v>
      </c>
      <c r="U40" s="363" t="str">
        <f t="shared" si="33"/>
        <v>24M</v>
      </c>
      <c r="V40" s="135">
        <f t="shared" si="35"/>
        <v>8</v>
      </c>
      <c r="W40" s="189">
        <v>42244</v>
      </c>
      <c r="X40" s="190">
        <v>0.90084476698200089</v>
      </c>
      <c r="Y40" s="190">
        <v>0.25205479452054796</v>
      </c>
      <c r="Z40" s="190">
        <f t="shared" si="34"/>
        <v>1.7230896837195713</v>
      </c>
      <c r="AA40" s="363" t="str">
        <f t="shared" si="4"/>
        <v>144M</v>
      </c>
      <c r="AB40" s="135">
        <f t="shared" si="26"/>
        <v>24</v>
      </c>
      <c r="AC40" s="196">
        <v>45897</v>
      </c>
      <c r="AD40" s="194">
        <v>0.49347175817144623</v>
      </c>
      <c r="AE40" s="194">
        <v>0.490124403457743</v>
      </c>
      <c r="AF40" s="194">
        <v>0.49589041095890413</v>
      </c>
      <c r="AG40" s="197">
        <f t="shared" si="5"/>
        <v>6.3817045722209684E-2</v>
      </c>
      <c r="AH40" s="198">
        <f t="shared" si="21"/>
        <v>3.1646261029369738E-2</v>
      </c>
      <c r="AI40" s="198">
        <f t="shared" si="22"/>
        <v>0.51168706549020038</v>
      </c>
      <c r="AJ40" s="193">
        <f t="shared" si="6"/>
        <v>8.5878705169755083</v>
      </c>
      <c r="AK40" s="363" t="str">
        <f t="shared" si="7"/>
        <v>144M</v>
      </c>
      <c r="AL40" s="135">
        <f t="shared" si="27"/>
        <v>24</v>
      </c>
      <c r="AM40" s="196">
        <v>45897</v>
      </c>
      <c r="AN40" s="194">
        <v>0.49347175817144623</v>
      </c>
      <c r="AO40" s="194">
        <v>0.490124403457743</v>
      </c>
      <c r="AP40" s="194">
        <v>0.49589041095890413</v>
      </c>
      <c r="AQ40" s="197">
        <f t="shared" si="8"/>
        <v>6.3817045722209684E-2</v>
      </c>
      <c r="AR40" s="198">
        <f t="shared" si="9"/>
        <v>3.1646261029369738E-2</v>
      </c>
      <c r="AS40" s="198">
        <f t="shared" si="23"/>
        <v>0.50766188918432786</v>
      </c>
      <c r="AT40" s="193">
        <f t="shared" si="10"/>
        <v>8.5077408368637712</v>
      </c>
      <c r="AU40" s="363" t="str">
        <f t="shared" si="11"/>
        <v>144M</v>
      </c>
      <c r="AV40" s="135">
        <f t="shared" si="28"/>
        <v>24</v>
      </c>
      <c r="AW40" s="196">
        <v>45897</v>
      </c>
      <c r="AX40" s="194">
        <v>0.49347175817144623</v>
      </c>
      <c r="AY40" s="194">
        <v>0.490124403457743</v>
      </c>
      <c r="AZ40" s="194">
        <v>0.49589041095890413</v>
      </c>
      <c r="BA40" s="197">
        <f t="shared" si="12"/>
        <v>6.3817045722209684E-2</v>
      </c>
      <c r="BB40" s="198">
        <f t="shared" si="13"/>
        <v>3.1646261029369738E-2</v>
      </c>
      <c r="BC40" s="198">
        <f t="shared" si="24"/>
        <v>0.50337814010303428</v>
      </c>
      <c r="BD40" s="193">
        <f t="shared" si="14"/>
        <v>8.4249401674149755</v>
      </c>
      <c r="BE40" s="363" t="str">
        <f t="shared" si="15"/>
        <v>144M</v>
      </c>
      <c r="BF40" s="135">
        <f t="shared" si="29"/>
        <v>24</v>
      </c>
      <c r="BG40" s="196">
        <v>45897</v>
      </c>
      <c r="BH40" s="194">
        <v>0.49347175817144623</v>
      </c>
      <c r="BI40" s="194">
        <v>0.490124403457743</v>
      </c>
      <c r="BJ40" s="194">
        <v>0.49589041095890413</v>
      </c>
      <c r="BK40" s="197">
        <f t="shared" si="16"/>
        <v>6.3817045722209684E-2</v>
      </c>
      <c r="BL40" s="198">
        <f t="shared" si="17"/>
        <v>3.1646261029369738E-2</v>
      </c>
      <c r="BM40" s="198">
        <f t="shared" si="25"/>
        <v>0.4991539169408622</v>
      </c>
      <c r="BN40" s="193">
        <f t="shared" si="18"/>
        <v>8.3448104873032385</v>
      </c>
    </row>
    <row r="41" spans="1:66">
      <c r="A41" s="168">
        <v>0.25</v>
      </c>
      <c r="B41" s="88" t="str">
        <f t="shared" si="38"/>
        <v>3M</v>
      </c>
      <c r="C41" s="176">
        <f t="shared" ref="C41:E48" si="40">(VLOOKUP($A41*4,$P$16:$T$69,3,FALSE)-VLOOKUP((C$36+$A41)*4,$P$16:$T$69,3,FALSE))/(VLOOKUP((C$36+$A41)*4,$P$16:$T$69,5,FALSE)-VLOOKUP($A41*4,$P$16:$T$69,5,FALSE))</f>
        <v>5.2096559240220927E-2</v>
      </c>
      <c r="D41" s="176">
        <f t="shared" si="40"/>
        <v>5.3014830499410436E-2</v>
      </c>
      <c r="E41" s="176">
        <f t="shared" si="40"/>
        <v>5.3766591144376569E-2</v>
      </c>
      <c r="F41" s="176">
        <f t="shared" ref="F41:K41" si="41">VLOOKUP(F$36*2,$BF$17:$BN$76,8,FALSE)/VLOOKUP(F$36*2,$BF$17:$BN$76,9,FALSE)</f>
        <v>5.5569077225492508E-2</v>
      </c>
      <c r="G41" s="176">
        <f t="shared" si="41"/>
        <v>5.6666074901846053E-2</v>
      </c>
      <c r="H41" s="176">
        <f t="shared" si="41"/>
        <v>5.8265040965805842E-2</v>
      </c>
      <c r="I41" s="176">
        <f t="shared" si="41"/>
        <v>5.9315233927996473E-2</v>
      </c>
      <c r="J41" s="176">
        <f t="shared" si="41"/>
        <v>6.0080798960177921E-2</v>
      </c>
      <c r="K41" s="176">
        <f t="shared" si="41"/>
        <v>5.9082009283700304E-2</v>
      </c>
      <c r="O41" s="363" t="str">
        <f t="shared" si="0"/>
        <v>78M</v>
      </c>
      <c r="P41" s="135">
        <f t="shared" si="19"/>
        <v>26</v>
      </c>
      <c r="Q41" s="189">
        <v>43889</v>
      </c>
      <c r="R41" s="190">
        <v>0.69206226846252039</v>
      </c>
      <c r="S41" s="190">
        <v>0.25205479452054796</v>
      </c>
      <c r="T41" s="190">
        <f t="shared" si="2"/>
        <v>5.4432470858811222</v>
      </c>
      <c r="U41" s="363" t="str">
        <f t="shared" si="33"/>
        <v>27M</v>
      </c>
      <c r="V41" s="135">
        <f t="shared" si="35"/>
        <v>9</v>
      </c>
      <c r="W41" s="189">
        <v>42338</v>
      </c>
      <c r="X41" s="190">
        <v>0.8884173249650833</v>
      </c>
      <c r="Y41" s="190">
        <v>0.25753424657534246</v>
      </c>
      <c r="Z41" s="190">
        <f t="shared" si="34"/>
        <v>1.9518875701489351</v>
      </c>
      <c r="AA41" s="363" t="str">
        <f t="shared" si="4"/>
        <v>150M</v>
      </c>
      <c r="AB41" s="135">
        <f t="shared" si="26"/>
        <v>25</v>
      </c>
      <c r="AC41" s="196">
        <v>46080</v>
      </c>
      <c r="AD41" s="194">
        <v>0.47874273684189306</v>
      </c>
      <c r="AE41" s="194">
        <v>0.47546392008909283</v>
      </c>
      <c r="AF41" s="194">
        <v>0.50136986301369868</v>
      </c>
      <c r="AG41" s="197">
        <f t="shared" si="5"/>
        <v>6.1499629248092956E-2</v>
      </c>
      <c r="AH41" s="198">
        <f t="shared" si="21"/>
        <v>3.0834060691509624E-2</v>
      </c>
      <c r="AI41" s="198">
        <f t="shared" si="22"/>
        <v>0.5264486480936027</v>
      </c>
      <c r="AJ41" s="193">
        <f t="shared" si="6"/>
        <v>8.8278976973647314</v>
      </c>
      <c r="AK41" s="363" t="str">
        <f t="shared" si="7"/>
        <v>150M</v>
      </c>
      <c r="AL41" s="135">
        <f t="shared" si="27"/>
        <v>25</v>
      </c>
      <c r="AM41" s="196">
        <v>46080</v>
      </c>
      <c r="AN41" s="194">
        <v>0.47874273684189306</v>
      </c>
      <c r="AO41" s="194">
        <v>0.47546392008909283</v>
      </c>
      <c r="AP41" s="194">
        <v>0.50136986301369868</v>
      </c>
      <c r="AQ41" s="197">
        <f t="shared" si="8"/>
        <v>6.1499629248092956E-2</v>
      </c>
      <c r="AR41" s="198">
        <f t="shared" si="9"/>
        <v>3.0834060691509624E-2</v>
      </c>
      <c r="AS41" s="198">
        <f t="shared" si="23"/>
        <v>0.52242347178773019</v>
      </c>
      <c r="AT41" s="193">
        <f t="shared" si="10"/>
        <v>8.7477680172529944</v>
      </c>
      <c r="AU41" s="363" t="str">
        <f t="shared" si="11"/>
        <v>150M</v>
      </c>
      <c r="AV41" s="135">
        <f t="shared" si="28"/>
        <v>25</v>
      </c>
      <c r="AW41" s="196">
        <v>46080</v>
      </c>
      <c r="AX41" s="194">
        <v>0.47874273684189306</v>
      </c>
      <c r="AY41" s="194">
        <v>0.47546392008909283</v>
      </c>
      <c r="AZ41" s="194">
        <v>0.50136986301369868</v>
      </c>
      <c r="BA41" s="197">
        <f t="shared" si="12"/>
        <v>6.1499629248092956E-2</v>
      </c>
      <c r="BB41" s="198">
        <f t="shared" si="13"/>
        <v>3.0834060691509624E-2</v>
      </c>
      <c r="BC41" s="198">
        <f t="shared" si="24"/>
        <v>0.5181397227064366</v>
      </c>
      <c r="BD41" s="193">
        <f t="shared" si="14"/>
        <v>8.6649673478041986</v>
      </c>
      <c r="BE41" s="363" t="str">
        <f t="shared" si="15"/>
        <v>150M</v>
      </c>
      <c r="BF41" s="135">
        <f t="shared" si="29"/>
        <v>25</v>
      </c>
      <c r="BG41" s="196">
        <v>46080</v>
      </c>
      <c r="BH41" s="194">
        <v>0.47874273684189306</v>
      </c>
      <c r="BI41" s="194">
        <v>0.47546392008909283</v>
      </c>
      <c r="BJ41" s="194">
        <v>0.50136986301369868</v>
      </c>
      <c r="BK41" s="197">
        <f t="shared" si="16"/>
        <v>6.1499629248092956E-2</v>
      </c>
      <c r="BL41" s="198">
        <f t="shared" si="17"/>
        <v>3.0834060691509624E-2</v>
      </c>
      <c r="BM41" s="198">
        <f t="shared" si="25"/>
        <v>0.51391549954426452</v>
      </c>
      <c r="BN41" s="193">
        <f t="shared" si="18"/>
        <v>8.5848376676924616</v>
      </c>
    </row>
    <row r="42" spans="1:66">
      <c r="A42" s="168">
        <v>0.5</v>
      </c>
      <c r="B42" s="88" t="str">
        <f t="shared" si="38"/>
        <v>6M</v>
      </c>
      <c r="C42" s="176">
        <f t="shared" si="40"/>
        <v>5.27230549221206E-2</v>
      </c>
      <c r="D42" s="176">
        <f t="shared" si="40"/>
        <v>5.3474623559670184E-2</v>
      </c>
      <c r="E42" s="176">
        <f t="shared" si="40"/>
        <v>5.4271634666887149E-2</v>
      </c>
      <c r="F42" s="176">
        <f t="shared" ref="F42:K48" si="42">(VLOOKUP((F$36+$A42)*2,$AB$17:$AJ$76,8,FALSE)-VLOOKUP($A42*2,$AB$17:$AJ$76,8,FALSE))/(VLOOKUP((F$36+$A42)*2,$AB$17:$AJ$76,9,FALSE)-VLOOKUP($A42*2,$AB$17:$AJ$76,9,FALSE))</f>
        <v>5.6419822467698749E-2</v>
      </c>
      <c r="G42" s="176">
        <f t="shared" si="42"/>
        <v>5.7444083191303882E-2</v>
      </c>
      <c r="H42" s="176">
        <f t="shared" si="42"/>
        <v>5.8775765722784264E-2</v>
      </c>
      <c r="I42" s="176">
        <f t="shared" si="42"/>
        <v>5.9695590052619742E-2</v>
      </c>
      <c r="J42" s="176">
        <f t="shared" si="42"/>
        <v>6.0185242461614233E-2</v>
      </c>
      <c r="K42" s="176">
        <f t="shared" si="42"/>
        <v>5.9086029744632708E-2</v>
      </c>
      <c r="O42" s="363" t="str">
        <f t="shared" si="0"/>
        <v>81M</v>
      </c>
      <c r="P42" s="135">
        <f t="shared" si="19"/>
        <v>27</v>
      </c>
      <c r="Q42" s="189">
        <v>43979</v>
      </c>
      <c r="R42" s="190">
        <v>0.68162190691774971</v>
      </c>
      <c r="S42" s="190">
        <v>0.24657534246575341</v>
      </c>
      <c r="T42" s="190">
        <f t="shared" si="2"/>
        <v>5.6113182410115261</v>
      </c>
      <c r="U42" s="363" t="str">
        <f t="shared" si="33"/>
        <v>30M</v>
      </c>
      <c r="V42" s="135">
        <f t="shared" si="35"/>
        <v>10</v>
      </c>
      <c r="W42" s="189">
        <v>42429</v>
      </c>
      <c r="X42" s="190">
        <v>0.87647452765565725</v>
      </c>
      <c r="Y42" s="190">
        <v>0.24931506849315069</v>
      </c>
      <c r="Z42" s="190">
        <f t="shared" si="34"/>
        <v>2.1704058770439074</v>
      </c>
      <c r="AA42" s="363" t="str">
        <f t="shared" si="4"/>
        <v>156M</v>
      </c>
      <c r="AB42" s="135">
        <f t="shared" si="26"/>
        <v>26</v>
      </c>
      <c r="AC42" s="196">
        <v>46262</v>
      </c>
      <c r="AD42" s="194">
        <v>0.4644999942013483</v>
      </c>
      <c r="AE42" s="194">
        <v>0.46129644993855784</v>
      </c>
      <c r="AF42" s="194">
        <v>0.49863013698630138</v>
      </c>
      <c r="AG42" s="197">
        <f t="shared" si="5"/>
        <v>6.1593327994264535E-2</v>
      </c>
      <c r="AH42" s="198">
        <f t="shared" si="21"/>
        <v>3.0712289575222318E-2</v>
      </c>
      <c r="AI42" s="198">
        <f t="shared" si="22"/>
        <v>0.54071450642320362</v>
      </c>
      <c r="AJ42" s="193">
        <f t="shared" si="6"/>
        <v>9.0595113931034863</v>
      </c>
      <c r="AK42" s="363" t="str">
        <f t="shared" si="7"/>
        <v>156M</v>
      </c>
      <c r="AL42" s="135">
        <f t="shared" si="27"/>
        <v>26</v>
      </c>
      <c r="AM42" s="196">
        <v>46262</v>
      </c>
      <c r="AN42" s="194">
        <v>0.4644999942013483</v>
      </c>
      <c r="AO42" s="194">
        <v>0.46129644993855784</v>
      </c>
      <c r="AP42" s="194">
        <v>0.49863013698630138</v>
      </c>
      <c r="AQ42" s="197">
        <f t="shared" si="8"/>
        <v>6.1593327994264535E-2</v>
      </c>
      <c r="AR42" s="198">
        <f t="shared" si="9"/>
        <v>3.0712289575222318E-2</v>
      </c>
      <c r="AS42" s="198">
        <f t="shared" si="23"/>
        <v>0.53668933011733111</v>
      </c>
      <c r="AT42" s="193">
        <f t="shared" si="10"/>
        <v>8.9793817129917493</v>
      </c>
      <c r="AU42" s="363" t="str">
        <f t="shared" si="11"/>
        <v>156M</v>
      </c>
      <c r="AV42" s="135">
        <f t="shared" si="28"/>
        <v>26</v>
      </c>
      <c r="AW42" s="196">
        <v>46262</v>
      </c>
      <c r="AX42" s="194">
        <v>0.4644999942013483</v>
      </c>
      <c r="AY42" s="194">
        <v>0.46129644993855784</v>
      </c>
      <c r="AZ42" s="194">
        <v>0.49863013698630138</v>
      </c>
      <c r="BA42" s="197">
        <f t="shared" si="12"/>
        <v>6.1593327994264535E-2</v>
      </c>
      <c r="BB42" s="198">
        <f t="shared" si="13"/>
        <v>3.0712289575222318E-2</v>
      </c>
      <c r="BC42" s="198">
        <f t="shared" si="24"/>
        <v>0.53240558103603752</v>
      </c>
      <c r="BD42" s="193">
        <f t="shared" si="14"/>
        <v>8.8965810435429535</v>
      </c>
      <c r="BE42" s="363" t="str">
        <f t="shared" si="15"/>
        <v>156M</v>
      </c>
      <c r="BF42" s="135">
        <f t="shared" si="29"/>
        <v>26</v>
      </c>
      <c r="BG42" s="196">
        <v>46262</v>
      </c>
      <c r="BH42" s="194">
        <v>0.4644999942013483</v>
      </c>
      <c r="BI42" s="194">
        <v>0.46129644993855784</v>
      </c>
      <c r="BJ42" s="194">
        <v>0.49863013698630138</v>
      </c>
      <c r="BK42" s="197">
        <f t="shared" si="16"/>
        <v>6.1593327994264535E-2</v>
      </c>
      <c r="BL42" s="198">
        <f t="shared" si="17"/>
        <v>3.0712289575222318E-2</v>
      </c>
      <c r="BM42" s="198">
        <f t="shared" si="25"/>
        <v>0.52818135787386544</v>
      </c>
      <c r="BN42" s="193">
        <f t="shared" si="18"/>
        <v>8.8164513634312165</v>
      </c>
    </row>
    <row r="43" spans="1:66">
      <c r="A43" s="168">
        <v>1</v>
      </c>
      <c r="B43" s="88" t="str">
        <f t="shared" si="38"/>
        <v>1Y</v>
      </c>
      <c r="C43" s="176">
        <f t="shared" si="40"/>
        <v>5.3661903768968677E-2</v>
      </c>
      <c r="D43" s="176">
        <f t="shared" si="40"/>
        <v>5.4242083714447158E-2</v>
      </c>
      <c r="E43" s="176">
        <f t="shared" si="40"/>
        <v>5.5194106700150992E-2</v>
      </c>
      <c r="F43" s="176">
        <f t="shared" si="42"/>
        <v>5.7499739840026626E-2</v>
      </c>
      <c r="G43" s="176">
        <f t="shared" si="42"/>
        <v>5.8455404302981191E-2</v>
      </c>
      <c r="H43" s="176">
        <f t="shared" si="42"/>
        <v>5.9501814403379115E-2</v>
      </c>
      <c r="I43" s="176">
        <f t="shared" si="42"/>
        <v>6.025745742921286E-2</v>
      </c>
      <c r="J43" s="176">
        <f t="shared" si="42"/>
        <v>6.0428286691287157E-2</v>
      </c>
      <c r="K43" s="176">
        <f t="shared" si="42"/>
        <v>5.918281946602505E-2</v>
      </c>
      <c r="O43" s="363" t="str">
        <f t="shared" si="0"/>
        <v>84M</v>
      </c>
      <c r="P43" s="135">
        <f t="shared" si="19"/>
        <v>28</v>
      </c>
      <c r="Q43" s="189">
        <v>44071</v>
      </c>
      <c r="R43" s="190">
        <v>0.6710486397459271</v>
      </c>
      <c r="S43" s="190">
        <v>0.25205479452054796</v>
      </c>
      <c r="T43" s="190">
        <f t="shared" si="2"/>
        <v>5.7804592680159788</v>
      </c>
      <c r="U43" s="363" t="str">
        <f t="shared" si="33"/>
        <v>33M</v>
      </c>
      <c r="V43" s="135">
        <f t="shared" si="35"/>
        <v>11</v>
      </c>
      <c r="W43" s="189">
        <v>42520</v>
      </c>
      <c r="X43" s="190">
        <v>0.86460921691536297</v>
      </c>
      <c r="Y43" s="190">
        <v>0.24931506849315069</v>
      </c>
      <c r="Z43" s="190">
        <f t="shared" si="34"/>
        <v>2.3859659831789704</v>
      </c>
      <c r="AA43" s="363" t="str">
        <f t="shared" si="4"/>
        <v>162M</v>
      </c>
      <c r="AB43" s="135">
        <f t="shared" si="26"/>
        <v>27</v>
      </c>
      <c r="AC43" s="196">
        <v>46444</v>
      </c>
      <c r="AD43" s="194">
        <v>0.45065169805727606</v>
      </c>
      <c r="AE43" s="194">
        <v>0.44752979202293841</v>
      </c>
      <c r="AF43" s="194">
        <v>0.49863013698630138</v>
      </c>
      <c r="AG43" s="197">
        <f t="shared" si="5"/>
        <v>6.1691885771443827E-2</v>
      </c>
      <c r="AH43" s="198">
        <f t="shared" si="21"/>
        <v>3.0761433453158293E-2</v>
      </c>
      <c r="AI43" s="198">
        <f t="shared" si="22"/>
        <v>0.55457719864354527</v>
      </c>
      <c r="AJ43" s="193">
        <f t="shared" si="6"/>
        <v>9.2842199110388943</v>
      </c>
      <c r="AK43" s="363" t="str">
        <f t="shared" si="7"/>
        <v>162M</v>
      </c>
      <c r="AL43" s="135">
        <f t="shared" si="27"/>
        <v>27</v>
      </c>
      <c r="AM43" s="196">
        <v>46444</v>
      </c>
      <c r="AN43" s="194">
        <v>0.45065169805727606</v>
      </c>
      <c r="AO43" s="194">
        <v>0.44752979202293841</v>
      </c>
      <c r="AP43" s="194">
        <v>0.49863013698630138</v>
      </c>
      <c r="AQ43" s="197">
        <f t="shared" si="8"/>
        <v>6.1691885771443827E-2</v>
      </c>
      <c r="AR43" s="198">
        <f t="shared" si="9"/>
        <v>3.0761433453158293E-2</v>
      </c>
      <c r="AS43" s="198">
        <f t="shared" si="23"/>
        <v>0.55055202233767275</v>
      </c>
      <c r="AT43" s="193">
        <f t="shared" si="10"/>
        <v>9.2040902309271573</v>
      </c>
      <c r="AU43" s="363" t="str">
        <f t="shared" si="11"/>
        <v>162M</v>
      </c>
      <c r="AV43" s="135">
        <f t="shared" si="28"/>
        <v>27</v>
      </c>
      <c r="AW43" s="196">
        <v>46444</v>
      </c>
      <c r="AX43" s="194">
        <v>0.45065169805727606</v>
      </c>
      <c r="AY43" s="194">
        <v>0.44752979202293841</v>
      </c>
      <c r="AZ43" s="194">
        <v>0.49863013698630138</v>
      </c>
      <c r="BA43" s="197">
        <f t="shared" si="12"/>
        <v>6.1691885771443827E-2</v>
      </c>
      <c r="BB43" s="198">
        <f t="shared" si="13"/>
        <v>3.0761433453158293E-2</v>
      </c>
      <c r="BC43" s="198">
        <f t="shared" si="24"/>
        <v>0.54626827325637917</v>
      </c>
      <c r="BD43" s="193">
        <f t="shared" si="14"/>
        <v>9.1212895614783616</v>
      </c>
      <c r="BE43" s="363" t="str">
        <f t="shared" si="15"/>
        <v>162M</v>
      </c>
      <c r="BF43" s="135">
        <f t="shared" si="29"/>
        <v>27</v>
      </c>
      <c r="BG43" s="196">
        <v>46444</v>
      </c>
      <c r="BH43" s="194">
        <v>0.45065169805727606</v>
      </c>
      <c r="BI43" s="194">
        <v>0.44752979202293841</v>
      </c>
      <c r="BJ43" s="194">
        <v>0.49863013698630138</v>
      </c>
      <c r="BK43" s="197">
        <f t="shared" si="16"/>
        <v>6.1691885771443827E-2</v>
      </c>
      <c r="BL43" s="198">
        <f t="shared" si="17"/>
        <v>3.0761433453158293E-2</v>
      </c>
      <c r="BM43" s="198">
        <f t="shared" si="25"/>
        <v>0.54204405009420709</v>
      </c>
      <c r="BN43" s="193">
        <f t="shared" si="18"/>
        <v>9.0411598813666245</v>
      </c>
    </row>
    <row r="44" spans="1:66">
      <c r="A44" s="168">
        <v>2</v>
      </c>
      <c r="B44" s="88" t="str">
        <f t="shared" si="38"/>
        <v>2Y</v>
      </c>
      <c r="C44" s="176">
        <f t="shared" si="40"/>
        <v>5.4851253494137629E-2</v>
      </c>
      <c r="D44" s="176">
        <f t="shared" si="40"/>
        <v>5.602428232039109E-2</v>
      </c>
      <c r="E44" s="176">
        <f t="shared" si="40"/>
        <v>5.740425828701131E-2</v>
      </c>
      <c r="F44" s="176">
        <f t="shared" si="42"/>
        <v>5.9502611526550925E-2</v>
      </c>
      <c r="G44" s="176">
        <f t="shared" si="42"/>
        <v>6.010660042860478E-2</v>
      </c>
      <c r="H44" s="176">
        <f t="shared" si="42"/>
        <v>6.0659133582540124E-2</v>
      </c>
      <c r="I44" s="176">
        <f t="shared" si="42"/>
        <v>6.1253421459834999E-2</v>
      </c>
      <c r="J44" s="176">
        <f t="shared" si="42"/>
        <v>6.0749494687767927E-2</v>
      </c>
      <c r="K44" s="176">
        <f t="shared" si="42"/>
        <v>5.9218795969924909E-2</v>
      </c>
      <c r="O44" s="363" t="str">
        <f t="shared" si="0"/>
        <v>87M</v>
      </c>
      <c r="P44" s="135">
        <f t="shared" si="19"/>
        <v>29</v>
      </c>
      <c r="Q44" s="189">
        <v>44165</v>
      </c>
      <c r="R44" s="190">
        <v>0.66065789207839265</v>
      </c>
      <c r="S44" s="190">
        <v>0.25753424657534246</v>
      </c>
      <c r="T44" s="190">
        <f t="shared" si="2"/>
        <v>5.9506013004964418</v>
      </c>
      <c r="U44" s="363" t="str">
        <f t="shared" si="33"/>
        <v>36M</v>
      </c>
      <c r="V44" s="135">
        <f t="shared" si="35"/>
        <v>12</v>
      </c>
      <c r="W44" s="189">
        <v>42611</v>
      </c>
      <c r="X44" s="190">
        <v>0.85282261369548029</v>
      </c>
      <c r="Y44" s="190">
        <v>0.24931506849315069</v>
      </c>
      <c r="Z44" s="190">
        <f t="shared" si="34"/>
        <v>2.5985875115249666</v>
      </c>
      <c r="AA44" s="363" t="str">
        <f t="shared" si="4"/>
        <v>168M</v>
      </c>
      <c r="AB44" s="135">
        <f t="shared" si="26"/>
        <v>28</v>
      </c>
      <c r="AC44" s="196">
        <v>46629</v>
      </c>
      <c r="AD44" s="194">
        <v>0.43696909609260109</v>
      </c>
      <c r="AE44" s="194">
        <v>0.43393599610477496</v>
      </c>
      <c r="AF44" s="194">
        <v>0.50684931506849318</v>
      </c>
      <c r="AG44" s="197">
        <f t="shared" si="5"/>
        <v>6.1806792216820186E-2</v>
      </c>
      <c r="AH44" s="198">
        <f t="shared" si="21"/>
        <v>3.1326730301675987E-2</v>
      </c>
      <c r="AI44" s="198">
        <f t="shared" si="22"/>
        <v>0.5682660116670053</v>
      </c>
      <c r="AJ44" s="193">
        <f t="shared" si="6"/>
        <v>9.5056973980995281</v>
      </c>
      <c r="AK44" s="363" t="str">
        <f t="shared" si="7"/>
        <v>168M</v>
      </c>
      <c r="AL44" s="135">
        <f t="shared" si="27"/>
        <v>28</v>
      </c>
      <c r="AM44" s="196">
        <v>46629</v>
      </c>
      <c r="AN44" s="194">
        <v>0.43696909609260109</v>
      </c>
      <c r="AO44" s="194">
        <v>0.43393599610477496</v>
      </c>
      <c r="AP44" s="194">
        <v>0.50684931506849318</v>
      </c>
      <c r="AQ44" s="197">
        <f t="shared" si="8"/>
        <v>6.1806792216820186E-2</v>
      </c>
      <c r="AR44" s="198">
        <f t="shared" si="9"/>
        <v>3.1326730301675987E-2</v>
      </c>
      <c r="AS44" s="198">
        <f t="shared" si="23"/>
        <v>0.56424083536113279</v>
      </c>
      <c r="AT44" s="193">
        <f t="shared" si="10"/>
        <v>9.425567717987791</v>
      </c>
      <c r="AU44" s="363" t="str">
        <f t="shared" si="11"/>
        <v>168M</v>
      </c>
      <c r="AV44" s="135">
        <f t="shared" si="28"/>
        <v>28</v>
      </c>
      <c r="AW44" s="196">
        <v>46629</v>
      </c>
      <c r="AX44" s="194">
        <v>0.43696909609260109</v>
      </c>
      <c r="AY44" s="194">
        <v>0.43393599610477496</v>
      </c>
      <c r="AZ44" s="194">
        <v>0.50684931506849318</v>
      </c>
      <c r="BA44" s="197">
        <f t="shared" si="12"/>
        <v>6.1806792216820186E-2</v>
      </c>
      <c r="BB44" s="198">
        <f t="shared" si="13"/>
        <v>3.1326730301675987E-2</v>
      </c>
      <c r="BC44" s="198">
        <f t="shared" si="24"/>
        <v>0.5599570862798392</v>
      </c>
      <c r="BD44" s="193">
        <f t="shared" si="14"/>
        <v>9.3427670485389953</v>
      </c>
      <c r="BE44" s="363" t="str">
        <f t="shared" si="15"/>
        <v>168M</v>
      </c>
      <c r="BF44" s="135">
        <f t="shared" si="29"/>
        <v>28</v>
      </c>
      <c r="BG44" s="196">
        <v>46629</v>
      </c>
      <c r="BH44" s="194">
        <v>0.43696909609260109</v>
      </c>
      <c r="BI44" s="194">
        <v>0.43393599610477496</v>
      </c>
      <c r="BJ44" s="194">
        <v>0.50684931506849318</v>
      </c>
      <c r="BK44" s="197">
        <f t="shared" si="16"/>
        <v>6.1806792216820186E-2</v>
      </c>
      <c r="BL44" s="198">
        <f t="shared" si="17"/>
        <v>3.1326730301675987E-2</v>
      </c>
      <c r="BM44" s="198">
        <f t="shared" si="25"/>
        <v>0.55573286311766712</v>
      </c>
      <c r="BN44" s="193">
        <f t="shared" si="18"/>
        <v>9.2626373684272583</v>
      </c>
    </row>
    <row r="45" spans="1:66">
      <c r="A45" s="168">
        <v>3</v>
      </c>
      <c r="B45" s="88" t="str">
        <f t="shared" si="38"/>
        <v>3Y</v>
      </c>
      <c r="C45" s="176">
        <f t="shared" si="40"/>
        <v>5.7275035443073288E-2</v>
      </c>
      <c r="D45" s="176">
        <f t="shared" si="40"/>
        <v>5.8803417352370789E-2</v>
      </c>
      <c r="E45" s="176">
        <f t="shared" si="40"/>
        <v>5.9757996169280521E-2</v>
      </c>
      <c r="F45" s="176">
        <f t="shared" si="42"/>
        <v>6.1309688349255487E-2</v>
      </c>
      <c r="G45" s="176">
        <f t="shared" si="42"/>
        <v>6.1525118895701558E-2</v>
      </c>
      <c r="H45" s="176">
        <f t="shared" si="42"/>
        <v>6.175870315537238E-2</v>
      </c>
      <c r="I45" s="176">
        <f t="shared" si="42"/>
        <v>6.2003664796935358E-2</v>
      </c>
      <c r="J45" s="176">
        <f t="shared" si="42"/>
        <v>6.0944506964678798E-2</v>
      </c>
      <c r="K45" s="176">
        <f t="shared" si="42"/>
        <v>5.9123252191451467E-2</v>
      </c>
      <c r="O45" s="363" t="str">
        <f t="shared" si="0"/>
        <v>90M</v>
      </c>
      <c r="P45" s="135">
        <f t="shared" si="19"/>
        <v>30</v>
      </c>
      <c r="Q45" s="189">
        <v>44253</v>
      </c>
      <c r="R45" s="190">
        <v>0.65103668055388109</v>
      </c>
      <c r="S45" s="190">
        <v>0.24109589041095891</v>
      </c>
      <c r="T45" s="190">
        <f t="shared" si="2"/>
        <v>6.1075635686847747</v>
      </c>
      <c r="U45" s="363"/>
      <c r="AA45" s="363" t="str">
        <f t="shared" si="4"/>
        <v>174M</v>
      </c>
      <c r="AB45" s="135">
        <f t="shared" si="26"/>
        <v>29</v>
      </c>
      <c r="AC45" s="196">
        <v>46811</v>
      </c>
      <c r="AD45" s="194">
        <v>0.42388605332270002</v>
      </c>
      <c r="AE45" s="194">
        <v>0.4209453966231857</v>
      </c>
      <c r="AF45" s="194">
        <v>0.49863013698630138</v>
      </c>
      <c r="AG45" s="197">
        <f t="shared" si="5"/>
        <v>6.1890630215700557E-2</v>
      </c>
      <c r="AH45" s="198">
        <f t="shared" si="21"/>
        <v>3.0860533422623293E-2</v>
      </c>
      <c r="AI45" s="198">
        <f t="shared" si="22"/>
        <v>0.5813473613829544</v>
      </c>
      <c r="AJ45" s="193">
        <f t="shared" si="6"/>
        <v>9.7170597589344094</v>
      </c>
      <c r="AK45" s="363" t="str">
        <f t="shared" si="7"/>
        <v>174M</v>
      </c>
      <c r="AL45" s="135">
        <f t="shared" si="27"/>
        <v>29</v>
      </c>
      <c r="AM45" s="196">
        <v>46811</v>
      </c>
      <c r="AN45" s="194">
        <v>0.42388605332270002</v>
      </c>
      <c r="AO45" s="194">
        <v>0.4209453966231857</v>
      </c>
      <c r="AP45" s="194">
        <v>0.49863013698630138</v>
      </c>
      <c r="AQ45" s="197">
        <f t="shared" si="8"/>
        <v>6.1890630215700557E-2</v>
      </c>
      <c r="AR45" s="198">
        <f t="shared" si="9"/>
        <v>3.0860533422623293E-2</v>
      </c>
      <c r="AS45" s="198">
        <f t="shared" si="23"/>
        <v>0.57732218507708188</v>
      </c>
      <c r="AT45" s="193">
        <f t="shared" si="10"/>
        <v>9.6369300788226724</v>
      </c>
      <c r="AU45" s="363" t="str">
        <f t="shared" si="11"/>
        <v>174M</v>
      </c>
      <c r="AV45" s="135">
        <f t="shared" si="28"/>
        <v>29</v>
      </c>
      <c r="AW45" s="196">
        <v>46811</v>
      </c>
      <c r="AX45" s="194">
        <v>0.42388605332270002</v>
      </c>
      <c r="AY45" s="194">
        <v>0.4209453966231857</v>
      </c>
      <c r="AZ45" s="194">
        <v>0.49863013698630138</v>
      </c>
      <c r="BA45" s="197">
        <f t="shared" si="12"/>
        <v>6.1890630215700557E-2</v>
      </c>
      <c r="BB45" s="198">
        <f t="shared" si="13"/>
        <v>3.0860533422623293E-2</v>
      </c>
      <c r="BC45" s="198">
        <f t="shared" si="24"/>
        <v>0.5730384359957883</v>
      </c>
      <c r="BD45" s="193">
        <f t="shared" si="14"/>
        <v>9.5541294093738767</v>
      </c>
      <c r="BE45" s="363" t="str">
        <f t="shared" si="15"/>
        <v>174M</v>
      </c>
      <c r="BF45" s="135">
        <f t="shared" si="29"/>
        <v>29</v>
      </c>
      <c r="BG45" s="196">
        <v>46811</v>
      </c>
      <c r="BH45" s="194">
        <v>0.42388605332270002</v>
      </c>
      <c r="BI45" s="194">
        <v>0.4209453966231857</v>
      </c>
      <c r="BJ45" s="194">
        <v>0.49863013698630138</v>
      </c>
      <c r="BK45" s="197">
        <f t="shared" si="16"/>
        <v>6.1890630215700557E-2</v>
      </c>
      <c r="BL45" s="198">
        <f t="shared" si="17"/>
        <v>3.0860533422623293E-2</v>
      </c>
      <c r="BM45" s="198">
        <f t="shared" si="25"/>
        <v>0.56881421283361622</v>
      </c>
      <c r="BN45" s="193">
        <f t="shared" si="18"/>
        <v>9.4739997292621396</v>
      </c>
    </row>
    <row r="46" spans="1:66">
      <c r="A46" s="168">
        <v>5</v>
      </c>
      <c r="B46" s="88" t="str">
        <f t="shared" si="38"/>
        <v>5Y</v>
      </c>
      <c r="C46" s="176">
        <f t="shared" si="40"/>
        <v>6.1845381138871496E-2</v>
      </c>
      <c r="D46" s="176">
        <f t="shared" si="40"/>
        <v>6.1884495238066078E-2</v>
      </c>
      <c r="E46" s="176">
        <f t="shared" si="40"/>
        <v>6.1744602875737797E-2</v>
      </c>
      <c r="F46" s="176">
        <f t="shared" si="42"/>
        <v>6.2655552287111782E-2</v>
      </c>
      <c r="G46" s="176">
        <f t="shared" si="42"/>
        <v>6.2677965817395792E-2</v>
      </c>
      <c r="H46" s="176">
        <f t="shared" si="42"/>
        <v>6.2841131131669226E-2</v>
      </c>
      <c r="I46" s="176">
        <f t="shared" si="42"/>
        <v>6.2577513919197719E-2</v>
      </c>
      <c r="J46" s="176">
        <f t="shared" si="42"/>
        <v>6.0421493186061666E-2</v>
      </c>
      <c r="K46" s="176">
        <f t="shared" si="42"/>
        <v>5.8092048748141341E-2</v>
      </c>
      <c r="O46" s="363" t="str">
        <f t="shared" si="0"/>
        <v>93M</v>
      </c>
      <c r="P46" s="135">
        <f t="shared" si="19"/>
        <v>31</v>
      </c>
      <c r="Q46" s="189">
        <v>44344</v>
      </c>
      <c r="R46" s="190">
        <v>0.64119517700289064</v>
      </c>
      <c r="S46" s="190">
        <v>0.24931506849315069</v>
      </c>
      <c r="T46" s="190">
        <f t="shared" si="2"/>
        <v>6.2674231881567284</v>
      </c>
      <c r="U46" s="363"/>
      <c r="AA46" s="363" t="str">
        <f t="shared" si="4"/>
        <v>180M</v>
      </c>
      <c r="AB46" s="135">
        <f t="shared" si="26"/>
        <v>30</v>
      </c>
      <c r="AC46" s="196">
        <v>46993</v>
      </c>
      <c r="AD46" s="194">
        <v>0.41116801031315614</v>
      </c>
      <c r="AE46" s="194">
        <v>0.40832422570218502</v>
      </c>
      <c r="AF46" s="194">
        <v>0.49863013698630138</v>
      </c>
      <c r="AG46" s="197">
        <f t="shared" si="5"/>
        <v>6.1989192268585049E-2</v>
      </c>
      <c r="AH46" s="198">
        <f t="shared" si="21"/>
        <v>3.0909679432554737E-2</v>
      </c>
      <c r="AI46" s="198">
        <f t="shared" si="22"/>
        <v>0.59405643277465536</v>
      </c>
      <c r="AJ46" s="193">
        <f t="shared" si="6"/>
        <v>9.9220805202412432</v>
      </c>
      <c r="AK46" s="363" t="str">
        <f t="shared" si="7"/>
        <v>180M</v>
      </c>
      <c r="AL46" s="135">
        <f t="shared" si="27"/>
        <v>30</v>
      </c>
      <c r="AM46" s="196">
        <v>46993</v>
      </c>
      <c r="AN46" s="194">
        <v>0.41116801031315614</v>
      </c>
      <c r="AO46" s="194">
        <v>0.40832422570218502</v>
      </c>
      <c r="AP46" s="194">
        <v>0.49863013698630138</v>
      </c>
      <c r="AQ46" s="197">
        <f t="shared" si="8"/>
        <v>6.1989192268585049E-2</v>
      </c>
      <c r="AR46" s="198">
        <f t="shared" si="9"/>
        <v>3.0909679432554737E-2</v>
      </c>
      <c r="AS46" s="198">
        <f t="shared" si="23"/>
        <v>0.59003125646878285</v>
      </c>
      <c r="AT46" s="193">
        <f t="shared" si="10"/>
        <v>9.8419508401295062</v>
      </c>
      <c r="AU46" s="363" t="str">
        <f t="shared" si="11"/>
        <v>180M</v>
      </c>
      <c r="AV46" s="135">
        <f t="shared" si="28"/>
        <v>30</v>
      </c>
      <c r="AW46" s="196">
        <v>46993</v>
      </c>
      <c r="AX46" s="194">
        <v>0.41116801031315614</v>
      </c>
      <c r="AY46" s="194">
        <v>0.40832422570218502</v>
      </c>
      <c r="AZ46" s="194">
        <v>0.49863013698630138</v>
      </c>
      <c r="BA46" s="197">
        <f t="shared" si="12"/>
        <v>6.1989192268585049E-2</v>
      </c>
      <c r="BB46" s="198">
        <f t="shared" si="13"/>
        <v>3.0909679432554737E-2</v>
      </c>
      <c r="BC46" s="198">
        <f t="shared" si="24"/>
        <v>0.58574750738748926</v>
      </c>
      <c r="BD46" s="193">
        <f t="shared" si="14"/>
        <v>9.7591501706807104</v>
      </c>
      <c r="BE46" s="363" t="str">
        <f t="shared" si="15"/>
        <v>180M</v>
      </c>
      <c r="BF46" s="135">
        <f t="shared" si="29"/>
        <v>30</v>
      </c>
      <c r="BG46" s="196">
        <v>46993</v>
      </c>
      <c r="BH46" s="194">
        <v>0.41116801031315614</v>
      </c>
      <c r="BI46" s="194">
        <v>0.40832422570218502</v>
      </c>
      <c r="BJ46" s="194">
        <v>0.49863013698630138</v>
      </c>
      <c r="BK46" s="197">
        <f t="shared" si="16"/>
        <v>6.1989192268585049E-2</v>
      </c>
      <c r="BL46" s="198">
        <f t="shared" si="17"/>
        <v>3.0909679432554737E-2</v>
      </c>
      <c r="BM46" s="198">
        <f t="shared" si="25"/>
        <v>0.58152328422531718</v>
      </c>
      <c r="BN46" s="193">
        <f t="shared" si="18"/>
        <v>9.6790204905689734</v>
      </c>
    </row>
    <row r="47" spans="1:66">
      <c r="A47" s="168">
        <v>7</v>
      </c>
      <c r="B47" s="88" t="str">
        <f t="shared" si="38"/>
        <v>7Y</v>
      </c>
      <c r="C47" s="176">
        <f t="shared" si="40"/>
        <v>6.1438898884671536E-2</v>
      </c>
      <c r="D47" s="176">
        <f t="shared" si="40"/>
        <v>6.1300619874232416E-2</v>
      </c>
      <c r="E47" s="176">
        <f t="shared" si="40"/>
        <v>6.1437801915102522E-2</v>
      </c>
      <c r="F47" s="176">
        <f t="shared" si="42"/>
        <v>6.2625735121653647E-2</v>
      </c>
      <c r="G47" s="176">
        <f t="shared" si="42"/>
        <v>6.2808990315375318E-2</v>
      </c>
      <c r="H47" s="176">
        <f t="shared" si="42"/>
        <v>6.2525199499240375E-2</v>
      </c>
      <c r="I47" s="176">
        <f t="shared" si="42"/>
        <v>6.1251129933874146E-2</v>
      </c>
      <c r="J47" s="176">
        <f t="shared" si="42"/>
        <v>5.8695850881196415E-2</v>
      </c>
      <c r="K47" s="176">
        <f t="shared" si="42"/>
        <v>5.6207137296669304E-2</v>
      </c>
      <c r="O47" s="363" t="str">
        <f t="shared" si="0"/>
        <v>96M</v>
      </c>
      <c r="P47" s="135">
        <f t="shared" si="19"/>
        <v>32</v>
      </c>
      <c r="Q47" s="189">
        <v>44438</v>
      </c>
      <c r="R47" s="190">
        <v>0.63114376440884412</v>
      </c>
      <c r="S47" s="190">
        <v>0.25753424657534246</v>
      </c>
      <c r="T47" s="190">
        <f t="shared" si="2"/>
        <v>6.4299643220044853</v>
      </c>
      <c r="U47" s="363"/>
      <c r="AA47" s="363" t="str">
        <f t="shared" si="4"/>
        <v>186M</v>
      </c>
      <c r="AB47" s="135">
        <f t="shared" si="26"/>
        <v>31</v>
      </c>
      <c r="AC47" s="196">
        <v>47177</v>
      </c>
      <c r="AD47" s="194">
        <v>0.40006797611838657</v>
      </c>
      <c r="AE47" s="194">
        <v>0.39727838078641103</v>
      </c>
      <c r="AF47" s="194">
        <v>0.50410958904109593</v>
      </c>
      <c r="AG47" s="197">
        <f t="shared" si="5"/>
        <v>5.5154258559537671E-2</v>
      </c>
      <c r="AH47" s="198">
        <f t="shared" si="21"/>
        <v>2.7803790616314883E-2</v>
      </c>
      <c r="AI47" s="198">
        <f t="shared" si="22"/>
        <v>0.60517983901494388</v>
      </c>
      <c r="AJ47" s="193">
        <f t="shared" si="6"/>
        <v>10.123758623270787</v>
      </c>
      <c r="AK47" s="363" t="str">
        <f t="shared" si="7"/>
        <v>186M</v>
      </c>
      <c r="AL47" s="135">
        <f t="shared" si="27"/>
        <v>31</v>
      </c>
      <c r="AM47" s="196">
        <v>47177</v>
      </c>
      <c r="AN47" s="194">
        <v>0.40006797611838657</v>
      </c>
      <c r="AO47" s="194">
        <v>0.39727838078641103</v>
      </c>
      <c r="AP47" s="194">
        <v>0.50410958904109593</v>
      </c>
      <c r="AQ47" s="197">
        <f t="shared" si="8"/>
        <v>5.5154258559537671E-2</v>
      </c>
      <c r="AR47" s="198">
        <f t="shared" si="9"/>
        <v>2.7803790616314883E-2</v>
      </c>
      <c r="AS47" s="198">
        <f t="shared" si="23"/>
        <v>0.60115466270907136</v>
      </c>
      <c r="AT47" s="193">
        <f t="shared" si="10"/>
        <v>10.04362894315905</v>
      </c>
      <c r="AU47" s="363" t="str">
        <f t="shared" si="11"/>
        <v>186M</v>
      </c>
      <c r="AV47" s="135">
        <f t="shared" si="28"/>
        <v>31</v>
      </c>
      <c r="AW47" s="196">
        <v>47177</v>
      </c>
      <c r="AX47" s="194">
        <v>0.40006797611838657</v>
      </c>
      <c r="AY47" s="194">
        <v>0.39727838078641103</v>
      </c>
      <c r="AZ47" s="194">
        <v>0.50410958904109593</v>
      </c>
      <c r="BA47" s="197">
        <f t="shared" si="12"/>
        <v>5.5154258559537671E-2</v>
      </c>
      <c r="BB47" s="198">
        <f t="shared" si="13"/>
        <v>2.7803790616314883E-2</v>
      </c>
      <c r="BC47" s="198">
        <f t="shared" si="24"/>
        <v>0.59687091362777778</v>
      </c>
      <c r="BD47" s="193">
        <f t="shared" si="14"/>
        <v>9.9608282737102538</v>
      </c>
      <c r="BE47" s="363" t="str">
        <f t="shared" si="15"/>
        <v>186M</v>
      </c>
      <c r="BF47" s="135">
        <f t="shared" si="29"/>
        <v>31</v>
      </c>
      <c r="BG47" s="196">
        <v>47177</v>
      </c>
      <c r="BH47" s="194">
        <v>0.40006797611838657</v>
      </c>
      <c r="BI47" s="194">
        <v>0.39727838078641103</v>
      </c>
      <c r="BJ47" s="194">
        <v>0.50410958904109593</v>
      </c>
      <c r="BK47" s="197">
        <f t="shared" si="16"/>
        <v>5.5154258559537671E-2</v>
      </c>
      <c r="BL47" s="198">
        <f t="shared" si="17"/>
        <v>2.7803790616314883E-2</v>
      </c>
      <c r="BM47" s="198">
        <f t="shared" si="25"/>
        <v>0.5926466904656057</v>
      </c>
      <c r="BN47" s="193">
        <f t="shared" si="18"/>
        <v>9.8806985935985168</v>
      </c>
    </row>
    <row r="48" spans="1:66">
      <c r="A48" s="168">
        <v>10</v>
      </c>
      <c r="B48" s="87" t="str">
        <f t="shared" si="38"/>
        <v>10Y</v>
      </c>
      <c r="C48" s="183">
        <f t="shared" si="40"/>
        <v>6.2277965581659302E-2</v>
      </c>
      <c r="D48" s="183">
        <f t="shared" si="40"/>
        <v>6.260446982415914E-2</v>
      </c>
      <c r="E48" s="183">
        <f t="shared" si="40"/>
        <v>6.2091092649193012E-2</v>
      </c>
      <c r="F48" s="183">
        <f t="shared" si="42"/>
        <v>6.2547984550337554E-2</v>
      </c>
      <c r="G48" s="183">
        <f t="shared" si="42"/>
        <v>6.2441046033021835E-2</v>
      </c>
      <c r="H48" s="183">
        <f t="shared" si="42"/>
        <v>6.0529948624736388E-2</v>
      </c>
      <c r="I48" s="183">
        <f t="shared" si="42"/>
        <v>5.8671548397735154E-2</v>
      </c>
      <c r="J48" s="183">
        <f t="shared" si="42"/>
        <v>5.5429758192294613E-2</v>
      </c>
      <c r="K48" s="183">
        <f t="shared" si="42"/>
        <v>5.2786457491300204E-2</v>
      </c>
      <c r="O48" s="363" t="str">
        <f t="shared" si="0"/>
        <v>99M</v>
      </c>
      <c r="P48" s="135">
        <f t="shared" si="19"/>
        <v>33</v>
      </c>
      <c r="Q48" s="189">
        <v>44529</v>
      </c>
      <c r="R48" s="190">
        <v>0.62170716714266683</v>
      </c>
      <c r="S48" s="190">
        <v>0.24931506849315069</v>
      </c>
      <c r="T48" s="190">
        <f t="shared" si="2"/>
        <v>6.5849652869633424</v>
      </c>
      <c r="U48" s="363"/>
      <c r="AA48" s="363" t="str">
        <f t="shared" si="4"/>
        <v>192M</v>
      </c>
      <c r="AB48" s="135">
        <f t="shared" si="26"/>
        <v>32</v>
      </c>
      <c r="AC48" s="196">
        <v>47358</v>
      </c>
      <c r="AD48" s="194">
        <v>0.38950245297915065</v>
      </c>
      <c r="AE48" s="194">
        <v>0.38676922238191025</v>
      </c>
      <c r="AF48" s="194">
        <v>0.49589041095890413</v>
      </c>
      <c r="AG48" s="197">
        <f t="shared" si="5"/>
        <v>5.479366125468569E-2</v>
      </c>
      <c r="AH48" s="198">
        <f t="shared" si="21"/>
        <v>2.7171651197529068E-2</v>
      </c>
      <c r="AI48" s="198">
        <f t="shared" si="22"/>
        <v>0.61576326380787527</v>
      </c>
      <c r="AJ48" s="193">
        <f t="shared" si="6"/>
        <v>10.316909154748119</v>
      </c>
      <c r="AK48" s="363" t="str">
        <f t="shared" si="7"/>
        <v>192M</v>
      </c>
      <c r="AL48" s="135">
        <f t="shared" si="27"/>
        <v>32</v>
      </c>
      <c r="AM48" s="196">
        <v>47358</v>
      </c>
      <c r="AN48" s="194">
        <v>0.38950245297915065</v>
      </c>
      <c r="AO48" s="194">
        <v>0.38676922238191025</v>
      </c>
      <c r="AP48" s="194">
        <v>0.49589041095890413</v>
      </c>
      <c r="AQ48" s="197">
        <f t="shared" si="8"/>
        <v>5.479366125468569E-2</v>
      </c>
      <c r="AR48" s="198">
        <f t="shared" si="9"/>
        <v>2.7171651197529068E-2</v>
      </c>
      <c r="AS48" s="198">
        <f t="shared" si="23"/>
        <v>0.61173808750200276</v>
      </c>
      <c r="AT48" s="193">
        <f t="shared" si="10"/>
        <v>10.236779474636382</v>
      </c>
      <c r="AU48" s="363" t="str">
        <f t="shared" si="11"/>
        <v>192M</v>
      </c>
      <c r="AV48" s="135">
        <f t="shared" si="28"/>
        <v>32</v>
      </c>
      <c r="AW48" s="196">
        <v>47358</v>
      </c>
      <c r="AX48" s="194">
        <v>0.38950245297915065</v>
      </c>
      <c r="AY48" s="194">
        <v>0.38676922238191025</v>
      </c>
      <c r="AZ48" s="194">
        <v>0.49589041095890413</v>
      </c>
      <c r="BA48" s="197">
        <f t="shared" si="12"/>
        <v>5.479366125468569E-2</v>
      </c>
      <c r="BB48" s="198">
        <f t="shared" si="13"/>
        <v>2.7171651197529068E-2</v>
      </c>
      <c r="BC48" s="198">
        <f t="shared" si="24"/>
        <v>0.60745433842070917</v>
      </c>
      <c r="BD48" s="193">
        <f t="shared" si="14"/>
        <v>10.153978805187586</v>
      </c>
      <c r="BE48" s="363" t="str">
        <f t="shared" si="15"/>
        <v>192M</v>
      </c>
      <c r="BF48" s="135">
        <f t="shared" si="29"/>
        <v>32</v>
      </c>
      <c r="BG48" s="196">
        <v>47358</v>
      </c>
      <c r="BH48" s="194">
        <v>0.38950245297915065</v>
      </c>
      <c r="BI48" s="194">
        <v>0.38676922238191025</v>
      </c>
      <c r="BJ48" s="194">
        <v>0.49589041095890413</v>
      </c>
      <c r="BK48" s="197">
        <f t="shared" si="16"/>
        <v>5.479366125468569E-2</v>
      </c>
      <c r="BL48" s="198">
        <f t="shared" si="17"/>
        <v>2.7171651197529068E-2</v>
      </c>
      <c r="BM48" s="198">
        <f t="shared" si="25"/>
        <v>0.60323011525853709</v>
      </c>
      <c r="BN48" s="193">
        <f t="shared" si="18"/>
        <v>10.073849125075849</v>
      </c>
    </row>
    <row r="49" spans="2:66">
      <c r="O49" s="363" t="str">
        <f t="shared" si="0"/>
        <v>102M</v>
      </c>
      <c r="P49" s="135">
        <f t="shared" si="19"/>
        <v>34</v>
      </c>
      <c r="Q49" s="189">
        <v>44620</v>
      </c>
      <c r="R49" s="190">
        <v>0.61238408645848619</v>
      </c>
      <c r="S49" s="190">
        <v>0.24931506849315069</v>
      </c>
      <c r="T49" s="190">
        <f t="shared" si="2"/>
        <v>6.7376418674228553</v>
      </c>
      <c r="U49" s="363"/>
      <c r="AA49" s="363" t="str">
        <f t="shared" si="4"/>
        <v>198M</v>
      </c>
      <c r="AB49" s="135">
        <f t="shared" si="26"/>
        <v>33</v>
      </c>
      <c r="AC49" s="196">
        <v>47542</v>
      </c>
      <c r="AD49" s="194">
        <v>0.37910824844302143</v>
      </c>
      <c r="AE49" s="194">
        <v>0.37643510739127745</v>
      </c>
      <c r="AF49" s="194">
        <v>0.50410958904109593</v>
      </c>
      <c r="AG49" s="197">
        <f t="shared" si="5"/>
        <v>5.4457564062098826E-2</v>
      </c>
      <c r="AH49" s="198">
        <f t="shared" si="21"/>
        <v>2.7452580239523794E-2</v>
      </c>
      <c r="AI49" s="198">
        <f t="shared" si="22"/>
        <v>0.6261707634177226</v>
      </c>
      <c r="AJ49" s="193">
        <f t="shared" si="6"/>
        <v>10.508021258072821</v>
      </c>
      <c r="AK49" s="363" t="str">
        <f t="shared" si="7"/>
        <v>198M</v>
      </c>
      <c r="AL49" s="135">
        <f t="shared" si="27"/>
        <v>33</v>
      </c>
      <c r="AM49" s="196">
        <v>47542</v>
      </c>
      <c r="AN49" s="194">
        <v>0.37910824844302143</v>
      </c>
      <c r="AO49" s="194">
        <v>0.37643510739127745</v>
      </c>
      <c r="AP49" s="194">
        <v>0.50410958904109593</v>
      </c>
      <c r="AQ49" s="197">
        <f t="shared" si="8"/>
        <v>5.4457564062098826E-2</v>
      </c>
      <c r="AR49" s="198">
        <f t="shared" si="9"/>
        <v>2.7452580239523794E-2</v>
      </c>
      <c r="AS49" s="198">
        <f t="shared" si="23"/>
        <v>0.62214558711185008</v>
      </c>
      <c r="AT49" s="193">
        <f t="shared" si="10"/>
        <v>10.427891577961084</v>
      </c>
      <c r="AU49" s="363" t="str">
        <f t="shared" si="11"/>
        <v>198M</v>
      </c>
      <c r="AV49" s="135">
        <f t="shared" si="28"/>
        <v>33</v>
      </c>
      <c r="AW49" s="196">
        <v>47542</v>
      </c>
      <c r="AX49" s="194">
        <v>0.37910824844302143</v>
      </c>
      <c r="AY49" s="194">
        <v>0.37643510739127745</v>
      </c>
      <c r="AZ49" s="194">
        <v>0.50410958904109593</v>
      </c>
      <c r="BA49" s="197">
        <f t="shared" si="12"/>
        <v>5.4457564062098826E-2</v>
      </c>
      <c r="BB49" s="198">
        <f t="shared" si="13"/>
        <v>2.7452580239523794E-2</v>
      </c>
      <c r="BC49" s="198">
        <f t="shared" si="24"/>
        <v>0.6178618380305565</v>
      </c>
      <c r="BD49" s="193">
        <f t="shared" si="14"/>
        <v>10.345090908512288</v>
      </c>
      <c r="BE49" s="363" t="str">
        <f t="shared" si="15"/>
        <v>198M</v>
      </c>
      <c r="BF49" s="135">
        <f t="shared" si="29"/>
        <v>33</v>
      </c>
      <c r="BG49" s="196">
        <v>47542</v>
      </c>
      <c r="BH49" s="194">
        <v>0.37910824844302143</v>
      </c>
      <c r="BI49" s="194">
        <v>0.37643510739127745</v>
      </c>
      <c r="BJ49" s="194">
        <v>0.50410958904109593</v>
      </c>
      <c r="BK49" s="197">
        <f t="shared" si="16"/>
        <v>5.4457564062098826E-2</v>
      </c>
      <c r="BL49" s="198">
        <f t="shared" si="17"/>
        <v>2.7452580239523794E-2</v>
      </c>
      <c r="BM49" s="198">
        <f t="shared" si="25"/>
        <v>0.61363761486838442</v>
      </c>
      <c r="BN49" s="193">
        <f t="shared" si="18"/>
        <v>10.264961228400551</v>
      </c>
    </row>
    <row r="50" spans="2:66">
      <c r="O50" s="363" t="str">
        <f t="shared" si="0"/>
        <v>105M</v>
      </c>
      <c r="P50" s="135">
        <f t="shared" si="19"/>
        <v>35</v>
      </c>
      <c r="Q50" s="189">
        <v>44711</v>
      </c>
      <c r="R50" s="190">
        <v>0.60317365428681102</v>
      </c>
      <c r="S50" s="190">
        <v>0.24931506849315069</v>
      </c>
      <c r="T50" s="190">
        <f t="shared" si="2"/>
        <v>6.8880221483546356</v>
      </c>
      <c r="U50" s="363"/>
      <c r="AA50" s="363" t="str">
        <f t="shared" si="4"/>
        <v>204M</v>
      </c>
      <c r="AB50" s="135">
        <f t="shared" si="26"/>
        <v>34</v>
      </c>
      <c r="AC50" s="196">
        <v>47723</v>
      </c>
      <c r="AD50" s="194">
        <v>0.36921212608482568</v>
      </c>
      <c r="AE50" s="194">
        <v>0.36660054926901325</v>
      </c>
      <c r="AF50" s="194">
        <v>0.49589041095890413</v>
      </c>
      <c r="AG50" s="197">
        <f t="shared" si="5"/>
        <v>5.4097354763532675E-2</v>
      </c>
      <c r="AH50" s="198">
        <f t="shared" si="21"/>
        <v>2.6826359485477846E-2</v>
      </c>
      <c r="AI50" s="198">
        <f t="shared" si="22"/>
        <v>0.63607538063847169</v>
      </c>
      <c r="AJ50" s="193">
        <f t="shared" si="6"/>
        <v>10.691110011008035</v>
      </c>
      <c r="AK50" s="363" t="str">
        <f t="shared" si="7"/>
        <v>204M</v>
      </c>
      <c r="AL50" s="135">
        <f t="shared" si="27"/>
        <v>34</v>
      </c>
      <c r="AM50" s="196">
        <v>47723</v>
      </c>
      <c r="AN50" s="194">
        <v>0.36921212608482568</v>
      </c>
      <c r="AO50" s="194">
        <v>0.36660054926901325</v>
      </c>
      <c r="AP50" s="194">
        <v>0.49589041095890413</v>
      </c>
      <c r="AQ50" s="197">
        <f t="shared" si="8"/>
        <v>5.4097354763532675E-2</v>
      </c>
      <c r="AR50" s="198">
        <f t="shared" si="9"/>
        <v>2.6826359485477846E-2</v>
      </c>
      <c r="AS50" s="198">
        <f t="shared" si="23"/>
        <v>0.63205020433259917</v>
      </c>
      <c r="AT50" s="193">
        <f t="shared" si="10"/>
        <v>10.610980330896298</v>
      </c>
      <c r="AU50" s="363" t="str">
        <f t="shared" si="11"/>
        <v>204M</v>
      </c>
      <c r="AV50" s="135">
        <f t="shared" si="28"/>
        <v>34</v>
      </c>
      <c r="AW50" s="196">
        <v>47723</v>
      </c>
      <c r="AX50" s="194">
        <v>0.36921212608482568</v>
      </c>
      <c r="AY50" s="194">
        <v>0.36660054926901325</v>
      </c>
      <c r="AZ50" s="194">
        <v>0.49589041095890413</v>
      </c>
      <c r="BA50" s="197">
        <f t="shared" si="12"/>
        <v>5.4097354763532675E-2</v>
      </c>
      <c r="BB50" s="198">
        <f t="shared" si="13"/>
        <v>2.6826359485477846E-2</v>
      </c>
      <c r="BC50" s="198">
        <f t="shared" si="24"/>
        <v>0.62776645525130559</v>
      </c>
      <c r="BD50" s="193">
        <f t="shared" si="14"/>
        <v>10.528179661447503</v>
      </c>
      <c r="BE50" s="363" t="str">
        <f t="shared" si="15"/>
        <v>204M</v>
      </c>
      <c r="BF50" s="135">
        <f t="shared" si="29"/>
        <v>34</v>
      </c>
      <c r="BG50" s="196">
        <v>47723</v>
      </c>
      <c r="BH50" s="194">
        <v>0.36921212608482568</v>
      </c>
      <c r="BI50" s="194">
        <v>0.36660054926901325</v>
      </c>
      <c r="BJ50" s="194">
        <v>0.49589041095890413</v>
      </c>
      <c r="BK50" s="197">
        <f t="shared" si="16"/>
        <v>5.4097354763532675E-2</v>
      </c>
      <c r="BL50" s="198">
        <f t="shared" si="17"/>
        <v>2.6826359485477846E-2</v>
      </c>
      <c r="BM50" s="198">
        <f t="shared" si="25"/>
        <v>0.62354223208913351</v>
      </c>
      <c r="BN50" s="193">
        <f t="shared" si="18"/>
        <v>10.448049981335766</v>
      </c>
    </row>
    <row r="51" spans="2:66">
      <c r="B51" s="187"/>
      <c r="C51" s="393" t="s">
        <v>308</v>
      </c>
      <c r="D51" s="394"/>
      <c r="E51" s="394"/>
      <c r="F51" s="394"/>
      <c r="G51" s="394"/>
      <c r="H51" s="394"/>
      <c r="I51" s="394"/>
      <c r="J51" s="394"/>
      <c r="K51" s="402"/>
      <c r="O51" s="363" t="str">
        <f t="shared" si="0"/>
        <v>108M</v>
      </c>
      <c r="P51" s="135">
        <f t="shared" si="19"/>
        <v>36</v>
      </c>
      <c r="Q51" s="189">
        <v>44802</v>
      </c>
      <c r="R51" s="190">
        <v>0.59407500045085404</v>
      </c>
      <c r="S51" s="190">
        <v>0.24931506849315069</v>
      </c>
      <c r="T51" s="190">
        <f t="shared" si="2"/>
        <v>7.0361339977821089</v>
      </c>
      <c r="U51" s="363"/>
      <c r="AA51" s="363" t="str">
        <f t="shared" si="4"/>
        <v>210M</v>
      </c>
      <c r="AB51" s="135">
        <f t="shared" si="26"/>
        <v>35</v>
      </c>
      <c r="AC51" s="196">
        <v>47907</v>
      </c>
      <c r="AD51" s="194">
        <v>0.35947407508811136</v>
      </c>
      <c r="AE51" s="194">
        <v>0.35692730149791785</v>
      </c>
      <c r="AF51" s="194">
        <v>0.50410958904109593</v>
      </c>
      <c r="AG51" s="197">
        <f t="shared" si="5"/>
        <v>5.3761030510676579E-2</v>
      </c>
      <c r="AH51" s="198">
        <f t="shared" si="21"/>
        <v>2.710145099716299E-2</v>
      </c>
      <c r="AI51" s="198">
        <f t="shared" si="22"/>
        <v>0.64581764966922262</v>
      </c>
      <c r="AJ51" s="193">
        <f t="shared" si="6"/>
        <v>10.872324339271632</v>
      </c>
      <c r="AK51" s="363" t="str">
        <f t="shared" si="7"/>
        <v>210M</v>
      </c>
      <c r="AL51" s="135">
        <f t="shared" si="27"/>
        <v>35</v>
      </c>
      <c r="AM51" s="196">
        <v>47907</v>
      </c>
      <c r="AN51" s="194">
        <v>0.35947407508811136</v>
      </c>
      <c r="AO51" s="194">
        <v>0.35692730149791785</v>
      </c>
      <c r="AP51" s="194">
        <v>0.50410958904109593</v>
      </c>
      <c r="AQ51" s="197">
        <f t="shared" si="8"/>
        <v>5.3761030510676579E-2</v>
      </c>
      <c r="AR51" s="198">
        <f t="shared" si="9"/>
        <v>2.710145099716299E-2</v>
      </c>
      <c r="AS51" s="198">
        <f t="shared" si="23"/>
        <v>0.6417924733633501</v>
      </c>
      <c r="AT51" s="193">
        <f t="shared" si="10"/>
        <v>10.792194659159895</v>
      </c>
      <c r="AU51" s="363" t="str">
        <f t="shared" si="11"/>
        <v>210M</v>
      </c>
      <c r="AV51" s="135">
        <f t="shared" si="28"/>
        <v>35</v>
      </c>
      <c r="AW51" s="196">
        <v>47907</v>
      </c>
      <c r="AX51" s="194">
        <v>0.35947407508811136</v>
      </c>
      <c r="AY51" s="194">
        <v>0.35692730149791785</v>
      </c>
      <c r="AZ51" s="194">
        <v>0.50410958904109593</v>
      </c>
      <c r="BA51" s="197">
        <f t="shared" si="12"/>
        <v>5.3761030510676579E-2</v>
      </c>
      <c r="BB51" s="198">
        <f t="shared" si="13"/>
        <v>2.710145099716299E-2</v>
      </c>
      <c r="BC51" s="198">
        <f t="shared" si="24"/>
        <v>0.63750872428205652</v>
      </c>
      <c r="BD51" s="193">
        <f t="shared" si="14"/>
        <v>10.709393989711099</v>
      </c>
      <c r="BE51" s="363" t="str">
        <f t="shared" si="15"/>
        <v>210M</v>
      </c>
      <c r="BF51" s="135">
        <f t="shared" si="29"/>
        <v>35</v>
      </c>
      <c r="BG51" s="196">
        <v>47907</v>
      </c>
      <c r="BH51" s="194">
        <v>0.35947407508811136</v>
      </c>
      <c r="BI51" s="194">
        <v>0.35692730149791785</v>
      </c>
      <c r="BJ51" s="194">
        <v>0.50410958904109593</v>
      </c>
      <c r="BK51" s="197">
        <f t="shared" si="16"/>
        <v>5.3761030510676579E-2</v>
      </c>
      <c r="BL51" s="198">
        <f t="shared" si="17"/>
        <v>2.710145099716299E-2</v>
      </c>
      <c r="BM51" s="198">
        <f t="shared" si="25"/>
        <v>0.63328450111988444</v>
      </c>
      <c r="BN51" s="193">
        <f t="shared" si="18"/>
        <v>10.629264309599362</v>
      </c>
    </row>
    <row r="52" spans="2:66">
      <c r="B52" s="29"/>
      <c r="C52" s="345" t="str">
        <f>C9</f>
        <v>1Y</v>
      </c>
      <c r="D52" s="348" t="str">
        <f t="shared" ref="D52:K52" si="43">D9</f>
        <v>2Y</v>
      </c>
      <c r="E52" s="348" t="str">
        <f t="shared" si="43"/>
        <v>3Y</v>
      </c>
      <c r="F52" s="348" t="str">
        <f t="shared" si="43"/>
        <v>4Y</v>
      </c>
      <c r="G52" s="348" t="str">
        <f t="shared" si="43"/>
        <v>5Y</v>
      </c>
      <c r="H52" s="348" t="str">
        <f t="shared" si="43"/>
        <v>7Y</v>
      </c>
      <c r="I52" s="348" t="str">
        <f t="shared" si="43"/>
        <v>10Y</v>
      </c>
      <c r="J52" s="348" t="str">
        <f t="shared" si="43"/>
        <v>15Y</v>
      </c>
      <c r="K52" s="4" t="str">
        <f t="shared" si="43"/>
        <v>20Y</v>
      </c>
      <c r="O52" s="363" t="str">
        <f t="shared" si="0"/>
        <v>111M</v>
      </c>
      <c r="P52" s="135">
        <f t="shared" si="19"/>
        <v>37</v>
      </c>
      <c r="Q52" s="189">
        <v>44893</v>
      </c>
      <c r="R52" s="190">
        <v>0.58510669244807401</v>
      </c>
      <c r="S52" s="190">
        <v>0.24931506849315069</v>
      </c>
      <c r="T52" s="190">
        <f t="shared" si="2"/>
        <v>7.1820099128856016</v>
      </c>
      <c r="U52" s="363"/>
      <c r="AA52" s="363" t="str">
        <f t="shared" si="4"/>
        <v>216M</v>
      </c>
      <c r="AB52" s="135">
        <f t="shared" si="26"/>
        <v>36</v>
      </c>
      <c r="AC52" s="196">
        <v>48088</v>
      </c>
      <c r="AD52" s="194">
        <v>0.35020039228543676</v>
      </c>
      <c r="AE52" s="194">
        <v>0.3477192961804052</v>
      </c>
      <c r="AF52" s="194">
        <v>0.49589041095890413</v>
      </c>
      <c r="AG52" s="197">
        <f t="shared" si="5"/>
        <v>5.3401205258558092E-2</v>
      </c>
      <c r="AH52" s="198">
        <f t="shared" si="21"/>
        <v>2.6481145621367164E-2</v>
      </c>
      <c r="AI52" s="198">
        <f t="shared" si="22"/>
        <v>0.65509135725399315</v>
      </c>
      <c r="AJ52" s="193">
        <f t="shared" si="6"/>
        <v>11.045985355720026</v>
      </c>
      <c r="AK52" s="363" t="str">
        <f t="shared" si="7"/>
        <v>216M</v>
      </c>
      <c r="AL52" s="135">
        <f t="shared" si="27"/>
        <v>36</v>
      </c>
      <c r="AM52" s="196">
        <v>48088</v>
      </c>
      <c r="AN52" s="194">
        <v>0.35020039228543676</v>
      </c>
      <c r="AO52" s="194">
        <v>0.3477192961804052</v>
      </c>
      <c r="AP52" s="194">
        <v>0.49589041095890413</v>
      </c>
      <c r="AQ52" s="197">
        <f t="shared" si="8"/>
        <v>5.3401205258558092E-2</v>
      </c>
      <c r="AR52" s="198">
        <f t="shared" si="9"/>
        <v>2.6481145621367164E-2</v>
      </c>
      <c r="AS52" s="198">
        <f t="shared" si="23"/>
        <v>0.65106618094812063</v>
      </c>
      <c r="AT52" s="193">
        <f t="shared" si="10"/>
        <v>10.965855675608289</v>
      </c>
      <c r="AU52" s="363" t="str">
        <f t="shared" si="11"/>
        <v>216M</v>
      </c>
      <c r="AV52" s="135">
        <f t="shared" si="28"/>
        <v>36</v>
      </c>
      <c r="AW52" s="196">
        <v>48088</v>
      </c>
      <c r="AX52" s="194">
        <v>0.35020039228543676</v>
      </c>
      <c r="AY52" s="194">
        <v>0.3477192961804052</v>
      </c>
      <c r="AZ52" s="194">
        <v>0.49589041095890413</v>
      </c>
      <c r="BA52" s="197">
        <f t="shared" si="12"/>
        <v>5.3401205258558092E-2</v>
      </c>
      <c r="BB52" s="198">
        <f t="shared" si="13"/>
        <v>2.6481145621367164E-2</v>
      </c>
      <c r="BC52" s="198">
        <f t="shared" si="24"/>
        <v>0.64678243186682705</v>
      </c>
      <c r="BD52" s="193">
        <f t="shared" si="14"/>
        <v>10.883055006159493</v>
      </c>
      <c r="BE52" s="363" t="str">
        <f t="shared" si="15"/>
        <v>216M</v>
      </c>
      <c r="BF52" s="135">
        <f t="shared" si="29"/>
        <v>36</v>
      </c>
      <c r="BG52" s="196">
        <v>48088</v>
      </c>
      <c r="BH52" s="194">
        <v>0.35020039228543676</v>
      </c>
      <c r="BI52" s="194">
        <v>0.3477192961804052</v>
      </c>
      <c r="BJ52" s="194">
        <v>0.49589041095890413</v>
      </c>
      <c r="BK52" s="197">
        <f t="shared" si="16"/>
        <v>5.3401205258558092E-2</v>
      </c>
      <c r="BL52" s="198">
        <f t="shared" si="17"/>
        <v>2.6481145621367164E-2</v>
      </c>
      <c r="BM52" s="198">
        <f t="shared" si="25"/>
        <v>0.64255820870465497</v>
      </c>
      <c r="BN52" s="193">
        <f t="shared" si="18"/>
        <v>10.802925326047756</v>
      </c>
    </row>
    <row r="53" spans="2:66">
      <c r="B53" s="88" t="str">
        <f>B10</f>
        <v>1M</v>
      </c>
      <c r="C53" s="176">
        <f t="shared" ref="C53:K62" si="44">C24/10000*SQRT($F$6)/C39</f>
        <v>0.12270169302969484</v>
      </c>
      <c r="D53" s="176">
        <f t="shared" si="44"/>
        <v>0.13521324217746086</v>
      </c>
      <c r="E53" s="176">
        <f t="shared" si="44"/>
        <v>0.13929628434246352</v>
      </c>
      <c r="F53" s="176">
        <f t="shared" si="44"/>
        <v>0.13411035521425416</v>
      </c>
      <c r="G53" s="176">
        <f t="shared" si="44"/>
        <v>0.13153859572459353</v>
      </c>
      <c r="H53" s="176">
        <f t="shared" si="44"/>
        <v>0.12792614208896222</v>
      </c>
      <c r="I53" s="176">
        <f t="shared" si="44"/>
        <v>0.12427715982361699</v>
      </c>
      <c r="J53" s="176">
        <f t="shared" si="44"/>
        <v>0.12263914948441862</v>
      </c>
      <c r="K53" s="176">
        <f t="shared" si="44"/>
        <v>0.12464516674850055</v>
      </c>
      <c r="O53" s="363" t="str">
        <f t="shared" si="0"/>
        <v>114M</v>
      </c>
      <c r="P53" s="135">
        <f t="shared" si="19"/>
        <v>38</v>
      </c>
      <c r="Q53" s="189">
        <v>44985</v>
      </c>
      <c r="R53" s="190">
        <v>0.57615212904020252</v>
      </c>
      <c r="S53" s="190">
        <v>0.25205479452054796</v>
      </c>
      <c r="T53" s="190">
        <f t="shared" si="2"/>
        <v>7.3272318193834058</v>
      </c>
      <c r="U53" s="363"/>
      <c r="AA53" s="363" t="str">
        <f t="shared" si="4"/>
        <v>222M</v>
      </c>
      <c r="AB53" s="135">
        <f t="shared" si="26"/>
        <v>37</v>
      </c>
      <c r="AC53" s="196">
        <v>48271</v>
      </c>
      <c r="AD53" s="194">
        <v>0.3411214213350317</v>
      </c>
      <c r="AE53" s="194">
        <v>0.33870843860675265</v>
      </c>
      <c r="AF53" s="194">
        <v>0.50136986301369868</v>
      </c>
      <c r="AG53" s="197">
        <f t="shared" si="5"/>
        <v>5.3061788369846388E-2</v>
      </c>
      <c r="AH53" s="198">
        <f t="shared" si="21"/>
        <v>2.6603581566251755E-2</v>
      </c>
      <c r="AI53" s="198">
        <f t="shared" si="22"/>
        <v>0.66416640881047539</v>
      </c>
      <c r="AJ53" s="193">
        <f t="shared" si="6"/>
        <v>11.217013356005809</v>
      </c>
      <c r="AK53" s="363" t="str">
        <f t="shared" si="7"/>
        <v>222M</v>
      </c>
      <c r="AL53" s="135">
        <f t="shared" si="27"/>
        <v>37</v>
      </c>
      <c r="AM53" s="196">
        <v>48271</v>
      </c>
      <c r="AN53" s="194">
        <v>0.3411214213350317</v>
      </c>
      <c r="AO53" s="194">
        <v>0.33870843860675265</v>
      </c>
      <c r="AP53" s="194">
        <v>0.50136986301369868</v>
      </c>
      <c r="AQ53" s="197">
        <f t="shared" si="8"/>
        <v>5.3061788369846388E-2</v>
      </c>
      <c r="AR53" s="198">
        <f t="shared" si="9"/>
        <v>2.6603581566251755E-2</v>
      </c>
      <c r="AS53" s="198">
        <f t="shared" si="23"/>
        <v>0.66014123250460288</v>
      </c>
      <c r="AT53" s="193">
        <f t="shared" si="10"/>
        <v>11.136883675894072</v>
      </c>
      <c r="AU53" s="363" t="str">
        <f t="shared" si="11"/>
        <v>222M</v>
      </c>
      <c r="AV53" s="135">
        <f t="shared" si="28"/>
        <v>37</v>
      </c>
      <c r="AW53" s="196">
        <v>48271</v>
      </c>
      <c r="AX53" s="194">
        <v>0.3411214213350317</v>
      </c>
      <c r="AY53" s="194">
        <v>0.33870843860675265</v>
      </c>
      <c r="AZ53" s="194">
        <v>0.50136986301369868</v>
      </c>
      <c r="BA53" s="197">
        <f t="shared" si="12"/>
        <v>5.3061788369846388E-2</v>
      </c>
      <c r="BB53" s="198">
        <f t="shared" si="13"/>
        <v>2.6603581566251755E-2</v>
      </c>
      <c r="BC53" s="198">
        <f t="shared" si="24"/>
        <v>0.6558574834233093</v>
      </c>
      <c r="BD53" s="193">
        <f t="shared" si="14"/>
        <v>11.054083006445277</v>
      </c>
      <c r="BE53" s="363" t="str">
        <f t="shared" si="15"/>
        <v>222M</v>
      </c>
      <c r="BF53" s="135">
        <f t="shared" si="29"/>
        <v>37</v>
      </c>
      <c r="BG53" s="196">
        <v>48271</v>
      </c>
      <c r="BH53" s="194">
        <v>0.3411214213350317</v>
      </c>
      <c r="BI53" s="194">
        <v>0.33870843860675265</v>
      </c>
      <c r="BJ53" s="194">
        <v>0.50136986301369868</v>
      </c>
      <c r="BK53" s="197">
        <f t="shared" si="16"/>
        <v>5.3061788369846388E-2</v>
      </c>
      <c r="BL53" s="198">
        <f t="shared" si="17"/>
        <v>2.6603581566251755E-2</v>
      </c>
      <c r="BM53" s="198">
        <f t="shared" si="25"/>
        <v>0.65163326026113721</v>
      </c>
      <c r="BN53" s="193">
        <f t="shared" si="18"/>
        <v>10.97395332633354</v>
      </c>
    </row>
    <row r="54" spans="2:66">
      <c r="B54" s="88" t="str">
        <f t="shared" ref="B54:B62" si="45">B11</f>
        <v>2M</v>
      </c>
      <c r="C54" s="176">
        <f t="shared" si="44"/>
        <v>0.12539011874340977</v>
      </c>
      <c r="D54" s="176">
        <f t="shared" si="44"/>
        <v>0.13789006317029595</v>
      </c>
      <c r="E54" s="176">
        <f t="shared" si="44"/>
        <v>0.14197670205533591</v>
      </c>
      <c r="F54" s="176">
        <f t="shared" si="44"/>
        <v>0.13674265790357809</v>
      </c>
      <c r="G54" s="176">
        <f t="shared" si="44"/>
        <v>0.13411282259023161</v>
      </c>
      <c r="H54" s="176">
        <f t="shared" si="44"/>
        <v>0.13043609176021434</v>
      </c>
      <c r="I54" s="176">
        <f t="shared" si="44"/>
        <v>0.12677148895824411</v>
      </c>
      <c r="J54" s="176">
        <f t="shared" si="44"/>
        <v>0.12513107212946559</v>
      </c>
      <c r="K54" s="176">
        <f t="shared" si="44"/>
        <v>0.12721352903532956</v>
      </c>
      <c r="O54" s="363" t="str">
        <f t="shared" si="0"/>
        <v>117M</v>
      </c>
      <c r="P54" s="135">
        <f t="shared" si="19"/>
        <v>39</v>
      </c>
      <c r="Q54" s="189">
        <v>45075</v>
      </c>
      <c r="R54" s="190">
        <v>0.56750058443134455</v>
      </c>
      <c r="S54" s="190">
        <v>0.24657534246575341</v>
      </c>
      <c r="T54" s="190">
        <f t="shared" si="2"/>
        <v>7.4671634703390799</v>
      </c>
      <c r="U54" s="363"/>
      <c r="AA54" s="363" t="str">
        <f t="shared" si="4"/>
        <v>228M</v>
      </c>
      <c r="AB54" s="135">
        <f t="shared" si="26"/>
        <v>38</v>
      </c>
      <c r="AC54" s="196">
        <v>48456</v>
      </c>
      <c r="AD54" s="194">
        <v>0.33223619031901047</v>
      </c>
      <c r="AE54" s="194">
        <v>0.32989358826568105</v>
      </c>
      <c r="AF54" s="194">
        <v>0.50684931506849318</v>
      </c>
      <c r="AG54" s="197">
        <f t="shared" si="5"/>
        <v>5.2718397999689415E-2</v>
      </c>
      <c r="AH54" s="198">
        <f t="shared" si="21"/>
        <v>2.67202839176508E-2</v>
      </c>
      <c r="AI54" s="198">
        <f t="shared" si="22"/>
        <v>0.67304385414351797</v>
      </c>
      <c r="AJ54" s="193">
        <f t="shared" si="6"/>
        <v>11.385407041509966</v>
      </c>
      <c r="AK54" s="363" t="str">
        <f t="shared" si="7"/>
        <v>228M</v>
      </c>
      <c r="AL54" s="135">
        <f t="shared" si="27"/>
        <v>38</v>
      </c>
      <c r="AM54" s="196">
        <v>48456</v>
      </c>
      <c r="AN54" s="194">
        <v>0.33223619031901047</v>
      </c>
      <c r="AO54" s="194">
        <v>0.32989358826568105</v>
      </c>
      <c r="AP54" s="194">
        <v>0.50684931506849318</v>
      </c>
      <c r="AQ54" s="197">
        <f t="shared" si="8"/>
        <v>5.2718397999689415E-2</v>
      </c>
      <c r="AR54" s="198">
        <f t="shared" si="9"/>
        <v>2.67202839176508E-2</v>
      </c>
      <c r="AS54" s="198">
        <f t="shared" si="23"/>
        <v>0.66901867783764546</v>
      </c>
      <c r="AT54" s="193">
        <f t="shared" si="10"/>
        <v>11.305277361398229</v>
      </c>
      <c r="AU54" s="363" t="str">
        <f t="shared" si="11"/>
        <v>228M</v>
      </c>
      <c r="AV54" s="135">
        <f t="shared" si="28"/>
        <v>38</v>
      </c>
      <c r="AW54" s="196">
        <v>48456</v>
      </c>
      <c r="AX54" s="194">
        <v>0.33223619031901047</v>
      </c>
      <c r="AY54" s="194">
        <v>0.32989358826568105</v>
      </c>
      <c r="AZ54" s="194">
        <v>0.50684931506849318</v>
      </c>
      <c r="BA54" s="197">
        <f t="shared" si="12"/>
        <v>5.2718397999689415E-2</v>
      </c>
      <c r="BB54" s="198">
        <f t="shared" si="13"/>
        <v>2.67202839176508E-2</v>
      </c>
      <c r="BC54" s="198">
        <f t="shared" si="24"/>
        <v>0.66473492875635187</v>
      </c>
      <c r="BD54" s="193">
        <f t="shared" si="14"/>
        <v>11.222476691949433</v>
      </c>
      <c r="BE54" s="363" t="str">
        <f t="shared" si="15"/>
        <v>228M</v>
      </c>
      <c r="BF54" s="135">
        <f t="shared" si="29"/>
        <v>38</v>
      </c>
      <c r="BG54" s="196">
        <v>48456</v>
      </c>
      <c r="BH54" s="194">
        <v>0.33223619031901047</v>
      </c>
      <c r="BI54" s="194">
        <v>0.32989358826568105</v>
      </c>
      <c r="BJ54" s="194">
        <v>0.50684931506849318</v>
      </c>
      <c r="BK54" s="197">
        <f t="shared" si="16"/>
        <v>5.2718397999689415E-2</v>
      </c>
      <c r="BL54" s="198">
        <f t="shared" si="17"/>
        <v>2.67202839176508E-2</v>
      </c>
      <c r="BM54" s="198">
        <f t="shared" si="25"/>
        <v>0.66051070559417979</v>
      </c>
      <c r="BN54" s="193">
        <f t="shared" si="18"/>
        <v>11.142347011837696</v>
      </c>
    </row>
    <row r="55" spans="2:66">
      <c r="B55" s="88" t="str">
        <f t="shared" si="45"/>
        <v>3M</v>
      </c>
      <c r="C55" s="176">
        <f t="shared" si="44"/>
        <v>0.13657571323607973</v>
      </c>
      <c r="D55" s="176">
        <f t="shared" si="44"/>
        <v>0.15508720557975228</v>
      </c>
      <c r="E55" s="176">
        <f t="shared" si="44"/>
        <v>0.15291878732575581</v>
      </c>
      <c r="F55" s="176">
        <f t="shared" si="44"/>
        <v>0.14795858284769126</v>
      </c>
      <c r="G55" s="176">
        <f t="shared" si="44"/>
        <v>0.14509425490788555</v>
      </c>
      <c r="H55" s="176">
        <f t="shared" si="44"/>
        <v>0.13839873618490706</v>
      </c>
      <c r="I55" s="176">
        <f t="shared" si="44"/>
        <v>0.13328269361658038</v>
      </c>
      <c r="J55" s="176">
        <f t="shared" si="44"/>
        <v>0.13158437116758237</v>
      </c>
      <c r="K55" s="176">
        <f t="shared" si="44"/>
        <v>0.13380882346873724</v>
      </c>
      <c r="O55" s="363" t="str">
        <f t="shared" si="0"/>
        <v>120M</v>
      </c>
      <c r="P55" s="135">
        <f t="shared" si="19"/>
        <v>40</v>
      </c>
      <c r="Q55" s="189">
        <v>45166</v>
      </c>
      <c r="R55" s="190">
        <v>0.55886096107089644</v>
      </c>
      <c r="S55" s="190">
        <v>0.24931506849315069</v>
      </c>
      <c r="T55" s="190">
        <f t="shared" si="2"/>
        <v>7.6064959291266181</v>
      </c>
      <c r="U55" s="363"/>
      <c r="AA55" s="363" t="str">
        <f t="shared" si="4"/>
        <v>234M</v>
      </c>
      <c r="AB55" s="135">
        <f t="shared" si="26"/>
        <v>39</v>
      </c>
      <c r="AC55" s="196">
        <v>48638</v>
      </c>
      <c r="AD55" s="194">
        <v>0.3237722973363083</v>
      </c>
      <c r="AE55" s="194">
        <v>0.32150022357879626</v>
      </c>
      <c r="AF55" s="194">
        <v>0.49863013698630138</v>
      </c>
      <c r="AG55" s="197">
        <f t="shared" si="5"/>
        <v>5.23571852447983E-2</v>
      </c>
      <c r="AH55" s="198">
        <f t="shared" si="21"/>
        <v>2.6106870450830932E-2</v>
      </c>
      <c r="AI55" s="198">
        <f t="shared" si="22"/>
        <v>0.68149653556564493</v>
      </c>
      <c r="AJ55" s="193">
        <f t="shared" si="6"/>
        <v>11.546849666483139</v>
      </c>
      <c r="AK55" s="363" t="str">
        <f t="shared" si="7"/>
        <v>234M</v>
      </c>
      <c r="AL55" s="135">
        <f t="shared" si="27"/>
        <v>39</v>
      </c>
      <c r="AM55" s="196">
        <v>48638</v>
      </c>
      <c r="AN55" s="194">
        <v>0.3237722973363083</v>
      </c>
      <c r="AO55" s="194">
        <v>0.32150022357879626</v>
      </c>
      <c r="AP55" s="194">
        <v>0.49863013698630138</v>
      </c>
      <c r="AQ55" s="197">
        <f t="shared" si="8"/>
        <v>5.23571852447983E-2</v>
      </c>
      <c r="AR55" s="198">
        <f t="shared" si="9"/>
        <v>2.6106870450830932E-2</v>
      </c>
      <c r="AS55" s="198">
        <f t="shared" si="23"/>
        <v>0.67747135925977242</v>
      </c>
      <c r="AT55" s="193">
        <f t="shared" si="10"/>
        <v>11.466719986371402</v>
      </c>
      <c r="AU55" s="363" t="str">
        <f t="shared" si="11"/>
        <v>234M</v>
      </c>
      <c r="AV55" s="135">
        <f t="shared" si="28"/>
        <v>39</v>
      </c>
      <c r="AW55" s="196">
        <v>48638</v>
      </c>
      <c r="AX55" s="194">
        <v>0.3237722973363083</v>
      </c>
      <c r="AY55" s="194">
        <v>0.32150022357879626</v>
      </c>
      <c r="AZ55" s="194">
        <v>0.49863013698630138</v>
      </c>
      <c r="BA55" s="197">
        <f t="shared" si="12"/>
        <v>5.23571852447983E-2</v>
      </c>
      <c r="BB55" s="198">
        <f t="shared" si="13"/>
        <v>2.6106870450830932E-2</v>
      </c>
      <c r="BC55" s="198">
        <f t="shared" si="24"/>
        <v>0.67318761017847883</v>
      </c>
      <c r="BD55" s="193">
        <f t="shared" si="14"/>
        <v>11.383919316922606</v>
      </c>
      <c r="BE55" s="363" t="str">
        <f t="shared" si="15"/>
        <v>234M</v>
      </c>
      <c r="BF55" s="135">
        <f t="shared" si="29"/>
        <v>39</v>
      </c>
      <c r="BG55" s="196">
        <v>48638</v>
      </c>
      <c r="BH55" s="194">
        <v>0.3237722973363083</v>
      </c>
      <c r="BI55" s="194">
        <v>0.32150022357879626</v>
      </c>
      <c r="BJ55" s="194">
        <v>0.49863013698630138</v>
      </c>
      <c r="BK55" s="197">
        <f t="shared" si="16"/>
        <v>5.23571852447983E-2</v>
      </c>
      <c r="BL55" s="198">
        <f t="shared" si="17"/>
        <v>2.6106870450830932E-2</v>
      </c>
      <c r="BM55" s="198">
        <f t="shared" si="25"/>
        <v>0.66896338701630675</v>
      </c>
      <c r="BN55" s="193">
        <f t="shared" si="18"/>
        <v>11.303789636810869</v>
      </c>
    </row>
    <row r="56" spans="2:66">
      <c r="B56" s="88" t="str">
        <f t="shared" si="45"/>
        <v>6M</v>
      </c>
      <c r="C56" s="176">
        <f t="shared" si="44"/>
        <v>0.15594547638756379</v>
      </c>
      <c r="D56" s="176">
        <f t="shared" si="44"/>
        <v>0.15671051503701114</v>
      </c>
      <c r="E56" s="176">
        <f t="shared" si="44"/>
        <v>0.15732250806265136</v>
      </c>
      <c r="F56" s="176">
        <f t="shared" si="44"/>
        <v>0.15133244503459489</v>
      </c>
      <c r="G56" s="176">
        <f t="shared" si="44"/>
        <v>0.14863410134026062</v>
      </c>
      <c r="H56" s="176">
        <f t="shared" si="44"/>
        <v>0.14392143831605195</v>
      </c>
      <c r="I56" s="176">
        <f t="shared" si="44"/>
        <v>0.13773080907970633</v>
      </c>
      <c r="J56" s="176">
        <f t="shared" si="44"/>
        <v>0.13661026491139713</v>
      </c>
      <c r="K56" s="176">
        <f t="shared" si="44"/>
        <v>0.13915170729819859</v>
      </c>
      <c r="O56" s="363" t="str">
        <f t="shared" si="0"/>
        <v>123M</v>
      </c>
      <c r="P56" s="135">
        <f t="shared" si="19"/>
        <v>41</v>
      </c>
      <c r="Q56" s="189">
        <v>45258</v>
      </c>
      <c r="R56" s="190">
        <v>0.55025765800034332</v>
      </c>
      <c r="S56" s="190">
        <v>0.25205479452054796</v>
      </c>
      <c r="T56" s="190">
        <f t="shared" si="2"/>
        <v>7.745191010047253</v>
      </c>
      <c r="U56" s="363"/>
      <c r="AA56" s="363" t="str">
        <f t="shared" si="4"/>
        <v>240M</v>
      </c>
      <c r="AB56" s="135">
        <f t="shared" si="26"/>
        <v>40</v>
      </c>
      <c r="AC56" s="196">
        <v>48820</v>
      </c>
      <c r="AD56" s="194">
        <v>0.31557370447003119</v>
      </c>
      <c r="AE56" s="194">
        <v>0.31337324906560499</v>
      </c>
      <c r="AF56" s="194">
        <v>0.49863013698630138</v>
      </c>
      <c r="AG56" s="197">
        <f t="shared" si="5"/>
        <v>5.2010191620047538E-2</v>
      </c>
      <c r="AH56" s="198">
        <f t="shared" si="21"/>
        <v>2.5933848972188089E-2</v>
      </c>
      <c r="AI56" s="198">
        <f t="shared" si="22"/>
        <v>0.68968057635696467</v>
      </c>
      <c r="AJ56" s="193">
        <f t="shared" si="6"/>
        <v>11.704204225972305</v>
      </c>
      <c r="AK56" s="363" t="str">
        <f t="shared" si="7"/>
        <v>240M</v>
      </c>
      <c r="AL56" s="135">
        <f t="shared" si="27"/>
        <v>40</v>
      </c>
      <c r="AM56" s="196">
        <v>48820</v>
      </c>
      <c r="AN56" s="194">
        <v>0.31557370447003119</v>
      </c>
      <c r="AO56" s="194">
        <v>0.31337324906560499</v>
      </c>
      <c r="AP56" s="194">
        <v>0.49863013698630138</v>
      </c>
      <c r="AQ56" s="197">
        <f t="shared" si="8"/>
        <v>5.2010191620047538E-2</v>
      </c>
      <c r="AR56" s="198">
        <f t="shared" si="9"/>
        <v>2.5933848972188089E-2</v>
      </c>
      <c r="AS56" s="198">
        <f t="shared" si="23"/>
        <v>0.68565540005109216</v>
      </c>
      <c r="AT56" s="193">
        <f t="shared" si="10"/>
        <v>11.624074545860568</v>
      </c>
      <c r="AU56" s="363" t="str">
        <f t="shared" si="11"/>
        <v>240M</v>
      </c>
      <c r="AV56" s="135">
        <f t="shared" si="28"/>
        <v>40</v>
      </c>
      <c r="AW56" s="196">
        <v>48820</v>
      </c>
      <c r="AX56" s="194">
        <v>0.31557370447003119</v>
      </c>
      <c r="AY56" s="194">
        <v>0.31337324906560499</v>
      </c>
      <c r="AZ56" s="194">
        <v>0.49863013698630138</v>
      </c>
      <c r="BA56" s="197">
        <f t="shared" si="12"/>
        <v>5.2010191620047538E-2</v>
      </c>
      <c r="BB56" s="198">
        <f t="shared" si="13"/>
        <v>2.5933848972188089E-2</v>
      </c>
      <c r="BC56" s="198">
        <f t="shared" si="24"/>
        <v>0.68137165096979857</v>
      </c>
      <c r="BD56" s="193">
        <f t="shared" si="14"/>
        <v>11.541273876411772</v>
      </c>
      <c r="BE56" s="363" t="str">
        <f t="shared" si="15"/>
        <v>240M</v>
      </c>
      <c r="BF56" s="135">
        <f t="shared" si="29"/>
        <v>40</v>
      </c>
      <c r="BG56" s="196">
        <v>48820</v>
      </c>
      <c r="BH56" s="194">
        <v>0.31557370447003119</v>
      </c>
      <c r="BI56" s="194">
        <v>0.31337324906560499</v>
      </c>
      <c r="BJ56" s="194">
        <v>0.49863013698630138</v>
      </c>
      <c r="BK56" s="197">
        <f t="shared" si="16"/>
        <v>5.2010191620047538E-2</v>
      </c>
      <c r="BL56" s="198">
        <f t="shared" si="17"/>
        <v>2.5933848972188089E-2</v>
      </c>
      <c r="BM56" s="198">
        <f t="shared" si="25"/>
        <v>0.67714742780762649</v>
      </c>
      <c r="BN56" s="193">
        <f t="shared" si="18"/>
        <v>11.461144196300035</v>
      </c>
    </row>
    <row r="57" spans="2:66">
      <c r="B57" s="88" t="str">
        <f t="shared" si="45"/>
        <v>1Y</v>
      </c>
      <c r="C57" s="176">
        <f t="shared" si="44"/>
        <v>0.17089600946642952</v>
      </c>
      <c r="D57" s="176">
        <f t="shared" si="44"/>
        <v>0.17489801886018547</v>
      </c>
      <c r="E57" s="176">
        <f t="shared" si="44"/>
        <v>0.17188126681791527</v>
      </c>
      <c r="F57" s="176">
        <f t="shared" si="44"/>
        <v>0.16223932705523</v>
      </c>
      <c r="G57" s="176">
        <f t="shared" si="44"/>
        <v>0.15688207658193556</v>
      </c>
      <c r="H57" s="176">
        <f t="shared" si="44"/>
        <v>0.15013717614413349</v>
      </c>
      <c r="I57" s="176">
        <f t="shared" si="44"/>
        <v>0.14431846175519328</v>
      </c>
      <c r="J57" s="176">
        <f t="shared" si="44"/>
        <v>0.14391047705671445</v>
      </c>
      <c r="K57" s="176">
        <f t="shared" si="44"/>
        <v>0.14693898742785122</v>
      </c>
      <c r="O57" s="363" t="str">
        <f t="shared" si="0"/>
        <v>126M</v>
      </c>
      <c r="P57" s="135">
        <f t="shared" si="19"/>
        <v>42</v>
      </c>
      <c r="Q57" s="189">
        <v>45350</v>
      </c>
      <c r="R57" s="190">
        <v>0.54176390996529111</v>
      </c>
      <c r="S57" s="190">
        <v>0.25205479452054796</v>
      </c>
      <c r="T57" s="190">
        <f t="shared" si="2"/>
        <v>7.8817452010522029</v>
      </c>
      <c r="U57" s="363"/>
      <c r="AA57" s="363" t="str">
        <f t="shared" si="4"/>
        <v>246M</v>
      </c>
      <c r="AB57" s="135">
        <f t="shared" si="26"/>
        <v>41</v>
      </c>
      <c r="AC57" s="196">
        <v>49003</v>
      </c>
      <c r="AD57" s="194">
        <v>0.30815475179966806</v>
      </c>
      <c r="AE57" s="194">
        <v>0.30600274511747183</v>
      </c>
      <c r="AF57" s="194">
        <v>0.50136986301369868</v>
      </c>
      <c r="AG57" s="197">
        <f t="shared" si="5"/>
        <v>4.8041176600439356E-2</v>
      </c>
      <c r="AH57" s="198">
        <f t="shared" si="21"/>
        <v>2.4086398131179187E-2</v>
      </c>
      <c r="AI57" s="198">
        <f t="shared" si="22"/>
        <v>0.69710291439482619</v>
      </c>
      <c r="AJ57" s="193">
        <f t="shared" si="6"/>
        <v>11.858703731669124</v>
      </c>
      <c r="AK57" s="363" t="str">
        <f t="shared" si="7"/>
        <v>246M</v>
      </c>
      <c r="AL57" s="135">
        <f t="shared" si="27"/>
        <v>41</v>
      </c>
      <c r="AM57" s="196">
        <v>49003</v>
      </c>
      <c r="AN57" s="194">
        <v>0.30815475179966806</v>
      </c>
      <c r="AO57" s="194">
        <v>0.30600274511747183</v>
      </c>
      <c r="AP57" s="194">
        <v>0.50136986301369868</v>
      </c>
      <c r="AQ57" s="197">
        <f t="shared" si="8"/>
        <v>4.8041176600439356E-2</v>
      </c>
      <c r="AR57" s="198">
        <f t="shared" si="9"/>
        <v>2.4086398131179187E-2</v>
      </c>
      <c r="AS57" s="198">
        <f t="shared" si="23"/>
        <v>0.69307773808895368</v>
      </c>
      <c r="AT57" s="193">
        <f t="shared" si="10"/>
        <v>11.778574051557387</v>
      </c>
      <c r="AU57" s="363" t="str">
        <f t="shared" si="11"/>
        <v>246M</v>
      </c>
      <c r="AV57" s="135">
        <f t="shared" si="28"/>
        <v>41</v>
      </c>
      <c r="AW57" s="196">
        <v>49003</v>
      </c>
      <c r="AX57" s="194">
        <v>0.30815475179966806</v>
      </c>
      <c r="AY57" s="194">
        <v>0.30600274511747183</v>
      </c>
      <c r="AZ57" s="194">
        <v>0.50136986301369868</v>
      </c>
      <c r="BA57" s="197">
        <f t="shared" si="12"/>
        <v>4.8041176600439356E-2</v>
      </c>
      <c r="BB57" s="198">
        <f t="shared" si="13"/>
        <v>2.4086398131179187E-2</v>
      </c>
      <c r="BC57" s="198">
        <f t="shared" si="24"/>
        <v>0.68879398900766009</v>
      </c>
      <c r="BD57" s="193">
        <f t="shared" si="14"/>
        <v>11.695773382108591</v>
      </c>
      <c r="BE57" s="363" t="str">
        <f t="shared" si="15"/>
        <v>246M</v>
      </c>
      <c r="BF57" s="135">
        <f t="shared" si="29"/>
        <v>41</v>
      </c>
      <c r="BG57" s="196">
        <v>49003</v>
      </c>
      <c r="BH57" s="194">
        <v>0.30815475179966806</v>
      </c>
      <c r="BI57" s="194">
        <v>0.30600274511747183</v>
      </c>
      <c r="BJ57" s="194">
        <v>0.50136986301369868</v>
      </c>
      <c r="BK57" s="197">
        <f t="shared" si="16"/>
        <v>4.8041176600439356E-2</v>
      </c>
      <c r="BL57" s="198">
        <f t="shared" si="17"/>
        <v>2.4086398131179187E-2</v>
      </c>
      <c r="BM57" s="198">
        <f t="shared" si="25"/>
        <v>0.68456976584548801</v>
      </c>
      <c r="BN57" s="193">
        <f t="shared" si="18"/>
        <v>11.615643701996854</v>
      </c>
    </row>
    <row r="58" spans="2:66">
      <c r="B58" s="88" t="str">
        <f t="shared" si="45"/>
        <v>2Y</v>
      </c>
      <c r="C58" s="176">
        <f t="shared" si="44"/>
        <v>0.18160340912892758</v>
      </c>
      <c r="D58" s="176">
        <f t="shared" si="44"/>
        <v>0.17780102157426189</v>
      </c>
      <c r="E58" s="176">
        <f t="shared" si="44"/>
        <v>0.16939516501370749</v>
      </c>
      <c r="F58" s="176">
        <f t="shared" si="44"/>
        <v>0.15996702519282788</v>
      </c>
      <c r="G58" s="176">
        <f t="shared" si="44"/>
        <v>0.15520290668538914</v>
      </c>
      <c r="H58" s="176">
        <f t="shared" si="44"/>
        <v>0.14987929658792495</v>
      </c>
      <c r="I58" s="176">
        <f t="shared" si="44"/>
        <v>0.1419718826835713</v>
      </c>
      <c r="J58" s="176">
        <f t="shared" si="44"/>
        <v>0.14314956215123975</v>
      </c>
      <c r="K58" s="176">
        <f t="shared" si="44"/>
        <v>0.14684971929992569</v>
      </c>
      <c r="O58" s="363" t="str">
        <f t="shared" si="0"/>
        <v>129M</v>
      </c>
      <c r="P58" s="135">
        <f t="shared" si="19"/>
        <v>43</v>
      </c>
      <c r="Q58" s="189">
        <v>45440</v>
      </c>
      <c r="R58" s="190">
        <v>0.53355987732877008</v>
      </c>
      <c r="S58" s="190">
        <v>0.24657534246575341</v>
      </c>
      <c r="T58" s="190">
        <f t="shared" si="2"/>
        <v>8.0133079105305303</v>
      </c>
      <c r="U58" s="363"/>
      <c r="AA58" s="363" t="str">
        <f t="shared" si="4"/>
        <v>252M</v>
      </c>
      <c r="AB58" s="135">
        <f t="shared" si="26"/>
        <v>42</v>
      </c>
      <c r="AC58" s="196">
        <v>49184</v>
      </c>
      <c r="AD58" s="194">
        <v>0.30106228216782183</v>
      </c>
      <c r="AE58" s="194">
        <v>0.29895899797285008</v>
      </c>
      <c r="AF58" s="194">
        <v>0.49589041095890413</v>
      </c>
      <c r="AG58" s="197">
        <f t="shared" si="5"/>
        <v>4.7512339738226661E-2</v>
      </c>
      <c r="AH58" s="198">
        <f t="shared" si="21"/>
        <v>2.3560913678408291E-2</v>
      </c>
      <c r="AI58" s="198">
        <f t="shared" si="22"/>
        <v>0.70419621683680689</v>
      </c>
      <c r="AJ58" s="193">
        <f t="shared" si="6"/>
        <v>12.007997630497551</v>
      </c>
      <c r="AK58" s="363" t="str">
        <f t="shared" si="7"/>
        <v>252M</v>
      </c>
      <c r="AL58" s="135">
        <f t="shared" si="27"/>
        <v>42</v>
      </c>
      <c r="AM58" s="196">
        <v>49184</v>
      </c>
      <c r="AN58" s="194">
        <v>0.30106228216782183</v>
      </c>
      <c r="AO58" s="194">
        <v>0.29895899797285008</v>
      </c>
      <c r="AP58" s="194">
        <v>0.49589041095890413</v>
      </c>
      <c r="AQ58" s="197">
        <f t="shared" si="8"/>
        <v>4.7512339738226661E-2</v>
      </c>
      <c r="AR58" s="198">
        <f t="shared" si="9"/>
        <v>2.3560913678408291E-2</v>
      </c>
      <c r="AS58" s="198">
        <f t="shared" si="23"/>
        <v>0.70017104053093437</v>
      </c>
      <c r="AT58" s="193">
        <f t="shared" si="10"/>
        <v>11.927867950385814</v>
      </c>
      <c r="AU58" s="363" t="str">
        <f t="shared" si="11"/>
        <v>252M</v>
      </c>
      <c r="AV58" s="135">
        <f t="shared" si="28"/>
        <v>42</v>
      </c>
      <c r="AW58" s="196">
        <v>49184</v>
      </c>
      <c r="AX58" s="194">
        <v>0.30106228216782183</v>
      </c>
      <c r="AY58" s="194">
        <v>0.29895899797285008</v>
      </c>
      <c r="AZ58" s="194">
        <v>0.49589041095890413</v>
      </c>
      <c r="BA58" s="197">
        <f t="shared" si="12"/>
        <v>4.7512339738226661E-2</v>
      </c>
      <c r="BB58" s="198">
        <f t="shared" si="13"/>
        <v>2.3560913678408291E-2</v>
      </c>
      <c r="BC58" s="198">
        <f t="shared" si="24"/>
        <v>0.69588729144964079</v>
      </c>
      <c r="BD58" s="193">
        <f t="shared" si="14"/>
        <v>11.845067280937018</v>
      </c>
      <c r="BE58" s="363" t="str">
        <f t="shared" si="15"/>
        <v>252M</v>
      </c>
      <c r="BF58" s="135">
        <f t="shared" si="29"/>
        <v>42</v>
      </c>
      <c r="BG58" s="196">
        <v>49184</v>
      </c>
      <c r="BH58" s="194">
        <v>0.30106228216782183</v>
      </c>
      <c r="BI58" s="194">
        <v>0.29895899797285008</v>
      </c>
      <c r="BJ58" s="194">
        <v>0.49589041095890413</v>
      </c>
      <c r="BK58" s="197">
        <f t="shared" si="16"/>
        <v>4.7512339738226661E-2</v>
      </c>
      <c r="BL58" s="198">
        <f t="shared" si="17"/>
        <v>2.3560913678408291E-2</v>
      </c>
      <c r="BM58" s="198">
        <f t="shared" si="25"/>
        <v>0.69166306828746871</v>
      </c>
      <c r="BN58" s="193">
        <f t="shared" si="18"/>
        <v>11.764937600825281</v>
      </c>
    </row>
    <row r="59" spans="2:66">
      <c r="B59" s="88" t="str">
        <f t="shared" si="45"/>
        <v>3Y</v>
      </c>
      <c r="C59" s="176">
        <f t="shared" si="44"/>
        <v>0.16839704749026033</v>
      </c>
      <c r="D59" s="176">
        <f t="shared" si="44"/>
        <v>0.16133132065534037</v>
      </c>
      <c r="E59" s="176">
        <f t="shared" si="44"/>
        <v>0.15610829839525783</v>
      </c>
      <c r="F59" s="176">
        <f t="shared" si="44"/>
        <v>0.14957840206668843</v>
      </c>
      <c r="G59" s="176">
        <f t="shared" si="44"/>
        <v>0.14648474465783662</v>
      </c>
      <c r="H59" s="176">
        <f t="shared" si="44"/>
        <v>0.14337052101297598</v>
      </c>
      <c r="I59" s="176">
        <f t="shared" si="44"/>
        <v>0.13897898861592378</v>
      </c>
      <c r="J59" s="176">
        <f t="shared" si="44"/>
        <v>0.14139431186067433</v>
      </c>
      <c r="K59" s="176">
        <f t="shared" si="44"/>
        <v>0.14574987512619916</v>
      </c>
      <c r="O59" s="363" t="str">
        <f t="shared" si="0"/>
        <v>132M</v>
      </c>
      <c r="P59" s="135">
        <f t="shared" si="19"/>
        <v>44</v>
      </c>
      <c r="Q59" s="189">
        <v>45532</v>
      </c>
      <c r="R59" s="190">
        <v>0.5252799771602269</v>
      </c>
      <c r="S59" s="190">
        <v>0.25205479452054796</v>
      </c>
      <c r="T59" s="190">
        <f t="shared" si="2"/>
        <v>8.1457072472394092</v>
      </c>
      <c r="U59" s="363"/>
      <c r="AA59" s="363" t="str">
        <f t="shared" si="4"/>
        <v>258M</v>
      </c>
      <c r="AB59" s="135">
        <f t="shared" si="26"/>
        <v>43</v>
      </c>
      <c r="AC59" s="196">
        <v>49368</v>
      </c>
      <c r="AD59" s="194">
        <v>0.29409307193515682</v>
      </c>
      <c r="AE59" s="194">
        <v>0.29204002787889832</v>
      </c>
      <c r="AF59" s="194">
        <v>0.50410958904109593</v>
      </c>
      <c r="AG59" s="197">
        <f t="shared" si="5"/>
        <v>4.6997430429587948E-2</v>
      </c>
      <c r="AH59" s="198">
        <f t="shared" si="21"/>
        <v>2.3691855339847079E-2</v>
      </c>
      <c r="AI59" s="198">
        <f t="shared" si="22"/>
        <v>0.71116382735354589</v>
      </c>
      <c r="AJ59" s="193">
        <f t="shared" si="6"/>
        <v>12.156252768130615</v>
      </c>
      <c r="AK59" s="363" t="str">
        <f t="shared" si="7"/>
        <v>258M</v>
      </c>
      <c r="AL59" s="135">
        <f t="shared" si="27"/>
        <v>43</v>
      </c>
      <c r="AM59" s="196">
        <v>49368</v>
      </c>
      <c r="AN59" s="194">
        <v>0.29409307193515682</v>
      </c>
      <c r="AO59" s="194">
        <v>0.29204002787889832</v>
      </c>
      <c r="AP59" s="194">
        <v>0.50410958904109593</v>
      </c>
      <c r="AQ59" s="197">
        <f t="shared" si="8"/>
        <v>4.6997430429587948E-2</v>
      </c>
      <c r="AR59" s="198">
        <f t="shared" si="9"/>
        <v>2.3691855339847079E-2</v>
      </c>
      <c r="AS59" s="198">
        <f t="shared" si="23"/>
        <v>0.70713865104767337</v>
      </c>
      <c r="AT59" s="193">
        <f t="shared" si="10"/>
        <v>12.076123088018878</v>
      </c>
      <c r="AU59" s="363" t="str">
        <f t="shared" si="11"/>
        <v>258M</v>
      </c>
      <c r="AV59" s="135">
        <f t="shared" si="28"/>
        <v>43</v>
      </c>
      <c r="AW59" s="196">
        <v>49368</v>
      </c>
      <c r="AX59" s="194">
        <v>0.29409307193515682</v>
      </c>
      <c r="AY59" s="194">
        <v>0.29204002787889832</v>
      </c>
      <c r="AZ59" s="194">
        <v>0.50410958904109593</v>
      </c>
      <c r="BA59" s="197">
        <f t="shared" si="12"/>
        <v>4.6997430429587948E-2</v>
      </c>
      <c r="BB59" s="198">
        <f t="shared" si="13"/>
        <v>2.3691855339847079E-2</v>
      </c>
      <c r="BC59" s="198">
        <f t="shared" si="24"/>
        <v>0.70285490196637979</v>
      </c>
      <c r="BD59" s="193">
        <f t="shared" si="14"/>
        <v>11.993322418570083</v>
      </c>
      <c r="BE59" s="363" t="str">
        <f t="shared" si="15"/>
        <v>258M</v>
      </c>
      <c r="BF59" s="135">
        <f t="shared" si="29"/>
        <v>43</v>
      </c>
      <c r="BG59" s="196">
        <v>49368</v>
      </c>
      <c r="BH59" s="194">
        <v>0.29409307193515682</v>
      </c>
      <c r="BI59" s="194">
        <v>0.29204002787889832</v>
      </c>
      <c r="BJ59" s="194">
        <v>0.50410958904109593</v>
      </c>
      <c r="BK59" s="197">
        <f t="shared" si="16"/>
        <v>4.6997430429587948E-2</v>
      </c>
      <c r="BL59" s="198">
        <f t="shared" si="17"/>
        <v>2.3691855339847079E-2</v>
      </c>
      <c r="BM59" s="198">
        <f t="shared" si="25"/>
        <v>0.69863067880420771</v>
      </c>
      <c r="BN59" s="193">
        <f t="shared" si="18"/>
        <v>11.913192738458346</v>
      </c>
    </row>
    <row r="60" spans="2:66">
      <c r="B60" s="88" t="str">
        <f t="shared" si="45"/>
        <v>5Y</v>
      </c>
      <c r="C60" s="176">
        <f t="shared" si="44"/>
        <v>0.14368090326939637</v>
      </c>
      <c r="D60" s="176">
        <f t="shared" si="44"/>
        <v>0.14256809622392735</v>
      </c>
      <c r="E60" s="176">
        <f t="shared" si="44"/>
        <v>0.14084248922880663</v>
      </c>
      <c r="F60" s="176">
        <f t="shared" si="44"/>
        <v>0.13829007123194206</v>
      </c>
      <c r="G60" s="176">
        <f t="shared" si="44"/>
        <v>0.13622250772032751</v>
      </c>
      <c r="H60" s="176">
        <f t="shared" si="44"/>
        <v>0.13561720071997382</v>
      </c>
      <c r="I60" s="176">
        <f t="shared" si="44"/>
        <v>0.1356831709312647</v>
      </c>
      <c r="J60" s="176">
        <f t="shared" si="44"/>
        <v>0.14052475484850779</v>
      </c>
      <c r="K60" s="176">
        <f t="shared" si="44"/>
        <v>0.14615968450972838</v>
      </c>
      <c r="O60" s="363" t="str">
        <f t="shared" si="0"/>
        <v>135M</v>
      </c>
      <c r="P60" s="135">
        <f t="shared" si="19"/>
        <v>45</v>
      </c>
      <c r="Q60" s="189">
        <v>45624</v>
      </c>
      <c r="R60" s="190">
        <v>0.51710672276988345</v>
      </c>
      <c r="S60" s="190">
        <v>0.25205479452054796</v>
      </c>
      <c r="T60" s="190">
        <f t="shared" si="2"/>
        <v>8.2760464759923664</v>
      </c>
      <c r="U60" s="363"/>
      <c r="AA60" s="363" t="str">
        <f t="shared" si="4"/>
        <v>264M</v>
      </c>
      <c r="AB60" s="135">
        <f t="shared" si="26"/>
        <v>44</v>
      </c>
      <c r="AC60" s="196">
        <v>49549</v>
      </c>
      <c r="AD60" s="194">
        <v>0.28746560761568529</v>
      </c>
      <c r="AE60" s="194">
        <v>0.28546258509942435</v>
      </c>
      <c r="AF60" s="194">
        <v>0.49589041095890413</v>
      </c>
      <c r="AG60" s="197">
        <f t="shared" si="5"/>
        <v>4.6464596903087366E-2</v>
      </c>
      <c r="AH60" s="198">
        <f t="shared" si="21"/>
        <v>2.3041348053311816E-2</v>
      </c>
      <c r="AI60" s="198">
        <f t="shared" si="22"/>
        <v>0.71778742247197569</v>
      </c>
      <c r="AJ60" s="193">
        <f t="shared" si="6"/>
        <v>12.298804206427709</v>
      </c>
      <c r="AK60" s="363" t="str">
        <f t="shared" si="7"/>
        <v>264M</v>
      </c>
      <c r="AL60" s="135">
        <f t="shared" si="27"/>
        <v>44</v>
      </c>
      <c r="AM60" s="196">
        <v>49549</v>
      </c>
      <c r="AN60" s="194">
        <v>0.28746560761568529</v>
      </c>
      <c r="AO60" s="194">
        <v>0.28546258509942435</v>
      </c>
      <c r="AP60" s="194">
        <v>0.49589041095890413</v>
      </c>
      <c r="AQ60" s="197">
        <f t="shared" si="8"/>
        <v>4.6464596903087366E-2</v>
      </c>
      <c r="AR60" s="198">
        <f t="shared" si="9"/>
        <v>2.3041348053311816E-2</v>
      </c>
      <c r="AS60" s="198">
        <f t="shared" si="23"/>
        <v>0.71376224616610318</v>
      </c>
      <c r="AT60" s="193">
        <f t="shared" si="10"/>
        <v>12.218674526315972</v>
      </c>
      <c r="AU60" s="363" t="str">
        <f t="shared" si="11"/>
        <v>264M</v>
      </c>
      <c r="AV60" s="135">
        <f t="shared" si="28"/>
        <v>44</v>
      </c>
      <c r="AW60" s="196">
        <v>49549</v>
      </c>
      <c r="AX60" s="194">
        <v>0.28746560761568529</v>
      </c>
      <c r="AY60" s="194">
        <v>0.28546258509942435</v>
      </c>
      <c r="AZ60" s="194">
        <v>0.49589041095890413</v>
      </c>
      <c r="BA60" s="197">
        <f t="shared" si="12"/>
        <v>4.6464596903087366E-2</v>
      </c>
      <c r="BB60" s="198">
        <f t="shared" si="13"/>
        <v>2.3041348053311816E-2</v>
      </c>
      <c r="BC60" s="198">
        <f t="shared" si="24"/>
        <v>0.70947849708480959</v>
      </c>
      <c r="BD60" s="193">
        <f t="shared" si="14"/>
        <v>12.135873856867176</v>
      </c>
      <c r="BE60" s="363" t="str">
        <f t="shared" si="15"/>
        <v>264M</v>
      </c>
      <c r="BF60" s="135">
        <f t="shared" si="29"/>
        <v>44</v>
      </c>
      <c r="BG60" s="196">
        <v>49549</v>
      </c>
      <c r="BH60" s="194">
        <v>0.28746560761568529</v>
      </c>
      <c r="BI60" s="194">
        <v>0.28546258509942435</v>
      </c>
      <c r="BJ60" s="194">
        <v>0.49589041095890413</v>
      </c>
      <c r="BK60" s="197">
        <f t="shared" si="16"/>
        <v>4.6464596903087366E-2</v>
      </c>
      <c r="BL60" s="198">
        <f t="shared" si="17"/>
        <v>2.3041348053311816E-2</v>
      </c>
      <c r="BM60" s="198">
        <f t="shared" si="25"/>
        <v>0.70525427392263751</v>
      </c>
      <c r="BN60" s="193">
        <f t="shared" si="18"/>
        <v>12.055744176755439</v>
      </c>
    </row>
    <row r="61" spans="2:66">
      <c r="B61" s="88" t="str">
        <f t="shared" si="45"/>
        <v>7Y</v>
      </c>
      <c r="C61" s="176">
        <f t="shared" si="44"/>
        <v>0.14283004198105209</v>
      </c>
      <c r="D61" s="176">
        <f t="shared" si="44"/>
        <v>0.1405729116873263</v>
      </c>
      <c r="E61" s="176">
        <f t="shared" si="44"/>
        <v>0.13897225187601953</v>
      </c>
      <c r="F61" s="176">
        <f t="shared" si="44"/>
        <v>0.13633611910293486</v>
      </c>
      <c r="G61" s="176">
        <f t="shared" si="44"/>
        <v>0.13593833684609521</v>
      </c>
      <c r="H61" s="176">
        <f t="shared" si="44"/>
        <v>0.13604957639449494</v>
      </c>
      <c r="I61" s="176">
        <f t="shared" si="44"/>
        <v>0.13810508883807909</v>
      </c>
      <c r="J61" s="176">
        <f t="shared" si="44"/>
        <v>0.14411738843469665</v>
      </c>
      <c r="K61" s="176">
        <f t="shared" si="44"/>
        <v>0.15049855139040644</v>
      </c>
      <c r="O61" s="363" t="str">
        <f t="shared" si="0"/>
        <v>138M</v>
      </c>
      <c r="P61" s="135">
        <f t="shared" si="19"/>
        <v>46</v>
      </c>
      <c r="Q61" s="189">
        <v>45716</v>
      </c>
      <c r="R61" s="190">
        <v>0.50903914055170885</v>
      </c>
      <c r="S61" s="190">
        <v>0.25205479452054796</v>
      </c>
      <c r="T61" s="190">
        <f t="shared" si="2"/>
        <v>8.4043522319670441</v>
      </c>
      <c r="U61" s="363"/>
      <c r="AA61" s="363" t="str">
        <f t="shared" si="4"/>
        <v>270M</v>
      </c>
      <c r="AB61" s="135">
        <f t="shared" si="26"/>
        <v>45</v>
      </c>
      <c r="AC61" s="196">
        <v>49733</v>
      </c>
      <c r="AD61" s="194">
        <v>0.2809516048877323</v>
      </c>
      <c r="AE61" s="194">
        <v>0.27899995151866663</v>
      </c>
      <c r="AF61" s="194">
        <v>0.50410958904109593</v>
      </c>
      <c r="AG61" s="197">
        <f t="shared" si="5"/>
        <v>4.594946366822019E-2</v>
      </c>
      <c r="AH61" s="198">
        <f t="shared" si="21"/>
        <v>2.316356524644525E-2</v>
      </c>
      <c r="AI61" s="198">
        <f t="shared" si="22"/>
        <v>0.72429526330288618</v>
      </c>
      <c r="AJ61" s="193">
        <f t="shared" si="6"/>
        <v>12.4404346045081</v>
      </c>
      <c r="AK61" s="363" t="str">
        <f t="shared" si="7"/>
        <v>270M</v>
      </c>
      <c r="AL61" s="135">
        <f t="shared" si="27"/>
        <v>45</v>
      </c>
      <c r="AM61" s="196">
        <v>49733</v>
      </c>
      <c r="AN61" s="194">
        <v>0.2809516048877323</v>
      </c>
      <c r="AO61" s="194">
        <v>0.27899995151866663</v>
      </c>
      <c r="AP61" s="194">
        <v>0.50410958904109593</v>
      </c>
      <c r="AQ61" s="197">
        <f t="shared" si="8"/>
        <v>4.594946366822019E-2</v>
      </c>
      <c r="AR61" s="198">
        <f t="shared" si="9"/>
        <v>2.316356524644525E-2</v>
      </c>
      <c r="AS61" s="198">
        <f t="shared" si="23"/>
        <v>0.72027008699701367</v>
      </c>
      <c r="AT61" s="193">
        <f t="shared" si="10"/>
        <v>12.360304924396363</v>
      </c>
      <c r="AU61" s="363" t="str">
        <f t="shared" si="11"/>
        <v>270M</v>
      </c>
      <c r="AV61" s="135">
        <f t="shared" si="28"/>
        <v>45</v>
      </c>
      <c r="AW61" s="196">
        <v>49733</v>
      </c>
      <c r="AX61" s="194">
        <v>0.2809516048877323</v>
      </c>
      <c r="AY61" s="194">
        <v>0.27899995151866663</v>
      </c>
      <c r="AZ61" s="194">
        <v>0.50410958904109593</v>
      </c>
      <c r="BA61" s="197">
        <f t="shared" si="12"/>
        <v>4.594946366822019E-2</v>
      </c>
      <c r="BB61" s="198">
        <f t="shared" si="13"/>
        <v>2.316356524644525E-2</v>
      </c>
      <c r="BC61" s="198">
        <f t="shared" si="24"/>
        <v>0.71598633791572008</v>
      </c>
      <c r="BD61" s="193">
        <f t="shared" si="14"/>
        <v>12.277504254947567</v>
      </c>
      <c r="BE61" s="363" t="str">
        <f t="shared" si="15"/>
        <v>270M</v>
      </c>
      <c r="BF61" s="135">
        <f t="shared" si="29"/>
        <v>45</v>
      </c>
      <c r="BG61" s="196">
        <v>49733</v>
      </c>
      <c r="BH61" s="194">
        <v>0.2809516048877323</v>
      </c>
      <c r="BI61" s="194">
        <v>0.27899995151866663</v>
      </c>
      <c r="BJ61" s="194">
        <v>0.50410958904109593</v>
      </c>
      <c r="BK61" s="197">
        <f t="shared" si="16"/>
        <v>4.594946366822019E-2</v>
      </c>
      <c r="BL61" s="198">
        <f t="shared" si="17"/>
        <v>2.316356524644525E-2</v>
      </c>
      <c r="BM61" s="198">
        <f t="shared" si="25"/>
        <v>0.711762114753548</v>
      </c>
      <c r="BN61" s="193">
        <f t="shared" si="18"/>
        <v>12.19737457483583</v>
      </c>
    </row>
    <row r="62" spans="2:66">
      <c r="B62" s="87" t="str">
        <f t="shared" si="45"/>
        <v>10Y</v>
      </c>
      <c r="C62" s="183">
        <f t="shared" si="44"/>
        <v>0.13836686127230491</v>
      </c>
      <c r="D62" s="183">
        <f t="shared" si="44"/>
        <v>0.13638242934468139</v>
      </c>
      <c r="E62" s="183">
        <f t="shared" si="44"/>
        <v>0.13623681562093362</v>
      </c>
      <c r="F62" s="183">
        <f t="shared" si="44"/>
        <v>0.13524165169770869</v>
      </c>
      <c r="G62" s="183">
        <f t="shared" si="44"/>
        <v>0.13547327084297786</v>
      </c>
      <c r="H62" s="183">
        <f t="shared" si="44"/>
        <v>0.13975053561326653</v>
      </c>
      <c r="I62" s="183">
        <f t="shared" si="44"/>
        <v>0.14417708364548557</v>
      </c>
      <c r="J62" s="183">
        <f t="shared" si="44"/>
        <v>0.15260923043547261</v>
      </c>
      <c r="K62" s="183">
        <f t="shared" si="44"/>
        <v>0.1602511921233693</v>
      </c>
      <c r="O62" s="363" t="str">
        <f t="shared" si="0"/>
        <v>141M</v>
      </c>
      <c r="P62" s="135">
        <f t="shared" si="19"/>
        <v>47</v>
      </c>
      <c r="Q62" s="189">
        <v>45805</v>
      </c>
      <c r="R62" s="190">
        <v>0.50133427657003371</v>
      </c>
      <c r="S62" s="190">
        <v>0.24383561643835616</v>
      </c>
      <c r="T62" s="190">
        <f t="shared" si="2"/>
        <v>8.5265953843361757</v>
      </c>
      <c r="U62" s="363"/>
      <c r="AA62" s="363" t="str">
        <f t="shared" si="4"/>
        <v>276M</v>
      </c>
      <c r="AB62" s="135">
        <f t="shared" si="26"/>
        <v>46</v>
      </c>
      <c r="AC62" s="196">
        <v>49915</v>
      </c>
      <c r="AD62" s="194">
        <v>0.27472175991186498</v>
      </c>
      <c r="AE62" s="194">
        <v>0.27282134829997201</v>
      </c>
      <c r="AF62" s="194">
        <v>0.49863013698630138</v>
      </c>
      <c r="AG62" s="197">
        <f t="shared" si="5"/>
        <v>4.5418567439592154E-2</v>
      </c>
      <c r="AH62" s="198">
        <f t="shared" si="21"/>
        <v>2.2647066504125402E-2</v>
      </c>
      <c r="AI62" s="198">
        <f t="shared" si="22"/>
        <v>0.73051690526974056</v>
      </c>
      <c r="AJ62" s="193">
        <f t="shared" si="6"/>
        <v>12.577419153286071</v>
      </c>
      <c r="AK62" s="363" t="str">
        <f t="shared" si="7"/>
        <v>276M</v>
      </c>
      <c r="AL62" s="135">
        <f t="shared" si="27"/>
        <v>46</v>
      </c>
      <c r="AM62" s="196">
        <v>49915</v>
      </c>
      <c r="AN62" s="194">
        <v>0.27472175991186498</v>
      </c>
      <c r="AO62" s="194">
        <v>0.27282134829997201</v>
      </c>
      <c r="AP62" s="194">
        <v>0.49863013698630138</v>
      </c>
      <c r="AQ62" s="197">
        <f t="shared" si="8"/>
        <v>4.5418567439592154E-2</v>
      </c>
      <c r="AR62" s="198">
        <f t="shared" si="9"/>
        <v>2.2647066504125402E-2</v>
      </c>
      <c r="AS62" s="198">
        <f t="shared" si="23"/>
        <v>0.72649172896386804</v>
      </c>
      <c r="AT62" s="193">
        <f t="shared" si="10"/>
        <v>12.497289473174334</v>
      </c>
      <c r="AU62" s="363" t="str">
        <f t="shared" si="11"/>
        <v>276M</v>
      </c>
      <c r="AV62" s="135">
        <f t="shared" si="28"/>
        <v>46</v>
      </c>
      <c r="AW62" s="196">
        <v>49915</v>
      </c>
      <c r="AX62" s="194">
        <v>0.27472175991186498</v>
      </c>
      <c r="AY62" s="194">
        <v>0.27282134829997201</v>
      </c>
      <c r="AZ62" s="194">
        <v>0.49863013698630138</v>
      </c>
      <c r="BA62" s="197">
        <f t="shared" si="12"/>
        <v>4.5418567439592154E-2</v>
      </c>
      <c r="BB62" s="198">
        <f t="shared" si="13"/>
        <v>2.2647066504125402E-2</v>
      </c>
      <c r="BC62" s="198">
        <f t="shared" si="24"/>
        <v>0.72220797988257446</v>
      </c>
      <c r="BD62" s="193">
        <f t="shared" si="14"/>
        <v>12.414488803725538</v>
      </c>
      <c r="BE62" s="363" t="str">
        <f t="shared" si="15"/>
        <v>276M</v>
      </c>
      <c r="BF62" s="135">
        <f t="shared" si="29"/>
        <v>46</v>
      </c>
      <c r="BG62" s="196">
        <v>49915</v>
      </c>
      <c r="BH62" s="194">
        <v>0.27472175991186498</v>
      </c>
      <c r="BI62" s="194">
        <v>0.27282134829997201</v>
      </c>
      <c r="BJ62" s="194">
        <v>0.49863013698630138</v>
      </c>
      <c r="BK62" s="197">
        <f t="shared" si="16"/>
        <v>4.5418567439592154E-2</v>
      </c>
      <c r="BL62" s="198">
        <f t="shared" si="17"/>
        <v>2.2647066504125402E-2</v>
      </c>
      <c r="BM62" s="198">
        <f t="shared" si="25"/>
        <v>0.71798375672040238</v>
      </c>
      <c r="BN62" s="193">
        <f t="shared" si="18"/>
        <v>12.334359123613801</v>
      </c>
    </row>
    <row r="63" spans="2:66">
      <c r="O63" s="363" t="str">
        <f t="shared" si="0"/>
        <v>144M</v>
      </c>
      <c r="P63" s="135">
        <f t="shared" si="19"/>
        <v>48</v>
      </c>
      <c r="Q63" s="189">
        <v>45897</v>
      </c>
      <c r="R63" s="190">
        <v>0.49347175817144623</v>
      </c>
      <c r="S63" s="190">
        <v>0.25205479452054796</v>
      </c>
      <c r="T63" s="190">
        <f t="shared" si="2"/>
        <v>8.6509773069437728</v>
      </c>
      <c r="U63" s="363"/>
      <c r="AA63" s="363" t="str">
        <f t="shared" si="4"/>
        <v>282M</v>
      </c>
      <c r="AB63" s="135">
        <f t="shared" si="26"/>
        <v>47</v>
      </c>
      <c r="AC63" s="196">
        <v>50098</v>
      </c>
      <c r="AD63" s="194">
        <v>0.26866377920978429</v>
      </c>
      <c r="AE63" s="194">
        <v>0.26681524629768522</v>
      </c>
      <c r="AF63" s="194">
        <v>0.50136986301369868</v>
      </c>
      <c r="AG63" s="197">
        <f t="shared" si="5"/>
        <v>4.4897673357419281E-2</v>
      </c>
      <c r="AH63" s="198">
        <f t="shared" si="21"/>
        <v>2.2510340340843094E-2</v>
      </c>
      <c r="AI63" s="198">
        <f t="shared" si="22"/>
        <v>0.73656461837700993</v>
      </c>
      <c r="AJ63" s="193">
        <f t="shared" si="6"/>
        <v>12.712119075465223</v>
      </c>
      <c r="AK63" s="363" t="str">
        <f t="shared" si="7"/>
        <v>282M</v>
      </c>
      <c r="AL63" s="135">
        <f t="shared" si="27"/>
        <v>47</v>
      </c>
      <c r="AM63" s="196">
        <v>50098</v>
      </c>
      <c r="AN63" s="194">
        <v>0.26866377920978429</v>
      </c>
      <c r="AO63" s="194">
        <v>0.26681524629768522</v>
      </c>
      <c r="AP63" s="194">
        <v>0.50136986301369868</v>
      </c>
      <c r="AQ63" s="197">
        <f t="shared" si="8"/>
        <v>4.4897673357419281E-2</v>
      </c>
      <c r="AR63" s="198">
        <f t="shared" si="9"/>
        <v>2.2510340340843094E-2</v>
      </c>
      <c r="AS63" s="198">
        <f t="shared" si="23"/>
        <v>0.73253944207113741</v>
      </c>
      <c r="AT63" s="193">
        <f t="shared" si="10"/>
        <v>12.631989395353486</v>
      </c>
      <c r="AU63" s="363" t="str">
        <f t="shared" si="11"/>
        <v>282M</v>
      </c>
      <c r="AV63" s="135">
        <f t="shared" si="28"/>
        <v>47</v>
      </c>
      <c r="AW63" s="196">
        <v>50098</v>
      </c>
      <c r="AX63" s="194">
        <v>0.26866377920978429</v>
      </c>
      <c r="AY63" s="194">
        <v>0.26681524629768522</v>
      </c>
      <c r="AZ63" s="194">
        <v>0.50136986301369868</v>
      </c>
      <c r="BA63" s="197">
        <f t="shared" si="12"/>
        <v>4.4897673357419281E-2</v>
      </c>
      <c r="BB63" s="198">
        <f t="shared" si="13"/>
        <v>2.2510340340843094E-2</v>
      </c>
      <c r="BC63" s="198">
        <f t="shared" si="24"/>
        <v>0.72825569298984383</v>
      </c>
      <c r="BD63" s="193">
        <f t="shared" si="14"/>
        <v>12.54918872590469</v>
      </c>
      <c r="BE63" s="363" t="str">
        <f t="shared" si="15"/>
        <v>282M</v>
      </c>
      <c r="BF63" s="135">
        <f t="shared" si="29"/>
        <v>47</v>
      </c>
      <c r="BG63" s="196">
        <v>50098</v>
      </c>
      <c r="BH63" s="194">
        <v>0.26866377920978429</v>
      </c>
      <c r="BI63" s="194">
        <v>0.26681524629768522</v>
      </c>
      <c r="BJ63" s="194">
        <v>0.50136986301369868</v>
      </c>
      <c r="BK63" s="197">
        <f t="shared" si="16"/>
        <v>4.4897673357419281E-2</v>
      </c>
      <c r="BL63" s="198">
        <f t="shared" si="17"/>
        <v>2.2510340340843094E-2</v>
      </c>
      <c r="BM63" s="198">
        <f t="shared" si="25"/>
        <v>0.72403146982767175</v>
      </c>
      <c r="BN63" s="193">
        <f t="shared" si="18"/>
        <v>12.469059045792953</v>
      </c>
    </row>
    <row r="64" spans="2:66">
      <c r="O64" s="363" t="str">
        <f t="shared" si="0"/>
        <v>147M</v>
      </c>
      <c r="P64" s="135">
        <f t="shared" si="19"/>
        <v>49</v>
      </c>
      <c r="Q64" s="189">
        <v>45989</v>
      </c>
      <c r="R64" s="190">
        <v>0.48601520873010984</v>
      </c>
      <c r="S64" s="190">
        <v>0.25205479452054796</v>
      </c>
      <c r="T64" s="190">
        <f t="shared" si="2"/>
        <v>8.7734797705141023</v>
      </c>
      <c r="U64" s="363"/>
      <c r="AA64" s="363" t="str">
        <f t="shared" si="4"/>
        <v>288M</v>
      </c>
      <c r="AB64" s="135">
        <f t="shared" si="26"/>
        <v>48</v>
      </c>
      <c r="AC64" s="196">
        <v>50280</v>
      </c>
      <c r="AD64" s="194">
        <v>0.26283641887325515</v>
      </c>
      <c r="AE64" s="194">
        <v>0.26103976513062765</v>
      </c>
      <c r="AF64" s="194">
        <v>0.49863013698630138</v>
      </c>
      <c r="AG64" s="197">
        <f t="shared" si="5"/>
        <v>4.4371384341863933E-2</v>
      </c>
      <c r="AH64" s="198">
        <f t="shared" si="21"/>
        <v>2.2124909452655439E-2</v>
      </c>
      <c r="AI64" s="198">
        <f t="shared" si="22"/>
        <v>0.74237985034544096</v>
      </c>
      <c r="AJ64" s="193">
        <f t="shared" si="6"/>
        <v>12.843177235012982</v>
      </c>
      <c r="AK64" s="363" t="str">
        <f t="shared" si="7"/>
        <v>288M</v>
      </c>
      <c r="AL64" s="135">
        <f t="shared" si="27"/>
        <v>48</v>
      </c>
      <c r="AM64" s="196">
        <v>50280</v>
      </c>
      <c r="AN64" s="194">
        <v>0.26283641887325515</v>
      </c>
      <c r="AO64" s="194">
        <v>0.26103976513062765</v>
      </c>
      <c r="AP64" s="194">
        <v>0.49863013698630138</v>
      </c>
      <c r="AQ64" s="197">
        <f t="shared" si="8"/>
        <v>4.4371384341863933E-2</v>
      </c>
      <c r="AR64" s="198">
        <f t="shared" si="9"/>
        <v>2.2124909452655439E-2</v>
      </c>
      <c r="AS64" s="198">
        <f t="shared" si="23"/>
        <v>0.73835467403956845</v>
      </c>
      <c r="AT64" s="193">
        <f t="shared" si="10"/>
        <v>12.763047554901245</v>
      </c>
      <c r="AU64" s="363" t="str">
        <f t="shared" si="11"/>
        <v>288M</v>
      </c>
      <c r="AV64" s="135">
        <f t="shared" si="28"/>
        <v>48</v>
      </c>
      <c r="AW64" s="196">
        <v>50280</v>
      </c>
      <c r="AX64" s="194">
        <v>0.26283641887325515</v>
      </c>
      <c r="AY64" s="194">
        <v>0.26103976513062765</v>
      </c>
      <c r="AZ64" s="194">
        <v>0.49863013698630138</v>
      </c>
      <c r="BA64" s="197">
        <f t="shared" si="12"/>
        <v>4.4371384341863933E-2</v>
      </c>
      <c r="BB64" s="198">
        <f t="shared" si="13"/>
        <v>2.2124909452655439E-2</v>
      </c>
      <c r="BC64" s="198">
        <f t="shared" si="24"/>
        <v>0.73407092495827486</v>
      </c>
      <c r="BD64" s="193">
        <f t="shared" si="14"/>
        <v>12.680246885452449</v>
      </c>
      <c r="BE64" s="363" t="str">
        <f t="shared" si="15"/>
        <v>288M</v>
      </c>
      <c r="BF64" s="135">
        <f t="shared" si="29"/>
        <v>48</v>
      </c>
      <c r="BG64" s="196">
        <v>50280</v>
      </c>
      <c r="BH64" s="194">
        <v>0.26283641887325515</v>
      </c>
      <c r="BI64" s="194">
        <v>0.26103976513062765</v>
      </c>
      <c r="BJ64" s="194">
        <v>0.49863013698630138</v>
      </c>
      <c r="BK64" s="197">
        <f t="shared" si="16"/>
        <v>4.4371384341863933E-2</v>
      </c>
      <c r="BL64" s="198">
        <f t="shared" si="17"/>
        <v>2.2124909452655439E-2</v>
      </c>
      <c r="BM64" s="198">
        <f t="shared" si="25"/>
        <v>0.72984670179610278</v>
      </c>
      <c r="BN64" s="193">
        <f t="shared" si="18"/>
        <v>12.600117205340712</v>
      </c>
    </row>
    <row r="65" spans="1:66">
      <c r="B65" s="187"/>
      <c r="C65" s="393" t="s">
        <v>337</v>
      </c>
      <c r="D65" s="394"/>
      <c r="E65" s="394"/>
      <c r="F65" s="394"/>
      <c r="G65" s="394"/>
      <c r="H65" s="394"/>
      <c r="I65" s="394"/>
      <c r="J65" s="394"/>
      <c r="K65" s="402"/>
      <c r="O65" s="363" t="str">
        <f t="shared" si="0"/>
        <v>150M</v>
      </c>
      <c r="P65" s="135">
        <f t="shared" si="19"/>
        <v>50</v>
      </c>
      <c r="Q65" s="189">
        <v>46080</v>
      </c>
      <c r="R65" s="190">
        <v>0.47874273684189306</v>
      </c>
      <c r="S65" s="190">
        <v>0.24931506849315069</v>
      </c>
      <c r="T65" s="190">
        <f t="shared" si="2"/>
        <v>8.8928375487404381</v>
      </c>
      <c r="U65" s="363"/>
      <c r="AA65" s="363" t="str">
        <f t="shared" si="4"/>
        <v>294M</v>
      </c>
      <c r="AB65" s="135">
        <f t="shared" si="26"/>
        <v>49</v>
      </c>
      <c r="AC65" s="196">
        <v>50462</v>
      </c>
      <c r="AD65" s="194">
        <v>0.25719890969744674</v>
      </c>
      <c r="AE65" s="194">
        <v>0.25545435510051884</v>
      </c>
      <c r="AF65" s="194">
        <v>0.49863013698630138</v>
      </c>
      <c r="AG65" s="197">
        <f t="shared" si="5"/>
        <v>4.3849356656728004E-2</v>
      </c>
      <c r="AH65" s="198">
        <f t="shared" si="21"/>
        <v>2.1864610716505473E-2</v>
      </c>
      <c r="AI65" s="198">
        <f t="shared" si="22"/>
        <v>0.74800340438268531</v>
      </c>
      <c r="AJ65" s="193">
        <f t="shared" si="6"/>
        <v>12.971424362588147</v>
      </c>
      <c r="AK65" s="363" t="str">
        <f t="shared" si="7"/>
        <v>294M</v>
      </c>
      <c r="AL65" s="135">
        <f t="shared" si="27"/>
        <v>49</v>
      </c>
      <c r="AM65" s="196">
        <v>50462</v>
      </c>
      <c r="AN65" s="194">
        <v>0.25719890969744674</v>
      </c>
      <c r="AO65" s="194">
        <v>0.25545435510051884</v>
      </c>
      <c r="AP65" s="194">
        <v>0.49863013698630138</v>
      </c>
      <c r="AQ65" s="197">
        <f t="shared" si="8"/>
        <v>4.3849356656728004E-2</v>
      </c>
      <c r="AR65" s="198">
        <f t="shared" si="9"/>
        <v>2.1864610716505473E-2</v>
      </c>
      <c r="AS65" s="198">
        <f t="shared" si="23"/>
        <v>0.7439782280768128</v>
      </c>
      <c r="AT65" s="193">
        <f t="shared" si="10"/>
        <v>12.89129468247641</v>
      </c>
      <c r="AU65" s="363" t="str">
        <f t="shared" si="11"/>
        <v>294M</v>
      </c>
      <c r="AV65" s="135">
        <f t="shared" si="28"/>
        <v>49</v>
      </c>
      <c r="AW65" s="196">
        <v>50462</v>
      </c>
      <c r="AX65" s="194">
        <v>0.25719890969744674</v>
      </c>
      <c r="AY65" s="194">
        <v>0.25545435510051884</v>
      </c>
      <c r="AZ65" s="194">
        <v>0.49863013698630138</v>
      </c>
      <c r="BA65" s="197">
        <f t="shared" si="12"/>
        <v>4.3849356656728004E-2</v>
      </c>
      <c r="BB65" s="198">
        <f t="shared" si="13"/>
        <v>2.1864610716505473E-2</v>
      </c>
      <c r="BC65" s="198">
        <f t="shared" si="24"/>
        <v>0.73969447899551921</v>
      </c>
      <c r="BD65" s="193">
        <f t="shared" si="14"/>
        <v>12.808494013027614</v>
      </c>
      <c r="BE65" s="363" t="str">
        <f t="shared" si="15"/>
        <v>294M</v>
      </c>
      <c r="BF65" s="135">
        <f t="shared" si="29"/>
        <v>49</v>
      </c>
      <c r="BG65" s="196">
        <v>50462</v>
      </c>
      <c r="BH65" s="194">
        <v>0.25719890969744674</v>
      </c>
      <c r="BI65" s="194">
        <v>0.25545435510051884</v>
      </c>
      <c r="BJ65" s="194">
        <v>0.49863013698630138</v>
      </c>
      <c r="BK65" s="197">
        <f t="shared" si="16"/>
        <v>4.3849356656728004E-2</v>
      </c>
      <c r="BL65" s="198">
        <f t="shared" si="17"/>
        <v>2.1864610716505473E-2</v>
      </c>
      <c r="BM65" s="198">
        <f t="shared" si="25"/>
        <v>0.73547025583334713</v>
      </c>
      <c r="BN65" s="193">
        <f t="shared" si="18"/>
        <v>12.728364332915877</v>
      </c>
    </row>
    <row r="66" spans="1:66">
      <c r="B66" s="29"/>
      <c r="C66" s="348" t="str">
        <f>C9</f>
        <v>1Y</v>
      </c>
      <c r="D66" s="348" t="str">
        <f t="shared" ref="D66:K66" si="46">D9</f>
        <v>2Y</v>
      </c>
      <c r="E66" s="348" t="str">
        <f t="shared" si="46"/>
        <v>3Y</v>
      </c>
      <c r="F66" s="348" t="str">
        <f t="shared" si="46"/>
        <v>4Y</v>
      </c>
      <c r="G66" s="348" t="str">
        <f t="shared" si="46"/>
        <v>5Y</v>
      </c>
      <c r="H66" s="348" t="str">
        <f t="shared" si="46"/>
        <v>7Y</v>
      </c>
      <c r="I66" s="348" t="str">
        <f t="shared" si="46"/>
        <v>10Y</v>
      </c>
      <c r="J66" s="348" t="str">
        <f t="shared" si="46"/>
        <v>15Y</v>
      </c>
      <c r="K66" s="4" t="str">
        <f t="shared" si="46"/>
        <v>20Y</v>
      </c>
      <c r="O66" s="363" t="str">
        <f t="shared" si="0"/>
        <v>153M</v>
      </c>
      <c r="P66" s="135">
        <f t="shared" si="19"/>
        <v>51</v>
      </c>
      <c r="Q66" s="189">
        <v>46170</v>
      </c>
      <c r="R66" s="190">
        <v>0.47164968719897266</v>
      </c>
      <c r="S66" s="190">
        <v>0.24657534246575341</v>
      </c>
      <c r="T66" s="190">
        <f t="shared" si="2"/>
        <v>9.0091347318853909</v>
      </c>
      <c r="U66" s="363"/>
      <c r="AA66" s="363" t="str">
        <f t="shared" si="4"/>
        <v>300M</v>
      </c>
      <c r="AB66" s="135">
        <f t="shared" si="26"/>
        <v>50</v>
      </c>
      <c r="AC66" s="196">
        <v>50647</v>
      </c>
      <c r="AD66" s="194">
        <v>0.25165602002360404</v>
      </c>
      <c r="AE66" s="194">
        <v>0.24996458965550999</v>
      </c>
      <c r="AF66" s="194">
        <v>0.50684931506849318</v>
      </c>
      <c r="AG66" s="197">
        <f t="shared" si="5"/>
        <v>4.3330772834226053E-2</v>
      </c>
      <c r="AH66" s="198">
        <f t="shared" si="21"/>
        <v>2.1962172532415947E-2</v>
      </c>
      <c r="AI66" s="198">
        <f t="shared" si="22"/>
        <v>0.75353031731326481</v>
      </c>
      <c r="AJ66" s="193">
        <f t="shared" si="6"/>
        <v>13.098976043969973</v>
      </c>
      <c r="AK66" s="363" t="str">
        <f t="shared" si="7"/>
        <v>300M</v>
      </c>
      <c r="AL66" s="135">
        <f t="shared" si="27"/>
        <v>50</v>
      </c>
      <c r="AM66" s="196">
        <v>50647</v>
      </c>
      <c r="AN66" s="194">
        <v>0.25165602002360404</v>
      </c>
      <c r="AO66" s="194">
        <v>0.24996458965550999</v>
      </c>
      <c r="AP66" s="194">
        <v>0.50684931506849318</v>
      </c>
      <c r="AQ66" s="197">
        <f t="shared" si="8"/>
        <v>4.3330772834226053E-2</v>
      </c>
      <c r="AR66" s="198">
        <f t="shared" si="9"/>
        <v>2.1962172532415947E-2</v>
      </c>
      <c r="AS66" s="198">
        <f t="shared" si="23"/>
        <v>0.74950514100739229</v>
      </c>
      <c r="AT66" s="193">
        <f t="shared" si="10"/>
        <v>13.018846363858236</v>
      </c>
      <c r="AU66" s="363" t="str">
        <f t="shared" si="11"/>
        <v>300M</v>
      </c>
      <c r="AV66" s="135">
        <f t="shared" si="28"/>
        <v>50</v>
      </c>
      <c r="AW66" s="196">
        <v>50647</v>
      </c>
      <c r="AX66" s="194">
        <v>0.25165602002360404</v>
      </c>
      <c r="AY66" s="194">
        <v>0.24996458965550999</v>
      </c>
      <c r="AZ66" s="194">
        <v>0.50684931506849318</v>
      </c>
      <c r="BA66" s="197">
        <f t="shared" si="12"/>
        <v>4.3330772834226053E-2</v>
      </c>
      <c r="BB66" s="198">
        <f t="shared" si="13"/>
        <v>2.1962172532415947E-2</v>
      </c>
      <c r="BC66" s="198">
        <f t="shared" si="24"/>
        <v>0.74522139192609871</v>
      </c>
      <c r="BD66" s="193">
        <f t="shared" si="14"/>
        <v>12.93604569440944</v>
      </c>
      <c r="BE66" s="363" t="str">
        <f t="shared" si="15"/>
        <v>300M</v>
      </c>
      <c r="BF66" s="135">
        <f t="shared" si="29"/>
        <v>50</v>
      </c>
      <c r="BG66" s="196">
        <v>50647</v>
      </c>
      <c r="BH66" s="194">
        <v>0.25165602002360404</v>
      </c>
      <c r="BI66" s="194">
        <v>0.24996458965550999</v>
      </c>
      <c r="BJ66" s="194">
        <v>0.50684931506849318</v>
      </c>
      <c r="BK66" s="197">
        <f t="shared" si="16"/>
        <v>4.3330772834226053E-2</v>
      </c>
      <c r="BL66" s="198">
        <f t="shared" si="17"/>
        <v>2.1962172532415947E-2</v>
      </c>
      <c r="BM66" s="198">
        <f t="shared" si="25"/>
        <v>0.74099716876392663</v>
      </c>
      <c r="BN66" s="193">
        <f t="shared" si="18"/>
        <v>12.855916014297703</v>
      </c>
    </row>
    <row r="67" spans="1:66">
      <c r="A67" s="200"/>
      <c r="B67" s="88" t="str">
        <f>B10</f>
        <v>1M</v>
      </c>
      <c r="C67" s="201">
        <f>_xll.HLV5r3.Analytics.Options.Opt(1,C39,C39,C53,$A39)*SQRT(2*PI()/$A39)*10000/SQRT($F$6)</f>
        <v>3.999790902817471</v>
      </c>
      <c r="D67" s="201">
        <f>_xll.HLV5r3.Analytics.Options.Opt(1,D39,D39,D53,$A39)*SQRT(2*PI()/$A39)*10000/SQRT($F$6)</f>
        <v>4.4997143503693247</v>
      </c>
      <c r="E67" s="201">
        <f>_xll.HLV5r3.Analytics.Options.Opt(1,E39,E39,E53,$A39)*SQRT(2*PI()/$A39)*10000/SQRT($F$6)</f>
        <v>4.6996833655964521</v>
      </c>
      <c r="F67" s="201">
        <f>_xll.HLV5r3.Analytics.Options.Opt(1,F39,F39,F53,$A39)*SQRT(2*PI()/$A39)*10000/SQRT($F$6)</f>
        <v>4.6997065017022752</v>
      </c>
      <c r="G67" s="201">
        <f>_xll.HLV5r3.Analytics.Options.Opt(1,G39,G39,G53,$A39)*SQRT(2*PI()/$A39)*10000/SQRT($F$6)</f>
        <v>4.6997176496759625</v>
      </c>
      <c r="H67" s="201">
        <f>_xll.HLV5r3.Analytics.Options.Opt(1,H39,H39,H53,$A39)*SQRT(2*PI()/$A39)*10000/SQRT($F$6)</f>
        <v>4.6997329443527471</v>
      </c>
      <c r="I67" s="201">
        <f>_xll.HLV5r3.Analytics.Options.Opt(1,I39,I39,I53,$A39)*SQRT(2*PI()/$A39)*10000/SQRT($F$6)</f>
        <v>4.6497506426676329</v>
      </c>
      <c r="J67" s="201">
        <f>_xll.HLV5r3.Analytics.Options.Opt(1,J39,J39,J53,$A39)*SQRT(2*PI()/$A39)*10000/SQRT($F$6)</f>
        <v>4.6497571722515101</v>
      </c>
      <c r="K67" s="201">
        <f>_xll.HLV5r3.Analytics.Options.Opt(1,K39,K39,K53,$A39)*SQRT(2*PI()/$A39)*10000/SQRT($F$6)</f>
        <v>4.6497491637694912</v>
      </c>
      <c r="O67" s="363" t="str">
        <f t="shared" si="0"/>
        <v>156M</v>
      </c>
      <c r="P67" s="135">
        <f t="shared" si="19"/>
        <v>52</v>
      </c>
      <c r="Q67" s="189">
        <v>46262</v>
      </c>
      <c r="R67" s="190">
        <v>0.4644999942013483</v>
      </c>
      <c r="S67" s="190">
        <v>0.25205479452054796</v>
      </c>
      <c r="T67" s="190">
        <f t="shared" si="2"/>
        <v>9.1262141824786074</v>
      </c>
      <c r="U67" s="363"/>
      <c r="AA67" s="363" t="str">
        <f t="shared" si="4"/>
        <v>306M</v>
      </c>
      <c r="AB67" s="135">
        <f t="shared" si="26"/>
        <v>51</v>
      </c>
      <c r="AC67" s="196">
        <v>50829</v>
      </c>
      <c r="AD67" s="194">
        <v>0.24648400878504775</v>
      </c>
      <c r="AE67" s="194">
        <v>0.24481742019661387</v>
      </c>
      <c r="AF67" s="194">
        <v>0.49863013698630138</v>
      </c>
      <c r="AG67" s="197">
        <f t="shared" si="5"/>
        <v>4.216456517013862E-2</v>
      </c>
      <c r="AH67" s="198">
        <f t="shared" si="21"/>
        <v>2.1024522906754051E-2</v>
      </c>
      <c r="AI67" s="198">
        <f t="shared" si="22"/>
        <v>0.75871252600211458</v>
      </c>
      <c r="AJ67" s="193">
        <f t="shared" si="6"/>
        <v>13.221880399035394</v>
      </c>
      <c r="AK67" s="363" t="str">
        <f t="shared" si="7"/>
        <v>306M</v>
      </c>
      <c r="AL67" s="135">
        <f t="shared" si="27"/>
        <v>51</v>
      </c>
      <c r="AM67" s="196">
        <v>50829</v>
      </c>
      <c r="AN67" s="194">
        <v>0.24648400878504775</v>
      </c>
      <c r="AO67" s="194">
        <v>0.24481742019661387</v>
      </c>
      <c r="AP67" s="194">
        <v>0.49863013698630138</v>
      </c>
      <c r="AQ67" s="197">
        <f t="shared" si="8"/>
        <v>4.216456517013862E-2</v>
      </c>
      <c r="AR67" s="198">
        <f t="shared" si="9"/>
        <v>2.1024522906754051E-2</v>
      </c>
      <c r="AS67" s="198">
        <f t="shared" si="23"/>
        <v>0.75468734969624207</v>
      </c>
      <c r="AT67" s="193">
        <f t="shared" si="10"/>
        <v>13.141750718923657</v>
      </c>
      <c r="AU67" s="363" t="str">
        <f t="shared" si="11"/>
        <v>306M</v>
      </c>
      <c r="AV67" s="135">
        <f t="shared" si="28"/>
        <v>51</v>
      </c>
      <c r="AW67" s="196">
        <v>50829</v>
      </c>
      <c r="AX67" s="194">
        <v>0.24648400878504775</v>
      </c>
      <c r="AY67" s="194">
        <v>0.24481742019661387</v>
      </c>
      <c r="AZ67" s="194">
        <v>0.49863013698630138</v>
      </c>
      <c r="BA67" s="197">
        <f t="shared" si="12"/>
        <v>4.216456517013862E-2</v>
      </c>
      <c r="BB67" s="198">
        <f t="shared" si="13"/>
        <v>2.1024522906754051E-2</v>
      </c>
      <c r="BC67" s="198">
        <f t="shared" si="24"/>
        <v>0.75040360061494848</v>
      </c>
      <c r="BD67" s="193">
        <f t="shared" si="14"/>
        <v>13.058950049474861</v>
      </c>
      <c r="BE67" s="363" t="str">
        <f t="shared" si="15"/>
        <v>306M</v>
      </c>
      <c r="BF67" s="135">
        <f t="shared" si="29"/>
        <v>51</v>
      </c>
      <c r="BG67" s="196">
        <v>50829</v>
      </c>
      <c r="BH67" s="194">
        <v>0.24648400878504775</v>
      </c>
      <c r="BI67" s="194">
        <v>0.24481742019661387</v>
      </c>
      <c r="BJ67" s="194">
        <v>0.49863013698630138</v>
      </c>
      <c r="BK67" s="197">
        <f t="shared" si="16"/>
        <v>4.216456517013862E-2</v>
      </c>
      <c r="BL67" s="198">
        <f t="shared" si="17"/>
        <v>2.1024522906754051E-2</v>
      </c>
      <c r="BM67" s="198">
        <f t="shared" si="25"/>
        <v>0.7461793774527764</v>
      </c>
      <c r="BN67" s="193">
        <f t="shared" si="18"/>
        <v>12.978820369363124</v>
      </c>
    </row>
    <row r="68" spans="1:66">
      <c r="A68" s="200"/>
      <c r="B68" s="88" t="str">
        <f t="shared" ref="B68:B76" si="47">B11</f>
        <v>2M</v>
      </c>
      <c r="C68" s="201">
        <f>_xll.HLV5r3.Analytics.Options.Opt(1,C40,C40,C54,$A40)*SQRT(2*PI()/$A40)*10000/SQRT($F$6)</f>
        <v>4.0995523842942712</v>
      </c>
      <c r="D68" s="201">
        <f>_xll.HLV5r3.Analytics.Options.Opt(1,D40,D40,D54,$A40)*SQRT(2*PI()/$A40)*10000/SQRT($F$6)</f>
        <v>4.5993926910618947</v>
      </c>
      <c r="E68" s="201">
        <f>_xll.HLV5r3.Analytics.Options.Opt(1,E40,E40,E54,$A40)*SQRT(2*PI()/$A40)*10000/SQRT($F$6)</f>
        <v>4.7993281718440004</v>
      </c>
      <c r="F68" s="201">
        <f>_xll.HLV5r3.Analytics.Options.Opt(1,F40,F40,F54,$A40)*SQRT(2*PI()/$A40)*10000/SQRT($F$6)</f>
        <v>4.7993767876843751</v>
      </c>
      <c r="G68" s="201">
        <f>_xll.HLV5r3.Analytics.Options.Opt(1,G40,G40,G54,$A40)*SQRT(2*PI()/$A40)*10000/SQRT($F$6)</f>
        <v>4.7994005257514623</v>
      </c>
      <c r="H68" s="201">
        <f>_xll.HLV5r3.Analytics.Options.Opt(1,H40,H40,H54,$A40)*SQRT(2*PI()/$A40)*10000/SQRT($F$6)</f>
        <v>4.7994329411649765</v>
      </c>
      <c r="I68" s="201">
        <f>_xll.HLV5r3.Analytics.Options.Opt(1,I40,I40,I54,$A40)*SQRT(2*PI()/$A40)*10000/SQRT($F$6)</f>
        <v>4.7494699331079095</v>
      </c>
      <c r="J68" s="201">
        <f>_xll.HLV5r3.Analytics.Options.Opt(1,J40,J40,J54,$A40)*SQRT(2*PI()/$A40)*10000/SQRT($F$6)</f>
        <v>4.7494835610975565</v>
      </c>
      <c r="K68" s="201">
        <f>_xll.HLV5r3.Analytics.Options.Opt(1,K40,K40,K54,$A40)*SQRT(2*PI()/$A40)*10000/SQRT($F$6)</f>
        <v>4.7494662304523274</v>
      </c>
      <c r="O68" s="363" t="str">
        <f t="shared" si="0"/>
        <v>159M</v>
      </c>
      <c r="P68" s="135">
        <f t="shared" si="19"/>
        <v>53</v>
      </c>
      <c r="Q68" s="189">
        <v>46356</v>
      </c>
      <c r="R68" s="190">
        <v>0.4572989609142063</v>
      </c>
      <c r="S68" s="190">
        <v>0.25753424657534246</v>
      </c>
      <c r="T68" s="190">
        <f t="shared" si="2"/>
        <v>9.2439843258373351</v>
      </c>
      <c r="U68" s="363"/>
      <c r="AA68" s="363" t="str">
        <f t="shared" si="4"/>
        <v>312M</v>
      </c>
      <c r="AB68" s="135">
        <f t="shared" si="26"/>
        <v>52</v>
      </c>
      <c r="AC68" s="196">
        <v>51011</v>
      </c>
      <c r="AD68" s="194">
        <v>0.24148184630594691</v>
      </c>
      <c r="AE68" s="194">
        <v>0.23984024048284155</v>
      </c>
      <c r="AF68" s="194">
        <v>0.49863013698630138</v>
      </c>
      <c r="AG68" s="197">
        <f t="shared" si="5"/>
        <v>4.1618147766755507E-2</v>
      </c>
      <c r="AH68" s="198">
        <f t="shared" si="21"/>
        <v>2.0752062722053433E-2</v>
      </c>
      <c r="AI68" s="198">
        <f t="shared" si="22"/>
        <v>0.76372377242289291</v>
      </c>
      <c r="AJ68" s="193">
        <f t="shared" si="6"/>
        <v>13.342290525138633</v>
      </c>
      <c r="AK68" s="363" t="str">
        <f t="shared" si="7"/>
        <v>312M</v>
      </c>
      <c r="AL68" s="135">
        <f t="shared" si="27"/>
        <v>52</v>
      </c>
      <c r="AM68" s="196">
        <v>51011</v>
      </c>
      <c r="AN68" s="194">
        <v>0.24148184630594691</v>
      </c>
      <c r="AO68" s="194">
        <v>0.23984024048284155</v>
      </c>
      <c r="AP68" s="194">
        <v>0.49863013698630138</v>
      </c>
      <c r="AQ68" s="197">
        <f t="shared" si="8"/>
        <v>4.1618147766755507E-2</v>
      </c>
      <c r="AR68" s="198">
        <f t="shared" si="9"/>
        <v>2.0752062722053433E-2</v>
      </c>
      <c r="AS68" s="198">
        <f t="shared" si="23"/>
        <v>0.7596985961170204</v>
      </c>
      <c r="AT68" s="193">
        <f t="shared" si="10"/>
        <v>13.262160845026896</v>
      </c>
      <c r="AU68" s="363" t="str">
        <f t="shared" si="11"/>
        <v>312M</v>
      </c>
      <c r="AV68" s="135">
        <f t="shared" si="28"/>
        <v>52</v>
      </c>
      <c r="AW68" s="196">
        <v>51011</v>
      </c>
      <c r="AX68" s="194">
        <v>0.24148184630594691</v>
      </c>
      <c r="AY68" s="194">
        <v>0.23984024048284155</v>
      </c>
      <c r="AZ68" s="194">
        <v>0.49863013698630138</v>
      </c>
      <c r="BA68" s="197">
        <f t="shared" si="12"/>
        <v>4.1618147766755507E-2</v>
      </c>
      <c r="BB68" s="198">
        <f t="shared" si="13"/>
        <v>2.0752062722053433E-2</v>
      </c>
      <c r="BC68" s="198">
        <f t="shared" si="24"/>
        <v>0.75541484703572681</v>
      </c>
      <c r="BD68" s="193">
        <f t="shared" si="14"/>
        <v>13.1793601755781</v>
      </c>
      <c r="BE68" s="363" t="str">
        <f t="shared" si="15"/>
        <v>312M</v>
      </c>
      <c r="BF68" s="135">
        <f t="shared" si="29"/>
        <v>52</v>
      </c>
      <c r="BG68" s="196">
        <v>51011</v>
      </c>
      <c r="BH68" s="194">
        <v>0.24148184630594691</v>
      </c>
      <c r="BI68" s="194">
        <v>0.23984024048284155</v>
      </c>
      <c r="BJ68" s="194">
        <v>0.49863013698630138</v>
      </c>
      <c r="BK68" s="197">
        <f t="shared" si="16"/>
        <v>4.1618147766755507E-2</v>
      </c>
      <c r="BL68" s="198">
        <f t="shared" si="17"/>
        <v>2.0752062722053433E-2</v>
      </c>
      <c r="BM68" s="198">
        <f t="shared" si="25"/>
        <v>0.75119062387355473</v>
      </c>
      <c r="BN68" s="193">
        <f t="shared" si="18"/>
        <v>13.099230495466363</v>
      </c>
    </row>
    <row r="69" spans="1:66">
      <c r="A69" s="200"/>
      <c r="B69" s="88" t="str">
        <f t="shared" si="47"/>
        <v>3M</v>
      </c>
      <c r="C69" s="201">
        <f>_xll.HLV5r3.Analytics.Options.Opt(1,C41,C41,C55,$A41)*SQRT(2*PI()/$A41)*10000/SQRT($F$6)</f>
        <v>4.4991257969981442</v>
      </c>
      <c r="D69" s="201">
        <f>_xll.HLV5r3.Analytics.Options.Opt(1,D41,D41,D55,$A41)*SQRT(2*PI()/$A41)*10000/SQRT($F$6)</f>
        <v>5.1986974748116879</v>
      </c>
      <c r="E69" s="201">
        <f>_xll.HLV5r3.Analytics.Options.Opt(1,E41,E41,E55,$A41)*SQRT(2*PI()/$A41)*10000/SQRT($F$6)</f>
        <v>5.1987336358758984</v>
      </c>
      <c r="F69" s="201">
        <f>_xll.HLV5r3.Analytics.Options.Opt(1,F41,F41,F55,$A41)*SQRT(2*PI()/$A41)*10000/SQRT($F$6)</f>
        <v>5.1988144406241013</v>
      </c>
      <c r="G69" s="201">
        <f>_xll.HLV5r3.Analytics.Options.Opt(1,G41,G41,G55,$A41)*SQRT(2*PI()/$A41)*10000/SQRT($F$6)</f>
        <v>5.1988598897924243</v>
      </c>
      <c r="H69" s="201">
        <f>_xll.HLV5r3.Analytics.Options.Opt(1,H41,H41,H55,$A41)*SQRT(2*PI()/$A41)*10000/SQRT($F$6)</f>
        <v>5.0989826152835986</v>
      </c>
      <c r="I69" s="201">
        <f>_xll.HLV5r3.Analytics.Options.Opt(1,I41,I41,I55,$A41)*SQRT(2*PI()/$A41)*10000/SQRT($F$6)</f>
        <v>4.9990749313362173</v>
      </c>
      <c r="J69" s="201">
        <f>_xll.HLV5r3.Analytics.Options.Opt(1,J41,J41,J55,$A41)*SQRT(2*PI()/$A41)*10000/SQRT($F$6)</f>
        <v>4.9990983522622123</v>
      </c>
      <c r="K69" s="201">
        <f>_xll.HLV5r3.Analytics.Options.Opt(1,K41,K41,K55,$A41)*SQRT(2*PI()/$A41)*10000/SQRT($F$6)</f>
        <v>4.9990676147821311</v>
      </c>
      <c r="O69" s="363" t="str">
        <f t="shared" si="0"/>
        <v>162M</v>
      </c>
      <c r="P69" s="135">
        <f t="shared" si="19"/>
        <v>54</v>
      </c>
      <c r="Q69" s="189">
        <v>46444</v>
      </c>
      <c r="R69" s="190">
        <v>0.45065169805727606</v>
      </c>
      <c r="S69" s="190">
        <v>0.24109589041095891</v>
      </c>
      <c r="T69" s="190">
        <f t="shared" si="2"/>
        <v>9.3526345982456647</v>
      </c>
      <c r="U69" s="363"/>
      <c r="AA69" s="363" t="str">
        <f t="shared" si="4"/>
        <v>318M</v>
      </c>
      <c r="AB69" s="135">
        <f t="shared" si="26"/>
        <v>53</v>
      </c>
      <c r="AC69" s="196">
        <v>51194</v>
      </c>
      <c r="AD69" s="194">
        <v>0.236617342133502</v>
      </c>
      <c r="AE69" s="194">
        <v>0.23500096605674514</v>
      </c>
      <c r="AF69" s="194">
        <v>0.50136986301369868</v>
      </c>
      <c r="AG69" s="197">
        <f t="shared" si="5"/>
        <v>4.1072617239008347E-2</v>
      </c>
      <c r="AH69" s="198">
        <f t="shared" si="21"/>
        <v>2.0592572478735693E-2</v>
      </c>
      <c r="AI69" s="198">
        <f t="shared" si="22"/>
        <v>0.76859633219050283</v>
      </c>
      <c r="AJ69" s="193">
        <f t="shared" si="6"/>
        <v>13.460923329550772</v>
      </c>
      <c r="AK69" s="363" t="str">
        <f t="shared" si="7"/>
        <v>318M</v>
      </c>
      <c r="AL69" s="135">
        <f t="shared" si="27"/>
        <v>53</v>
      </c>
      <c r="AM69" s="196">
        <v>51194</v>
      </c>
      <c r="AN69" s="194">
        <v>0.236617342133502</v>
      </c>
      <c r="AO69" s="194">
        <v>0.23500096605674514</v>
      </c>
      <c r="AP69" s="194">
        <v>0.50136986301369868</v>
      </c>
      <c r="AQ69" s="197">
        <f t="shared" si="8"/>
        <v>4.1072617239008347E-2</v>
      </c>
      <c r="AR69" s="198">
        <f t="shared" si="9"/>
        <v>2.0592572478735693E-2</v>
      </c>
      <c r="AS69" s="198">
        <f t="shared" si="23"/>
        <v>0.76457115588463032</v>
      </c>
      <c r="AT69" s="193">
        <f t="shared" si="10"/>
        <v>13.380793649439035</v>
      </c>
      <c r="AU69" s="363" t="str">
        <f t="shared" si="11"/>
        <v>318M</v>
      </c>
      <c r="AV69" s="135">
        <f t="shared" si="28"/>
        <v>53</v>
      </c>
      <c r="AW69" s="196">
        <v>51194</v>
      </c>
      <c r="AX69" s="194">
        <v>0.236617342133502</v>
      </c>
      <c r="AY69" s="194">
        <v>0.23500096605674514</v>
      </c>
      <c r="AZ69" s="194">
        <v>0.50136986301369868</v>
      </c>
      <c r="BA69" s="197">
        <f t="shared" si="12"/>
        <v>4.1072617239008347E-2</v>
      </c>
      <c r="BB69" s="198">
        <f t="shared" si="13"/>
        <v>2.0592572478735693E-2</v>
      </c>
      <c r="BC69" s="198">
        <f t="shared" si="24"/>
        <v>0.76028740680333673</v>
      </c>
      <c r="BD69" s="193">
        <f t="shared" si="14"/>
        <v>13.297992979990239</v>
      </c>
      <c r="BE69" s="363" t="str">
        <f t="shared" si="15"/>
        <v>318M</v>
      </c>
      <c r="BF69" s="135">
        <f t="shared" si="29"/>
        <v>53</v>
      </c>
      <c r="BG69" s="196">
        <v>51194</v>
      </c>
      <c r="BH69" s="194">
        <v>0.236617342133502</v>
      </c>
      <c r="BI69" s="194">
        <v>0.23500096605674514</v>
      </c>
      <c r="BJ69" s="194">
        <v>0.50136986301369868</v>
      </c>
      <c r="BK69" s="197">
        <f t="shared" si="16"/>
        <v>4.1072617239008347E-2</v>
      </c>
      <c r="BL69" s="198">
        <f t="shared" si="17"/>
        <v>2.0592572478735693E-2</v>
      </c>
      <c r="BM69" s="198">
        <f t="shared" si="25"/>
        <v>0.75606318364116465</v>
      </c>
      <c r="BN69" s="193">
        <f t="shared" si="18"/>
        <v>13.217863299878502</v>
      </c>
    </row>
    <row r="70" spans="1:66">
      <c r="A70" s="200"/>
      <c r="B70" s="88" t="str">
        <f t="shared" si="47"/>
        <v>6M</v>
      </c>
      <c r="C70" s="201">
        <f>_xll.HLV5r3.Analytics.Options.Opt(1,C42,C42,C56,$A42)*SQRT(2*PI()/$A42)*10000/SQRT($F$6)</f>
        <v>5.1973666434498114</v>
      </c>
      <c r="D70" s="201">
        <f>_xll.HLV5r3.Analytics.Options.Opt(1,D42,D42,D56,$A42)*SQRT(2*PI()/$A42)*10000/SQRT($F$6)</f>
        <v>5.2972896151737165</v>
      </c>
      <c r="E70" s="201">
        <f>_xll.HLV5r3.Analytics.Options.Opt(1,E42,E42,E56,$A42)*SQRT(2*PI()/$A42)*10000/SQRT($F$6)</f>
        <v>5.3972168748884384</v>
      </c>
      <c r="F70" s="201">
        <f>_xll.HLV5r3.Analytics.Options.Opt(1,F42,F42,F56,$A42)*SQRT(2*PI()/$A42)*10000/SQRT($F$6)</f>
        <v>5.3974246861926787</v>
      </c>
      <c r="G70" s="201">
        <f>_xll.HLV5r3.Analytics.Options.Opt(1,G42,G42,G56,$A42)*SQRT(2*PI()/$A42)*10000/SQRT($F$6)</f>
        <v>5.3975156683555641</v>
      </c>
      <c r="H70" s="201">
        <f>_xll.HLV5r3.Analytics.Options.Opt(1,H42,H42,H56,$A42)*SQRT(2*PI()/$A42)*10000/SQRT($F$6)</f>
        <v>5.3476922175010211</v>
      </c>
      <c r="I70" s="201">
        <f>_xll.HLV5r3.Analytics.Options.Opt(1,I42,I42,I56,$A42)*SQRT(2*PI()/$A42)*10000/SQRT($F$6)</f>
        <v>5.1979456717021542</v>
      </c>
      <c r="J70" s="201">
        <f>_xll.HLV5r3.Analytics.Options.Opt(1,J42,J42,J56,$A42)*SQRT(2*PI()/$A42)*10000/SQRT($F$6)</f>
        <v>5.1979789511032264</v>
      </c>
      <c r="K70" s="201">
        <f>_xll.HLV5r3.Analytics.Options.Opt(1,K42,K42,K56,$A42)*SQRT(2*PI()/$A42)*10000/SQRT($F$6)</f>
        <v>5.1979030816193559</v>
      </c>
      <c r="AA70" s="363" t="str">
        <f t="shared" si="4"/>
        <v>324M</v>
      </c>
      <c r="AB70" s="135">
        <f t="shared" si="26"/>
        <v>54</v>
      </c>
      <c r="AC70" s="196">
        <v>51376</v>
      </c>
      <c r="AD70" s="194">
        <v>0.23193783628278422</v>
      </c>
      <c r="AE70" s="194">
        <v>0.23034663168163963</v>
      </c>
      <c r="AF70" s="194">
        <v>0.49863013698630138</v>
      </c>
      <c r="AG70" s="197">
        <f t="shared" si="5"/>
        <v>4.0522589576691206E-2</v>
      </c>
      <c r="AH70" s="198">
        <f t="shared" si="21"/>
        <v>2.0205784391665205E-2</v>
      </c>
      <c r="AI70" s="198">
        <f t="shared" si="22"/>
        <v>0.77328281810270216</v>
      </c>
      <c r="AJ70" s="193">
        <f t="shared" si="6"/>
        <v>13.576574524628763</v>
      </c>
      <c r="AK70" s="363" t="str">
        <f t="shared" si="7"/>
        <v>324M</v>
      </c>
      <c r="AL70" s="135">
        <f t="shared" si="27"/>
        <v>54</v>
      </c>
      <c r="AM70" s="196">
        <v>51376</v>
      </c>
      <c r="AN70" s="194">
        <v>0.23193783628278422</v>
      </c>
      <c r="AO70" s="194">
        <v>0.23034663168163963</v>
      </c>
      <c r="AP70" s="194">
        <v>0.49863013698630138</v>
      </c>
      <c r="AQ70" s="197">
        <f t="shared" si="8"/>
        <v>4.0522589576691206E-2</v>
      </c>
      <c r="AR70" s="198">
        <f t="shared" si="9"/>
        <v>2.0205784391665205E-2</v>
      </c>
      <c r="AS70" s="198">
        <f t="shared" si="23"/>
        <v>0.76925764179682965</v>
      </c>
      <c r="AT70" s="193">
        <f t="shared" si="10"/>
        <v>13.496444844517026</v>
      </c>
      <c r="AU70" s="363" t="str">
        <f t="shared" si="11"/>
        <v>324M</v>
      </c>
      <c r="AV70" s="135">
        <f t="shared" si="28"/>
        <v>54</v>
      </c>
      <c r="AW70" s="196">
        <v>51376</v>
      </c>
      <c r="AX70" s="194">
        <v>0.23193783628278422</v>
      </c>
      <c r="AY70" s="194">
        <v>0.23034663168163963</v>
      </c>
      <c r="AZ70" s="194">
        <v>0.49863013698630138</v>
      </c>
      <c r="BA70" s="197">
        <f t="shared" si="12"/>
        <v>4.0522589576691206E-2</v>
      </c>
      <c r="BB70" s="198">
        <f t="shared" si="13"/>
        <v>2.0205784391665205E-2</v>
      </c>
      <c r="BC70" s="198">
        <f t="shared" si="24"/>
        <v>0.76497389271553606</v>
      </c>
      <c r="BD70" s="193">
        <f t="shared" si="14"/>
        <v>13.41364417506823</v>
      </c>
      <c r="BE70" s="363" t="str">
        <f t="shared" si="15"/>
        <v>324M</v>
      </c>
      <c r="BF70" s="135">
        <f t="shared" si="29"/>
        <v>54</v>
      </c>
      <c r="BG70" s="196">
        <v>51376</v>
      </c>
      <c r="BH70" s="194">
        <v>0.23193783628278422</v>
      </c>
      <c r="BI70" s="194">
        <v>0.23034663168163963</v>
      </c>
      <c r="BJ70" s="194">
        <v>0.49863013698630138</v>
      </c>
      <c r="BK70" s="197">
        <f t="shared" si="16"/>
        <v>4.0522589576691206E-2</v>
      </c>
      <c r="BL70" s="198">
        <f t="shared" si="17"/>
        <v>2.0205784391665205E-2</v>
      </c>
      <c r="BM70" s="198">
        <f t="shared" si="25"/>
        <v>0.76074966955336398</v>
      </c>
      <c r="BN70" s="193">
        <f t="shared" si="18"/>
        <v>13.333514494956493</v>
      </c>
    </row>
    <row r="71" spans="1:66">
      <c r="A71" s="200"/>
      <c r="B71" s="88" t="str">
        <f t="shared" si="47"/>
        <v>1Y</v>
      </c>
      <c r="C71" s="201">
        <f>_xll.HLV5r3.Analytics.Options.Opt(1,C43,C43,C57,$A43)*SQRT(2*PI()/$A43)*10000/SQRT($F$6)</f>
        <v>5.7929497404226282</v>
      </c>
      <c r="D71" s="201">
        <f>_xll.HLV5r3.Analytics.Options.Opt(1,D43,D43,D57,$A43)*SQRT(2*PI()/$A43)*10000/SQRT($F$6)</f>
        <v>5.992361435016111</v>
      </c>
      <c r="E71" s="201">
        <f>_xll.HLV5r3.Analytics.Options.Opt(1,E43,E43,E57,$A43)*SQRT(2*PI()/$A43)*10000/SQRT($F$6)</f>
        <v>5.9926223828294543</v>
      </c>
      <c r="F71" s="201">
        <f>_xll.HLV5r3.Analytics.Options.Opt(1,F43,F43,F57,$A43)*SQRT(2*PI()/$A43)*10000/SQRT($F$6)</f>
        <v>5.8935356555141887</v>
      </c>
      <c r="G71" s="201">
        <f>_xll.HLV5r3.Analytics.Options.Opt(1,G43,G43,G57,$A43)*SQRT(2*PI()/$A43)*10000/SQRT($F$6)</f>
        <v>5.7940575889840789</v>
      </c>
      <c r="H71" s="201">
        <f>_xll.HLV5r3.Analytics.Options.Opt(1,H43,H43,H57,$A43)*SQRT(2*PI()/$A43)*10000/SQRT($F$6)</f>
        <v>5.6446979151066428</v>
      </c>
      <c r="I71" s="201">
        <f>_xll.HLV5r3.Analytics.Options.Opt(1,I43,I43,I57,$A43)*SQRT(2*PI()/$A43)*10000/SQRT($F$6)</f>
        <v>5.4952306839245901</v>
      </c>
      <c r="J71" s="201">
        <f>_xll.HLV5r3.Analytics.Options.Opt(1,J43,J43,J57,$A43)*SQRT(2*PI()/$A43)*10000/SQRT($F$6)</f>
        <v>5.4952575903816703</v>
      </c>
      <c r="K71" s="201">
        <f>_xll.HLV5r3.Analytics.Options.Opt(1,K43,K43,K57,$A43)*SQRT(2*PI()/$A43)*10000/SQRT($F$6)</f>
        <v>5.4950560509799224</v>
      </c>
      <c r="AA71" s="363" t="str">
        <f t="shared" si="4"/>
        <v>330M</v>
      </c>
      <c r="AB71" s="135">
        <f t="shared" si="26"/>
        <v>55</v>
      </c>
      <c r="AC71" s="196">
        <v>51560</v>
      </c>
      <c r="AD71" s="194">
        <v>0.22736182241898797</v>
      </c>
      <c r="AE71" s="194">
        <v>0.22579611917751954</v>
      </c>
      <c r="AF71" s="194">
        <v>0.50410958904109593</v>
      </c>
      <c r="AG71" s="197">
        <f t="shared" si="5"/>
        <v>3.9977799009420396E-2</v>
      </c>
      <c r="AH71" s="198">
        <f t="shared" si="21"/>
        <v>2.0153191829406447E-2</v>
      </c>
      <c r="AI71" s="198">
        <f t="shared" si="22"/>
        <v>0.77786488452459546</v>
      </c>
      <c r="AJ71" s="193">
        <f t="shared" si="6"/>
        <v>13.691189799492033</v>
      </c>
      <c r="AK71" s="363" t="str">
        <f t="shared" si="7"/>
        <v>330M</v>
      </c>
      <c r="AL71" s="135">
        <f t="shared" si="27"/>
        <v>55</v>
      </c>
      <c r="AM71" s="196">
        <v>51560</v>
      </c>
      <c r="AN71" s="194">
        <v>0.22736182241898797</v>
      </c>
      <c r="AO71" s="194">
        <v>0.22579611917751954</v>
      </c>
      <c r="AP71" s="194">
        <v>0.50410958904109593</v>
      </c>
      <c r="AQ71" s="197">
        <f t="shared" si="8"/>
        <v>3.9977799009420396E-2</v>
      </c>
      <c r="AR71" s="198">
        <f t="shared" si="9"/>
        <v>2.0153191829406447E-2</v>
      </c>
      <c r="AS71" s="198">
        <f t="shared" si="23"/>
        <v>0.77383970821872294</v>
      </c>
      <c r="AT71" s="193">
        <f t="shared" si="10"/>
        <v>13.611060119380296</v>
      </c>
      <c r="AU71" s="363" t="str">
        <f t="shared" si="11"/>
        <v>330M</v>
      </c>
      <c r="AV71" s="135">
        <f t="shared" si="28"/>
        <v>55</v>
      </c>
      <c r="AW71" s="196">
        <v>51560</v>
      </c>
      <c r="AX71" s="194">
        <v>0.22736182241898797</v>
      </c>
      <c r="AY71" s="194">
        <v>0.22579611917751954</v>
      </c>
      <c r="AZ71" s="194">
        <v>0.50410958904109593</v>
      </c>
      <c r="BA71" s="197">
        <f t="shared" si="12"/>
        <v>3.9977799009420396E-2</v>
      </c>
      <c r="BB71" s="198">
        <f t="shared" si="13"/>
        <v>2.0153191829406447E-2</v>
      </c>
      <c r="BC71" s="198">
        <f t="shared" si="24"/>
        <v>0.76955595913742936</v>
      </c>
      <c r="BD71" s="193">
        <f t="shared" si="14"/>
        <v>13.5282594499315</v>
      </c>
      <c r="BE71" s="363" t="str">
        <f t="shared" si="15"/>
        <v>330M</v>
      </c>
      <c r="BF71" s="135">
        <f t="shared" si="29"/>
        <v>55</v>
      </c>
      <c r="BG71" s="196">
        <v>51560</v>
      </c>
      <c r="BH71" s="194">
        <v>0.22736182241898797</v>
      </c>
      <c r="BI71" s="194">
        <v>0.22579611917751954</v>
      </c>
      <c r="BJ71" s="194">
        <v>0.50410958904109593</v>
      </c>
      <c r="BK71" s="197">
        <f t="shared" si="16"/>
        <v>3.9977799009420396E-2</v>
      </c>
      <c r="BL71" s="198">
        <f t="shared" si="17"/>
        <v>2.0153191829406447E-2</v>
      </c>
      <c r="BM71" s="198">
        <f t="shared" si="25"/>
        <v>0.76533173597525728</v>
      </c>
      <c r="BN71" s="193">
        <f t="shared" si="18"/>
        <v>13.448129769819763</v>
      </c>
    </row>
    <row r="72" spans="1:66">
      <c r="A72" s="200"/>
      <c r="B72" s="88" t="str">
        <f t="shared" si="47"/>
        <v>2Y</v>
      </c>
      <c r="C72" s="201">
        <f>_xll.HLV5r3.Analytics.Options.Opt(1,C44,C44,C58,$A44)*SQRT(2*PI()/$A44)*10000/SQRT($F$6)</f>
        <v>6.2827283488946994</v>
      </c>
      <c r="D72" s="201">
        <f>_xll.HLV5r3.Analytics.Options.Opt(1,D44,D44,D58,$A44)*SQRT(2*PI()/$A44)*10000/SQRT($F$6)</f>
        <v>6.2834423455100206</v>
      </c>
      <c r="E72" s="201">
        <f>_xll.HLV5r3.Analytics.Options.Opt(1,E44,E44,E58,$A44)*SQRT(2*PI()/$A44)*10000/SQRT($F$6)</f>
        <v>6.1353255499695596</v>
      </c>
      <c r="F72" s="201">
        <f>_xll.HLV5r3.Analytics.Options.Opt(1,F44,F44,F58,$A44)*SQRT(2*PI()/$A44)*10000/SQRT($F$6)</f>
        <v>6.0071872264616877</v>
      </c>
      <c r="G72" s="201">
        <f>_xll.HLV5r3.Analytics.Options.Opt(1,G44,G44,G58,$A44)*SQRT(2*PI()/$A44)*10000/SQRT($F$6)</f>
        <v>5.8881781270314439</v>
      </c>
      <c r="H72" s="201">
        <f>_xll.HLV5r3.Analytics.Options.Opt(1,H44,H44,H58,$A44)*SQRT(2*PI()/$A44)*10000/SQRT($F$6)</f>
        <v>5.7392542047821129</v>
      </c>
      <c r="I72" s="201">
        <f>_xll.HLV5r3.Analytics.Options.Opt(1,I44,I44,I58,$A44)*SQRT(2*PI()/$A44)*10000/SQRT($F$6)</f>
        <v>5.4907757748609436</v>
      </c>
      <c r="J72" s="201">
        <f>_xll.HLV5r3.Analytics.Options.Opt(1,J44,J44,J58,$A44)*SQRT(2*PI()/$A44)*10000/SQRT($F$6)</f>
        <v>5.4906223432551267</v>
      </c>
      <c r="K72" s="201">
        <f>_xll.HLV5r3.Analytics.Options.Opt(1,K44,K44,K58,$A44)*SQRT(2*PI()/$A44)*10000/SQRT($F$6)</f>
        <v>5.4901320803049236</v>
      </c>
      <c r="AA72" s="363" t="str">
        <f t="shared" si="4"/>
        <v>336M</v>
      </c>
      <c r="AB72" s="135">
        <f t="shared" si="26"/>
        <v>56</v>
      </c>
      <c r="AC72" s="196">
        <v>51741</v>
      </c>
      <c r="AD72" s="194">
        <v>0.22300706628259659</v>
      </c>
      <c r="AE72" s="194">
        <v>0.22146647646701428</v>
      </c>
      <c r="AF72" s="194">
        <v>0.49589041095890413</v>
      </c>
      <c r="AG72" s="197">
        <f t="shared" si="5"/>
        <v>3.9423788169523272E-2</v>
      </c>
      <c r="AH72" s="198">
        <f t="shared" si="21"/>
        <v>1.9549878516941677E-2</v>
      </c>
      <c r="AI72" s="198">
        <f t="shared" si="22"/>
        <v>0.78222464557883975</v>
      </c>
      <c r="AJ72" s="193">
        <f t="shared" si="6"/>
        <v>13.801776865237649</v>
      </c>
      <c r="AK72" s="363" t="str">
        <f t="shared" si="7"/>
        <v>336M</v>
      </c>
      <c r="AL72" s="135">
        <f t="shared" si="27"/>
        <v>56</v>
      </c>
      <c r="AM72" s="196">
        <v>51741</v>
      </c>
      <c r="AN72" s="194">
        <v>0.22300706628259659</v>
      </c>
      <c r="AO72" s="194">
        <v>0.22146647646701428</v>
      </c>
      <c r="AP72" s="194">
        <v>0.49589041095890413</v>
      </c>
      <c r="AQ72" s="197">
        <f t="shared" si="8"/>
        <v>3.9423788169523272E-2</v>
      </c>
      <c r="AR72" s="198">
        <f t="shared" si="9"/>
        <v>1.9549878516941677E-2</v>
      </c>
      <c r="AS72" s="198">
        <f t="shared" si="23"/>
        <v>0.77819946927296724</v>
      </c>
      <c r="AT72" s="193">
        <f t="shared" si="10"/>
        <v>13.721647185125912</v>
      </c>
      <c r="AU72" s="363" t="str">
        <f t="shared" si="11"/>
        <v>336M</v>
      </c>
      <c r="AV72" s="135">
        <f t="shared" si="28"/>
        <v>56</v>
      </c>
      <c r="AW72" s="196">
        <v>51741</v>
      </c>
      <c r="AX72" s="194">
        <v>0.22300706628259659</v>
      </c>
      <c r="AY72" s="194">
        <v>0.22146647646701428</v>
      </c>
      <c r="AZ72" s="194">
        <v>0.49589041095890413</v>
      </c>
      <c r="BA72" s="197">
        <f t="shared" si="12"/>
        <v>3.9423788169523272E-2</v>
      </c>
      <c r="BB72" s="198">
        <f t="shared" si="13"/>
        <v>1.9549878516941677E-2</v>
      </c>
      <c r="BC72" s="198">
        <f t="shared" si="24"/>
        <v>0.77391572019167365</v>
      </c>
      <c r="BD72" s="193">
        <f t="shared" si="14"/>
        <v>13.638846515677116</v>
      </c>
      <c r="BE72" s="363" t="str">
        <f t="shared" si="15"/>
        <v>336M</v>
      </c>
      <c r="BF72" s="135">
        <f t="shared" si="29"/>
        <v>56</v>
      </c>
      <c r="BG72" s="196">
        <v>51741</v>
      </c>
      <c r="BH72" s="194">
        <v>0.22300706628259659</v>
      </c>
      <c r="BI72" s="194">
        <v>0.22146647646701428</v>
      </c>
      <c r="BJ72" s="194">
        <v>0.49589041095890413</v>
      </c>
      <c r="BK72" s="197">
        <f t="shared" si="16"/>
        <v>3.9423788169523272E-2</v>
      </c>
      <c r="BL72" s="198">
        <f t="shared" si="17"/>
        <v>1.9549878516941677E-2</v>
      </c>
      <c r="BM72" s="198">
        <f t="shared" si="25"/>
        <v>0.76969149702950157</v>
      </c>
      <c r="BN72" s="193">
        <f t="shared" si="18"/>
        <v>13.558716835565379</v>
      </c>
    </row>
    <row r="73" spans="1:66">
      <c r="A73" s="200"/>
      <c r="B73" s="88" t="str">
        <f t="shared" si="47"/>
        <v>3Y</v>
      </c>
      <c r="C73" s="201">
        <f>_xll.HLV5r3.Analytics.Options.Opt(1,C45,C45,C59,$A45)*SQRT(2*PI()/$A45)*10000/SQRT($F$6)</f>
        <v>6.078446163056002</v>
      </c>
      <c r="D73" s="201">
        <f>_xll.HLV5r3.Analytics.Options.Opt(1,D45,D45,D59,$A45)*SQRT(2*PI()/$A45)*10000/SQRT($F$6)</f>
        <v>5.9805361806656681</v>
      </c>
      <c r="E73" s="201">
        <f>_xll.HLV5r3.Analytics.Options.Opt(1,E45,E45,E59,$A45)*SQRT(2*PI()/$A45)*10000/SQRT($F$6)</f>
        <v>5.8820764389434403</v>
      </c>
      <c r="F73" s="201">
        <f>_xll.HLV5r3.Analytics.Options.Opt(1,F45,F45,F59,$A45)*SQRT(2*PI()/$A45)*10000/SQRT($F$6)</f>
        <v>5.7838198160070107</v>
      </c>
      <c r="G73" s="201">
        <f>_xll.HLV5r3.Analytics.Options.Opt(1,G45,G45,G59,$A45)*SQRT(2*PI()/$A45)*10000/SQRT($F$6)</f>
        <v>5.6847481677046083</v>
      </c>
      <c r="H73" s="201">
        <f>_xll.HLV5r3.Analytics.Options.Opt(1,H45,H45,H59,$A45)*SQRT(2*PI()/$A45)*10000/SQRT($F$6)</f>
        <v>5.5856446374707174</v>
      </c>
      <c r="I73" s="201">
        <f>_xll.HLV5r3.Analytics.Options.Opt(1,I45,I45,I59,$A45)*SQRT(2*PI()/$A45)*10000/SQRT($F$6)</f>
        <v>5.4368700912321426</v>
      </c>
      <c r="J73" s="201">
        <f>_xll.HLV5r3.Analytics.Options.Opt(1,J45,J45,J59,$A45)*SQRT(2*PI()/$A45)*10000/SQRT($F$6)</f>
        <v>5.4364107887965751</v>
      </c>
      <c r="K73" s="201">
        <f>_xll.HLV5r3.Analytics.Options.Opt(1,K45,K45,K59,$A45)*SQRT(2*PI()/$A45)*10000/SQRT($F$6)</f>
        <v>5.435562708293773</v>
      </c>
      <c r="AA73" s="363" t="str">
        <f t="shared" si="4"/>
        <v>342M</v>
      </c>
      <c r="AB73" s="135">
        <f t="shared" si="26"/>
        <v>57</v>
      </c>
      <c r="AC73" s="196">
        <v>51925</v>
      </c>
      <c r="AD73" s="194">
        <v>0.21872400227029207</v>
      </c>
      <c r="AE73" s="194">
        <v>0.21720894780448979</v>
      </c>
      <c r="AF73" s="194">
        <v>0.50410958904109593</v>
      </c>
      <c r="AG73" s="197">
        <f t="shared" si="5"/>
        <v>3.8882565300475534E-2</v>
      </c>
      <c r="AH73" s="198">
        <f t="shared" si="21"/>
        <v>1.9601074014486297E-2</v>
      </c>
      <c r="AI73" s="198">
        <f t="shared" si="22"/>
        <v>0.78651187093608443</v>
      </c>
      <c r="AJ73" s="193">
        <f t="shared" si="6"/>
        <v>13.91203773213555</v>
      </c>
      <c r="AK73" s="363" t="str">
        <f t="shared" si="7"/>
        <v>342M</v>
      </c>
      <c r="AL73" s="135">
        <f t="shared" si="27"/>
        <v>57</v>
      </c>
      <c r="AM73" s="196">
        <v>51925</v>
      </c>
      <c r="AN73" s="194">
        <v>0.21872400227029207</v>
      </c>
      <c r="AO73" s="194">
        <v>0.21720894780448979</v>
      </c>
      <c r="AP73" s="194">
        <v>0.50410958904109593</v>
      </c>
      <c r="AQ73" s="197">
        <f t="shared" si="8"/>
        <v>3.8882565300475534E-2</v>
      </c>
      <c r="AR73" s="198">
        <f t="shared" si="9"/>
        <v>1.9601074014486297E-2</v>
      </c>
      <c r="AS73" s="198">
        <f t="shared" si="23"/>
        <v>0.78248669463021192</v>
      </c>
      <c r="AT73" s="193">
        <f t="shared" si="10"/>
        <v>13.831908052023813</v>
      </c>
      <c r="AU73" s="363" t="str">
        <f t="shared" si="11"/>
        <v>342M</v>
      </c>
      <c r="AV73" s="135">
        <f t="shared" si="28"/>
        <v>57</v>
      </c>
      <c r="AW73" s="196">
        <v>51925</v>
      </c>
      <c r="AX73" s="194">
        <v>0.21872400227029207</v>
      </c>
      <c r="AY73" s="194">
        <v>0.21720894780448979</v>
      </c>
      <c r="AZ73" s="194">
        <v>0.50410958904109593</v>
      </c>
      <c r="BA73" s="197">
        <f t="shared" si="12"/>
        <v>3.8882565300475534E-2</v>
      </c>
      <c r="BB73" s="198">
        <f t="shared" si="13"/>
        <v>1.9601074014486297E-2</v>
      </c>
      <c r="BC73" s="198">
        <f t="shared" si="24"/>
        <v>0.77820294554891833</v>
      </c>
      <c r="BD73" s="193">
        <f t="shared" si="14"/>
        <v>13.749107382575017</v>
      </c>
      <c r="BE73" s="363" t="str">
        <f t="shared" si="15"/>
        <v>342M</v>
      </c>
      <c r="BF73" s="135">
        <f t="shared" si="29"/>
        <v>57</v>
      </c>
      <c r="BG73" s="196">
        <v>51925</v>
      </c>
      <c r="BH73" s="194">
        <v>0.21872400227029207</v>
      </c>
      <c r="BI73" s="194">
        <v>0.21720894780448979</v>
      </c>
      <c r="BJ73" s="194">
        <v>0.50410958904109593</v>
      </c>
      <c r="BK73" s="197">
        <f t="shared" si="16"/>
        <v>3.8882565300475534E-2</v>
      </c>
      <c r="BL73" s="198">
        <f t="shared" si="17"/>
        <v>1.9601074014486297E-2</v>
      </c>
      <c r="BM73" s="198">
        <f t="shared" si="25"/>
        <v>0.77397872238674625</v>
      </c>
      <c r="BN73" s="193">
        <f t="shared" si="18"/>
        <v>13.66897770246328</v>
      </c>
    </row>
    <row r="74" spans="1:66">
      <c r="A74" s="200"/>
      <c r="B74" s="88" t="str">
        <f t="shared" si="47"/>
        <v>5Y</v>
      </c>
      <c r="C74" s="201">
        <f>_xll.HLV5r3.Analytics.Options.Opt(1,C46,C46,C60,$A46)*SQRT(2*PI()/$A46)*10000/SQRT($F$6)</f>
        <v>5.5959223539999252</v>
      </c>
      <c r="D74" s="201">
        <f>_xll.HLV5r3.Analytics.Options.Opt(1,D46,D46,D60,$A46)*SQRT(2*PI()/$A46)*10000/SQRT($F$6)</f>
        <v>5.5564611961386499</v>
      </c>
      <c r="E74" s="201">
        <f>_xll.HLV5r3.Analytics.Options.Opt(1,E46,E46,E60,$A46)*SQRT(2*PI()/$A46)*10000/SQRT($F$6)</f>
        <v>5.477354844866932</v>
      </c>
      <c r="F74" s="201">
        <f>_xll.HLV5r3.Analytics.Options.Opt(1,F46,F46,F60,$A46)*SQRT(2*PI()/$A46)*10000/SQRT($F$6)</f>
        <v>5.4582446699029843</v>
      </c>
      <c r="G74" s="201">
        <f>_xll.HLV5r3.Analytics.Options.Opt(1,G46,G46,G60,$A46)*SQRT(2*PI()/$A46)*10000/SQRT($F$6)</f>
        <v>5.3791962923733916</v>
      </c>
      <c r="H74" s="201">
        <f>_xll.HLV5r3.Analytics.Options.Opt(1,H46,H46,H60,$A46)*SQRT(2*PI()/$A46)*10000/SQRT($F$6)</f>
        <v>5.369418314929197</v>
      </c>
      <c r="I74" s="201">
        <f>_xll.HLV5r3.Analytics.Options.Opt(1,I46,I46,I60,$A46)*SQRT(2*PI()/$A46)*10000/SQRT($F$6)</f>
        <v>5.3494747993192373</v>
      </c>
      <c r="J74" s="201">
        <f>_xll.HLV5r3.Analytics.Options.Opt(1,J46,J46,J60,$A46)*SQRT(2*PI()/$A46)*10000/SQRT($F$6)</f>
        <v>5.3479893712422184</v>
      </c>
      <c r="K74" s="201">
        <f>_xll.HLV5r3.Analytics.Options.Opt(1,K46,K46,K60,$A46)*SQRT(2*PI()/$A46)*10000/SQRT($F$6)</f>
        <v>5.3461959572652473</v>
      </c>
      <c r="AA74" s="363" t="str">
        <f t="shared" si="4"/>
        <v>348M</v>
      </c>
      <c r="AB74" s="135">
        <f t="shared" si="26"/>
        <v>58</v>
      </c>
      <c r="AC74" s="196">
        <v>52106</v>
      </c>
      <c r="AD74" s="194">
        <v>0.21464740788816905</v>
      </c>
      <c r="AE74" s="194">
        <v>0.21315745795981678</v>
      </c>
      <c r="AF74" s="194">
        <v>0.49589041095890413</v>
      </c>
      <c r="AG74" s="197">
        <f t="shared" si="5"/>
        <v>3.8329090302191303E-2</v>
      </c>
      <c r="AH74" s="198">
        <f t="shared" si="21"/>
        <v>1.9007028341634591E-2</v>
      </c>
      <c r="AI74" s="198">
        <f t="shared" si="22"/>
        <v>0.79059168030127325</v>
      </c>
      <c r="AJ74" s="193">
        <f t="shared" si="6"/>
        <v>14.018479323444478</v>
      </c>
      <c r="AK74" s="363" t="str">
        <f t="shared" si="7"/>
        <v>348M</v>
      </c>
      <c r="AL74" s="135">
        <f t="shared" si="27"/>
        <v>58</v>
      </c>
      <c r="AM74" s="196">
        <v>52106</v>
      </c>
      <c r="AN74" s="194">
        <v>0.21464740788816905</v>
      </c>
      <c r="AO74" s="194">
        <v>0.21315745795981678</v>
      </c>
      <c r="AP74" s="194">
        <v>0.49589041095890413</v>
      </c>
      <c r="AQ74" s="197">
        <f t="shared" si="8"/>
        <v>3.8329090302191303E-2</v>
      </c>
      <c r="AR74" s="198">
        <f t="shared" si="9"/>
        <v>1.9007028341634591E-2</v>
      </c>
      <c r="AS74" s="198">
        <f t="shared" si="23"/>
        <v>0.78656650399540073</v>
      </c>
      <c r="AT74" s="193">
        <f t="shared" si="10"/>
        <v>13.938349643332741</v>
      </c>
      <c r="AU74" s="363" t="str">
        <f t="shared" si="11"/>
        <v>348M</v>
      </c>
      <c r="AV74" s="135">
        <f t="shared" si="28"/>
        <v>58</v>
      </c>
      <c r="AW74" s="196">
        <v>52106</v>
      </c>
      <c r="AX74" s="194">
        <v>0.21464740788816905</v>
      </c>
      <c r="AY74" s="194">
        <v>0.21315745795981678</v>
      </c>
      <c r="AZ74" s="194">
        <v>0.49589041095890413</v>
      </c>
      <c r="BA74" s="197">
        <f t="shared" si="12"/>
        <v>3.8329090302191303E-2</v>
      </c>
      <c r="BB74" s="198">
        <f t="shared" si="13"/>
        <v>1.9007028341634591E-2</v>
      </c>
      <c r="BC74" s="198">
        <f t="shared" si="24"/>
        <v>0.78228275491410715</v>
      </c>
      <c r="BD74" s="193">
        <f t="shared" si="14"/>
        <v>13.855548973883945</v>
      </c>
      <c r="BE74" s="363" t="str">
        <f t="shared" si="15"/>
        <v>348M</v>
      </c>
      <c r="BF74" s="135">
        <f t="shared" si="29"/>
        <v>58</v>
      </c>
      <c r="BG74" s="196">
        <v>52106</v>
      </c>
      <c r="BH74" s="194">
        <v>0.21464740788816905</v>
      </c>
      <c r="BI74" s="194">
        <v>0.21315745795981678</v>
      </c>
      <c r="BJ74" s="194">
        <v>0.49589041095890413</v>
      </c>
      <c r="BK74" s="197">
        <f t="shared" si="16"/>
        <v>3.8329090302191303E-2</v>
      </c>
      <c r="BL74" s="198">
        <f t="shared" si="17"/>
        <v>1.9007028341634591E-2</v>
      </c>
      <c r="BM74" s="198">
        <f t="shared" si="25"/>
        <v>0.77805853175193507</v>
      </c>
      <c r="BN74" s="193">
        <f t="shared" si="18"/>
        <v>13.775419293772208</v>
      </c>
    </row>
    <row r="75" spans="1:66">
      <c r="A75" s="200"/>
      <c r="B75" s="88" t="str">
        <f t="shared" si="47"/>
        <v>7Y</v>
      </c>
      <c r="C75" s="201">
        <f>_xll.HLV5r3.Analytics.Options.Opt(1,C47,C47,C61,$A47)*SQRT(2*PI()/$A47)*10000/SQRT($F$6)</f>
        <v>5.5171529124688616</v>
      </c>
      <c r="D75" s="201">
        <f>_xll.HLV5r3.Analytics.Options.Opt(1,D47,D47,D61,$A47)*SQRT(2*PI()/$A47)*10000/SQRT($F$6)</f>
        <v>5.4187509197401624</v>
      </c>
      <c r="E75" s="201">
        <f>_xll.HLV5r3.Analytics.Options.Opt(1,E47,E47,E61,$A47)*SQRT(2*PI()/$A47)*10000/SQRT($F$6)</f>
        <v>5.3697351682903527</v>
      </c>
      <c r="F75" s="201">
        <f>_xll.HLV5r3.Analytics.Options.Opt(1,F47,F47,F61,$A47)*SQRT(2*PI()/$A47)*10000/SQRT($F$6)</f>
        <v>5.3708669184728253</v>
      </c>
      <c r="G75" s="201">
        <f>_xll.HLV5r3.Analytics.Options.Opt(1,G47,G47,G61,$A47)*SQRT(2*PI()/$A47)*10000/SQRT($F$6)</f>
        <v>5.3710358501466855</v>
      </c>
      <c r="H75" s="201">
        <f>_xll.HLV5r3.Analytics.Options.Opt(1,H47,H47,H61,$A47)*SQRT(2*PI()/$A47)*10000/SQRT($F$6)</f>
        <v>5.3510961066841105</v>
      </c>
      <c r="I75" s="201">
        <f>_xll.HLV5r3.Analytics.Options.Opt(1,I47,I47,I61,$A47)*SQRT(2*PI()/$A47)*10000/SQRT($F$6)</f>
        <v>5.3203865661261771</v>
      </c>
      <c r="J75" s="201">
        <f>_xll.HLV5r3.Analytics.Options.Opt(1,J47,J47,J61,$A47)*SQRT(2*PI()/$A47)*10000/SQRT($F$6)</f>
        <v>5.3177663617831001</v>
      </c>
      <c r="K75" s="201">
        <f>_xll.HLV5r3.Analytics.Options.Opt(1,K47,K47,K61,$A47)*SQRT(2*PI()/$A47)*10000/SQRT($F$6)</f>
        <v>5.3148660003977417</v>
      </c>
      <c r="AA75" s="363" t="str">
        <f t="shared" si="4"/>
        <v>354M</v>
      </c>
      <c r="AB75" s="135">
        <f t="shared" si="26"/>
        <v>59</v>
      </c>
      <c r="AC75" s="196">
        <v>52289</v>
      </c>
      <c r="AD75" s="194">
        <v>0.21065879201895013</v>
      </c>
      <c r="AE75" s="194">
        <v>0.20919419109279361</v>
      </c>
      <c r="AF75" s="194">
        <v>0.50136986301369868</v>
      </c>
      <c r="AG75" s="197">
        <f t="shared" si="5"/>
        <v>3.7787265969279338E-2</v>
      </c>
      <c r="AH75" s="198">
        <f t="shared" si="21"/>
        <v>1.8945396362679778E-2</v>
      </c>
      <c r="AI75" s="198">
        <f t="shared" si="22"/>
        <v>0.79458269461335562</v>
      </c>
      <c r="AJ75" s="193">
        <f t="shared" si="6"/>
        <v>14.12409729314165</v>
      </c>
      <c r="AK75" s="363" t="str">
        <f t="shared" si="7"/>
        <v>354M</v>
      </c>
      <c r="AL75" s="135">
        <f t="shared" si="27"/>
        <v>59</v>
      </c>
      <c r="AM75" s="196">
        <v>52289</v>
      </c>
      <c r="AN75" s="194">
        <v>0.21065879201895013</v>
      </c>
      <c r="AO75" s="194">
        <v>0.20919419109279361</v>
      </c>
      <c r="AP75" s="194">
        <v>0.50136986301369868</v>
      </c>
      <c r="AQ75" s="197">
        <f t="shared" si="8"/>
        <v>3.7787265969279338E-2</v>
      </c>
      <c r="AR75" s="198">
        <f t="shared" si="9"/>
        <v>1.8945396362679778E-2</v>
      </c>
      <c r="AS75" s="198">
        <f t="shared" si="23"/>
        <v>0.79055751830748311</v>
      </c>
      <c r="AT75" s="193">
        <f t="shared" si="10"/>
        <v>14.043967613029913</v>
      </c>
      <c r="AU75" s="363" t="str">
        <f t="shared" si="11"/>
        <v>354M</v>
      </c>
      <c r="AV75" s="135">
        <f t="shared" si="28"/>
        <v>59</v>
      </c>
      <c r="AW75" s="196">
        <v>52289</v>
      </c>
      <c r="AX75" s="194">
        <v>0.21065879201895013</v>
      </c>
      <c r="AY75" s="194">
        <v>0.20919419109279361</v>
      </c>
      <c r="AZ75" s="194">
        <v>0.50136986301369868</v>
      </c>
      <c r="BA75" s="197">
        <f t="shared" si="12"/>
        <v>3.7787265969279338E-2</v>
      </c>
      <c r="BB75" s="198">
        <f t="shared" si="13"/>
        <v>1.8945396362679778E-2</v>
      </c>
      <c r="BC75" s="198">
        <f t="shared" si="24"/>
        <v>0.78627376922618952</v>
      </c>
      <c r="BD75" s="193">
        <f t="shared" si="14"/>
        <v>13.961166943581118</v>
      </c>
      <c r="BE75" s="363" t="str">
        <f t="shared" si="15"/>
        <v>354M</v>
      </c>
      <c r="BF75" s="135">
        <f t="shared" si="29"/>
        <v>59</v>
      </c>
      <c r="BG75" s="196">
        <v>52289</v>
      </c>
      <c r="BH75" s="194">
        <v>0.21065879201895013</v>
      </c>
      <c r="BI75" s="194">
        <v>0.20919419109279361</v>
      </c>
      <c r="BJ75" s="194">
        <v>0.50136986301369868</v>
      </c>
      <c r="BK75" s="197">
        <f t="shared" si="16"/>
        <v>3.7787265969279338E-2</v>
      </c>
      <c r="BL75" s="198">
        <f t="shared" si="17"/>
        <v>1.8945396362679778E-2</v>
      </c>
      <c r="BM75" s="198">
        <f t="shared" si="25"/>
        <v>0.78204954606401744</v>
      </c>
      <c r="BN75" s="193">
        <f t="shared" si="18"/>
        <v>13.881037263469381</v>
      </c>
    </row>
    <row r="76" spans="1:66">
      <c r="A76" s="200"/>
      <c r="B76" s="87" t="str">
        <f t="shared" si="47"/>
        <v>10Y</v>
      </c>
      <c r="C76" s="201">
        <f>_xll.HLV5r3.Analytics.Options.Opt(1,C48,C48,C62,$A48)*SQRT(2*PI()/$A48)*10000/SQRT($F$6)</f>
        <v>5.4068343804884575</v>
      </c>
      <c r="D76" s="201">
        <f>_xll.HLV5r3.Analytics.Options.Opt(1,D48,D48,D62,$A48)*SQRT(2*PI()/$A48)*10000/SQRT($F$6)</f>
        <v>5.3584399245048591</v>
      </c>
      <c r="E76" s="201">
        <f>_xll.HLV5r3.Analytics.Options.Opt(1,E48,E48,E62,$A48)*SQRT(2*PI()/$A48)*10000/SQRT($F$6)</f>
        <v>5.3089120084962085</v>
      </c>
      <c r="F76" s="201">
        <f>_xll.HLV5r3.Analytics.Options.Opt(1,F48,F48,F62,$A48)*SQRT(2*PI()/$A48)*10000/SQRT($F$6)</f>
        <v>5.3095059982101072</v>
      </c>
      <c r="G76" s="201">
        <f>_xll.HLV5r3.Analytics.Options.Opt(1,G48,G48,G62,$A48)*SQRT(2*PI()/$A48)*10000/SQRT($F$6)</f>
        <v>5.3093681283735865</v>
      </c>
      <c r="H76" s="201">
        <f>_xll.HLV5r3.Analytics.Options.Opt(1,H48,H48,H62,$A48)*SQRT(2*PI()/$A48)*10000/SQRT($F$6)</f>
        <v>5.3067809083452415</v>
      </c>
      <c r="I76" s="201">
        <f>_xll.HLV5r3.Analytics.Options.Opt(1,I48,I48,I62,$A48)*SQRT(2*PI()/$A48)*10000/SQRT($F$6)</f>
        <v>5.3040212281352703</v>
      </c>
      <c r="J76" s="201">
        <f>_xll.HLV5r3.Analytics.Options.Opt(1,J48,J48,J62,$A48)*SQRT(2*PI()/$A48)*10000/SQRT($F$6)</f>
        <v>5.2985339418645871</v>
      </c>
      <c r="K76" s="201">
        <f>_xll.HLV5r3.Analytics.Options.Opt(1,K48,K48,K62,$A48)*SQRT(2*PI()/$A48)*10000/SQRT($F$6)</f>
        <v>5.2933011100718073</v>
      </c>
      <c r="AA76" s="363" t="str">
        <f t="shared" si="4"/>
        <v>360M</v>
      </c>
      <c r="AB76" s="135">
        <f t="shared" si="26"/>
        <v>60</v>
      </c>
      <c r="AC76" s="196">
        <v>52471</v>
      </c>
      <c r="AD76" s="194">
        <v>0.20682010959854755</v>
      </c>
      <c r="AE76" s="194">
        <v>0.20538066991624199</v>
      </c>
      <c r="AF76" s="194">
        <v>0.49863013698630138</v>
      </c>
      <c r="AG76" s="197">
        <f t="shared" si="5"/>
        <v>3.7238147919569232E-2</v>
      </c>
      <c r="AH76" s="198">
        <f t="shared" si="21"/>
        <v>1.8568062798250962E-2</v>
      </c>
      <c r="AI76" s="198">
        <f t="shared" si="22"/>
        <v>0.79842294339632258</v>
      </c>
      <c r="AJ76" s="193">
        <f t="shared" si="6"/>
        <v>14.227224032722296</v>
      </c>
      <c r="AK76" s="363" t="str">
        <f t="shared" si="7"/>
        <v>360M</v>
      </c>
      <c r="AL76" s="135">
        <f t="shared" si="27"/>
        <v>60</v>
      </c>
      <c r="AM76" s="196">
        <v>52471</v>
      </c>
      <c r="AN76" s="194">
        <v>0.20682010959854755</v>
      </c>
      <c r="AO76" s="194">
        <v>0.20538066991624199</v>
      </c>
      <c r="AP76" s="194">
        <v>0.49863013698630138</v>
      </c>
      <c r="AQ76" s="197">
        <f t="shared" si="8"/>
        <v>3.7238147919569232E-2</v>
      </c>
      <c r="AR76" s="198">
        <f t="shared" si="9"/>
        <v>1.8568062798250962E-2</v>
      </c>
      <c r="AS76" s="198">
        <f t="shared" si="23"/>
        <v>0.79439776709045007</v>
      </c>
      <c r="AT76" s="193">
        <f t="shared" si="10"/>
        <v>14.147094352610559</v>
      </c>
      <c r="AU76" s="363" t="str">
        <f t="shared" si="11"/>
        <v>360M</v>
      </c>
      <c r="AV76" s="135">
        <f t="shared" si="28"/>
        <v>60</v>
      </c>
      <c r="AW76" s="196">
        <v>52471</v>
      </c>
      <c r="AX76" s="194">
        <v>0.20682010959854755</v>
      </c>
      <c r="AY76" s="194">
        <v>0.20538066991624199</v>
      </c>
      <c r="AZ76" s="194">
        <v>0.49863013698630138</v>
      </c>
      <c r="BA76" s="197">
        <f t="shared" si="12"/>
        <v>3.7238147919569232E-2</v>
      </c>
      <c r="BB76" s="198">
        <f t="shared" si="13"/>
        <v>1.8568062798250962E-2</v>
      </c>
      <c r="BC76" s="198">
        <f t="shared" si="24"/>
        <v>0.79011401800915648</v>
      </c>
      <c r="BD76" s="193">
        <f t="shared" si="14"/>
        <v>14.064293683161763</v>
      </c>
      <c r="BE76" s="363" t="str">
        <f t="shared" si="15"/>
        <v>360M</v>
      </c>
      <c r="BF76" s="135">
        <f t="shared" si="29"/>
        <v>60</v>
      </c>
      <c r="BG76" s="196">
        <v>52471</v>
      </c>
      <c r="BH76" s="194">
        <v>0.20682010959854755</v>
      </c>
      <c r="BI76" s="194">
        <v>0.20538066991624199</v>
      </c>
      <c r="BJ76" s="194">
        <v>0.49863013698630138</v>
      </c>
      <c r="BK76" s="197">
        <f t="shared" si="16"/>
        <v>3.7238147919569232E-2</v>
      </c>
      <c r="BL76" s="198">
        <f t="shared" si="17"/>
        <v>1.8568062798250962E-2</v>
      </c>
      <c r="BM76" s="198">
        <f t="shared" si="25"/>
        <v>0.7858897948469844</v>
      </c>
      <c r="BN76" s="193">
        <f t="shared" si="18"/>
        <v>13.984164003050026</v>
      </c>
    </row>
  </sheetData>
  <protectedRanges>
    <protectedRange sqref="N15" name="Range2_1"/>
  </protectedRanges>
  <mergeCells count="15">
    <mergeCell ref="C37:K37"/>
    <mergeCell ref="C51:K51"/>
    <mergeCell ref="C65:K65"/>
    <mergeCell ref="AB12:BN12"/>
    <mergeCell ref="AD14:AE14"/>
    <mergeCell ref="AN14:AO14"/>
    <mergeCell ref="AX14:AY14"/>
    <mergeCell ref="BH14:BI14"/>
    <mergeCell ref="C22:K22"/>
    <mergeCell ref="P12:Z12"/>
    <mergeCell ref="P3:Q3"/>
    <mergeCell ref="V5:Z5"/>
    <mergeCell ref="V6:Z6"/>
    <mergeCell ref="V7:Z7"/>
    <mergeCell ref="C8:K8"/>
  </mergeCells>
  <dataValidations disablePrompts="1" count="1">
    <dataValidation type="list" allowBlank="1" showInputMessage="1" showErrorMessage="1" sqref="N18" xr:uid="{00000000-0002-0000-0700-000000000000}">
      <formula1>"Linear"</formula1>
    </dataValidation>
  </dataValidations>
  <pageMargins left="0.70866141732283472" right="0.70866141732283472" top="0.74803149606299213" bottom="0.74803149606299213" header="0.31496062992125984" footer="0.31496062992125984"/>
  <pageSetup paperSize="9" scale="1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C4:M17"/>
  <sheetViews>
    <sheetView workbookViewId="0">
      <selection activeCell="O25" sqref="O25"/>
    </sheetView>
  </sheetViews>
  <sheetFormatPr defaultRowHeight="15"/>
  <cols>
    <col min="1" max="16384" width="9.140625" style="118"/>
  </cols>
  <sheetData>
    <row r="4" spans="3:13">
      <c r="C4" s="202"/>
      <c r="D4" s="203"/>
      <c r="E4" s="403" t="s">
        <v>107</v>
      </c>
      <c r="F4" s="404"/>
      <c r="G4" s="405"/>
      <c r="H4" s="405"/>
      <c r="I4" s="405"/>
      <c r="J4" s="405"/>
      <c r="K4" s="405"/>
      <c r="L4" s="405"/>
      <c r="M4" s="405"/>
    </row>
    <row r="5" spans="3:13">
      <c r="C5" s="202"/>
      <c r="D5" s="29"/>
      <c r="E5" s="113" t="s">
        <v>95</v>
      </c>
      <c r="F5" s="113" t="s">
        <v>96</v>
      </c>
      <c r="G5" s="113" t="s">
        <v>97</v>
      </c>
      <c r="H5" s="113" t="s">
        <v>98</v>
      </c>
      <c r="I5" s="113" t="s">
        <v>99</v>
      </c>
      <c r="J5" s="113" t="s">
        <v>100</v>
      </c>
      <c r="K5" s="4" t="s">
        <v>101</v>
      </c>
      <c r="L5" s="4" t="s">
        <v>108</v>
      </c>
      <c r="M5" s="4" t="s">
        <v>109</v>
      </c>
    </row>
    <row r="6" spans="3:13">
      <c r="C6" s="204">
        <v>7</v>
      </c>
      <c r="D6" s="88" t="s">
        <v>102</v>
      </c>
      <c r="E6" s="174">
        <v>3.7</v>
      </c>
      <c r="F6" s="174">
        <v>4.2</v>
      </c>
      <c r="G6" s="174">
        <v>4.4000000000000004</v>
      </c>
      <c r="H6" s="174">
        <v>4.4000000000000004</v>
      </c>
      <c r="I6" s="174">
        <v>4.4000000000000004</v>
      </c>
      <c r="J6" s="174">
        <v>4.4000000000000004</v>
      </c>
      <c r="K6" s="174">
        <v>4.3499999999999996</v>
      </c>
      <c r="L6" s="174">
        <v>4.3499999999999996</v>
      </c>
      <c r="M6" s="174">
        <v>4.3499999999999996</v>
      </c>
    </row>
    <row r="7" spans="3:13">
      <c r="C7" s="204">
        <v>8</v>
      </c>
      <c r="D7" s="88" t="s">
        <v>103</v>
      </c>
      <c r="E7" s="174">
        <v>3.8</v>
      </c>
      <c r="F7" s="174">
        <v>4.3</v>
      </c>
      <c r="G7" s="174">
        <v>4.5</v>
      </c>
      <c r="H7" s="174">
        <v>4.5</v>
      </c>
      <c r="I7" s="174">
        <v>4.5</v>
      </c>
      <c r="J7" s="174">
        <v>4.5</v>
      </c>
      <c r="K7" s="174">
        <v>4.45</v>
      </c>
      <c r="L7" s="174">
        <v>4.45</v>
      </c>
      <c r="M7" s="174">
        <v>4.45</v>
      </c>
    </row>
    <row r="8" spans="3:13">
      <c r="C8" s="204">
        <f>C7+1</f>
        <v>9</v>
      </c>
      <c r="D8" s="88" t="s">
        <v>104</v>
      </c>
      <c r="E8" s="174">
        <v>4.2</v>
      </c>
      <c r="F8" s="174">
        <v>4.9000000000000004</v>
      </c>
      <c r="G8" s="174">
        <v>4.9000000000000004</v>
      </c>
      <c r="H8" s="174">
        <v>4.9000000000000004</v>
      </c>
      <c r="I8" s="174">
        <v>4.9000000000000004</v>
      </c>
      <c r="J8" s="174">
        <v>4.8</v>
      </c>
      <c r="K8" s="174">
        <v>4.7</v>
      </c>
      <c r="L8" s="174">
        <v>4.7</v>
      </c>
      <c r="M8" s="174">
        <v>4.7</v>
      </c>
    </row>
    <row r="9" spans="3:13">
      <c r="C9" s="204">
        <f t="shared" ref="C9:C12" si="0">C8+1</f>
        <v>10</v>
      </c>
      <c r="D9" s="88" t="s">
        <v>105</v>
      </c>
      <c r="E9" s="174">
        <v>4.9000000000000004</v>
      </c>
      <c r="F9" s="174">
        <v>5</v>
      </c>
      <c r="G9" s="174">
        <v>5.0999999999999996</v>
      </c>
      <c r="H9" s="174">
        <v>5.0999999999999996</v>
      </c>
      <c r="I9" s="174">
        <v>5.0999999999999996</v>
      </c>
      <c r="J9" s="174">
        <v>5.05</v>
      </c>
      <c r="K9" s="174">
        <v>4.9000000000000004</v>
      </c>
      <c r="L9" s="174">
        <v>4.9000000000000004</v>
      </c>
      <c r="M9" s="174">
        <v>4.9000000000000004</v>
      </c>
    </row>
    <row r="10" spans="3:13">
      <c r="C10" s="204">
        <f t="shared" si="0"/>
        <v>11</v>
      </c>
      <c r="D10" s="88" t="s">
        <v>106</v>
      </c>
      <c r="E10" s="174">
        <v>5.5</v>
      </c>
      <c r="F10" s="174">
        <v>5.7</v>
      </c>
      <c r="G10" s="174">
        <v>5.7</v>
      </c>
      <c r="H10" s="174">
        <v>5.6</v>
      </c>
      <c r="I10" s="174">
        <v>5.5</v>
      </c>
      <c r="J10" s="174">
        <v>5.35</v>
      </c>
      <c r="K10" s="174">
        <v>5.2</v>
      </c>
      <c r="L10" s="174">
        <v>5.2</v>
      </c>
      <c r="M10" s="174">
        <v>5.2</v>
      </c>
    </row>
    <row r="11" spans="3:13">
      <c r="C11" s="204">
        <f t="shared" si="0"/>
        <v>12</v>
      </c>
      <c r="D11" s="88" t="s">
        <v>96</v>
      </c>
      <c r="E11" s="174">
        <v>6</v>
      </c>
      <c r="F11" s="174">
        <v>6</v>
      </c>
      <c r="G11" s="174">
        <v>5.85</v>
      </c>
      <c r="H11" s="174">
        <v>5.72</v>
      </c>
      <c r="I11" s="174">
        <v>5.6</v>
      </c>
      <c r="J11" s="174">
        <v>5.45</v>
      </c>
      <c r="K11" s="174">
        <v>5.2</v>
      </c>
      <c r="L11" s="174">
        <v>5.2</v>
      </c>
      <c r="M11" s="174">
        <v>5.2</v>
      </c>
    </row>
    <row r="12" spans="3:13">
      <c r="C12" s="204">
        <f t="shared" si="0"/>
        <v>13</v>
      </c>
      <c r="D12" s="88" t="s">
        <v>97</v>
      </c>
      <c r="E12" s="174">
        <v>5.8</v>
      </c>
      <c r="F12" s="174">
        <v>5.7</v>
      </c>
      <c r="G12" s="174">
        <v>5.6</v>
      </c>
      <c r="H12" s="174">
        <v>5.5</v>
      </c>
      <c r="I12" s="174">
        <v>5.4</v>
      </c>
      <c r="J12" s="174">
        <v>5.3</v>
      </c>
      <c r="K12" s="174">
        <v>5.15</v>
      </c>
      <c r="L12" s="174">
        <v>5.15</v>
      </c>
      <c r="M12" s="174">
        <v>5.15</v>
      </c>
    </row>
    <row r="13" spans="3:13">
      <c r="C13" s="204">
        <v>15</v>
      </c>
      <c r="D13" s="88" t="s">
        <v>99</v>
      </c>
      <c r="E13" s="174">
        <v>5.32</v>
      </c>
      <c r="F13" s="174">
        <v>5.28</v>
      </c>
      <c r="G13" s="174">
        <v>5.2</v>
      </c>
      <c r="H13" s="174">
        <v>5.18</v>
      </c>
      <c r="I13" s="174">
        <v>5.0999999999999996</v>
      </c>
      <c r="J13" s="174">
        <v>5.09</v>
      </c>
      <c r="K13" s="174">
        <v>5.07</v>
      </c>
      <c r="L13" s="174">
        <v>5.07</v>
      </c>
      <c r="M13" s="174">
        <v>5.07</v>
      </c>
    </row>
    <row r="14" spans="3:13">
      <c r="C14" s="204">
        <v>16</v>
      </c>
      <c r="D14" s="88" t="s">
        <v>100</v>
      </c>
      <c r="E14" s="174">
        <v>5.25</v>
      </c>
      <c r="F14" s="174">
        <v>5.15</v>
      </c>
      <c r="G14" s="174">
        <v>5.0999999999999996</v>
      </c>
      <c r="H14" s="174">
        <v>5.0999999999999996</v>
      </c>
      <c r="I14" s="174">
        <v>5.0999999999999996</v>
      </c>
      <c r="J14" s="174">
        <v>5.08</v>
      </c>
      <c r="K14" s="174">
        <v>5.05</v>
      </c>
      <c r="L14" s="174">
        <v>5.05</v>
      </c>
      <c r="M14" s="174">
        <v>5.05</v>
      </c>
    </row>
    <row r="15" spans="3:13">
      <c r="C15" s="204">
        <v>17</v>
      </c>
      <c r="D15" s="87" t="s">
        <v>101</v>
      </c>
      <c r="E15" s="174">
        <v>5.15</v>
      </c>
      <c r="F15" s="174">
        <v>5.0999999999999996</v>
      </c>
      <c r="G15" s="174">
        <v>5.05</v>
      </c>
      <c r="H15" s="174">
        <v>5.05</v>
      </c>
      <c r="I15" s="174">
        <v>5.05</v>
      </c>
      <c r="J15" s="174">
        <v>5.05</v>
      </c>
      <c r="K15" s="174">
        <v>5.05</v>
      </c>
      <c r="L15" s="174">
        <v>5.05</v>
      </c>
      <c r="M15" s="174">
        <v>5.05</v>
      </c>
    </row>
    <row r="16" spans="3:13">
      <c r="C16" s="202"/>
      <c r="D16" s="202"/>
      <c r="E16" s="204">
        <v>5</v>
      </c>
      <c r="F16" s="204">
        <v>14</v>
      </c>
      <c r="G16" s="204">
        <v>26</v>
      </c>
      <c r="H16" s="204">
        <v>38</v>
      </c>
      <c r="I16" s="204">
        <v>48</v>
      </c>
      <c r="J16" s="204">
        <v>59</v>
      </c>
      <c r="K16" s="204">
        <v>70</v>
      </c>
      <c r="L16" s="202"/>
      <c r="M16" s="202"/>
    </row>
    <row r="17" spans="3:13">
      <c r="C17" s="202"/>
      <c r="D17" s="202"/>
      <c r="E17" s="204">
        <v>5</v>
      </c>
      <c r="F17" s="204">
        <v>6</v>
      </c>
      <c r="G17" s="204">
        <v>5</v>
      </c>
      <c r="H17" s="204">
        <v>5</v>
      </c>
      <c r="I17" s="204">
        <v>5</v>
      </c>
      <c r="J17" s="204">
        <v>5</v>
      </c>
      <c r="K17" s="204">
        <v>5</v>
      </c>
      <c r="L17" s="202"/>
      <c r="M17" s="202"/>
    </row>
  </sheetData>
  <mergeCells count="1">
    <mergeCell ref="E4:M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2:U136"/>
  <sheetViews>
    <sheetView topLeftCell="E1" workbookViewId="0">
      <selection activeCell="H42" sqref="H42"/>
    </sheetView>
  </sheetViews>
  <sheetFormatPr defaultRowHeight="12.75"/>
  <cols>
    <col min="1" max="1" width="9.140625" style="168"/>
    <col min="2" max="2" width="12.140625" style="168" customWidth="1"/>
    <col min="3" max="3" width="11.140625" style="168" bestFit="1" customWidth="1"/>
    <col min="4" max="5" width="10.5703125" style="168" customWidth="1"/>
    <col min="6" max="6" width="18.7109375" style="168" bestFit="1" customWidth="1"/>
    <col min="7" max="7" width="11.28515625" style="168" customWidth="1"/>
    <col min="8" max="9" width="9.140625" style="168"/>
    <col min="10" max="10" width="25" style="168" bestFit="1" customWidth="1"/>
    <col min="11" max="11" width="50.5703125" style="168" bestFit="1" customWidth="1"/>
    <col min="12" max="12" width="9.140625" style="168"/>
    <col min="13" max="13" width="10.140625" style="168" bestFit="1" customWidth="1"/>
    <col min="14" max="14" width="16.5703125" style="168" bestFit="1" customWidth="1"/>
    <col min="15" max="15" width="9.28515625" style="168" bestFit="1" customWidth="1"/>
    <col min="16" max="16" width="10.28515625" style="168" bestFit="1" customWidth="1"/>
    <col min="17" max="17" width="9.5703125" style="168" bestFit="1" customWidth="1"/>
    <col min="18" max="18" width="11.28515625" style="168" customWidth="1"/>
    <col min="19" max="19" width="11" style="168" customWidth="1"/>
    <col min="20" max="20" width="9.140625" style="168"/>
    <col min="21" max="21" width="9.28515625" style="168" bestFit="1" customWidth="1"/>
    <col min="22" max="23" width="12.42578125" style="168" bestFit="1" customWidth="1"/>
    <col min="24" max="16384" width="9.140625" style="168"/>
  </cols>
  <sheetData>
    <row r="2" spans="1:21" ht="29.25" thickBot="1">
      <c r="B2" s="112" t="s">
        <v>511</v>
      </c>
      <c r="C2" s="112"/>
      <c r="D2" s="112"/>
      <c r="E2" s="112"/>
    </row>
    <row r="3" spans="1:21" ht="15.75" customHeight="1" thickBot="1">
      <c r="E3" s="169"/>
      <c r="J3" s="120" t="s">
        <v>303</v>
      </c>
      <c r="K3" s="122" t="str">
        <f>_xll.HLV5r3.Financial.Cache.CreateCurve(J4:K23,F9:H24)</f>
        <v>Market.QR_LIVE.CapVolatilityCurve.AUD-BBR-BBSW-3M</v>
      </c>
      <c r="M3" s="385" t="s">
        <v>207</v>
      </c>
      <c r="N3" s="386"/>
    </row>
    <row r="4" spans="1:21" ht="15.75" thickBot="1">
      <c r="D4" s="113" t="s">
        <v>190</v>
      </c>
      <c r="E4" s="170">
        <f>Today</f>
        <v>41513</v>
      </c>
      <c r="J4" s="131" t="s">
        <v>21</v>
      </c>
      <c r="K4" s="132" t="s">
        <v>513</v>
      </c>
      <c r="M4" s="118"/>
      <c r="N4" s="118"/>
    </row>
    <row r="5" spans="1:21" ht="13.5" thickBot="1">
      <c r="D5" s="113" t="s">
        <v>110</v>
      </c>
      <c r="E5" s="86">
        <v>0.2</v>
      </c>
      <c r="J5" s="131" t="s">
        <v>36</v>
      </c>
      <c r="K5" s="171">
        <f>E4</f>
        <v>41513</v>
      </c>
      <c r="M5" s="120" t="s">
        <v>222</v>
      </c>
      <c r="N5" s="122" t="s">
        <v>223</v>
      </c>
      <c r="P5" s="120" t="s">
        <v>304</v>
      </c>
      <c r="Q5" s="390" t="s">
        <v>221</v>
      </c>
      <c r="R5" s="390"/>
      <c r="S5" s="390"/>
      <c r="T5" s="390"/>
      <c r="U5" s="389"/>
    </row>
    <row r="6" spans="1:21">
      <c r="D6" s="113" t="s">
        <v>305</v>
      </c>
      <c r="E6" s="86">
        <v>250</v>
      </c>
      <c r="J6" s="131" t="s">
        <v>306</v>
      </c>
      <c r="K6" s="171">
        <f>K5</f>
        <v>41513</v>
      </c>
      <c r="M6" s="131" t="s">
        <v>232</v>
      </c>
      <c r="N6" s="133" t="s">
        <v>233</v>
      </c>
      <c r="P6" s="173" t="s">
        <v>227</v>
      </c>
      <c r="Q6" s="398" t="str">
        <f>TraderMids!V6</f>
        <v>Market.TemporaryCurve.RateCurve.AUD-BBR-BBSW-3M</v>
      </c>
      <c r="R6" s="398"/>
      <c r="S6" s="398"/>
      <c r="T6" s="398"/>
      <c r="U6" s="398"/>
    </row>
    <row r="7" spans="1:21">
      <c r="A7" s="172"/>
      <c r="H7" s="365" t="s">
        <v>521</v>
      </c>
      <c r="J7" s="131" t="s">
        <v>25</v>
      </c>
      <c r="K7" s="132" t="s">
        <v>520</v>
      </c>
      <c r="M7" s="131" t="s">
        <v>238</v>
      </c>
      <c r="N7" s="133" t="s">
        <v>239</v>
      </c>
    </row>
    <row r="8" spans="1:21">
      <c r="A8" s="172"/>
      <c r="B8" s="403" t="s">
        <v>123</v>
      </c>
      <c r="C8" s="406"/>
      <c r="D8" s="345" t="s">
        <v>124</v>
      </c>
      <c r="E8" s="113" t="s">
        <v>125</v>
      </c>
      <c r="F8" s="113" t="s">
        <v>126</v>
      </c>
      <c r="G8" s="113" t="s">
        <v>308</v>
      </c>
      <c r="H8" s="113" t="s">
        <v>307</v>
      </c>
      <c r="J8" s="131" t="s">
        <v>19</v>
      </c>
      <c r="K8" s="132" t="s">
        <v>523</v>
      </c>
      <c r="M8" s="131" t="s">
        <v>240</v>
      </c>
      <c r="N8" s="133" t="s">
        <v>241</v>
      </c>
    </row>
    <row r="9" spans="1:21" ht="15">
      <c r="B9" s="89">
        <v>41520</v>
      </c>
      <c r="C9" s="356">
        <v>3</v>
      </c>
      <c r="D9" s="346" t="str">
        <f>TEXT(B9-$E$4,"#")&amp;"d"</f>
        <v>7d</v>
      </c>
      <c r="E9" s="174">
        <f t="shared" ref="E9" si="0">C9+$E$5</f>
        <v>3.2</v>
      </c>
      <c r="F9" s="175" t="s">
        <v>522</v>
      </c>
      <c r="G9" s="176">
        <f t="shared" ref="G9" si="1">C9/10000*SQRT($E$6)/H9</f>
        <v>9.4753258393363377E-2</v>
      </c>
      <c r="H9" s="176">
        <f>(_xll.HLV5r3.Financial.Cache.GetValue( $Q$6, B9)/_xll.HLV5r3.Financial.Cache.GetValue($Q$6, B9+90)-1)*365/90</f>
        <v>5.0060721611920871E-2</v>
      </c>
      <c r="J9" s="131" t="s">
        <v>38</v>
      </c>
      <c r="K9" s="132" t="s">
        <v>499</v>
      </c>
      <c r="M9" s="148" t="s">
        <v>243</v>
      </c>
      <c r="N9" s="149" t="s">
        <v>244</v>
      </c>
    </row>
    <row r="10" spans="1:21">
      <c r="B10" s="89">
        <v>41520</v>
      </c>
      <c r="C10" s="356">
        <v>4</v>
      </c>
      <c r="D10" s="346" t="str">
        <f>TEXT(B10-$E$4,"#")&amp;"d"</f>
        <v>7d</v>
      </c>
      <c r="E10" s="174">
        <f t="shared" ref="E10" si="2">C10+$E$5</f>
        <v>4.2</v>
      </c>
      <c r="F10" s="175" t="s">
        <v>514</v>
      </c>
      <c r="G10" s="176">
        <f t="shared" ref="G10" si="3">C10/10000*SQRT($E$6)/H10</f>
        <v>0.12633767785781785</v>
      </c>
      <c r="H10" s="176">
        <f>(_xll.HLV5r3.Financial.Cache.GetValue( $Q$6, B10)/_xll.HLV5r3.Financial.Cache.GetValue($Q$6, B10+90)-1)*365/90</f>
        <v>5.0060721611920871E-2</v>
      </c>
      <c r="J10" s="131" t="s">
        <v>28</v>
      </c>
      <c r="K10" s="132" t="s">
        <v>10</v>
      </c>
    </row>
    <row r="11" spans="1:21" ht="13.5" thickBot="1">
      <c r="B11" s="89">
        <v>41610</v>
      </c>
      <c r="C11" s="356">
        <v>4.2</v>
      </c>
      <c r="D11" s="346" t="str">
        <f>TEXT(B11-$E$4,"#")&amp;"d"</f>
        <v>97d</v>
      </c>
      <c r="E11" s="174">
        <f t="shared" ref="E11:E24" si="4">C11+$E$5</f>
        <v>4.4000000000000004</v>
      </c>
      <c r="F11" s="175" t="s">
        <v>515</v>
      </c>
      <c r="G11" s="176">
        <f t="shared" ref="G11:G24" si="5">C11/10000*SQRT($E$6)/H11</f>
        <v>0.1300903207398583</v>
      </c>
      <c r="H11" s="176">
        <f>(_xll.HLV5r3.Financial.Cache.GetValue( $Q$6, B11)/_xll.HLV5r3.Financial.Cache.GetValue($Q$6, B11+90)-1)*365/90</f>
        <v>5.1047480308955312E-2</v>
      </c>
      <c r="J11" s="131" t="s">
        <v>270</v>
      </c>
      <c r="K11" s="132" t="str">
        <f>Corporates!$AE$6</f>
        <v>Market.Corporate.OFFER.RateCurve.AUD-LIBOR-BBA-3M</v>
      </c>
    </row>
    <row r="12" spans="1:21" ht="15.75" customHeight="1" thickBot="1">
      <c r="B12" s="89">
        <v>41700</v>
      </c>
      <c r="C12" s="356">
        <v>5.3</v>
      </c>
      <c r="D12" s="346" t="str">
        <f t="shared" ref="D12:D13" si="6">TEXT(B12-$E$4,"#")&amp;"d"</f>
        <v>187d</v>
      </c>
      <c r="E12" s="174">
        <f t="shared" si="4"/>
        <v>5.5</v>
      </c>
      <c r="F12" s="175" t="s">
        <v>516</v>
      </c>
      <c r="G12" s="176">
        <f t="shared" si="5"/>
        <v>0.16173649165324758</v>
      </c>
      <c r="H12" s="176">
        <f>(_xll.HLV5r3.Financial.Cache.GetValue( $Q$6, B12)/_xll.HLV5r3.Financial.Cache.GetValue($Q$6, B12+90)-1)*365/90</f>
        <v>5.1812894627468804E-2</v>
      </c>
      <c r="J12" s="131" t="s">
        <v>512</v>
      </c>
      <c r="K12" s="132" t="str">
        <f>Corporates!$AE$6</f>
        <v>Market.Corporate.OFFER.RateCurve.AUD-LIBOR-BBA-3M</v>
      </c>
      <c r="M12" s="385" t="s">
        <v>251</v>
      </c>
      <c r="N12" s="387"/>
      <c r="O12" s="387"/>
      <c r="P12" s="387"/>
      <c r="Q12" s="387"/>
      <c r="R12" s="386"/>
    </row>
    <row r="13" spans="1:21" ht="15.75" thickBot="1">
      <c r="B13" s="89">
        <v>41792</v>
      </c>
      <c r="C13" s="356">
        <v>5.61</v>
      </c>
      <c r="D13" s="346" t="str">
        <f t="shared" si="6"/>
        <v>279d</v>
      </c>
      <c r="E13" s="174">
        <f t="shared" si="4"/>
        <v>5.8100000000000005</v>
      </c>
      <c r="F13" s="175" t="s">
        <v>517</v>
      </c>
      <c r="G13" s="176">
        <f t="shared" si="5"/>
        <v>0.16879235417739782</v>
      </c>
      <c r="H13" s="176">
        <f>(_xll.HLV5r3.Financial.Cache.GetValue( $Q$6, B13)/_xll.HLV5r3.Financial.Cache.GetValue($Q$6, B13+90)-1)*365/90</f>
        <v>5.2550892367138217E-2</v>
      </c>
      <c r="J13" s="131" t="s">
        <v>34</v>
      </c>
      <c r="K13" s="132" t="s">
        <v>311</v>
      </c>
      <c r="M13" s="118"/>
      <c r="N13" s="118"/>
      <c r="O13" s="118"/>
      <c r="P13" s="118"/>
      <c r="Q13" s="118"/>
    </row>
    <row r="14" spans="1:21" ht="13.5" thickBot="1">
      <c r="A14" s="168">
        <v>1</v>
      </c>
      <c r="B14" s="88" t="str">
        <f>A14&amp;"Y"</f>
        <v>1Y</v>
      </c>
      <c r="C14" s="357">
        <v>5.61</v>
      </c>
      <c r="D14" s="346" t="str">
        <f t="shared" ref="D14:D24" si="7">B14</f>
        <v>1Y</v>
      </c>
      <c r="E14" s="174">
        <f t="shared" si="4"/>
        <v>5.8100000000000005</v>
      </c>
      <c r="F14" s="175" t="s">
        <v>501</v>
      </c>
      <c r="G14" s="176">
        <f t="shared" si="5"/>
        <v>0.17293037271212455</v>
      </c>
      <c r="H14" s="176">
        <f t="shared" ref="H14:H24" si="8">VLOOKUP(A14*4,$M$16:$R$135,6,FALSE)</f>
        <v>5.1293411895540292E-2</v>
      </c>
      <c r="J14" s="131" t="s">
        <v>30</v>
      </c>
      <c r="K14" s="132" t="str">
        <f>MID(K8,1,3)</f>
        <v>AUD</v>
      </c>
      <c r="M14" s="120" t="s">
        <v>258</v>
      </c>
      <c r="N14" s="123" t="s">
        <v>234</v>
      </c>
      <c r="O14" s="123" t="s">
        <v>256</v>
      </c>
      <c r="P14" s="123" t="s">
        <v>257</v>
      </c>
      <c r="Q14" s="123" t="s">
        <v>209</v>
      </c>
      <c r="R14" s="123" t="s">
        <v>307</v>
      </c>
      <c r="S14" s="177" t="s">
        <v>314</v>
      </c>
    </row>
    <row r="15" spans="1:21">
      <c r="A15" s="168">
        <v>2</v>
      </c>
      <c r="B15" s="88" t="str">
        <f t="shared" ref="B15:B24" si="9">A15&amp;"Y"</f>
        <v>2Y</v>
      </c>
      <c r="C15" s="357">
        <v>5.74</v>
      </c>
      <c r="D15" s="346" t="str">
        <f t="shared" si="7"/>
        <v>2Y</v>
      </c>
      <c r="E15" s="174">
        <f t="shared" si="4"/>
        <v>5.94</v>
      </c>
      <c r="F15" s="175" t="s">
        <v>502</v>
      </c>
      <c r="G15" s="176">
        <f t="shared" si="5"/>
        <v>0.17304742136418458</v>
      </c>
      <c r="H15" s="176">
        <f t="shared" si="8"/>
        <v>5.2446530628058492E-2</v>
      </c>
      <c r="J15" s="131" t="s">
        <v>318</v>
      </c>
      <c r="K15" s="132" t="s">
        <v>519</v>
      </c>
      <c r="M15" s="135">
        <v>0</v>
      </c>
      <c r="N15" s="178">
        <f>_xll.HLV5r3.Financial.Cache.AddPeriod(E4, "1D",N6,N8,"Business")</f>
        <v>41514</v>
      </c>
      <c r="O15" s="179">
        <f t="array" ref="O15:O135">_xll.HLV5r3.Financial.Cache.GetValues($Q$6, N15:N135)</f>
        <v>0.99986987994712995</v>
      </c>
      <c r="P15" s="179"/>
      <c r="Q15" s="179"/>
      <c r="R15" s="179"/>
      <c r="S15" s="179"/>
    </row>
    <row r="16" spans="1:21">
      <c r="A16" s="168">
        <v>3</v>
      </c>
      <c r="B16" s="88" t="str">
        <f t="shared" si="9"/>
        <v>3Y</v>
      </c>
      <c r="C16" s="357">
        <v>6.05</v>
      </c>
      <c r="D16" s="346" t="str">
        <f t="shared" si="7"/>
        <v>3Y</v>
      </c>
      <c r="E16" s="174">
        <f t="shared" si="4"/>
        <v>6.25</v>
      </c>
      <c r="F16" s="175" t="s">
        <v>503</v>
      </c>
      <c r="G16" s="176">
        <f t="shared" si="5"/>
        <v>0.17978179785112525</v>
      </c>
      <c r="H16" s="176">
        <f t="shared" si="8"/>
        <v>5.3208333859975768E-2</v>
      </c>
      <c r="J16" s="131" t="s">
        <v>312</v>
      </c>
      <c r="K16" s="132" t="s">
        <v>313</v>
      </c>
      <c r="L16" s="363" t="str">
        <f>M16*3&amp;"M"</f>
        <v>3M</v>
      </c>
      <c r="M16" s="135">
        <f>M15+1</f>
        <v>1</v>
      </c>
      <c r="N16" s="178">
        <f t="array" ref="N16:N135">_xll.HLV5r3.Financial.Cache.AddManyPeriods( $N$15, "Calendar", L16:L135,N8,N6)</f>
        <v>41606</v>
      </c>
      <c r="O16" s="179">
        <v>0.98745019134865508</v>
      </c>
      <c r="P16" s="179">
        <f t="array" ref="P16:P135">_xll.HLV5r3.Financial.Cache.YearFractions(N15:N134, N16:N135,N9)</f>
        <v>0.25205479452054796</v>
      </c>
      <c r="Q16" s="179">
        <f>O16*P16</f>
        <v>0.24889155507966101</v>
      </c>
      <c r="R16" s="180">
        <f t="shared" ref="R16:R79" si="10">($O$15-O16)/Q16</f>
        <v>4.9899999999999119E-2</v>
      </c>
      <c r="S16" s="179">
        <f t="array" ref="S16:S115">_xll.HLV5r3.Financial.Cache.GetValues($K$3, N16:N100)</f>
        <v>0.12951299106569797</v>
      </c>
    </row>
    <row r="17" spans="1:19">
      <c r="A17" s="168">
        <v>4</v>
      </c>
      <c r="B17" s="88" t="str">
        <f t="shared" si="9"/>
        <v>4Y</v>
      </c>
      <c r="C17" s="357">
        <v>6</v>
      </c>
      <c r="D17" s="346" t="str">
        <f t="shared" si="7"/>
        <v>4Y</v>
      </c>
      <c r="E17" s="174">
        <f t="shared" si="4"/>
        <v>6.2</v>
      </c>
      <c r="F17" s="175" t="s">
        <v>504</v>
      </c>
      <c r="G17" s="176">
        <f t="shared" si="5"/>
        <v>0.17522834916777816</v>
      </c>
      <c r="H17" s="176">
        <f t="shared" si="8"/>
        <v>5.4139829688298079E-2</v>
      </c>
      <c r="J17" s="131" t="s">
        <v>315</v>
      </c>
      <c r="K17" s="132" t="s">
        <v>316</v>
      </c>
      <c r="L17" s="363" t="str">
        <f t="shared" ref="L17:L80" si="11">M17*3&amp;"M"</f>
        <v>6M</v>
      </c>
      <c r="M17" s="135">
        <f>M16+1</f>
        <v>2</v>
      </c>
      <c r="N17" s="178">
        <v>41698</v>
      </c>
      <c r="O17" s="179">
        <v>0.9749111080261329</v>
      </c>
      <c r="P17" s="179">
        <v>0.25205479452054796</v>
      </c>
      <c r="Q17" s="179">
        <f>Q16+O17*P17</f>
        <v>0.49462257408898769</v>
      </c>
      <c r="R17" s="180">
        <f t="shared" si="10"/>
        <v>5.0460236205286307E-2</v>
      </c>
      <c r="S17" s="179">
        <v>0.15947605087372013</v>
      </c>
    </row>
    <row r="18" spans="1:19">
      <c r="A18" s="168">
        <v>5</v>
      </c>
      <c r="B18" s="88" t="str">
        <f t="shared" si="9"/>
        <v>5Y</v>
      </c>
      <c r="C18" s="357">
        <v>5.95</v>
      </c>
      <c r="D18" s="346" t="str">
        <f t="shared" si="7"/>
        <v>5Y</v>
      </c>
      <c r="E18" s="174">
        <f t="shared" si="4"/>
        <v>6.15</v>
      </c>
      <c r="F18" s="175" t="s">
        <v>505</v>
      </c>
      <c r="G18" s="176">
        <f t="shared" si="5"/>
        <v>0.17025232997543119</v>
      </c>
      <c r="H18" s="176">
        <f t="shared" si="8"/>
        <v>5.5257840173808769E-2</v>
      </c>
      <c r="J18" s="131" t="s">
        <v>317</v>
      </c>
      <c r="K18" s="132" t="s">
        <v>231</v>
      </c>
      <c r="L18" s="363" t="str">
        <f t="shared" si="11"/>
        <v>9M</v>
      </c>
      <c r="M18" s="135">
        <f>M17+1</f>
        <v>3</v>
      </c>
      <c r="N18" s="178">
        <v>41787</v>
      </c>
      <c r="O18" s="179">
        <v>0.96275326019266816</v>
      </c>
      <c r="P18" s="179">
        <v>0.24383561643835616</v>
      </c>
      <c r="Q18" s="179">
        <f t="shared" ref="Q18:Q81" si="12">Q17+O18*P18</f>
        <v>0.72937610876610404</v>
      </c>
      <c r="R18" s="180">
        <f t="shared" si="10"/>
        <v>5.088817594704672E-2</v>
      </c>
      <c r="S18" s="179">
        <v>0.20730303144598736</v>
      </c>
    </row>
    <row r="19" spans="1:19">
      <c r="A19" s="168">
        <v>7</v>
      </c>
      <c r="B19" s="88" t="str">
        <f t="shared" si="9"/>
        <v>7Y</v>
      </c>
      <c r="C19" s="357">
        <v>5.78</v>
      </c>
      <c r="D19" s="346" t="str">
        <f t="shared" si="7"/>
        <v>7Y</v>
      </c>
      <c r="E19" s="174">
        <f t="shared" si="4"/>
        <v>5.98</v>
      </c>
      <c r="F19" s="175" t="s">
        <v>506</v>
      </c>
      <c r="G19" s="176">
        <f t="shared" si="5"/>
        <v>0.16065724860411162</v>
      </c>
      <c r="H19" s="176">
        <f t="shared" si="8"/>
        <v>5.6884967950663175E-2</v>
      </c>
      <c r="J19" s="131" t="s">
        <v>318</v>
      </c>
      <c r="K19" s="132" t="s">
        <v>500</v>
      </c>
      <c r="L19" s="363" t="str">
        <f t="shared" si="11"/>
        <v>12M</v>
      </c>
      <c r="M19" s="135">
        <f t="shared" ref="M19:M82" si="13">M18+1</f>
        <v>4</v>
      </c>
      <c r="N19" s="178">
        <v>41879</v>
      </c>
      <c r="O19" s="179">
        <v>0.95017313942125392</v>
      </c>
      <c r="P19" s="179">
        <v>0.25205479452054796</v>
      </c>
      <c r="Q19" s="179">
        <f t="shared" si="12"/>
        <v>0.96887180418187213</v>
      </c>
      <c r="R19" s="180">
        <f t="shared" si="10"/>
        <v>5.1293411895540292E-2</v>
      </c>
      <c r="S19" s="179">
        <v>0.17015496382861015</v>
      </c>
    </row>
    <row r="20" spans="1:19">
      <c r="A20" s="168">
        <v>10</v>
      </c>
      <c r="B20" s="88" t="str">
        <f t="shared" si="9"/>
        <v>10Y</v>
      </c>
      <c r="C20" s="357">
        <v>5.58</v>
      </c>
      <c r="D20" s="346" t="str">
        <f t="shared" si="7"/>
        <v>10Y</v>
      </c>
      <c r="E20" s="174">
        <f t="shared" si="4"/>
        <v>5.78</v>
      </c>
      <c r="F20" s="175" t="s">
        <v>507</v>
      </c>
      <c r="G20" s="176">
        <f t="shared" si="5"/>
        <v>0.15217435435607238</v>
      </c>
      <c r="H20" s="176">
        <f t="shared" si="8"/>
        <v>5.797793399027959E-2</v>
      </c>
      <c r="J20" s="131" t="s">
        <v>319</v>
      </c>
      <c r="K20" s="132" t="s">
        <v>177</v>
      </c>
      <c r="L20" s="363" t="str">
        <f t="shared" si="11"/>
        <v>15M</v>
      </c>
      <c r="M20" s="135">
        <f t="shared" si="13"/>
        <v>5</v>
      </c>
      <c r="N20" s="178">
        <v>41971</v>
      </c>
      <c r="O20" s="179">
        <v>0.93762950873244577</v>
      </c>
      <c r="P20" s="179">
        <v>0.25205479452054796</v>
      </c>
      <c r="Q20" s="179">
        <f t="shared" si="12"/>
        <v>1.205205817341831</v>
      </c>
      <c r="R20" s="180">
        <f t="shared" si="10"/>
        <v>5.1642939586833261E-2</v>
      </c>
      <c r="S20" s="179">
        <v>0.17178301691837014</v>
      </c>
    </row>
    <row r="21" spans="1:19">
      <c r="A21" s="168">
        <v>15</v>
      </c>
      <c r="B21" s="88" t="str">
        <f t="shared" si="9"/>
        <v>15Y</v>
      </c>
      <c r="C21" s="357">
        <v>5.39</v>
      </c>
      <c r="D21" s="346" t="str">
        <f t="shared" si="7"/>
        <v>15Y</v>
      </c>
      <c r="E21" s="174">
        <f t="shared" si="4"/>
        <v>5.59</v>
      </c>
      <c r="F21" s="175" t="s">
        <v>508</v>
      </c>
      <c r="G21" s="176">
        <f t="shared" si="5"/>
        <v>0.14469847715233403</v>
      </c>
      <c r="H21" s="176">
        <f t="shared" si="8"/>
        <v>5.8897221739118454E-2</v>
      </c>
      <c r="J21" s="131" t="s">
        <v>320</v>
      </c>
      <c r="K21" s="132" t="s">
        <v>321</v>
      </c>
      <c r="L21" s="363" t="str">
        <f t="shared" si="11"/>
        <v>18M</v>
      </c>
      <c r="M21" s="135">
        <f t="shared" si="13"/>
        <v>6</v>
      </c>
      <c r="N21" s="178">
        <v>42062</v>
      </c>
      <c r="O21" s="179">
        <v>0.92528444656880526</v>
      </c>
      <c r="P21" s="179">
        <v>0.24931506849315069</v>
      </c>
      <c r="Q21" s="179">
        <f t="shared" si="12"/>
        <v>1.4358931725137798</v>
      </c>
      <c r="R21" s="180">
        <f t="shared" si="10"/>
        <v>5.1943581044925483E-2</v>
      </c>
      <c r="S21" s="179">
        <v>0.17339337377889358</v>
      </c>
    </row>
    <row r="22" spans="1:19">
      <c r="A22" s="168">
        <v>20</v>
      </c>
      <c r="B22" s="88" t="str">
        <f t="shared" si="9"/>
        <v>20Y</v>
      </c>
      <c r="C22" s="357">
        <v>5.39</v>
      </c>
      <c r="D22" s="346" t="str">
        <f t="shared" si="7"/>
        <v>20Y</v>
      </c>
      <c r="E22" s="174">
        <f t="shared" si="4"/>
        <v>5.59</v>
      </c>
      <c r="F22" s="175" t="s">
        <v>518</v>
      </c>
      <c r="G22" s="176">
        <f t="shared" si="5"/>
        <v>0.14682713519583557</v>
      </c>
      <c r="H22" s="176">
        <f t="shared" si="8"/>
        <v>5.8043346570692336E-2</v>
      </c>
      <c r="J22" s="131" t="s">
        <v>322</v>
      </c>
      <c r="K22" s="171">
        <f>K5</f>
        <v>41513</v>
      </c>
      <c r="L22" s="363" t="str">
        <f t="shared" si="11"/>
        <v>21M</v>
      </c>
      <c r="M22" s="135">
        <f t="shared" si="13"/>
        <v>7</v>
      </c>
      <c r="N22" s="178">
        <v>42152</v>
      </c>
      <c r="O22" s="179">
        <v>0.91314966333375325</v>
      </c>
      <c r="P22" s="179">
        <v>0.24657534246575341</v>
      </c>
      <c r="Q22" s="179">
        <f t="shared" si="12"/>
        <v>1.6610533634727873</v>
      </c>
      <c r="R22" s="180">
        <f t="shared" si="10"/>
        <v>5.2207965451555115E-2</v>
      </c>
      <c r="S22" s="179">
        <v>0.17502081660457033</v>
      </c>
    </row>
    <row r="23" spans="1:19">
      <c r="A23" s="168">
        <v>25</v>
      </c>
      <c r="B23" s="88" t="str">
        <f t="shared" si="9"/>
        <v>25Y</v>
      </c>
      <c r="C23" s="357">
        <v>5.39</v>
      </c>
      <c r="D23" s="346" t="str">
        <f t="shared" si="7"/>
        <v>25Y</v>
      </c>
      <c r="E23" s="174">
        <f t="shared" si="4"/>
        <v>5.59</v>
      </c>
      <c r="F23" s="175" t="s">
        <v>509</v>
      </c>
      <c r="G23" s="176">
        <f t="shared" si="5"/>
        <v>0.15026123413304787</v>
      </c>
      <c r="H23" s="176">
        <f t="shared" si="8"/>
        <v>5.6716812844806869E-2</v>
      </c>
      <c r="J23" s="131" t="s">
        <v>323</v>
      </c>
      <c r="K23" s="132" t="s">
        <v>324</v>
      </c>
      <c r="L23" s="363" t="str">
        <f t="shared" si="11"/>
        <v>24M</v>
      </c>
      <c r="M23" s="135">
        <f t="shared" si="13"/>
        <v>8</v>
      </c>
      <c r="N23" s="178">
        <v>42244</v>
      </c>
      <c r="O23" s="179">
        <v>0.90084476698200089</v>
      </c>
      <c r="P23" s="179">
        <v>0.25205479452054796</v>
      </c>
      <c r="Q23" s="179">
        <f t="shared" si="12"/>
        <v>1.8881156061093465</v>
      </c>
      <c r="R23" s="180">
        <f t="shared" si="10"/>
        <v>5.2446530628058492E-2</v>
      </c>
      <c r="S23" s="179">
        <v>0.17984883157819276</v>
      </c>
    </row>
    <row r="24" spans="1:19">
      <c r="A24" s="168">
        <v>30</v>
      </c>
      <c r="B24" s="87" t="str">
        <f t="shared" si="9"/>
        <v>30Y</v>
      </c>
      <c r="C24" s="355">
        <v>5.39</v>
      </c>
      <c r="D24" s="347" t="str">
        <f t="shared" si="7"/>
        <v>30Y</v>
      </c>
      <c r="E24" s="181">
        <f t="shared" si="4"/>
        <v>5.59</v>
      </c>
      <c r="F24" s="182" t="s">
        <v>510</v>
      </c>
      <c r="G24" s="183">
        <f t="shared" si="5"/>
        <v>0.15395022440649961</v>
      </c>
      <c r="H24" s="183">
        <f t="shared" si="8"/>
        <v>5.5357751682458593E-2</v>
      </c>
      <c r="L24" s="363" t="str">
        <f t="shared" si="11"/>
        <v>27M</v>
      </c>
      <c r="M24" s="135">
        <f t="shared" si="13"/>
        <v>9</v>
      </c>
      <c r="N24" s="178">
        <v>42338</v>
      </c>
      <c r="O24" s="179">
        <v>0.8884173249650833</v>
      </c>
      <c r="P24" s="179">
        <v>0.25753424657534246</v>
      </c>
      <c r="Q24" s="179">
        <f t="shared" si="12"/>
        <v>2.1169134925387105</v>
      </c>
      <c r="R24" s="180">
        <f t="shared" si="10"/>
        <v>5.264861099656324E-2</v>
      </c>
      <c r="S24" s="179">
        <v>0.18478180339906783</v>
      </c>
    </row>
    <row r="25" spans="1:19">
      <c r="L25" s="363" t="str">
        <f t="shared" si="11"/>
        <v>30M</v>
      </c>
      <c r="M25" s="135">
        <f t="shared" si="13"/>
        <v>10</v>
      </c>
      <c r="N25" s="178">
        <v>42429</v>
      </c>
      <c r="O25" s="179">
        <v>0.87647452765565725</v>
      </c>
      <c r="P25" s="179">
        <v>0.24931506849315069</v>
      </c>
      <c r="Q25" s="179">
        <f t="shared" si="12"/>
        <v>2.3354317994336826</v>
      </c>
      <c r="R25" s="180">
        <f t="shared" si="10"/>
        <v>5.2836204560285066E-2</v>
      </c>
      <c r="S25" s="179">
        <v>0.1895573399490639</v>
      </c>
    </row>
    <row r="26" spans="1:19">
      <c r="A26" s="169"/>
      <c r="L26" s="363" t="str">
        <f t="shared" si="11"/>
        <v>33M</v>
      </c>
      <c r="M26" s="135">
        <f t="shared" si="13"/>
        <v>11</v>
      </c>
      <c r="N26" s="178">
        <v>42520</v>
      </c>
      <c r="O26" s="179">
        <v>0.86460921691536297</v>
      </c>
      <c r="P26" s="179">
        <v>0.24931506849315069</v>
      </c>
      <c r="Q26" s="179">
        <f t="shared" si="12"/>
        <v>2.5509919055687456</v>
      </c>
      <c r="R26" s="180">
        <f t="shared" si="10"/>
        <v>5.3022772332792061E-2</v>
      </c>
      <c r="S26" s="179">
        <v>0.19380532943960066</v>
      </c>
    </row>
    <row r="27" spans="1:19">
      <c r="A27" s="169"/>
      <c r="C27" s="358"/>
      <c r="L27" s="363" t="str">
        <f t="shared" si="11"/>
        <v>36M</v>
      </c>
      <c r="M27" s="135">
        <f t="shared" si="13"/>
        <v>12</v>
      </c>
      <c r="N27" s="178">
        <v>42611</v>
      </c>
      <c r="O27" s="179">
        <v>0.85282261369548029</v>
      </c>
      <c r="P27" s="179">
        <v>0.24931506849315069</v>
      </c>
      <c r="Q27" s="179">
        <f t="shared" si="12"/>
        <v>2.7636134339147418</v>
      </c>
      <c r="R27" s="180">
        <f t="shared" si="10"/>
        <v>5.3208333859975768E-2</v>
      </c>
      <c r="S27" s="179">
        <v>0.18257860518599742</v>
      </c>
    </row>
    <row r="28" spans="1:19">
      <c r="A28" s="169"/>
      <c r="C28" s="358"/>
      <c r="L28" s="363" t="str">
        <f t="shared" si="11"/>
        <v>39M</v>
      </c>
      <c r="M28" s="135">
        <f t="shared" si="13"/>
        <v>13</v>
      </c>
      <c r="N28" s="178">
        <v>42702</v>
      </c>
      <c r="O28" s="179">
        <v>0.84096912733156715</v>
      </c>
      <c r="P28" s="179">
        <v>0.24931506849315069</v>
      </c>
      <c r="Q28" s="179">
        <f t="shared" si="12"/>
        <v>2.9732797094960368</v>
      </c>
      <c r="R28" s="180">
        <f t="shared" si="10"/>
        <v>5.3442920996657949E-2</v>
      </c>
      <c r="S28" s="179">
        <v>0.17135188093239417</v>
      </c>
    </row>
    <row r="29" spans="1:19">
      <c r="C29" s="358"/>
      <c r="L29" s="363" t="str">
        <f t="shared" si="11"/>
        <v>42M</v>
      </c>
      <c r="M29" s="135">
        <f t="shared" si="13"/>
        <v>14</v>
      </c>
      <c r="N29" s="178">
        <v>42794</v>
      </c>
      <c r="O29" s="179">
        <v>0.82904941363331319</v>
      </c>
      <c r="P29" s="179">
        <v>0.25205479452054796</v>
      </c>
      <c r="Q29" s="179">
        <f t="shared" si="12"/>
        <v>3.1822455890967625</v>
      </c>
      <c r="R29" s="180">
        <f t="shared" si="10"/>
        <v>5.3679221647472485E-2</v>
      </c>
      <c r="S29" s="179">
        <v>0.16000178608259749</v>
      </c>
    </row>
    <row r="30" spans="1:19">
      <c r="A30" s="169"/>
      <c r="C30" s="358"/>
      <c r="L30" s="363" t="str">
        <f t="shared" si="11"/>
        <v>45M</v>
      </c>
      <c r="M30" s="135">
        <f t="shared" si="13"/>
        <v>15</v>
      </c>
      <c r="N30" s="178">
        <v>42884</v>
      </c>
      <c r="O30" s="179">
        <v>0.8174530984234698</v>
      </c>
      <c r="P30" s="179">
        <v>0.24657534246575341</v>
      </c>
      <c r="Q30" s="179">
        <f t="shared" si="12"/>
        <v>3.3838093667902207</v>
      </c>
      <c r="R30" s="180">
        <f t="shared" si="10"/>
        <v>5.3908705175284503E-2</v>
      </c>
      <c r="S30" s="179">
        <v>0.14936640499745216</v>
      </c>
    </row>
    <row r="31" spans="1:19">
      <c r="A31" s="169"/>
      <c r="C31" s="358"/>
      <c r="L31" s="363" t="str">
        <f t="shared" si="11"/>
        <v>48M</v>
      </c>
      <c r="M31" s="135">
        <f t="shared" si="13"/>
        <v>16</v>
      </c>
      <c r="N31" s="178">
        <v>42975</v>
      </c>
      <c r="O31" s="179">
        <v>0.80579450336970149</v>
      </c>
      <c r="P31" s="179">
        <v>0.24931506849315069</v>
      </c>
      <c r="Q31" s="179">
        <f t="shared" si="12"/>
        <v>3.5847060785892424</v>
      </c>
      <c r="R31" s="180">
        <f t="shared" si="10"/>
        <v>5.4139829688298079E-2</v>
      </c>
      <c r="S31" s="179">
        <v>0.15233484876920439</v>
      </c>
    </row>
    <row r="32" spans="1:19">
      <c r="A32" s="169"/>
      <c r="C32" s="358"/>
      <c r="L32" s="363" t="str">
        <f t="shared" si="11"/>
        <v>51M</v>
      </c>
      <c r="M32" s="135">
        <f t="shared" si="13"/>
        <v>17</v>
      </c>
      <c r="N32" s="178">
        <v>43067</v>
      </c>
      <c r="O32" s="179">
        <v>0.79388547788359731</v>
      </c>
      <c r="P32" s="179">
        <v>0.25205479452054796</v>
      </c>
      <c r="Q32" s="179">
        <f t="shared" si="12"/>
        <v>3.7848087195900395</v>
      </c>
      <c r="R32" s="180">
        <f t="shared" si="10"/>
        <v>5.4423992683531E-2</v>
      </c>
      <c r="S32" s="179">
        <v>0.15533591280218467</v>
      </c>
    </row>
    <row r="33" spans="1:19">
      <c r="A33" s="169"/>
      <c r="C33" s="358"/>
      <c r="L33" s="363" t="str">
        <f t="shared" si="11"/>
        <v>54M</v>
      </c>
      <c r="M33" s="135">
        <f t="shared" si="13"/>
        <v>18</v>
      </c>
      <c r="N33" s="178">
        <v>43159</v>
      </c>
      <c r="O33" s="179">
        <v>0.78203198882235825</v>
      </c>
      <c r="P33" s="179">
        <v>0.25205479452054796</v>
      </c>
      <c r="Q33" s="179">
        <f t="shared" si="12"/>
        <v>3.9819236318411546</v>
      </c>
      <c r="R33" s="180">
        <f t="shared" si="10"/>
        <v>5.470669738185014E-2</v>
      </c>
      <c r="S33" s="179">
        <v>0.15833697683516498</v>
      </c>
    </row>
    <row r="34" spans="1:19">
      <c r="A34" s="169"/>
      <c r="C34" s="358"/>
      <c r="L34" s="363" t="str">
        <f t="shared" si="11"/>
        <v>57M</v>
      </c>
      <c r="M34" s="135">
        <f t="shared" si="13"/>
        <v>19</v>
      </c>
      <c r="N34" s="178">
        <v>43248</v>
      </c>
      <c r="O34" s="179">
        <v>0.77062052023169381</v>
      </c>
      <c r="P34" s="179">
        <v>0.24383561643835616</v>
      </c>
      <c r="Q34" s="179">
        <f t="shared" si="12"/>
        <v>4.1698283614318967</v>
      </c>
      <c r="R34" s="180">
        <f t="shared" si="10"/>
        <v>5.4978128557002078E-2</v>
      </c>
      <c r="S34" s="179">
        <v>0.16102405974245379</v>
      </c>
    </row>
    <row r="35" spans="1:19">
      <c r="A35" s="169"/>
      <c r="C35" s="358"/>
      <c r="L35" s="363" t="str">
        <f t="shared" si="11"/>
        <v>60M</v>
      </c>
      <c r="M35" s="135">
        <f t="shared" si="13"/>
        <v>20</v>
      </c>
      <c r="N35" s="178">
        <v>43340</v>
      </c>
      <c r="O35" s="179">
        <v>0.75888442582152948</v>
      </c>
      <c r="P35" s="179">
        <v>0.25205479452054796</v>
      </c>
      <c r="Q35" s="179">
        <f t="shared" si="12"/>
        <v>4.3611088194471863</v>
      </c>
      <c r="R35" s="180">
        <f t="shared" si="10"/>
        <v>5.5257840173808769E-2</v>
      </c>
      <c r="S35" s="179">
        <v>0.15739743328720929</v>
      </c>
    </row>
    <row r="36" spans="1:19">
      <c r="C36" s="358"/>
      <c r="L36" s="363" t="str">
        <f t="shared" si="11"/>
        <v>63M</v>
      </c>
      <c r="M36" s="135">
        <f t="shared" si="13"/>
        <v>21</v>
      </c>
      <c r="N36" s="178">
        <v>43432</v>
      </c>
      <c r="O36" s="179">
        <v>0.7473803890583729</v>
      </c>
      <c r="P36" s="179">
        <v>0.25205479452054796</v>
      </c>
      <c r="Q36" s="179">
        <f t="shared" si="12"/>
        <v>4.5494896298399814</v>
      </c>
      <c r="R36" s="180">
        <f t="shared" si="10"/>
        <v>5.5498421016873016E-2</v>
      </c>
      <c r="S36" s="179">
        <v>0.15377080683196476</v>
      </c>
    </row>
    <row r="37" spans="1:19">
      <c r="C37" s="358"/>
      <c r="L37" s="363" t="str">
        <f t="shared" si="11"/>
        <v>66M</v>
      </c>
      <c r="M37" s="135">
        <f t="shared" si="13"/>
        <v>22</v>
      </c>
      <c r="N37" s="178">
        <v>43524</v>
      </c>
      <c r="O37" s="179">
        <v>0.73595330196388686</v>
      </c>
      <c r="P37" s="179">
        <v>0.25205479452054796</v>
      </c>
      <c r="Q37" s="179">
        <f t="shared" si="12"/>
        <v>4.7349901881432075</v>
      </c>
      <c r="R37" s="180">
        <f t="shared" si="10"/>
        <v>5.5737513172490032E-2</v>
      </c>
      <c r="S37" s="179">
        <v>0.15014418037672023</v>
      </c>
    </row>
    <row r="38" spans="1:19">
      <c r="C38" s="358"/>
      <c r="L38" s="363" t="str">
        <f t="shared" si="11"/>
        <v>69M</v>
      </c>
      <c r="M38" s="135">
        <f t="shared" si="13"/>
        <v>23</v>
      </c>
      <c r="N38" s="178">
        <v>43613</v>
      </c>
      <c r="O38" s="179">
        <v>0.72497379202515522</v>
      </c>
      <c r="P38" s="179">
        <v>0.24383561643835616</v>
      </c>
      <c r="Q38" s="179">
        <f t="shared" si="12"/>
        <v>4.9117646196233142</v>
      </c>
      <c r="R38" s="180">
        <f t="shared" si="10"/>
        <v>5.5966869182557992E-2</v>
      </c>
      <c r="S38" s="179">
        <v>0.1466358134797989</v>
      </c>
    </row>
    <row r="39" spans="1:19">
      <c r="C39" s="358"/>
      <c r="L39" s="363" t="str">
        <f t="shared" si="11"/>
        <v>72M</v>
      </c>
      <c r="M39" s="135">
        <f t="shared" si="13"/>
        <v>24</v>
      </c>
      <c r="N39" s="178">
        <v>43705</v>
      </c>
      <c r="O39" s="179">
        <v>0.71370339623658607</v>
      </c>
      <c r="P39" s="179">
        <v>0.25205479452054796</v>
      </c>
      <c r="Q39" s="179">
        <f t="shared" si="12"/>
        <v>5.0916569825103437</v>
      </c>
      <c r="R39" s="180">
        <f t="shared" si="10"/>
        <v>5.6203016953717683E-2</v>
      </c>
      <c r="S39" s="179">
        <v>0.14300918702455437</v>
      </c>
    </row>
    <row r="40" spans="1:19">
      <c r="C40" s="358"/>
      <c r="L40" s="363" t="str">
        <f t="shared" si="11"/>
        <v>75M</v>
      </c>
      <c r="M40" s="135">
        <f t="shared" si="13"/>
        <v>25</v>
      </c>
      <c r="N40" s="178">
        <v>43797</v>
      </c>
      <c r="O40" s="179">
        <v>0.70283325034545852</v>
      </c>
      <c r="P40" s="179">
        <v>0.25205479452054796</v>
      </c>
      <c r="Q40" s="179">
        <f t="shared" si="12"/>
        <v>5.2688094730083774</v>
      </c>
      <c r="R40" s="180">
        <f t="shared" si="10"/>
        <v>5.6376422628937821E-2</v>
      </c>
      <c r="S40" s="179">
        <v>0.13938256056930987</v>
      </c>
    </row>
    <row r="41" spans="1:19">
      <c r="C41" s="358"/>
      <c r="L41" s="363" t="str">
        <f t="shared" si="11"/>
        <v>78M</v>
      </c>
      <c r="M41" s="135">
        <f t="shared" si="13"/>
        <v>26</v>
      </c>
      <c r="N41" s="178">
        <v>43889</v>
      </c>
      <c r="O41" s="179">
        <v>0.69206226846252039</v>
      </c>
      <c r="P41" s="179">
        <v>0.25205479452054796</v>
      </c>
      <c r="Q41" s="179">
        <f t="shared" si="12"/>
        <v>5.4432470858811222</v>
      </c>
      <c r="R41" s="180">
        <f t="shared" si="10"/>
        <v>5.6548528227390468E-2</v>
      </c>
      <c r="S41" s="179">
        <v>0.13575593411406534</v>
      </c>
    </row>
    <row r="42" spans="1:19">
      <c r="L42" s="363" t="str">
        <f t="shared" si="11"/>
        <v>81M</v>
      </c>
      <c r="M42" s="135">
        <f t="shared" si="13"/>
        <v>27</v>
      </c>
      <c r="N42" s="178">
        <v>43979</v>
      </c>
      <c r="O42" s="179">
        <v>0.68162190691774971</v>
      </c>
      <c r="P42" s="179">
        <v>0.24657534246575341</v>
      </c>
      <c r="Q42" s="179">
        <f t="shared" si="12"/>
        <v>5.6113182410115261</v>
      </c>
      <c r="R42" s="180">
        <f t="shared" si="10"/>
        <v>5.6715366935241082E-2</v>
      </c>
      <c r="S42" s="179">
        <v>0.13225725966693419</v>
      </c>
    </row>
    <row r="43" spans="1:19">
      <c r="L43" s="363" t="str">
        <f t="shared" si="11"/>
        <v>84M</v>
      </c>
      <c r="M43" s="135">
        <f t="shared" si="13"/>
        <v>28</v>
      </c>
      <c r="N43" s="178">
        <v>44071</v>
      </c>
      <c r="O43" s="179">
        <v>0.6710486397459271</v>
      </c>
      <c r="P43" s="179">
        <v>0.25205479452054796</v>
      </c>
      <c r="Q43" s="179">
        <f t="shared" si="12"/>
        <v>5.7804592680159788</v>
      </c>
      <c r="R43" s="180">
        <f t="shared" si="10"/>
        <v>5.6884967950663175E-2</v>
      </c>
      <c r="S43" s="179">
        <v>0.13314896504763202</v>
      </c>
    </row>
    <row r="44" spans="1:19">
      <c r="L44" s="363" t="str">
        <f t="shared" si="11"/>
        <v>87M</v>
      </c>
      <c r="M44" s="135">
        <f t="shared" si="13"/>
        <v>29</v>
      </c>
      <c r="N44" s="178">
        <v>44165</v>
      </c>
      <c r="O44" s="179">
        <v>0.66065789207839265</v>
      </c>
      <c r="P44" s="179">
        <v>0.25753424657534246</v>
      </c>
      <c r="Q44" s="179">
        <f t="shared" si="12"/>
        <v>5.9506013004964418</v>
      </c>
      <c r="R44" s="180">
        <f t="shared" si="10"/>
        <v>5.7004657300840811E-2</v>
      </c>
      <c r="S44" s="179">
        <v>0.13406005532791024</v>
      </c>
    </row>
    <row r="45" spans="1:19">
      <c r="L45" s="363" t="str">
        <f t="shared" si="11"/>
        <v>90M</v>
      </c>
      <c r="M45" s="135">
        <f t="shared" si="13"/>
        <v>30</v>
      </c>
      <c r="N45" s="178">
        <v>44253</v>
      </c>
      <c r="O45" s="179">
        <v>0.65103668055388109</v>
      </c>
      <c r="P45" s="179">
        <v>0.24109589041095891</v>
      </c>
      <c r="Q45" s="179">
        <f t="shared" si="12"/>
        <v>6.1075635686847747</v>
      </c>
      <c r="R45" s="180">
        <f t="shared" si="10"/>
        <v>5.711495189044228E-2</v>
      </c>
      <c r="S45" s="179">
        <v>0.13491299090944731</v>
      </c>
    </row>
    <row r="46" spans="1:19">
      <c r="L46" s="363" t="str">
        <f t="shared" si="11"/>
        <v>93M</v>
      </c>
      <c r="M46" s="135">
        <f t="shared" si="13"/>
        <v>31</v>
      </c>
      <c r="N46" s="178">
        <v>44344</v>
      </c>
      <c r="O46" s="179">
        <v>0.64119517700289064</v>
      </c>
      <c r="P46" s="179">
        <v>0.24931506849315069</v>
      </c>
      <c r="Q46" s="179">
        <f t="shared" si="12"/>
        <v>6.2674231881567284</v>
      </c>
      <c r="R46" s="180">
        <f t="shared" si="10"/>
        <v>5.7228416236837332E-2</v>
      </c>
      <c r="S46" s="179">
        <v>0.13579500384035492</v>
      </c>
    </row>
    <row r="47" spans="1:19">
      <c r="L47" s="363" t="str">
        <f t="shared" si="11"/>
        <v>96M</v>
      </c>
      <c r="M47" s="135">
        <f t="shared" si="13"/>
        <v>32</v>
      </c>
      <c r="N47" s="178">
        <v>44438</v>
      </c>
      <c r="O47" s="179">
        <v>0.63114376440884412</v>
      </c>
      <c r="P47" s="179">
        <v>0.25753424657534246</v>
      </c>
      <c r="Q47" s="179">
        <f t="shared" si="12"/>
        <v>6.4299643220044853</v>
      </c>
      <c r="R47" s="180">
        <f t="shared" si="10"/>
        <v>5.7344970683031515E-2</v>
      </c>
      <c r="S47" s="179">
        <v>0.13670609412063314</v>
      </c>
    </row>
    <row r="48" spans="1:19">
      <c r="L48" s="363" t="str">
        <f t="shared" si="11"/>
        <v>99M</v>
      </c>
      <c r="M48" s="135">
        <f t="shared" si="13"/>
        <v>33</v>
      </c>
      <c r="N48" s="178">
        <v>44529</v>
      </c>
      <c r="O48" s="179">
        <v>0.62170716714266683</v>
      </c>
      <c r="P48" s="179">
        <v>0.24931506849315069</v>
      </c>
      <c r="Q48" s="179">
        <f t="shared" si="12"/>
        <v>6.5849652869633424</v>
      </c>
      <c r="R48" s="180">
        <f t="shared" si="10"/>
        <v>5.7428201414081094E-2</v>
      </c>
      <c r="S48" s="179">
        <v>0.13758810705154079</v>
      </c>
    </row>
    <row r="49" spans="3:19">
      <c r="L49" s="363" t="str">
        <f t="shared" si="11"/>
        <v>102M</v>
      </c>
      <c r="M49" s="135">
        <f t="shared" si="13"/>
        <v>34</v>
      </c>
      <c r="N49" s="178">
        <v>44620</v>
      </c>
      <c r="O49" s="179">
        <v>0.61238408645848619</v>
      </c>
      <c r="P49" s="179">
        <v>0.24931506849315069</v>
      </c>
      <c r="Q49" s="179">
        <f t="shared" si="12"/>
        <v>6.7376418674228553</v>
      </c>
      <c r="R49" s="180">
        <f t="shared" si="10"/>
        <v>5.7510595118178472E-2</v>
      </c>
      <c r="S49" s="179">
        <v>0.1384701199824484</v>
      </c>
    </row>
    <row r="50" spans="3:19">
      <c r="L50" s="363" t="str">
        <f t="shared" si="11"/>
        <v>105M</v>
      </c>
      <c r="M50" s="135">
        <f t="shared" si="13"/>
        <v>35</v>
      </c>
      <c r="N50" s="178">
        <v>44711</v>
      </c>
      <c r="O50" s="179">
        <v>0.60317365428681102</v>
      </c>
      <c r="P50" s="179">
        <v>0.24931506849315069</v>
      </c>
      <c r="Q50" s="179">
        <f t="shared" si="12"/>
        <v>6.8880221483546356</v>
      </c>
      <c r="R50" s="180">
        <f t="shared" si="10"/>
        <v>5.7592182068560718E-2</v>
      </c>
      <c r="S50" s="179">
        <v>0.13935213291335602</v>
      </c>
    </row>
    <row r="51" spans="3:19">
      <c r="L51" s="363" t="str">
        <f t="shared" si="11"/>
        <v>108M</v>
      </c>
      <c r="M51" s="135">
        <f t="shared" si="13"/>
        <v>36</v>
      </c>
      <c r="N51" s="178">
        <v>44802</v>
      </c>
      <c r="O51" s="179">
        <v>0.59407500045085404</v>
      </c>
      <c r="P51" s="179">
        <v>0.24931506849315069</v>
      </c>
      <c r="Q51" s="179">
        <f t="shared" si="12"/>
        <v>7.0361339977821089</v>
      </c>
      <c r="R51" s="180">
        <f t="shared" si="10"/>
        <v>5.7672989119335751E-2</v>
      </c>
      <c r="S51" s="179">
        <v>0.14023414584426366</v>
      </c>
    </row>
    <row r="52" spans="3:19">
      <c r="L52" s="363" t="str">
        <f t="shared" si="11"/>
        <v>111M</v>
      </c>
      <c r="M52" s="135">
        <f t="shared" si="13"/>
        <v>37</v>
      </c>
      <c r="N52" s="178">
        <v>44893</v>
      </c>
      <c r="O52" s="179">
        <v>0.58510669244807401</v>
      </c>
      <c r="P52" s="179">
        <v>0.24931506849315069</v>
      </c>
      <c r="Q52" s="179">
        <f t="shared" si="12"/>
        <v>7.1820099128856016</v>
      </c>
      <c r="R52" s="180">
        <f t="shared" si="10"/>
        <v>5.7750294489973993E-2</v>
      </c>
      <c r="S52" s="179">
        <v>0.14111615877517131</v>
      </c>
    </row>
    <row r="53" spans="3:19">
      <c r="L53" s="363" t="str">
        <f t="shared" si="11"/>
        <v>114M</v>
      </c>
      <c r="M53" s="135">
        <f t="shared" si="13"/>
        <v>38</v>
      </c>
      <c r="N53" s="178">
        <v>44985</v>
      </c>
      <c r="O53" s="179">
        <v>0.57615212904020252</v>
      </c>
      <c r="P53" s="179">
        <v>0.25205479452054796</v>
      </c>
      <c r="Q53" s="179">
        <f t="shared" si="12"/>
        <v>7.3272318193834058</v>
      </c>
      <c r="R53" s="180">
        <f t="shared" si="10"/>
        <v>5.7827807465573498E-2</v>
      </c>
      <c r="S53" s="179">
        <v>0.14200786415586913</v>
      </c>
    </row>
    <row r="54" spans="3:19">
      <c r="C54" s="184"/>
      <c r="D54" s="184"/>
      <c r="E54" s="184"/>
      <c r="F54" s="184"/>
      <c r="G54" s="184"/>
      <c r="H54" s="184"/>
      <c r="I54" s="184"/>
      <c r="L54" s="363" t="str">
        <f t="shared" si="11"/>
        <v>117M</v>
      </c>
      <c r="M54" s="135">
        <f t="shared" si="13"/>
        <v>39</v>
      </c>
      <c r="N54" s="178">
        <v>45075</v>
      </c>
      <c r="O54" s="179">
        <v>0.56750058443134455</v>
      </c>
      <c r="P54" s="179">
        <v>0.24657534246575341</v>
      </c>
      <c r="Q54" s="179">
        <f t="shared" si="12"/>
        <v>7.4671634703390799</v>
      </c>
      <c r="R54" s="180">
        <f t="shared" si="10"/>
        <v>5.7902749448734345E-2</v>
      </c>
      <c r="S54" s="179">
        <v>0.14281742670137507</v>
      </c>
    </row>
    <row r="55" spans="3:19">
      <c r="L55" s="363" t="str">
        <f t="shared" si="11"/>
        <v>120M</v>
      </c>
      <c r="M55" s="135">
        <f t="shared" si="13"/>
        <v>40</v>
      </c>
      <c r="N55" s="178">
        <v>45166</v>
      </c>
      <c r="O55" s="179">
        <v>0.55886096107089644</v>
      </c>
      <c r="P55" s="179">
        <v>0.24931506849315069</v>
      </c>
      <c r="Q55" s="179">
        <f t="shared" si="12"/>
        <v>7.6064959291266181</v>
      </c>
      <c r="R55" s="180">
        <f t="shared" si="10"/>
        <v>5.797793399027959E-2</v>
      </c>
      <c r="S55" s="179">
        <v>0.14179578225206682</v>
      </c>
    </row>
    <row r="56" spans="3:19">
      <c r="L56" s="363" t="str">
        <f t="shared" si="11"/>
        <v>123M</v>
      </c>
      <c r="M56" s="135">
        <f t="shared" si="13"/>
        <v>41</v>
      </c>
      <c r="N56" s="178">
        <v>45258</v>
      </c>
      <c r="O56" s="179">
        <v>0.55025765800034332</v>
      </c>
      <c r="P56" s="179">
        <v>0.25205479452054796</v>
      </c>
      <c r="Q56" s="179">
        <f t="shared" si="12"/>
        <v>7.745191010047253</v>
      </c>
      <c r="R56" s="180">
        <f t="shared" si="10"/>
        <v>5.8050501448387595E-2</v>
      </c>
      <c r="S56" s="179">
        <v>0.14076291094067828</v>
      </c>
    </row>
    <row r="57" spans="3:19">
      <c r="L57" s="363" t="str">
        <f t="shared" si="11"/>
        <v>126M</v>
      </c>
      <c r="M57" s="135">
        <f t="shared" si="13"/>
        <v>42</v>
      </c>
      <c r="N57" s="178">
        <v>45350</v>
      </c>
      <c r="O57" s="179">
        <v>0.54176390996529111</v>
      </c>
      <c r="P57" s="179">
        <v>0.25205479452054796</v>
      </c>
      <c r="Q57" s="179">
        <f t="shared" si="12"/>
        <v>7.8817452010522029</v>
      </c>
      <c r="R57" s="180">
        <f t="shared" si="10"/>
        <v>5.812240288111347E-2</v>
      </c>
      <c r="S57" s="179">
        <v>0.13973003962928973</v>
      </c>
    </row>
    <row r="58" spans="3:19">
      <c r="L58" s="363" t="str">
        <f t="shared" si="11"/>
        <v>129M</v>
      </c>
      <c r="M58" s="135">
        <f t="shared" si="13"/>
        <v>43</v>
      </c>
      <c r="N58" s="178">
        <v>45440</v>
      </c>
      <c r="O58" s="179">
        <v>0.53355987732877008</v>
      </c>
      <c r="P58" s="179">
        <v>0.24657534246575341</v>
      </c>
      <c r="Q58" s="179">
        <f t="shared" si="12"/>
        <v>8.0133079105305303</v>
      </c>
      <c r="R58" s="180">
        <f t="shared" si="10"/>
        <v>5.8191948671480323E-2</v>
      </c>
      <c r="S58" s="179">
        <v>0.13871962204206179</v>
      </c>
    </row>
    <row r="59" spans="3:19">
      <c r="L59" s="363" t="str">
        <f t="shared" si="11"/>
        <v>132M</v>
      </c>
      <c r="M59" s="135">
        <f t="shared" si="13"/>
        <v>44</v>
      </c>
      <c r="N59" s="178">
        <v>45532</v>
      </c>
      <c r="O59" s="179">
        <v>0.5252799771602269</v>
      </c>
      <c r="P59" s="179">
        <v>0.25205479452054796</v>
      </c>
      <c r="Q59" s="179">
        <f t="shared" si="12"/>
        <v>8.1457072472394092</v>
      </c>
      <c r="R59" s="180">
        <f t="shared" si="10"/>
        <v>5.8262577868575152E-2</v>
      </c>
      <c r="S59" s="179">
        <v>0.13768675073067324</v>
      </c>
    </row>
    <row r="60" spans="3:19">
      <c r="L60" s="363" t="str">
        <f t="shared" si="11"/>
        <v>135M</v>
      </c>
      <c r="M60" s="135">
        <f t="shared" si="13"/>
        <v>45</v>
      </c>
      <c r="N60" s="178">
        <v>45624</v>
      </c>
      <c r="O60" s="179">
        <v>0.51710672276988345</v>
      </c>
      <c r="P60" s="179">
        <v>0.25205479452054796</v>
      </c>
      <c r="Q60" s="179">
        <f t="shared" si="12"/>
        <v>8.2760464759923664</v>
      </c>
      <c r="R60" s="180">
        <f t="shared" si="10"/>
        <v>5.8332581695580581E-2</v>
      </c>
      <c r="S60" s="179">
        <v>0.1366538794192847</v>
      </c>
    </row>
    <row r="61" spans="3:19">
      <c r="L61" s="363" t="str">
        <f t="shared" si="11"/>
        <v>138M</v>
      </c>
      <c r="M61" s="135">
        <f t="shared" si="13"/>
        <v>46</v>
      </c>
      <c r="N61" s="178">
        <v>45716</v>
      </c>
      <c r="O61" s="179">
        <v>0.50903914055170885</v>
      </c>
      <c r="P61" s="179">
        <v>0.25205479452054796</v>
      </c>
      <c r="Q61" s="179">
        <f t="shared" si="12"/>
        <v>8.4043522319670441</v>
      </c>
      <c r="R61" s="180">
        <f t="shared" si="10"/>
        <v>5.8401971484308181E-2</v>
      </c>
      <c r="S61" s="179">
        <v>0.13562100810789612</v>
      </c>
    </row>
    <row r="62" spans="3:19">
      <c r="L62" s="363" t="str">
        <f t="shared" si="11"/>
        <v>141M</v>
      </c>
      <c r="M62" s="135">
        <f t="shared" si="13"/>
        <v>47</v>
      </c>
      <c r="N62" s="178">
        <v>45805</v>
      </c>
      <c r="O62" s="179">
        <v>0.50133427657003371</v>
      </c>
      <c r="P62" s="179">
        <v>0.24383561643835616</v>
      </c>
      <c r="Q62" s="179">
        <f t="shared" si="12"/>
        <v>8.5265953843361757</v>
      </c>
      <c r="R62" s="180">
        <f t="shared" si="10"/>
        <v>5.8468307795270028E-2</v>
      </c>
      <c r="S62" s="179">
        <v>0.1346218173827485</v>
      </c>
    </row>
    <row r="63" spans="3:19">
      <c r="L63" s="363" t="str">
        <f t="shared" si="11"/>
        <v>144M</v>
      </c>
      <c r="M63" s="135">
        <f t="shared" si="13"/>
        <v>48</v>
      </c>
      <c r="N63" s="178">
        <v>45897</v>
      </c>
      <c r="O63" s="179">
        <v>0.49347175817144623</v>
      </c>
      <c r="P63" s="179">
        <v>0.25205479452054796</v>
      </c>
      <c r="Q63" s="179">
        <f t="shared" si="12"/>
        <v>8.6509773069437728</v>
      </c>
      <c r="R63" s="180">
        <f t="shared" si="10"/>
        <v>5.8536521806526916E-2</v>
      </c>
      <c r="S63" s="179">
        <v>0.13358894607135996</v>
      </c>
    </row>
    <row r="64" spans="3:19">
      <c r="L64" s="363" t="str">
        <f t="shared" si="11"/>
        <v>147M</v>
      </c>
      <c r="M64" s="135">
        <f t="shared" si="13"/>
        <v>49</v>
      </c>
      <c r="N64" s="178">
        <v>45989</v>
      </c>
      <c r="O64" s="179">
        <v>0.48601520873010984</v>
      </c>
      <c r="P64" s="179">
        <v>0.25205479452054796</v>
      </c>
      <c r="Q64" s="179">
        <f t="shared" si="12"/>
        <v>8.7734797705141023</v>
      </c>
      <c r="R64" s="180">
        <f t="shared" si="10"/>
        <v>5.8569083722513626E-2</v>
      </c>
      <c r="S64" s="179">
        <v>0.13255607475997139</v>
      </c>
    </row>
    <row r="65" spans="12:19">
      <c r="L65" s="363" t="str">
        <f t="shared" si="11"/>
        <v>150M</v>
      </c>
      <c r="M65" s="135">
        <f t="shared" si="13"/>
        <v>50</v>
      </c>
      <c r="N65" s="178">
        <v>46080</v>
      </c>
      <c r="O65" s="179">
        <v>0.47874273684189306</v>
      </c>
      <c r="P65" s="179">
        <v>0.24931506849315069</v>
      </c>
      <c r="Q65" s="179">
        <f t="shared" si="12"/>
        <v>8.8928375487404381</v>
      </c>
      <c r="R65" s="180">
        <f t="shared" si="10"/>
        <v>5.8600771716452664E-2</v>
      </c>
      <c r="S65" s="179">
        <v>0.13153443031066317</v>
      </c>
    </row>
    <row r="66" spans="12:19">
      <c r="L66" s="363" t="str">
        <f t="shared" si="11"/>
        <v>153M</v>
      </c>
      <c r="M66" s="135">
        <f t="shared" si="13"/>
        <v>51</v>
      </c>
      <c r="N66" s="178">
        <v>46170</v>
      </c>
      <c r="O66" s="179">
        <v>0.47164968719897266</v>
      </c>
      <c r="P66" s="179">
        <v>0.24657534246575341</v>
      </c>
      <c r="Q66" s="179">
        <f t="shared" si="12"/>
        <v>9.0091347318853909</v>
      </c>
      <c r="R66" s="180">
        <f t="shared" si="10"/>
        <v>5.8631623176714755E-2</v>
      </c>
      <c r="S66" s="179">
        <v>0.13052401272343522</v>
      </c>
    </row>
    <row r="67" spans="12:19">
      <c r="L67" s="363" t="str">
        <f t="shared" si="11"/>
        <v>156M</v>
      </c>
      <c r="M67" s="135">
        <f t="shared" si="13"/>
        <v>52</v>
      </c>
      <c r="N67" s="178">
        <v>46262</v>
      </c>
      <c r="O67" s="179">
        <v>0.4644999942013483</v>
      </c>
      <c r="P67" s="179">
        <v>0.25205479452054796</v>
      </c>
      <c r="Q67" s="179">
        <f t="shared" si="12"/>
        <v>9.1262141824786074</v>
      </c>
      <c r="R67" s="180">
        <f t="shared" si="10"/>
        <v>5.8662866665307581E-2</v>
      </c>
      <c r="S67" s="179">
        <v>0.12949114141204668</v>
      </c>
    </row>
    <row r="68" spans="12:19">
      <c r="L68" s="363" t="str">
        <f t="shared" si="11"/>
        <v>159M</v>
      </c>
      <c r="M68" s="135">
        <f t="shared" si="13"/>
        <v>53</v>
      </c>
      <c r="N68" s="178">
        <v>46356</v>
      </c>
      <c r="O68" s="179">
        <v>0.4572989609142063</v>
      </c>
      <c r="P68" s="179">
        <v>0.25753424657534246</v>
      </c>
      <c r="Q68" s="179">
        <f t="shared" si="12"/>
        <v>9.2439843258373351</v>
      </c>
      <c r="R68" s="180">
        <f t="shared" si="10"/>
        <v>5.8694487128933624E-2</v>
      </c>
      <c r="S68" s="179">
        <v>0.12843581637649751</v>
      </c>
    </row>
    <row r="69" spans="12:19">
      <c r="L69" s="363" t="str">
        <f t="shared" si="11"/>
        <v>162M</v>
      </c>
      <c r="M69" s="135">
        <f t="shared" si="13"/>
        <v>54</v>
      </c>
      <c r="N69" s="178">
        <v>46444</v>
      </c>
      <c r="O69" s="179">
        <v>0.45065169805727606</v>
      </c>
      <c r="P69" s="179">
        <v>0.24109589041095891</v>
      </c>
      <c r="Q69" s="179">
        <f t="shared" si="12"/>
        <v>9.3526345982456647</v>
      </c>
      <c r="R69" s="180">
        <f t="shared" si="10"/>
        <v>5.8723365712681032E-2</v>
      </c>
      <c r="S69" s="179">
        <v>0.12744785251343019</v>
      </c>
    </row>
    <row r="70" spans="12:19">
      <c r="L70" s="363" t="str">
        <f t="shared" si="11"/>
        <v>165M</v>
      </c>
      <c r="M70" s="135">
        <f t="shared" si="13"/>
        <v>55</v>
      </c>
      <c r="N70" s="178">
        <v>46535</v>
      </c>
      <c r="O70" s="179">
        <v>0.44387233782526275</v>
      </c>
      <c r="P70" s="179">
        <v>0.24931506849315069</v>
      </c>
      <c r="Q70" s="179">
        <f t="shared" si="12"/>
        <v>9.4632986605527858</v>
      </c>
      <c r="R70" s="180">
        <f t="shared" si="10"/>
        <v>5.8753037610395929E-2</v>
      </c>
      <c r="S70" s="179">
        <v>0.12642620806412197</v>
      </c>
    </row>
    <row r="71" spans="12:19">
      <c r="L71" s="363" t="str">
        <f t="shared" si="11"/>
        <v>168M</v>
      </c>
      <c r="M71" s="135">
        <f t="shared" si="13"/>
        <v>56</v>
      </c>
      <c r="N71" s="178">
        <v>46629</v>
      </c>
      <c r="O71" s="179">
        <v>0.43696909609260109</v>
      </c>
      <c r="P71" s="179">
        <v>0.25753424657534246</v>
      </c>
      <c r="Q71" s="179">
        <f t="shared" si="12"/>
        <v>9.5758331674917017</v>
      </c>
      <c r="R71" s="180">
        <f t="shared" si="10"/>
        <v>5.878347857661928E-2</v>
      </c>
      <c r="S71" s="179">
        <v>0.1253708830285728</v>
      </c>
    </row>
    <row r="72" spans="12:19">
      <c r="L72" s="363" t="str">
        <f t="shared" si="11"/>
        <v>171M</v>
      </c>
      <c r="M72" s="135">
        <f t="shared" si="13"/>
        <v>57</v>
      </c>
      <c r="N72" s="178">
        <v>46720</v>
      </c>
      <c r="O72" s="179">
        <v>0.43038135866866373</v>
      </c>
      <c r="P72" s="179">
        <v>0.24931506849315069</v>
      </c>
      <c r="Q72" s="179">
        <f t="shared" si="12"/>
        <v>9.6831337254063552</v>
      </c>
      <c r="R72" s="180">
        <f t="shared" si="10"/>
        <v>5.8812419349766588E-2</v>
      </c>
      <c r="S72" s="179">
        <v>0.12434923857926455</v>
      </c>
    </row>
    <row r="73" spans="12:19">
      <c r="L73" s="363" t="str">
        <f t="shared" si="11"/>
        <v>174M</v>
      </c>
      <c r="M73" s="135">
        <f t="shared" si="13"/>
        <v>58</v>
      </c>
      <c r="N73" s="178">
        <v>46811</v>
      </c>
      <c r="O73" s="179">
        <v>0.42388605332270002</v>
      </c>
      <c r="P73" s="179">
        <v>0.24931506849315069</v>
      </c>
      <c r="Q73" s="179">
        <f t="shared" si="12"/>
        <v>9.788814905823795</v>
      </c>
      <c r="R73" s="180">
        <f t="shared" si="10"/>
        <v>5.8841017239150362E-2</v>
      </c>
      <c r="S73" s="179">
        <v>0.12332759412995631</v>
      </c>
    </row>
    <row r="74" spans="12:19">
      <c r="L74" s="363" t="str">
        <f t="shared" si="11"/>
        <v>177M</v>
      </c>
      <c r="M74" s="135">
        <f t="shared" si="13"/>
        <v>59</v>
      </c>
      <c r="N74" s="178">
        <v>46902</v>
      </c>
      <c r="O74" s="179">
        <v>0.41748199454554308</v>
      </c>
      <c r="P74" s="179">
        <v>0.24931506849315069</v>
      </c>
      <c r="Q74" s="179">
        <f t="shared" si="12"/>
        <v>9.8928994578885749</v>
      </c>
      <c r="R74" s="180">
        <f t="shared" si="10"/>
        <v>5.8869281738953907E-2</v>
      </c>
      <c r="S74" s="179">
        <v>0.12244013467863896</v>
      </c>
    </row>
    <row r="75" spans="12:19">
      <c r="L75" s="363" t="str">
        <f t="shared" si="11"/>
        <v>180M</v>
      </c>
      <c r="M75" s="135">
        <f t="shared" si="13"/>
        <v>60</v>
      </c>
      <c r="N75" s="178">
        <v>46993</v>
      </c>
      <c r="O75" s="179">
        <v>0.41116801031315614</v>
      </c>
      <c r="P75" s="179">
        <v>0.24931506849315069</v>
      </c>
      <c r="Q75" s="179">
        <f t="shared" si="12"/>
        <v>9.9954098385419918</v>
      </c>
      <c r="R75" s="180">
        <f t="shared" si="10"/>
        <v>5.8897221739118454E-2</v>
      </c>
      <c r="S75" s="179">
        <v>0.12548876850172033</v>
      </c>
    </row>
    <row r="76" spans="12:19">
      <c r="L76" s="363" t="str">
        <f t="shared" si="11"/>
        <v>183M</v>
      </c>
      <c r="M76" s="135">
        <f t="shared" si="13"/>
        <v>61</v>
      </c>
      <c r="N76" s="178">
        <v>47085</v>
      </c>
      <c r="O76" s="179">
        <v>0.40557186769844794</v>
      </c>
      <c r="P76" s="179">
        <v>0.25205479452054796</v>
      </c>
      <c r="Q76" s="179">
        <f t="shared" si="12"/>
        <v>10.097636172318039</v>
      </c>
      <c r="R76" s="180">
        <f t="shared" si="10"/>
        <v>5.8855161951458339E-2</v>
      </c>
      <c r="S76" s="179">
        <v>0.12857090379538505</v>
      </c>
    </row>
    <row r="77" spans="12:19">
      <c r="L77" s="363" t="str">
        <f t="shared" si="11"/>
        <v>186M</v>
      </c>
      <c r="M77" s="135">
        <f t="shared" si="13"/>
        <v>62</v>
      </c>
      <c r="N77" s="178">
        <v>47177</v>
      </c>
      <c r="O77" s="179">
        <v>0.40006797611838657</v>
      </c>
      <c r="P77" s="179">
        <v>0.25205479452054796</v>
      </c>
      <c r="Q77" s="179">
        <f t="shared" si="12"/>
        <v>10.19847522383281</v>
      </c>
      <c r="R77" s="180">
        <f t="shared" si="10"/>
        <v>5.8812900033042854E-2</v>
      </c>
      <c r="S77" s="179">
        <v>0.13165303908904974</v>
      </c>
    </row>
    <row r="78" spans="12:19">
      <c r="L78" s="363" t="str">
        <f t="shared" si="11"/>
        <v>189M</v>
      </c>
      <c r="M78" s="135">
        <f t="shared" si="13"/>
        <v>63</v>
      </c>
      <c r="N78" s="178">
        <v>47266</v>
      </c>
      <c r="O78" s="179">
        <v>0.39482975507148366</v>
      </c>
      <c r="P78" s="179">
        <v>0.24383561643835616</v>
      </c>
      <c r="Q78" s="179">
        <f t="shared" si="12"/>
        <v>10.29474878054887</v>
      </c>
      <c r="R78" s="180">
        <f t="shared" si="10"/>
        <v>5.8771723115655108E-2</v>
      </c>
      <c r="S78" s="179">
        <v>0.13463466997096449</v>
      </c>
    </row>
    <row r="79" spans="12:19">
      <c r="L79" s="363" t="str">
        <f t="shared" si="11"/>
        <v>192M</v>
      </c>
      <c r="M79" s="135">
        <f t="shared" si="13"/>
        <v>64</v>
      </c>
      <c r="N79" s="178">
        <v>47358</v>
      </c>
      <c r="O79" s="179">
        <v>0.38950245297915065</v>
      </c>
      <c r="P79" s="179">
        <v>0.25205479452054796</v>
      </c>
      <c r="Q79" s="179">
        <f t="shared" si="12"/>
        <v>10.39292474129978</v>
      </c>
      <c r="R79" s="180">
        <f t="shared" si="10"/>
        <v>5.8729129880300122E-2</v>
      </c>
      <c r="S79" s="179">
        <v>0.13771680526462921</v>
      </c>
    </row>
    <row r="80" spans="12:19">
      <c r="L80" s="363" t="str">
        <f t="shared" si="11"/>
        <v>195M</v>
      </c>
      <c r="M80" s="135">
        <f t="shared" si="13"/>
        <v>65</v>
      </c>
      <c r="N80" s="178">
        <v>47450</v>
      </c>
      <c r="O80" s="179">
        <v>0.38426248176711408</v>
      </c>
      <c r="P80" s="179">
        <v>0.25205479452054796</v>
      </c>
      <c r="Q80" s="179">
        <f t="shared" si="12"/>
        <v>10.489779942183546</v>
      </c>
      <c r="R80" s="180">
        <f t="shared" ref="R80:R135" si="14">($O$15-O80)/Q80</f>
        <v>5.8686397767451298E-2</v>
      </c>
      <c r="S80" s="179">
        <v>0.14079894055829392</v>
      </c>
    </row>
    <row r="81" spans="12:19">
      <c r="L81" s="363" t="str">
        <f t="shared" ref="L81:L135" si="15">M81*3&amp;"M"</f>
        <v>198M</v>
      </c>
      <c r="M81" s="135">
        <f t="shared" si="13"/>
        <v>66</v>
      </c>
      <c r="N81" s="178">
        <v>47542</v>
      </c>
      <c r="O81" s="179">
        <v>0.37910824844302143</v>
      </c>
      <c r="P81" s="179">
        <v>0.25205479452054796</v>
      </c>
      <c r="Q81" s="179">
        <f t="shared" si="12"/>
        <v>10.585335993845897</v>
      </c>
      <c r="R81" s="180">
        <f t="shared" si="14"/>
        <v>5.8643545359826736E-2</v>
      </c>
      <c r="S81" s="179">
        <v>0.14388107585195861</v>
      </c>
    </row>
    <row r="82" spans="12:19">
      <c r="L82" s="363" t="str">
        <f t="shared" si="15"/>
        <v>201M</v>
      </c>
      <c r="M82" s="135">
        <f t="shared" si="13"/>
        <v>67</v>
      </c>
      <c r="N82" s="178">
        <v>47631</v>
      </c>
      <c r="O82" s="179">
        <v>0.37420220782821273</v>
      </c>
      <c r="P82" s="179">
        <v>0.24383561643835616</v>
      </c>
      <c r="Q82" s="179">
        <f t="shared" ref="Q82:Q135" si="16">Q81+O82*P82</f>
        <v>10.676579819864283</v>
      </c>
      <c r="R82" s="180">
        <f t="shared" si="14"/>
        <v>5.8601882126599454E-2</v>
      </c>
      <c r="S82" s="179">
        <v>0.14686270673387339</v>
      </c>
    </row>
    <row r="83" spans="12:19">
      <c r="L83" s="363" t="str">
        <f t="shared" si="15"/>
        <v>204M</v>
      </c>
      <c r="M83" s="135">
        <f t="shared" ref="M83:M135" si="17">M82+1</f>
        <v>68</v>
      </c>
      <c r="N83" s="178">
        <v>47723</v>
      </c>
      <c r="O83" s="179">
        <v>0.36921212608482568</v>
      </c>
      <c r="P83" s="179">
        <v>0.25205479452054796</v>
      </c>
      <c r="Q83" s="179">
        <f t="shared" si="16"/>
        <v>10.769641506439088</v>
      </c>
      <c r="R83" s="180">
        <f t="shared" si="14"/>
        <v>5.8558843716871978E-2</v>
      </c>
      <c r="S83" s="179">
        <v>0.14994484202753808</v>
      </c>
    </row>
    <row r="84" spans="12:19">
      <c r="L84" s="363" t="str">
        <f t="shared" si="15"/>
        <v>207M</v>
      </c>
      <c r="M84" s="135">
        <f t="shared" si="17"/>
        <v>69</v>
      </c>
      <c r="N84" s="178">
        <v>47815</v>
      </c>
      <c r="O84" s="179">
        <v>0.36430323894246597</v>
      </c>
      <c r="P84" s="179">
        <v>0.25205479452054796</v>
      </c>
      <c r="Q84" s="179">
        <f t="shared" si="16"/>
        <v>10.861465884473901</v>
      </c>
      <c r="R84" s="180">
        <f t="shared" si="14"/>
        <v>5.8515733305684367E-2</v>
      </c>
      <c r="S84" s="179">
        <v>0.1530269773212028</v>
      </c>
    </row>
    <row r="85" spans="12:19">
      <c r="L85" s="363" t="str">
        <f t="shared" si="15"/>
        <v>210M</v>
      </c>
      <c r="M85" s="135">
        <f t="shared" si="17"/>
        <v>70</v>
      </c>
      <c r="N85" s="178">
        <v>47907</v>
      </c>
      <c r="O85" s="179">
        <v>0.35947407508811136</v>
      </c>
      <c r="P85" s="179">
        <v>0.25205479452054796</v>
      </c>
      <c r="Q85" s="179">
        <f t="shared" si="16"/>
        <v>10.952073048605699</v>
      </c>
      <c r="R85" s="180">
        <f t="shared" si="14"/>
        <v>5.8472565149713544E-2</v>
      </c>
      <c r="S85" s="179">
        <v>0.15610911261486748</v>
      </c>
    </row>
    <row r="86" spans="12:19">
      <c r="L86" s="363" t="str">
        <f t="shared" si="15"/>
        <v>213M</v>
      </c>
      <c r="M86" s="135">
        <f t="shared" si="17"/>
        <v>71</v>
      </c>
      <c r="N86" s="178">
        <v>47996</v>
      </c>
      <c r="O86" s="179">
        <v>0.35487689236744402</v>
      </c>
      <c r="P86" s="179">
        <v>0.24383561643835616</v>
      </c>
      <c r="Q86" s="179">
        <f t="shared" si="16"/>
        <v>11.038604674415843</v>
      </c>
      <c r="R86" s="180">
        <f t="shared" si="14"/>
        <v>5.8430662806014347E-2</v>
      </c>
      <c r="S86" s="179">
        <v>0.15909074349678226</v>
      </c>
    </row>
    <row r="87" spans="12:19">
      <c r="L87" s="363" t="str">
        <f t="shared" si="15"/>
        <v>216M</v>
      </c>
      <c r="M87" s="135">
        <f t="shared" si="17"/>
        <v>72</v>
      </c>
      <c r="N87" s="178">
        <v>48088</v>
      </c>
      <c r="O87" s="179">
        <v>0.35020039228543676</v>
      </c>
      <c r="P87" s="179">
        <v>0.25205479452054796</v>
      </c>
      <c r="Q87" s="179">
        <f t="shared" si="16"/>
        <v>11.126874362334364</v>
      </c>
      <c r="R87" s="180">
        <f t="shared" si="14"/>
        <v>5.8387420088150947E-2</v>
      </c>
      <c r="S87" s="179">
        <v>0.16217287879044695</v>
      </c>
    </row>
    <row r="88" spans="12:19">
      <c r="L88" s="363" t="str">
        <f t="shared" si="15"/>
        <v>219M</v>
      </c>
      <c r="M88" s="135">
        <f t="shared" si="17"/>
        <v>73</v>
      </c>
      <c r="N88" s="178">
        <v>48180</v>
      </c>
      <c r="O88" s="179">
        <v>0.3455994182886134</v>
      </c>
      <c r="P88" s="179">
        <v>0.25205479452054796</v>
      </c>
      <c r="Q88" s="179">
        <f t="shared" si="16"/>
        <v>11.213984352697521</v>
      </c>
      <c r="R88" s="180">
        <f t="shared" si="14"/>
        <v>5.8344156820687193E-2</v>
      </c>
      <c r="S88" s="179">
        <v>0.16525501408411167</v>
      </c>
    </row>
    <row r="89" spans="12:19">
      <c r="L89" s="363" t="str">
        <f t="shared" si="15"/>
        <v>222M</v>
      </c>
      <c r="M89" s="135">
        <f t="shared" si="17"/>
        <v>74</v>
      </c>
      <c r="N89" s="178">
        <v>48271</v>
      </c>
      <c r="O89" s="179">
        <v>0.3411214213350317</v>
      </c>
      <c r="P89" s="179">
        <v>0.24931506849315069</v>
      </c>
      <c r="Q89" s="179">
        <f t="shared" si="16"/>
        <v>11.299031063222145</v>
      </c>
      <c r="R89" s="180">
        <f t="shared" si="14"/>
        <v>5.8301322912218179E-2</v>
      </c>
      <c r="S89" s="179">
        <v>0.16830364790719307</v>
      </c>
    </row>
    <row r="90" spans="12:19">
      <c r="L90" s="363" t="str">
        <f t="shared" si="15"/>
        <v>225M</v>
      </c>
      <c r="M90" s="135">
        <f t="shared" si="17"/>
        <v>75</v>
      </c>
      <c r="N90" s="178">
        <v>48362</v>
      </c>
      <c r="O90" s="179">
        <v>0.336714697334414</v>
      </c>
      <c r="P90" s="179">
        <v>0.24931506849315069</v>
      </c>
      <c r="Q90" s="179">
        <f t="shared" si="16"/>
        <v>11.382979111050725</v>
      </c>
      <c r="R90" s="180">
        <f t="shared" si="14"/>
        <v>5.8258490694138007E-2</v>
      </c>
      <c r="S90" s="179">
        <v>0.17135228173027442</v>
      </c>
    </row>
    <row r="91" spans="12:19">
      <c r="L91" s="363" t="str">
        <f t="shared" si="15"/>
        <v>228M</v>
      </c>
      <c r="M91" s="135">
        <f t="shared" si="17"/>
        <v>76</v>
      </c>
      <c r="N91" s="178">
        <v>48456</v>
      </c>
      <c r="O91" s="179">
        <v>0.33223619031901047</v>
      </c>
      <c r="P91" s="179">
        <v>0.25753424657534246</v>
      </c>
      <c r="Q91" s="179">
        <f t="shared" si="16"/>
        <v>11.468541308009593</v>
      </c>
      <c r="R91" s="180">
        <f t="shared" si="14"/>
        <v>5.8214351040602359E-2</v>
      </c>
      <c r="S91" s="179">
        <v>0.17450141996510576</v>
      </c>
    </row>
    <row r="92" spans="12:19">
      <c r="L92" s="363" t="str">
        <f t="shared" si="15"/>
        <v>231M</v>
      </c>
      <c r="M92" s="135">
        <f t="shared" si="17"/>
        <v>77</v>
      </c>
      <c r="N92" s="178">
        <v>48547</v>
      </c>
      <c r="O92" s="179">
        <v>0.32797048810930401</v>
      </c>
      <c r="P92" s="179">
        <v>0.24931506849315069</v>
      </c>
      <c r="Q92" s="179">
        <f t="shared" si="16"/>
        <v>11.550309292716296</v>
      </c>
      <c r="R92" s="180">
        <f t="shared" si="14"/>
        <v>5.8171549766336587E-2</v>
      </c>
      <c r="S92" s="179">
        <v>0.17755005378818714</v>
      </c>
    </row>
    <row r="93" spans="12:19">
      <c r="L93" s="363" t="str">
        <f t="shared" si="15"/>
        <v>234M</v>
      </c>
      <c r="M93" s="135">
        <f t="shared" si="17"/>
        <v>78</v>
      </c>
      <c r="N93" s="178">
        <v>48638</v>
      </c>
      <c r="O93" s="179">
        <v>0.3237722973363083</v>
      </c>
      <c r="P93" s="179">
        <v>0.24931506849315069</v>
      </c>
      <c r="Q93" s="179">
        <f t="shared" si="16"/>
        <v>11.631030605202882</v>
      </c>
      <c r="R93" s="180">
        <f t="shared" si="14"/>
        <v>5.8128776852189215E-2</v>
      </c>
      <c r="S93" s="179">
        <v>0.18059868761126854</v>
      </c>
    </row>
    <row r="94" spans="12:19">
      <c r="L94" s="363" t="str">
        <f t="shared" si="15"/>
        <v>237M</v>
      </c>
      <c r="M94" s="135">
        <f t="shared" si="17"/>
        <v>79</v>
      </c>
      <c r="N94" s="178">
        <v>48729</v>
      </c>
      <c r="O94" s="179">
        <v>0.31964042584154967</v>
      </c>
      <c r="P94" s="179">
        <v>0.24931506849315069</v>
      </c>
      <c r="Q94" s="179">
        <f t="shared" si="16"/>
        <v>11.710721779864748</v>
      </c>
      <c r="R94" s="180">
        <f t="shared" si="14"/>
        <v>5.8086040031721804E-2</v>
      </c>
      <c r="S94" s="179">
        <v>0.18349887948304308</v>
      </c>
    </row>
    <row r="95" spans="12:19">
      <c r="L95" s="363" t="str">
        <f t="shared" si="15"/>
        <v>240M</v>
      </c>
      <c r="M95" s="135">
        <f t="shared" si="17"/>
        <v>80</v>
      </c>
      <c r="N95" s="178">
        <v>48820</v>
      </c>
      <c r="O95" s="179">
        <v>0.31557370447003119</v>
      </c>
      <c r="P95" s="179">
        <v>0.24931506849315069</v>
      </c>
      <c r="Q95" s="179">
        <f t="shared" si="16"/>
        <v>11.789399059609332</v>
      </c>
      <c r="R95" s="180">
        <f t="shared" si="14"/>
        <v>5.8043346570692336E-2</v>
      </c>
      <c r="S95" s="179">
        <v>0.18204477411648204</v>
      </c>
    </row>
    <row r="96" spans="12:19">
      <c r="L96" s="363" t="str">
        <f t="shared" si="15"/>
        <v>243M</v>
      </c>
      <c r="M96" s="135">
        <f t="shared" si="17"/>
        <v>81</v>
      </c>
      <c r="N96" s="178">
        <v>48911</v>
      </c>
      <c r="O96" s="179">
        <v>0.31185271907349471</v>
      </c>
      <c r="P96" s="179">
        <v>0.24931506849315069</v>
      </c>
      <c r="Q96" s="179">
        <f t="shared" si="16"/>
        <v>11.867148641624915</v>
      </c>
      <c r="R96" s="180">
        <f t="shared" si="14"/>
        <v>5.7976619460243663E-2</v>
      </c>
      <c r="S96" s="179">
        <v>0.18059066874992102</v>
      </c>
    </row>
    <row r="97" spans="12:19">
      <c r="L97" s="363" t="str">
        <f t="shared" si="15"/>
        <v>246M</v>
      </c>
      <c r="M97" s="135">
        <f t="shared" si="17"/>
        <v>82</v>
      </c>
      <c r="N97" s="178">
        <v>49003</v>
      </c>
      <c r="O97" s="179">
        <v>0.30815475179966806</v>
      </c>
      <c r="P97" s="179">
        <v>0.25205479452054796</v>
      </c>
      <c r="Q97" s="179">
        <f t="shared" si="16"/>
        <v>11.944820524270311</v>
      </c>
      <c r="R97" s="180">
        <f t="shared" si="14"/>
        <v>5.7909210669343028E-2</v>
      </c>
      <c r="S97" s="179">
        <v>0.17912058420350774</v>
      </c>
    </row>
    <row r="98" spans="12:19">
      <c r="L98" s="363" t="str">
        <f t="shared" si="15"/>
        <v>249M</v>
      </c>
      <c r="M98" s="135">
        <f t="shared" si="17"/>
        <v>83</v>
      </c>
      <c r="N98" s="178">
        <v>49093</v>
      </c>
      <c r="O98" s="179">
        <v>0.30459818033900704</v>
      </c>
      <c r="P98" s="179">
        <v>0.24657534246575341</v>
      </c>
      <c r="Q98" s="179">
        <f t="shared" si="16"/>
        <v>12.019926924901847</v>
      </c>
      <c r="R98" s="180">
        <f t="shared" si="14"/>
        <v>5.7843255117276879E-2</v>
      </c>
      <c r="S98" s="179">
        <v>0.17768245801679902</v>
      </c>
    </row>
    <row r="99" spans="12:19">
      <c r="L99" s="363" t="str">
        <f t="shared" si="15"/>
        <v>252M</v>
      </c>
      <c r="M99" s="135">
        <f t="shared" si="17"/>
        <v>84</v>
      </c>
      <c r="N99" s="178">
        <v>49184</v>
      </c>
      <c r="O99" s="179">
        <v>0.30106228216782183</v>
      </c>
      <c r="P99" s="179">
        <v>0.24931506849315069</v>
      </c>
      <c r="Q99" s="179">
        <f t="shared" si="16"/>
        <v>12.094986288401222</v>
      </c>
      <c r="R99" s="180">
        <f t="shared" si="14"/>
        <v>5.7776634145459638E-2</v>
      </c>
      <c r="S99" s="179">
        <v>0.17622835265023803</v>
      </c>
    </row>
    <row r="100" spans="12:19">
      <c r="L100" s="363" t="str">
        <f t="shared" si="15"/>
        <v>255M</v>
      </c>
      <c r="M100" s="135">
        <f t="shared" si="17"/>
        <v>85</v>
      </c>
      <c r="N100" s="178">
        <v>49276</v>
      </c>
      <c r="O100" s="179">
        <v>0.29754789868395809</v>
      </c>
      <c r="P100" s="179">
        <v>0.25205479452054796</v>
      </c>
      <c r="Q100" s="179">
        <f t="shared" si="16"/>
        <v>12.169984662864028</v>
      </c>
      <c r="R100" s="180">
        <f t="shared" si="14"/>
        <v>5.7709356315482047E-2</v>
      </c>
      <c r="S100" s="179">
        <v>0.17475826810382472</v>
      </c>
    </row>
    <row r="101" spans="12:19">
      <c r="L101" s="363" t="str">
        <f t="shared" si="15"/>
        <v>258M</v>
      </c>
      <c r="M101" s="135">
        <f t="shared" si="17"/>
        <v>86</v>
      </c>
      <c r="N101" s="178">
        <v>49368</v>
      </c>
      <c r="O101" s="179">
        <v>0.29409307193515682</v>
      </c>
      <c r="P101" s="179">
        <v>0.25205479452054796</v>
      </c>
      <c r="Q101" s="179">
        <f t="shared" si="16"/>
        <v>12.24411223168056</v>
      </c>
      <c r="R101" s="180">
        <f t="shared" si="14"/>
        <v>5.7642138087058516E-2</v>
      </c>
      <c r="S101" s="179" t="e">
        <v>#N/A</v>
      </c>
    </row>
    <row r="102" spans="12:19">
      <c r="L102" s="363" t="str">
        <f t="shared" si="15"/>
        <v>261M</v>
      </c>
      <c r="M102" s="135">
        <f t="shared" si="17"/>
        <v>87</v>
      </c>
      <c r="N102" s="178">
        <v>49457</v>
      </c>
      <c r="O102" s="179">
        <v>0.29080652010700792</v>
      </c>
      <c r="P102" s="179">
        <v>0.24383561643835616</v>
      </c>
      <c r="Q102" s="179">
        <f t="shared" si="16"/>
        <v>12.315021218775145</v>
      </c>
      <c r="R102" s="180">
        <f t="shared" si="14"/>
        <v>5.7577112312165842E-2</v>
      </c>
      <c r="S102" s="179" t="e">
        <v>#N/A</v>
      </c>
    </row>
    <row r="103" spans="12:19">
      <c r="L103" s="363" t="str">
        <f t="shared" si="15"/>
        <v>264M</v>
      </c>
      <c r="M103" s="135">
        <f t="shared" si="17"/>
        <v>88</v>
      </c>
      <c r="N103" s="178">
        <v>49549</v>
      </c>
      <c r="O103" s="179">
        <v>0.28746560761568529</v>
      </c>
      <c r="P103" s="179">
        <v>0.25205479452054796</v>
      </c>
      <c r="Q103" s="179">
        <f t="shared" si="16"/>
        <v>12.387478303434442</v>
      </c>
      <c r="R103" s="180">
        <f t="shared" si="14"/>
        <v>5.7510031895186435E-2</v>
      </c>
      <c r="S103" s="179" t="e">
        <v>#N/A</v>
      </c>
    </row>
    <row r="104" spans="12:19">
      <c r="L104" s="363" t="str">
        <f t="shared" si="15"/>
        <v>267M</v>
      </c>
      <c r="M104" s="135">
        <f t="shared" si="17"/>
        <v>89</v>
      </c>
      <c r="N104" s="178">
        <v>49641</v>
      </c>
      <c r="O104" s="179">
        <v>0.28418098722673385</v>
      </c>
      <c r="P104" s="179">
        <v>0.25205479452054796</v>
      </c>
      <c r="Q104" s="179">
        <f t="shared" si="16"/>
        <v>12.459107483776522</v>
      </c>
      <c r="R104" s="180">
        <f t="shared" si="14"/>
        <v>5.7443030622564409E-2</v>
      </c>
      <c r="S104" s="179" t="e">
        <v>#N/A</v>
      </c>
    </row>
    <row r="105" spans="12:19">
      <c r="L105" s="363" t="str">
        <f t="shared" si="15"/>
        <v>270M</v>
      </c>
      <c r="M105" s="135">
        <f t="shared" si="17"/>
        <v>90</v>
      </c>
      <c r="N105" s="178">
        <v>49733</v>
      </c>
      <c r="O105" s="179">
        <v>0.2809516048877323</v>
      </c>
      <c r="P105" s="179">
        <v>0.25205479452054796</v>
      </c>
      <c r="Q105" s="179">
        <f t="shared" si="16"/>
        <v>12.529922682816718</v>
      </c>
      <c r="R105" s="180">
        <f t="shared" si="14"/>
        <v>5.7376114223378856E-2</v>
      </c>
      <c r="S105" s="179" t="e">
        <v>#N/A</v>
      </c>
    </row>
    <row r="106" spans="12:19">
      <c r="L106" s="363" t="str">
        <f t="shared" si="15"/>
        <v>273M</v>
      </c>
      <c r="M106" s="135">
        <f t="shared" si="17"/>
        <v>91</v>
      </c>
      <c r="N106" s="178">
        <v>49823</v>
      </c>
      <c r="O106" s="179">
        <v>0.27784488520730349</v>
      </c>
      <c r="P106" s="179">
        <v>0.24657534246575341</v>
      </c>
      <c r="Q106" s="179">
        <f t="shared" si="16"/>
        <v>12.598432380539066</v>
      </c>
      <c r="R106" s="180">
        <f t="shared" si="14"/>
        <v>5.731070127860878E-2</v>
      </c>
      <c r="S106" s="179" t="e">
        <v>#N/A</v>
      </c>
    </row>
    <row r="107" spans="12:19">
      <c r="L107" s="363" t="str">
        <f t="shared" si="15"/>
        <v>276M</v>
      </c>
      <c r="M107" s="135">
        <f t="shared" si="17"/>
        <v>92</v>
      </c>
      <c r="N107" s="178">
        <v>49915</v>
      </c>
      <c r="O107" s="179">
        <v>0.27472175991186498</v>
      </c>
      <c r="P107" s="179">
        <v>0.25205479452054796</v>
      </c>
      <c r="Q107" s="179">
        <f t="shared" si="16"/>
        <v>12.667677317283975</v>
      </c>
      <c r="R107" s="180">
        <f t="shared" si="14"/>
        <v>5.7243968398678867E-2</v>
      </c>
      <c r="S107" s="179" t="e">
        <v>#N/A</v>
      </c>
    </row>
    <row r="108" spans="12:19">
      <c r="L108" s="363" t="str">
        <f t="shared" si="15"/>
        <v>279M</v>
      </c>
      <c r="M108" s="135">
        <f t="shared" si="17"/>
        <v>93</v>
      </c>
      <c r="N108" s="178">
        <v>50007</v>
      </c>
      <c r="O108" s="179">
        <v>0.27165086394726984</v>
      </c>
      <c r="P108" s="179">
        <v>0.25205479452054796</v>
      </c>
      <c r="Q108" s="179">
        <f t="shared" si="16"/>
        <v>12.736148219977533</v>
      </c>
      <c r="R108" s="180">
        <f t="shared" si="14"/>
        <v>5.7177335205442881E-2</v>
      </c>
      <c r="S108" s="179" t="e">
        <v>#N/A</v>
      </c>
    </row>
    <row r="109" spans="12:19">
      <c r="L109" s="363" t="str">
        <f t="shared" si="15"/>
        <v>282M</v>
      </c>
      <c r="M109" s="135">
        <f t="shared" si="17"/>
        <v>94</v>
      </c>
      <c r="N109" s="178">
        <v>50098</v>
      </c>
      <c r="O109" s="179">
        <v>0.26866377920978429</v>
      </c>
      <c r="P109" s="179">
        <v>0.24931506849315069</v>
      </c>
      <c r="Q109" s="179">
        <f t="shared" si="16"/>
        <v>12.803130148492849</v>
      </c>
      <c r="R109" s="180">
        <f t="shared" si="14"/>
        <v>5.7111510408524691E-2</v>
      </c>
      <c r="S109" s="179" t="e">
        <v>#N/A</v>
      </c>
    </row>
    <row r="110" spans="12:19">
      <c r="L110" s="363" t="str">
        <f t="shared" si="15"/>
        <v>285M</v>
      </c>
      <c r="M110" s="135">
        <f t="shared" si="17"/>
        <v>95</v>
      </c>
      <c r="N110" s="178">
        <v>50188</v>
      </c>
      <c r="O110" s="179">
        <v>0.26575794996945351</v>
      </c>
      <c r="P110" s="179">
        <v>0.24657534246575341</v>
      </c>
      <c r="Q110" s="179">
        <f t="shared" si="16"/>
        <v>12.868659506019563</v>
      </c>
      <c r="R110" s="180">
        <f t="shared" si="14"/>
        <v>5.7046495762381577E-2</v>
      </c>
      <c r="S110" s="179" t="e">
        <v>#N/A</v>
      </c>
    </row>
    <row r="111" spans="12:19">
      <c r="L111" s="363" t="str">
        <f t="shared" si="15"/>
        <v>288M</v>
      </c>
      <c r="M111" s="135">
        <f t="shared" si="17"/>
        <v>96</v>
      </c>
      <c r="N111" s="178">
        <v>50280</v>
      </c>
      <c r="O111" s="179">
        <v>0.26283641887325515</v>
      </c>
      <c r="P111" s="179">
        <v>0.25205479452054796</v>
      </c>
      <c r="Q111" s="179">
        <f t="shared" si="16"/>
        <v>12.934908685571179</v>
      </c>
      <c r="R111" s="180">
        <f t="shared" si="14"/>
        <v>5.6980182774388786E-2</v>
      </c>
      <c r="S111" s="179" t="e">
        <v>#N/A</v>
      </c>
    </row>
    <row r="112" spans="12:19">
      <c r="L112" s="363" t="str">
        <f t="shared" si="15"/>
        <v>291M</v>
      </c>
      <c r="M112" s="135">
        <f t="shared" si="17"/>
        <v>97</v>
      </c>
      <c r="N112" s="178">
        <v>50374</v>
      </c>
      <c r="O112" s="179">
        <v>0.25990146978235706</v>
      </c>
      <c r="P112" s="179">
        <v>0.25753424657534246</v>
      </c>
      <c r="Q112" s="179">
        <f t="shared" si="16"/>
        <v>13.001842214775403</v>
      </c>
      <c r="R112" s="180">
        <f t="shared" si="14"/>
        <v>5.6912581920419446E-2</v>
      </c>
      <c r="S112" s="179" t="e">
        <v>#N/A</v>
      </c>
    </row>
    <row r="113" spans="12:19">
      <c r="L113" s="363" t="str">
        <f t="shared" si="15"/>
        <v>294M</v>
      </c>
      <c r="M113" s="135">
        <f t="shared" si="17"/>
        <v>98</v>
      </c>
      <c r="N113" s="178">
        <v>50462</v>
      </c>
      <c r="O113" s="179">
        <v>0.25719890969744674</v>
      </c>
      <c r="P113" s="179">
        <v>0.24109589041095891</v>
      </c>
      <c r="Q113" s="179">
        <f t="shared" si="16"/>
        <v>13.063851814921636</v>
      </c>
      <c r="R113" s="180">
        <f t="shared" si="14"/>
        <v>5.6849310660535703E-2</v>
      </c>
      <c r="S113" s="179" t="e">
        <v>#N/A</v>
      </c>
    </row>
    <row r="114" spans="12:19">
      <c r="L114" s="363" t="str">
        <f t="shared" si="15"/>
        <v>297M</v>
      </c>
      <c r="M114" s="135">
        <f t="shared" si="17"/>
        <v>99</v>
      </c>
      <c r="N114" s="178">
        <v>50553</v>
      </c>
      <c r="O114" s="179">
        <v>0.25444920734721166</v>
      </c>
      <c r="P114" s="179">
        <v>0.24931506849315069</v>
      </c>
      <c r="Q114" s="179">
        <f t="shared" si="16"/>
        <v>13.127289836479434</v>
      </c>
      <c r="R114" s="180">
        <f t="shared" si="14"/>
        <v>5.6784049250475775E-2</v>
      </c>
      <c r="S114" s="179" t="e">
        <v>#N/A</v>
      </c>
    </row>
    <row r="115" spans="12:19">
      <c r="L115" s="363" t="str">
        <f t="shared" si="15"/>
        <v>300M</v>
      </c>
      <c r="M115" s="135">
        <f t="shared" si="17"/>
        <v>100</v>
      </c>
      <c r="N115" s="178">
        <v>50647</v>
      </c>
      <c r="O115" s="179">
        <v>0.25165602002360404</v>
      </c>
      <c r="P115" s="179">
        <v>0.25753424657534246</v>
      </c>
      <c r="Q115" s="179">
        <f t="shared" si="16"/>
        <v>13.192099879992362</v>
      </c>
      <c r="R115" s="180">
        <f t="shared" si="14"/>
        <v>5.6716812844806869E-2</v>
      </c>
      <c r="S115" s="179" t="e">
        <v>#N/A</v>
      </c>
    </row>
    <row r="116" spans="12:19">
      <c r="L116" s="363" t="str">
        <f t="shared" si="15"/>
        <v>303M</v>
      </c>
      <c r="M116" s="135">
        <f t="shared" si="17"/>
        <v>101</v>
      </c>
      <c r="N116" s="178">
        <v>50738</v>
      </c>
      <c r="O116" s="179">
        <v>0.24904839526303035</v>
      </c>
      <c r="P116" s="179">
        <v>0.24931506849315069</v>
      </c>
      <c r="Q116" s="179">
        <f t="shared" si="16"/>
        <v>13.254191397715473</v>
      </c>
      <c r="R116" s="180">
        <f t="shared" si="14"/>
        <v>5.6647852905874978E-2</v>
      </c>
      <c r="S116" s="179"/>
    </row>
    <row r="117" spans="12:19">
      <c r="L117" s="363" t="str">
        <f t="shared" si="15"/>
        <v>306M</v>
      </c>
      <c r="M117" s="135">
        <f t="shared" si="17"/>
        <v>102</v>
      </c>
      <c r="N117" s="178">
        <v>50829</v>
      </c>
      <c r="O117" s="179">
        <v>0.24648400878504775</v>
      </c>
      <c r="P117" s="179">
        <v>0.24931506849315069</v>
      </c>
      <c r="Q117" s="179">
        <f t="shared" si="16"/>
        <v>13.315643575248185</v>
      </c>
      <c r="R117" s="180">
        <f t="shared" si="14"/>
        <v>5.6579005506163842E-2</v>
      </c>
      <c r="S117" s="179"/>
    </row>
    <row r="118" spans="12:19">
      <c r="L118" s="363" t="str">
        <f t="shared" si="15"/>
        <v>309M</v>
      </c>
      <c r="M118" s="135">
        <f t="shared" si="17"/>
        <v>103</v>
      </c>
      <c r="N118" s="178">
        <v>50920</v>
      </c>
      <c r="O118" s="179">
        <v>0.24396208041632869</v>
      </c>
      <c r="P118" s="179">
        <v>0.24931506849315069</v>
      </c>
      <c r="Q118" s="179">
        <f t="shared" si="16"/>
        <v>13.376466998036912</v>
      </c>
      <c r="R118" s="180">
        <f t="shared" si="14"/>
        <v>5.6510272827775515E-2</v>
      </c>
      <c r="S118" s="179"/>
    </row>
    <row r="119" spans="12:19">
      <c r="L119" s="363" t="str">
        <f t="shared" si="15"/>
        <v>312M</v>
      </c>
      <c r="M119" s="135">
        <f t="shared" si="17"/>
        <v>104</v>
      </c>
      <c r="N119" s="178">
        <v>51011</v>
      </c>
      <c r="O119" s="179">
        <v>0.24148184630594691</v>
      </c>
      <c r="P119" s="179">
        <v>0.24931506849315069</v>
      </c>
      <c r="Q119" s="179">
        <f t="shared" si="16"/>
        <v>13.436672061088531</v>
      </c>
      <c r="R119" s="180">
        <f t="shared" si="14"/>
        <v>5.6441656847264342E-2</v>
      </c>
      <c r="S119" s="179"/>
    </row>
    <row r="120" spans="12:19">
      <c r="L120" s="363" t="str">
        <f t="shared" si="15"/>
        <v>315M</v>
      </c>
      <c r="M120" s="135">
        <f t="shared" si="17"/>
        <v>105</v>
      </c>
      <c r="N120" s="178">
        <v>51102</v>
      </c>
      <c r="O120" s="179">
        <v>0.23904255855910667</v>
      </c>
      <c r="P120" s="179">
        <v>0.24931506849315069</v>
      </c>
      <c r="Q120" s="179">
        <f t="shared" si="16"/>
        <v>13.496268972948473</v>
      </c>
      <c r="R120" s="180">
        <f t="shared" si="14"/>
        <v>5.6373159345964673E-2</v>
      </c>
      <c r="S120" s="179"/>
    </row>
    <row r="121" spans="12:19">
      <c r="L121" s="363" t="str">
        <f t="shared" si="15"/>
        <v>318M</v>
      </c>
      <c r="M121" s="135">
        <f t="shared" si="17"/>
        <v>106</v>
      </c>
      <c r="N121" s="178">
        <v>51194</v>
      </c>
      <c r="O121" s="179">
        <v>0.236617342133502</v>
      </c>
      <c r="P121" s="179">
        <v>0.25205479452054796</v>
      </c>
      <c r="Q121" s="179">
        <f t="shared" si="16"/>
        <v>13.55590950849993</v>
      </c>
      <c r="R121" s="180">
        <f t="shared" si="14"/>
        <v>5.6304044913773395E-2</v>
      </c>
      <c r="S121" s="179"/>
    </row>
    <row r="122" spans="12:19">
      <c r="L122" s="363" t="str">
        <f t="shared" si="15"/>
        <v>321M</v>
      </c>
      <c r="M122" s="135">
        <f t="shared" si="17"/>
        <v>107</v>
      </c>
      <c r="N122" s="178">
        <v>51284</v>
      </c>
      <c r="O122" s="179">
        <v>0.23428390822251272</v>
      </c>
      <c r="P122" s="179">
        <v>0.24657534246575341</v>
      </c>
      <c r="Q122" s="179">
        <f t="shared" si="16"/>
        <v>13.613678143404112</v>
      </c>
      <c r="R122" s="180">
        <f t="shared" si="14"/>
        <v>5.6236526503716924E-2</v>
      </c>
      <c r="S122" s="179"/>
    </row>
    <row r="123" spans="12:19">
      <c r="L123" s="363" t="str">
        <f t="shared" si="15"/>
        <v>324M</v>
      </c>
      <c r="M123" s="135">
        <f t="shared" si="17"/>
        <v>108</v>
      </c>
      <c r="N123" s="178">
        <v>51376</v>
      </c>
      <c r="O123" s="179">
        <v>0.23193783628278422</v>
      </c>
      <c r="P123" s="179">
        <v>0.25205479452054796</v>
      </c>
      <c r="Q123" s="179">
        <f t="shared" si="16"/>
        <v>13.672139187069909</v>
      </c>
      <c r="R123" s="180">
        <f t="shared" si="14"/>
        <v>5.6167658415195089E-2</v>
      </c>
      <c r="S123" s="179"/>
    </row>
    <row r="124" spans="12:19">
      <c r="L124" s="363" t="str">
        <f t="shared" si="15"/>
        <v>327M</v>
      </c>
      <c r="M124" s="135">
        <f t="shared" si="17"/>
        <v>109</v>
      </c>
      <c r="N124" s="178">
        <v>51468</v>
      </c>
      <c r="O124" s="179">
        <v>0.22963070618338383</v>
      </c>
      <c r="P124" s="179">
        <v>0.25205479452054796</v>
      </c>
      <c r="Q124" s="179">
        <f t="shared" si="16"/>
        <v>13.730018707532571</v>
      </c>
      <c r="R124" s="180">
        <f t="shared" si="14"/>
        <v>5.6098916554365448E-2</v>
      </c>
      <c r="S124" s="179"/>
    </row>
    <row r="125" spans="12:19">
      <c r="L125" s="363" t="str">
        <f t="shared" si="15"/>
        <v>330M</v>
      </c>
      <c r="M125" s="135">
        <f t="shared" si="17"/>
        <v>110</v>
      </c>
      <c r="N125" s="178">
        <v>51560</v>
      </c>
      <c r="O125" s="179">
        <v>0.22736182241898797</v>
      </c>
      <c r="P125" s="179">
        <v>0.25205479452054796</v>
      </c>
      <c r="Q125" s="179">
        <f t="shared" si="16"/>
        <v>13.787326344964207</v>
      </c>
      <c r="R125" s="180">
        <f t="shared" si="14"/>
        <v>5.6030301901883899E-2</v>
      </c>
      <c r="S125" s="179"/>
    </row>
    <row r="126" spans="12:19">
      <c r="L126" s="363" t="str">
        <f t="shared" si="15"/>
        <v>333M</v>
      </c>
      <c r="M126" s="135">
        <f t="shared" si="17"/>
        <v>111</v>
      </c>
      <c r="N126" s="178">
        <v>51649</v>
      </c>
      <c r="O126" s="179">
        <v>0.22520267884739822</v>
      </c>
      <c r="P126" s="179">
        <v>0.24383561643835616</v>
      </c>
      <c r="Q126" s="179">
        <f t="shared" si="16"/>
        <v>13.842238778984532</v>
      </c>
      <c r="R126" s="180">
        <f t="shared" si="14"/>
        <v>5.5964010841645186E-2</v>
      </c>
      <c r="S126" s="179"/>
    </row>
    <row r="127" spans="12:19">
      <c r="L127" s="363" t="str">
        <f t="shared" si="15"/>
        <v>336M</v>
      </c>
      <c r="M127" s="135">
        <f t="shared" si="17"/>
        <v>112</v>
      </c>
      <c r="N127" s="178">
        <v>51741</v>
      </c>
      <c r="O127" s="179">
        <v>0.22300706628259659</v>
      </c>
      <c r="P127" s="179">
        <v>0.25205479452054796</v>
      </c>
      <c r="Q127" s="179">
        <f t="shared" si="16"/>
        <v>13.898448779253021</v>
      </c>
      <c r="R127" s="180">
        <f t="shared" si="14"/>
        <v>5.5895648932001621E-2</v>
      </c>
      <c r="S127" s="179"/>
    </row>
    <row r="128" spans="12:19">
      <c r="L128" s="363" t="str">
        <f t="shared" si="15"/>
        <v>339M</v>
      </c>
      <c r="M128" s="135">
        <f t="shared" si="17"/>
        <v>113</v>
      </c>
      <c r="N128" s="178">
        <v>51833</v>
      </c>
      <c r="O128" s="179">
        <v>0.22084772063959288</v>
      </c>
      <c r="P128" s="179">
        <v>0.25205479452054796</v>
      </c>
      <c r="Q128" s="179">
        <f t="shared" si="16"/>
        <v>13.954114506099165</v>
      </c>
      <c r="R128" s="180">
        <f t="shared" si="14"/>
        <v>5.5827416276900722E-2</v>
      </c>
      <c r="S128" s="179"/>
    </row>
    <row r="129" spans="12:19">
      <c r="L129" s="363" t="str">
        <f t="shared" si="15"/>
        <v>342M</v>
      </c>
      <c r="M129" s="135">
        <f t="shared" si="17"/>
        <v>114</v>
      </c>
      <c r="N129" s="178">
        <v>51925</v>
      </c>
      <c r="O129" s="179">
        <v>0.21872400227029207</v>
      </c>
      <c r="P129" s="179">
        <v>0.25205479452054796</v>
      </c>
      <c r="Q129" s="179">
        <f t="shared" si="16"/>
        <v>14.009244939548115</v>
      </c>
      <c r="R129" s="180">
        <f t="shared" si="14"/>
        <v>5.5759313299724111E-2</v>
      </c>
      <c r="S129" s="179"/>
    </row>
    <row r="130" spans="12:19">
      <c r="L130" s="363" t="str">
        <f t="shared" si="15"/>
        <v>345M</v>
      </c>
      <c r="M130" s="135">
        <f t="shared" si="17"/>
        <v>115</v>
      </c>
      <c r="N130" s="178">
        <v>52014</v>
      </c>
      <c r="O130" s="179">
        <v>0.21670284950652541</v>
      </c>
      <c r="P130" s="179">
        <v>0.24383561643835616</v>
      </c>
      <c r="Q130" s="179">
        <f t="shared" si="16"/>
        <v>14.062084812441487</v>
      </c>
      <c r="R130" s="180">
        <f t="shared" si="14"/>
        <v>5.5693522040749913E-2</v>
      </c>
      <c r="S130" s="179"/>
    </row>
    <row r="131" spans="12:19">
      <c r="L131" s="363" t="str">
        <f t="shared" si="15"/>
        <v>348M</v>
      </c>
      <c r="M131" s="135">
        <f t="shared" si="17"/>
        <v>116</v>
      </c>
      <c r="N131" s="178">
        <v>52106</v>
      </c>
      <c r="O131" s="179">
        <v>0.21464740788816905</v>
      </c>
      <c r="P131" s="179">
        <v>0.25205479452054796</v>
      </c>
      <c r="Q131" s="179">
        <f t="shared" si="16"/>
        <v>14.116187720731107</v>
      </c>
      <c r="R131" s="180">
        <f t="shared" si="14"/>
        <v>5.5625675118061733E-2</v>
      </c>
      <c r="S131" s="179"/>
    </row>
    <row r="132" spans="12:19">
      <c r="L132" s="363" t="str">
        <f t="shared" si="15"/>
        <v>351M</v>
      </c>
      <c r="M132" s="135">
        <f t="shared" si="17"/>
        <v>117</v>
      </c>
      <c r="N132" s="178">
        <v>52198</v>
      </c>
      <c r="O132" s="179">
        <v>0.21262577266792926</v>
      </c>
      <c r="P132" s="179">
        <v>0.25205479452054796</v>
      </c>
      <c r="Q132" s="179">
        <f t="shared" si="16"/>
        <v>14.169781066170694</v>
      </c>
      <c r="R132" s="180">
        <f t="shared" si="14"/>
        <v>5.5557958418898074E-2</v>
      </c>
      <c r="S132" s="179"/>
    </row>
    <row r="133" spans="12:19">
      <c r="L133" s="363" t="str">
        <f t="shared" si="15"/>
        <v>354M</v>
      </c>
      <c r="M133" s="135">
        <f t="shared" si="17"/>
        <v>118</v>
      </c>
      <c r="N133" s="178">
        <v>52289</v>
      </c>
      <c r="O133" s="179">
        <v>0.21065879201895013</v>
      </c>
      <c r="P133" s="179">
        <v>0.24931506849315069</v>
      </c>
      <c r="Q133" s="179">
        <f t="shared" si="16"/>
        <v>14.222301477331584</v>
      </c>
      <c r="R133" s="180">
        <f t="shared" si="14"/>
        <v>5.5491095388891527E-2</v>
      </c>
      <c r="S133" s="179"/>
    </row>
    <row r="134" spans="12:19">
      <c r="L134" s="363" t="str">
        <f t="shared" si="15"/>
        <v>357M</v>
      </c>
      <c r="M134" s="135">
        <f t="shared" si="17"/>
        <v>119</v>
      </c>
      <c r="N134" s="178">
        <v>52379</v>
      </c>
      <c r="O134" s="179">
        <v>0.20874484570966212</v>
      </c>
      <c r="P134" s="179">
        <v>0.24657534246575341</v>
      </c>
      <c r="Q134" s="179">
        <f t="shared" si="16"/>
        <v>14.273772809150405</v>
      </c>
      <c r="R134" s="180">
        <f t="shared" si="14"/>
        <v>5.5425082409207599E-2</v>
      </c>
      <c r="S134" s="179"/>
    </row>
    <row r="135" spans="12:19">
      <c r="L135" s="363" t="str">
        <f t="shared" si="15"/>
        <v>360M</v>
      </c>
      <c r="M135" s="135">
        <f t="shared" si="17"/>
        <v>120</v>
      </c>
      <c r="N135" s="178">
        <v>52471</v>
      </c>
      <c r="O135" s="179">
        <v>0.20682010959854755</v>
      </c>
      <c r="P135" s="179">
        <v>0.25205479452054796</v>
      </c>
      <c r="Q135" s="179">
        <f t="shared" si="16"/>
        <v>14.325902809377984</v>
      </c>
      <c r="R135" s="180">
        <f t="shared" si="14"/>
        <v>5.5357751682458593E-2</v>
      </c>
      <c r="S135" s="179"/>
    </row>
    <row r="136" spans="12:19">
      <c r="L136" s="363"/>
    </row>
  </sheetData>
  <mergeCells count="5">
    <mergeCell ref="M3:N3"/>
    <mergeCell ref="Q5:U5"/>
    <mergeCell ref="Q6:U6"/>
    <mergeCell ref="B8:C8"/>
    <mergeCell ref="M12:R12"/>
  </mergeCell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S106"/>
  <sheetViews>
    <sheetView workbookViewId="0">
      <selection activeCell="B3" sqref="B3"/>
    </sheetView>
  </sheetViews>
  <sheetFormatPr defaultRowHeight="11.25"/>
  <cols>
    <col min="1" max="1" width="17.85546875" style="1" customWidth="1"/>
    <col min="2" max="2" width="10.140625" style="1" bestFit="1" customWidth="1"/>
    <col min="3" max="3" width="8" style="1" customWidth="1"/>
    <col min="4" max="4" width="10.42578125" style="1" customWidth="1"/>
    <col min="5" max="5" width="11" style="95" customWidth="1"/>
    <col min="6" max="6" width="10.140625" style="1" bestFit="1" customWidth="1"/>
    <col min="7" max="7" width="12.140625" style="1" bestFit="1" customWidth="1"/>
    <col min="8" max="8" width="14" style="1" bestFit="1" customWidth="1"/>
    <col min="9" max="9" width="10.85546875" style="1" bestFit="1" customWidth="1"/>
    <col min="10" max="10" width="12.140625" style="1" bestFit="1" customWidth="1"/>
    <col min="11" max="11" width="9.42578125" style="1" customWidth="1"/>
    <col min="12" max="12" width="8.42578125" style="1" bestFit="1" customWidth="1"/>
    <col min="13" max="13" width="8" style="1" customWidth="1"/>
    <col min="14" max="14" width="12.42578125" style="1" customWidth="1"/>
    <col min="15" max="15" width="9.28515625" style="1" customWidth="1"/>
    <col min="16" max="16" width="8" style="1" customWidth="1"/>
    <col min="17" max="17" width="13.7109375" style="1" bestFit="1" customWidth="1"/>
    <col min="18" max="18" width="7.140625" style="1" bestFit="1" customWidth="1"/>
    <col min="19" max="16384" width="9.140625" style="1"/>
  </cols>
  <sheetData>
    <row r="1" spans="1:19">
      <c r="E1" s="1"/>
      <c r="I1" s="205"/>
      <c r="J1" s="205"/>
      <c r="L1" s="116" t="s">
        <v>199</v>
      </c>
      <c r="M1" s="117"/>
      <c r="N1" s="117"/>
    </row>
    <row r="2" spans="1:19">
      <c r="D2" s="1" t="s">
        <v>192</v>
      </c>
      <c r="E2" s="97" t="s">
        <v>369</v>
      </c>
      <c r="F2" s="97"/>
      <c r="G2" s="97"/>
      <c r="H2" s="97"/>
      <c r="I2" s="205"/>
      <c r="J2" s="205"/>
      <c r="K2" s="98" t="s">
        <v>159</v>
      </c>
      <c r="L2" s="98" t="s">
        <v>198</v>
      </c>
      <c r="M2" s="98"/>
      <c r="N2" s="98" t="s">
        <v>197</v>
      </c>
    </row>
    <row r="3" spans="1:19">
      <c r="B3" s="99">
        <v>40681</v>
      </c>
      <c r="E3" s="97" t="s">
        <v>370</v>
      </c>
      <c r="F3" s="97"/>
      <c r="G3" s="97"/>
      <c r="H3" s="97"/>
      <c r="I3" s="205"/>
      <c r="J3" s="205">
        <v>6</v>
      </c>
      <c r="K3" s="114" t="s">
        <v>371</v>
      </c>
      <c r="L3" s="115"/>
      <c r="M3" s="115"/>
      <c r="N3" s="115"/>
    </row>
    <row r="4" spans="1:19">
      <c r="E4" s="1"/>
      <c r="I4" s="205"/>
      <c r="J4" s="205">
        <v>7</v>
      </c>
      <c r="K4" s="114" t="s">
        <v>372</v>
      </c>
      <c r="L4" s="115"/>
      <c r="M4" s="115"/>
      <c r="N4" s="115"/>
    </row>
    <row r="5" spans="1:19">
      <c r="D5" s="1" t="s">
        <v>191</v>
      </c>
      <c r="E5" s="97" t="s">
        <v>369</v>
      </c>
      <c r="F5" s="97"/>
      <c r="G5" s="97"/>
      <c r="H5" s="97"/>
      <c r="I5" s="205"/>
      <c r="J5" s="205">
        <v>8</v>
      </c>
      <c r="K5" s="114" t="s">
        <v>373</v>
      </c>
      <c r="L5" s="115"/>
      <c r="M5" s="115"/>
      <c r="N5" s="115"/>
    </row>
    <row r="6" spans="1:19">
      <c r="E6" s="97" t="s">
        <v>374</v>
      </c>
      <c r="F6" s="97"/>
      <c r="G6" s="97"/>
      <c r="H6" s="97"/>
      <c r="I6" s="205"/>
      <c r="J6" s="205">
        <v>9</v>
      </c>
      <c r="K6" s="114" t="s">
        <v>375</v>
      </c>
      <c r="L6" s="115"/>
      <c r="M6" s="115"/>
      <c r="N6" s="115"/>
    </row>
    <row r="7" spans="1:19">
      <c r="I7" s="205"/>
      <c r="J7" s="205">
        <v>10</v>
      </c>
      <c r="K7" s="114" t="s">
        <v>376</v>
      </c>
      <c r="L7" s="115"/>
      <c r="M7" s="115"/>
      <c r="N7" s="115"/>
    </row>
    <row r="8" spans="1:19">
      <c r="I8" s="205"/>
      <c r="J8" s="205">
        <v>11</v>
      </c>
      <c r="K8" s="114" t="s">
        <v>377</v>
      </c>
      <c r="L8" s="115"/>
      <c r="M8" s="115"/>
      <c r="N8" s="115"/>
    </row>
    <row r="9" spans="1:19">
      <c r="J9" s="205">
        <v>12</v>
      </c>
      <c r="K9" s="114" t="s">
        <v>378</v>
      </c>
      <c r="L9" s="115"/>
      <c r="M9" s="115"/>
      <c r="N9" s="115"/>
    </row>
    <row r="10" spans="1:19">
      <c r="J10" s="205">
        <v>13</v>
      </c>
      <c r="K10" s="114" t="s">
        <v>379</v>
      </c>
      <c r="L10" s="115"/>
      <c r="M10" s="115"/>
      <c r="N10" s="115"/>
    </row>
    <row r="11" spans="1:19">
      <c r="J11" s="205">
        <v>14</v>
      </c>
      <c r="K11" s="114" t="s">
        <v>380</v>
      </c>
      <c r="L11" s="115"/>
      <c r="M11" s="115"/>
      <c r="N11" s="115"/>
    </row>
    <row r="12" spans="1:19">
      <c r="J12" s="205">
        <v>15</v>
      </c>
      <c r="K12" s="114" t="s">
        <v>381</v>
      </c>
      <c r="L12" s="115"/>
      <c r="M12" s="115"/>
      <c r="N12" s="115"/>
    </row>
    <row r="13" spans="1:19" ht="12" thickBot="1">
      <c r="J13" s="205">
        <v>16</v>
      </c>
      <c r="K13" s="114" t="s">
        <v>382</v>
      </c>
      <c r="L13" s="115"/>
      <c r="M13" s="115"/>
      <c r="N13" s="115"/>
    </row>
    <row r="14" spans="1:19" ht="12" thickBot="1">
      <c r="A14" s="107" t="s">
        <v>200</v>
      </c>
      <c r="B14" s="106">
        <v>4.75</v>
      </c>
      <c r="J14" s="205">
        <v>17</v>
      </c>
      <c r="K14" s="114" t="s">
        <v>383</v>
      </c>
      <c r="L14" s="115"/>
      <c r="M14" s="115"/>
      <c r="N14" s="115"/>
    </row>
    <row r="15" spans="1:19" ht="12" thickBot="1">
      <c r="A15" s="97" t="s">
        <v>384</v>
      </c>
      <c r="B15" s="97"/>
      <c r="C15" s="97"/>
      <c r="D15" s="97"/>
      <c r="E15" s="105"/>
      <c r="F15" s="97"/>
      <c r="G15" s="97"/>
      <c r="H15" s="208"/>
      <c r="I15" s="330" t="s">
        <v>199</v>
      </c>
      <c r="J15" s="326"/>
      <c r="K15" s="326"/>
      <c r="L15" s="326"/>
      <c r="M15" s="326"/>
      <c r="N15" s="327"/>
      <c r="O15" s="208"/>
      <c r="P15" s="208"/>
      <c r="Q15" s="213" t="s">
        <v>148</v>
      </c>
      <c r="R15" s="208"/>
      <c r="S15" s="208"/>
    </row>
    <row r="16" spans="1:19" ht="12" thickBot="1">
      <c r="A16" s="97" t="s">
        <v>385</v>
      </c>
      <c r="B16" s="97"/>
      <c r="C16" s="97"/>
      <c r="D16" s="97"/>
      <c r="E16" s="105"/>
      <c r="F16" s="97"/>
      <c r="G16" s="97"/>
      <c r="H16" s="208"/>
      <c r="I16" s="325" t="s">
        <v>198</v>
      </c>
      <c r="J16" s="326"/>
      <c r="K16" s="327"/>
      <c r="L16" s="325" t="s">
        <v>197</v>
      </c>
      <c r="M16" s="326"/>
      <c r="N16" s="327"/>
      <c r="O16" s="208"/>
      <c r="P16" s="208"/>
      <c r="Q16" s="214" t="s">
        <v>147</v>
      </c>
      <c r="R16" s="208"/>
      <c r="S16" s="208"/>
    </row>
    <row r="17" spans="1:19" ht="12" thickBot="1">
      <c r="A17" s="97" t="s">
        <v>386</v>
      </c>
      <c r="B17" s="97"/>
      <c r="C17" s="97"/>
      <c r="D17" s="97"/>
      <c r="E17" s="105"/>
      <c r="F17" s="97"/>
      <c r="G17" s="97"/>
      <c r="H17" s="217" t="s">
        <v>196</v>
      </c>
      <c r="I17" s="218" t="s">
        <v>158</v>
      </c>
      <c r="J17" s="219" t="s">
        <v>157</v>
      </c>
      <c r="K17" s="217" t="s">
        <v>195</v>
      </c>
      <c r="L17" s="218" t="s">
        <v>178</v>
      </c>
      <c r="M17" s="219" t="s">
        <v>157</v>
      </c>
      <c r="N17" s="217" t="s">
        <v>155</v>
      </c>
      <c r="O17" s="208"/>
      <c r="P17" s="208"/>
      <c r="Q17" s="215" t="s">
        <v>146</v>
      </c>
      <c r="R17" s="208"/>
      <c r="S17" s="208"/>
    </row>
    <row r="18" spans="1:19">
      <c r="A18" s="97" t="s">
        <v>387</v>
      </c>
      <c r="B18" s="97"/>
      <c r="C18" s="97"/>
      <c r="D18" s="97"/>
      <c r="E18" s="105"/>
      <c r="F18" s="97"/>
      <c r="G18" s="97"/>
      <c r="H18" s="220" t="s">
        <v>388</v>
      </c>
      <c r="I18" s="221" t="s">
        <v>389</v>
      </c>
      <c r="J18" s="222" t="s">
        <v>390</v>
      </c>
      <c r="K18" s="223">
        <v>0.1075</v>
      </c>
      <c r="L18" s="221" t="s">
        <v>391</v>
      </c>
      <c r="M18" s="222" t="s">
        <v>392</v>
      </c>
      <c r="N18" s="223">
        <v>8.2500000000000004E-2</v>
      </c>
      <c r="O18" s="208"/>
      <c r="P18" s="208"/>
      <c r="Q18" s="215" t="s">
        <v>144</v>
      </c>
      <c r="R18" s="208"/>
      <c r="S18" s="208"/>
    </row>
    <row r="19" spans="1:19">
      <c r="A19" s="97" t="s">
        <v>393</v>
      </c>
      <c r="B19" s="97"/>
      <c r="C19" s="97"/>
      <c r="D19" s="97"/>
      <c r="E19" s="105"/>
      <c r="F19" s="97"/>
      <c r="G19" s="97"/>
      <c r="H19" s="226" t="s">
        <v>394</v>
      </c>
      <c r="I19" s="227" t="s">
        <v>395</v>
      </c>
      <c r="J19" s="228" t="s">
        <v>396</v>
      </c>
      <c r="K19" s="229">
        <v>0.11749999999999999</v>
      </c>
      <c r="L19" s="227" t="s">
        <v>397</v>
      </c>
      <c r="M19" s="228" t="s">
        <v>398</v>
      </c>
      <c r="N19" s="229">
        <v>0.08</v>
      </c>
      <c r="O19" s="208"/>
      <c r="P19" s="208"/>
      <c r="Q19" s="216" t="s">
        <v>143</v>
      </c>
      <c r="R19" s="208"/>
      <c r="S19" s="208"/>
    </row>
    <row r="20" spans="1:19" ht="12" thickBot="1">
      <c r="A20" s="97" t="s">
        <v>399</v>
      </c>
      <c r="B20" s="97"/>
      <c r="C20" s="97"/>
      <c r="D20" s="97"/>
      <c r="E20" s="105"/>
      <c r="F20" s="97"/>
      <c r="G20" s="97"/>
      <c r="H20" s="226" t="s">
        <v>400</v>
      </c>
      <c r="I20" s="227" t="s">
        <v>401</v>
      </c>
      <c r="J20" s="228" t="s">
        <v>402</v>
      </c>
      <c r="K20" s="229">
        <v>0.12</v>
      </c>
      <c r="L20" s="227" t="s">
        <v>403</v>
      </c>
      <c r="M20" s="228" t="s">
        <v>404</v>
      </c>
      <c r="N20" s="229">
        <v>7.7499999999999999E-2</v>
      </c>
      <c r="O20" s="208"/>
      <c r="P20" s="208"/>
      <c r="Q20" s="208"/>
      <c r="R20" s="208"/>
      <c r="S20" s="208"/>
    </row>
    <row r="21" spans="1:19" ht="13.5" thickBot="1">
      <c r="A21" s="208"/>
      <c r="B21" s="407" t="s">
        <v>194</v>
      </c>
      <c r="C21" s="408"/>
      <c r="D21" s="408"/>
      <c r="E21" s="408"/>
      <c r="F21" s="408"/>
      <c r="G21" s="409"/>
      <c r="H21" s="226" t="s">
        <v>405</v>
      </c>
      <c r="I21" s="227" t="s">
        <v>401</v>
      </c>
      <c r="J21" s="228" t="s">
        <v>402</v>
      </c>
      <c r="K21" s="229">
        <v>0.12</v>
      </c>
      <c r="L21" s="227" t="s">
        <v>403</v>
      </c>
      <c r="M21" s="228" t="s">
        <v>404</v>
      </c>
      <c r="N21" s="229">
        <v>7.7499999999999999E-2</v>
      </c>
      <c r="O21" s="208"/>
      <c r="P21" s="208"/>
      <c r="Q21" s="208"/>
      <c r="R21" s="208"/>
      <c r="S21" s="208"/>
    </row>
    <row r="22" spans="1:19" ht="12" thickBot="1">
      <c r="A22" s="224" t="s">
        <v>159</v>
      </c>
      <c r="B22" s="218" t="s">
        <v>178</v>
      </c>
      <c r="C22" s="219" t="s">
        <v>157</v>
      </c>
      <c r="D22" s="217" t="s">
        <v>155</v>
      </c>
      <c r="E22" s="225" t="s">
        <v>192</v>
      </c>
      <c r="F22" s="219" t="s">
        <v>191</v>
      </c>
      <c r="G22" s="217" t="s">
        <v>190</v>
      </c>
      <c r="H22" s="226" t="s">
        <v>406</v>
      </c>
      <c r="I22" s="227" t="s">
        <v>395</v>
      </c>
      <c r="J22" s="228" t="s">
        <v>396</v>
      </c>
      <c r="K22" s="229">
        <v>0.11749999999999999</v>
      </c>
      <c r="L22" s="227" t="s">
        <v>407</v>
      </c>
      <c r="M22" s="228" t="s">
        <v>408</v>
      </c>
      <c r="N22" s="229">
        <v>7.2499999999999995E-2</v>
      </c>
      <c r="O22" s="208"/>
      <c r="P22" s="208"/>
      <c r="Q22" s="208"/>
      <c r="R22" s="324" t="s">
        <v>193</v>
      </c>
      <c r="S22" s="324"/>
    </row>
    <row r="23" spans="1:19">
      <c r="A23" s="230" t="s">
        <v>134</v>
      </c>
      <c r="B23" s="227" t="s">
        <v>409</v>
      </c>
      <c r="C23" s="228" t="s">
        <v>410</v>
      </c>
      <c r="D23" s="231">
        <v>4.82</v>
      </c>
      <c r="E23" s="232">
        <v>4.8049999999999997</v>
      </c>
      <c r="F23" s="233">
        <v>4.82</v>
      </c>
      <c r="G23" s="234">
        <v>4.82</v>
      </c>
      <c r="H23" s="226" t="s">
        <v>411</v>
      </c>
      <c r="I23" s="227" t="s">
        <v>389</v>
      </c>
      <c r="J23" s="228" t="s">
        <v>390</v>
      </c>
      <c r="K23" s="229">
        <v>0.1075</v>
      </c>
      <c r="L23" s="227" t="s">
        <v>412</v>
      </c>
      <c r="M23" s="228" t="s">
        <v>413</v>
      </c>
      <c r="N23" s="229">
        <v>6.7500000000000004E-2</v>
      </c>
      <c r="O23" s="208"/>
      <c r="P23" s="208"/>
      <c r="Q23" s="208" t="s">
        <v>189</v>
      </c>
      <c r="R23" s="208">
        <v>3.01</v>
      </c>
      <c r="S23" s="208">
        <v>11</v>
      </c>
    </row>
    <row r="24" spans="1:19" ht="12" thickBot="1">
      <c r="A24" s="230" t="s">
        <v>133</v>
      </c>
      <c r="B24" s="227" t="s">
        <v>414</v>
      </c>
      <c r="C24" s="228" t="s">
        <v>415</v>
      </c>
      <c r="D24" s="231">
        <v>4.91</v>
      </c>
      <c r="E24" s="232">
        <v>4.8899999999999997</v>
      </c>
      <c r="F24" s="233">
        <v>4.91</v>
      </c>
      <c r="G24" s="234">
        <v>4.91</v>
      </c>
      <c r="H24" s="104" t="s">
        <v>118</v>
      </c>
      <c r="I24" s="236" t="s">
        <v>416</v>
      </c>
      <c r="J24" s="237" t="s">
        <v>417</v>
      </c>
      <c r="K24" s="229">
        <v>9.5000000000000001E-2</v>
      </c>
      <c r="L24" s="227" t="s">
        <v>418</v>
      </c>
      <c r="M24" s="228" t="s">
        <v>419</v>
      </c>
      <c r="N24" s="229">
        <v>6.5000000000000002E-2</v>
      </c>
      <c r="O24" s="208"/>
      <c r="P24" s="208"/>
      <c r="Q24" s="208" t="s">
        <v>188</v>
      </c>
      <c r="R24" s="208">
        <v>3.0049999999999999</v>
      </c>
      <c r="S24" s="208"/>
    </row>
    <row r="25" spans="1:19">
      <c r="A25" s="230" t="s">
        <v>10</v>
      </c>
      <c r="B25" s="227" t="s">
        <v>420</v>
      </c>
      <c r="C25" s="228" t="s">
        <v>421</v>
      </c>
      <c r="D25" s="231">
        <v>4.99</v>
      </c>
      <c r="E25" s="232">
        <v>4.9950000000000001</v>
      </c>
      <c r="F25" s="233">
        <v>5.0049999999999999</v>
      </c>
      <c r="G25" s="234">
        <v>5.0049999999999999</v>
      </c>
      <c r="H25" s="226" t="s">
        <v>119</v>
      </c>
      <c r="I25" s="208"/>
      <c r="J25" s="208"/>
      <c r="K25" s="229">
        <v>0</v>
      </c>
      <c r="L25" s="227" t="s">
        <v>422</v>
      </c>
      <c r="M25" s="228" t="s">
        <v>423</v>
      </c>
      <c r="N25" s="229">
        <v>5.2499999999999998E-2</v>
      </c>
      <c r="O25" s="208"/>
      <c r="P25" s="208"/>
      <c r="Q25" s="208" t="s">
        <v>0</v>
      </c>
      <c r="R25" s="208">
        <v>3</v>
      </c>
      <c r="S25" s="208">
        <v>10</v>
      </c>
    </row>
    <row r="26" spans="1:19">
      <c r="A26" s="230" t="s">
        <v>132</v>
      </c>
      <c r="B26" s="227" t="s">
        <v>424</v>
      </c>
      <c r="C26" s="228" t="s">
        <v>425</v>
      </c>
      <c r="D26" s="231">
        <v>5.0600000000000005</v>
      </c>
      <c r="E26" s="232">
        <v>5.05</v>
      </c>
      <c r="F26" s="233">
        <v>5.0650000000000004</v>
      </c>
      <c r="G26" s="234">
        <v>5.0650000000000004</v>
      </c>
      <c r="H26" s="226" t="s">
        <v>120</v>
      </c>
      <c r="I26" s="208"/>
      <c r="J26" s="208"/>
      <c r="K26" s="229">
        <v>0</v>
      </c>
      <c r="L26" s="227" t="s">
        <v>426</v>
      </c>
      <c r="M26" s="228" t="s">
        <v>427</v>
      </c>
      <c r="N26" s="229">
        <v>4.4999999999999998E-2</v>
      </c>
      <c r="O26" s="208"/>
      <c r="P26" s="208"/>
      <c r="Q26" s="208" t="s">
        <v>1</v>
      </c>
      <c r="R26" s="208">
        <v>3</v>
      </c>
      <c r="S26" s="208"/>
    </row>
    <row r="27" spans="1:19" ht="12" thickBot="1">
      <c r="A27" s="230" t="s">
        <v>131</v>
      </c>
      <c r="B27" s="227" t="s">
        <v>428</v>
      </c>
      <c r="C27" s="228" t="s">
        <v>429</v>
      </c>
      <c r="D27" s="231">
        <v>5.12</v>
      </c>
      <c r="E27" s="232">
        <v>5.0999999999999996</v>
      </c>
      <c r="F27" s="233">
        <v>5.1150000000000002</v>
      </c>
      <c r="G27" s="234">
        <v>5.1150000000000002</v>
      </c>
      <c r="H27" s="226" t="s">
        <v>121</v>
      </c>
      <c r="I27" s="208"/>
      <c r="J27" s="208"/>
      <c r="K27" s="229">
        <v>0</v>
      </c>
      <c r="L27" s="227" t="s">
        <v>430</v>
      </c>
      <c r="M27" s="228" t="s">
        <v>431</v>
      </c>
      <c r="N27" s="229">
        <v>0.04</v>
      </c>
      <c r="O27" s="208"/>
      <c r="P27" s="235"/>
      <c r="Q27" s="208" t="s">
        <v>2</v>
      </c>
      <c r="R27" s="208">
        <v>3</v>
      </c>
      <c r="S27" s="208">
        <v>10</v>
      </c>
    </row>
    <row r="28" spans="1:19" ht="12" thickBot="1">
      <c r="A28" s="238" t="s">
        <v>13</v>
      </c>
      <c r="B28" s="236" t="s">
        <v>432</v>
      </c>
      <c r="C28" s="237" t="s">
        <v>433</v>
      </c>
      <c r="D28" s="239">
        <v>5.18</v>
      </c>
      <c r="E28" s="240">
        <v>5.17</v>
      </c>
      <c r="F28" s="241">
        <v>5.19</v>
      </c>
      <c r="G28" s="242">
        <v>5.19</v>
      </c>
      <c r="H28" s="226" t="s">
        <v>122</v>
      </c>
      <c r="I28" s="208"/>
      <c r="J28" s="208"/>
      <c r="K28" s="229">
        <v>0</v>
      </c>
      <c r="L28" s="227" t="s">
        <v>434</v>
      </c>
      <c r="M28" s="228" t="s">
        <v>435</v>
      </c>
      <c r="N28" s="229">
        <v>3.7499999999999999E-2</v>
      </c>
      <c r="O28" s="208"/>
      <c r="P28" s="208"/>
      <c r="Q28" s="208" t="s">
        <v>3</v>
      </c>
      <c r="R28" s="208"/>
      <c r="S28" s="208"/>
    </row>
    <row r="29" spans="1:19" ht="13.5" thickBot="1">
      <c r="A29" s="208"/>
      <c r="B29" s="407" t="s">
        <v>187</v>
      </c>
      <c r="C29" s="408"/>
      <c r="D29" s="408"/>
      <c r="E29" s="408"/>
      <c r="F29" s="408"/>
      <c r="G29" s="409"/>
      <c r="H29" s="208"/>
      <c r="I29" s="208"/>
      <c r="J29" s="208"/>
      <c r="K29" s="208"/>
      <c r="L29" s="208"/>
      <c r="M29" s="208"/>
      <c r="N29" s="208"/>
      <c r="O29" s="208"/>
      <c r="P29" s="208"/>
      <c r="Q29" s="208" t="s">
        <v>4</v>
      </c>
      <c r="R29" s="208">
        <v>3.01</v>
      </c>
      <c r="S29" s="208">
        <v>11</v>
      </c>
    </row>
    <row r="30" spans="1:19" ht="13.5" thickBot="1">
      <c r="A30" s="218" t="s">
        <v>185</v>
      </c>
      <c r="B30" s="218" t="s">
        <v>178</v>
      </c>
      <c r="C30" s="219" t="s">
        <v>157</v>
      </c>
      <c r="D30" s="217" t="s">
        <v>155</v>
      </c>
      <c r="E30" s="244" t="s">
        <v>184</v>
      </c>
      <c r="F30" s="218" t="s">
        <v>183</v>
      </c>
      <c r="G30" s="217" t="s">
        <v>182</v>
      </c>
      <c r="H30" s="243"/>
      <c r="I30" s="243"/>
      <c r="J30" s="208"/>
      <c r="K30" s="412" t="s">
        <v>186</v>
      </c>
      <c r="L30" s="413"/>
      <c r="M30" s="413"/>
      <c r="N30" s="413"/>
      <c r="O30" s="206"/>
      <c r="P30" s="207"/>
      <c r="Q30" s="208" t="s">
        <v>5</v>
      </c>
      <c r="R30" s="208"/>
      <c r="S30" s="208"/>
    </row>
    <row r="31" spans="1:19" ht="12.75">
      <c r="A31" s="245" t="s">
        <v>436</v>
      </c>
      <c r="B31" s="246">
        <v>94.960000000000008</v>
      </c>
      <c r="C31" s="247">
        <v>94.97</v>
      </c>
      <c r="D31" s="247">
        <v>94.965000000000003</v>
      </c>
      <c r="E31" s="103">
        <v>5.0349999999999964E-2</v>
      </c>
      <c r="F31" s="102">
        <v>5.0349999999999964E-2</v>
      </c>
      <c r="G31" s="248" t="s">
        <v>437</v>
      </c>
      <c r="H31" s="211" t="s">
        <v>181</v>
      </c>
      <c r="I31" s="211" t="s">
        <v>180</v>
      </c>
      <c r="J31" s="211" t="s">
        <v>179</v>
      </c>
      <c r="K31" s="211" t="s">
        <v>159</v>
      </c>
      <c r="L31" s="211" t="s">
        <v>178</v>
      </c>
      <c r="M31" s="211" t="s">
        <v>157</v>
      </c>
      <c r="N31" s="211" t="s">
        <v>177</v>
      </c>
      <c r="O31" s="208"/>
      <c r="P31" s="208"/>
      <c r="Q31" s="211" t="s">
        <v>6</v>
      </c>
      <c r="R31" s="208"/>
      <c r="S31" s="208"/>
    </row>
    <row r="32" spans="1:19" ht="12.75">
      <c r="A32" s="250" t="s">
        <v>438</v>
      </c>
      <c r="B32" s="246">
        <v>94.88</v>
      </c>
      <c r="C32" s="247">
        <v>94.89</v>
      </c>
      <c r="D32" s="247">
        <v>94.884999999999991</v>
      </c>
      <c r="E32" s="103">
        <v>5.1150000000000091E-2</v>
      </c>
      <c r="F32" s="102">
        <v>5.1150000000000091E-2</v>
      </c>
      <c r="G32" s="248" t="s">
        <v>437</v>
      </c>
      <c r="H32" s="249">
        <v>94.960000000000008</v>
      </c>
      <c r="I32" s="249">
        <v>94.97</v>
      </c>
      <c r="J32" s="210">
        <v>40703</v>
      </c>
      <c r="K32" s="211" t="s">
        <v>176</v>
      </c>
      <c r="L32" s="208">
        <v>4.7450000000000001</v>
      </c>
      <c r="M32" s="208">
        <v>4.7549999999999999</v>
      </c>
      <c r="N32" s="208">
        <v>4.75</v>
      </c>
      <c r="O32" s="208"/>
      <c r="P32" s="208">
        <v>6.0273972602739728E-2</v>
      </c>
      <c r="Q32" s="208" t="s">
        <v>7</v>
      </c>
      <c r="R32" s="208">
        <v>3.03</v>
      </c>
      <c r="S32" s="208">
        <v>13</v>
      </c>
    </row>
    <row r="33" spans="1:19" ht="12.75">
      <c r="A33" s="250" t="s">
        <v>439</v>
      </c>
      <c r="B33" s="246">
        <v>94.81</v>
      </c>
      <c r="C33" s="247">
        <v>94.82</v>
      </c>
      <c r="D33" s="247">
        <v>94.814999999999998</v>
      </c>
      <c r="E33" s="103">
        <v>5.1850000000000021E-2</v>
      </c>
      <c r="F33" s="102">
        <v>5.1850000000000021E-2</v>
      </c>
      <c r="G33" s="248" t="s">
        <v>437</v>
      </c>
      <c r="H33" s="249">
        <v>94.88</v>
      </c>
      <c r="I33" s="249">
        <v>94.89</v>
      </c>
      <c r="J33" s="210">
        <v>40794</v>
      </c>
      <c r="K33" s="211" t="s">
        <v>134</v>
      </c>
      <c r="L33" s="208">
        <v>4.76</v>
      </c>
      <c r="M33" s="208">
        <v>4.78</v>
      </c>
      <c r="N33" s="208">
        <v>4.7699999999999996</v>
      </c>
      <c r="O33" s="208"/>
      <c r="P33" s="208">
        <v>0.30958904109589042</v>
      </c>
      <c r="Q33" s="208" t="s">
        <v>8</v>
      </c>
      <c r="R33" s="208">
        <v>3.04</v>
      </c>
      <c r="S33" s="208">
        <v>14</v>
      </c>
    </row>
    <row r="34" spans="1:19" ht="12.75">
      <c r="A34" s="250" t="s">
        <v>440</v>
      </c>
      <c r="B34" s="246">
        <v>94.73</v>
      </c>
      <c r="C34" s="247">
        <v>94.740000000000009</v>
      </c>
      <c r="D34" s="247">
        <v>94.735000000000014</v>
      </c>
      <c r="E34" s="103">
        <v>5.2649999999999864E-2</v>
      </c>
      <c r="F34" s="102">
        <v>5.2649999999999864E-2</v>
      </c>
      <c r="G34" s="248" t="s">
        <v>437</v>
      </c>
      <c r="H34" s="249">
        <v>94.81</v>
      </c>
      <c r="I34" s="249">
        <v>94.82</v>
      </c>
      <c r="J34" s="210">
        <v>40885</v>
      </c>
      <c r="K34" s="211" t="s">
        <v>133</v>
      </c>
      <c r="L34" s="208">
        <v>4.79</v>
      </c>
      <c r="M34" s="208">
        <v>4.8099999999999996</v>
      </c>
      <c r="N34" s="208">
        <v>4.8</v>
      </c>
      <c r="O34" s="208"/>
      <c r="P34" s="208">
        <v>0.55890410958904113</v>
      </c>
      <c r="Q34" s="208" t="s">
        <v>9</v>
      </c>
      <c r="R34" s="208">
        <v>3.04</v>
      </c>
      <c r="S34" s="208">
        <v>14</v>
      </c>
    </row>
    <row r="35" spans="1:19" ht="12.75">
      <c r="A35" s="250" t="s">
        <v>441</v>
      </c>
      <c r="B35" s="246">
        <v>94.679999999999993</v>
      </c>
      <c r="C35" s="247">
        <v>94.69</v>
      </c>
      <c r="D35" s="247">
        <v>94.685000000000002</v>
      </c>
      <c r="E35" s="103">
        <v>5.3149999999999975E-2</v>
      </c>
      <c r="F35" s="102">
        <v>5.3149999999999975E-2</v>
      </c>
      <c r="G35" s="248" t="s">
        <v>437</v>
      </c>
      <c r="H35" s="249">
        <v>94.73</v>
      </c>
      <c r="I35" s="249">
        <v>94.740000000000009</v>
      </c>
      <c r="J35" s="210">
        <v>40976</v>
      </c>
      <c r="K35" s="211" t="s">
        <v>10</v>
      </c>
      <c r="L35" s="208">
        <v>4.83</v>
      </c>
      <c r="M35" s="208">
        <v>4.8499999999999996</v>
      </c>
      <c r="N35" s="208">
        <v>4.84</v>
      </c>
      <c r="O35" s="208"/>
      <c r="P35" s="208">
        <v>0.80821917808219179</v>
      </c>
      <c r="Q35" s="208" t="s">
        <v>11</v>
      </c>
      <c r="R35" s="208">
        <v>3.05</v>
      </c>
      <c r="S35" s="208">
        <v>15</v>
      </c>
    </row>
    <row r="36" spans="1:19" ht="12.75">
      <c r="A36" s="250" t="s">
        <v>442</v>
      </c>
      <c r="B36" s="246">
        <v>94.63</v>
      </c>
      <c r="C36" s="247">
        <v>94.649999999999991</v>
      </c>
      <c r="D36" s="247">
        <v>94.639999999999986</v>
      </c>
      <c r="E36" s="103">
        <v>5.3600000000000134E-2</v>
      </c>
      <c r="F36" s="102">
        <v>5.3600000000000134E-2</v>
      </c>
      <c r="G36" s="248" t="s">
        <v>437</v>
      </c>
      <c r="H36" s="249">
        <v>94.679999999999993</v>
      </c>
      <c r="I36" s="249">
        <v>94.69</v>
      </c>
      <c r="J36" s="210">
        <v>41067</v>
      </c>
      <c r="K36" s="211" t="s">
        <v>132</v>
      </c>
      <c r="L36" s="208">
        <v>4.8600000000000003</v>
      </c>
      <c r="M36" s="208">
        <v>4.88</v>
      </c>
      <c r="N36" s="208">
        <v>4.87</v>
      </c>
      <c r="O36" s="208"/>
      <c r="P36" s="208">
        <v>1.0575342465753426</v>
      </c>
      <c r="Q36" s="208" t="s">
        <v>12</v>
      </c>
      <c r="R36" s="208">
        <v>3.05</v>
      </c>
      <c r="S36" s="208">
        <v>15</v>
      </c>
    </row>
    <row r="37" spans="1:19" ht="12.75">
      <c r="A37" s="250" t="s">
        <v>443</v>
      </c>
      <c r="B37" s="246">
        <v>94.59</v>
      </c>
      <c r="C37" s="247">
        <v>94.61</v>
      </c>
      <c r="D37" s="247">
        <v>94.6</v>
      </c>
      <c r="E37" s="103">
        <v>5.4000000000000055E-2</v>
      </c>
      <c r="F37" s="102">
        <v>5.4000000000000055E-2</v>
      </c>
      <c r="G37" s="248" t="s">
        <v>437</v>
      </c>
      <c r="H37" s="249">
        <v>94.63</v>
      </c>
      <c r="I37" s="249">
        <v>94.649999999999991</v>
      </c>
      <c r="J37" s="210">
        <v>41165</v>
      </c>
      <c r="K37" s="211" t="s">
        <v>131</v>
      </c>
      <c r="L37" s="208">
        <v>4.8849999999999998</v>
      </c>
      <c r="M37" s="208">
        <v>4.9050000000000002</v>
      </c>
      <c r="N37" s="208">
        <v>4.8949999999999996</v>
      </c>
      <c r="O37" s="208"/>
      <c r="P37" s="208">
        <v>1.3260273972602741</v>
      </c>
      <c r="Q37" s="208"/>
      <c r="R37" s="208"/>
      <c r="S37" s="208"/>
    </row>
    <row r="38" spans="1:19" ht="12.75">
      <c r="A38" s="250" t="s">
        <v>444</v>
      </c>
      <c r="B38" s="246">
        <v>94.56</v>
      </c>
      <c r="C38" s="247">
        <v>94.58</v>
      </c>
      <c r="D38" s="247">
        <v>94.57</v>
      </c>
      <c r="E38" s="103">
        <v>5.430000000000007E-2</v>
      </c>
      <c r="F38" s="102">
        <v>5.430000000000007E-2</v>
      </c>
      <c r="G38" s="248" t="s">
        <v>437</v>
      </c>
      <c r="H38" s="249">
        <v>94.59</v>
      </c>
      <c r="I38" s="249">
        <v>94.61</v>
      </c>
      <c r="J38" s="210">
        <v>41256</v>
      </c>
      <c r="K38" s="211" t="s">
        <v>13</v>
      </c>
      <c r="L38" s="208">
        <v>4.91</v>
      </c>
      <c r="M38" s="208">
        <v>4.93</v>
      </c>
      <c r="N38" s="208">
        <v>4.92</v>
      </c>
      <c r="O38" s="208"/>
      <c r="P38" s="208">
        <v>1.5753424657534247</v>
      </c>
      <c r="Q38" s="208"/>
      <c r="R38" s="208"/>
      <c r="S38" s="208"/>
    </row>
    <row r="39" spans="1:19" ht="12.75">
      <c r="A39" s="250" t="s">
        <v>445</v>
      </c>
      <c r="B39" s="246">
        <v>94.51</v>
      </c>
      <c r="C39" s="247">
        <v>94.55</v>
      </c>
      <c r="D39" s="247">
        <v>94.53</v>
      </c>
      <c r="E39" s="103">
        <v>5.4699999999999992E-2</v>
      </c>
      <c r="F39" s="102">
        <v>5.4699999999999992E-2</v>
      </c>
      <c r="G39" s="248" t="s">
        <v>437</v>
      </c>
      <c r="H39" s="249">
        <v>94.56</v>
      </c>
      <c r="I39" s="249">
        <v>94.58</v>
      </c>
      <c r="J39" s="210">
        <v>41340</v>
      </c>
      <c r="K39" s="211" t="s">
        <v>128</v>
      </c>
      <c r="L39" s="208">
        <v>4.9800000000000004</v>
      </c>
      <c r="M39" s="208">
        <v>5</v>
      </c>
      <c r="N39" s="208">
        <v>4.99</v>
      </c>
      <c r="O39" s="208"/>
      <c r="P39" s="208">
        <v>1.8054794520547945</v>
      </c>
      <c r="Q39" s="208"/>
      <c r="R39" s="208"/>
      <c r="S39" s="208"/>
    </row>
    <row r="40" spans="1:19" ht="13.5" thickBot="1">
      <c r="A40" s="251" t="s">
        <v>446</v>
      </c>
      <c r="B40" s="252">
        <v>94.460000000000008</v>
      </c>
      <c r="C40" s="253">
        <v>94.51</v>
      </c>
      <c r="D40" s="253">
        <v>94.485000000000014</v>
      </c>
      <c r="E40" s="101">
        <v>5.5149999999999866E-2</v>
      </c>
      <c r="F40" s="100">
        <v>5.5149999999999866E-2</v>
      </c>
      <c r="G40" s="254" t="s">
        <v>437</v>
      </c>
      <c r="H40" s="249">
        <v>94.51</v>
      </c>
      <c r="I40" s="249">
        <v>94.55</v>
      </c>
      <c r="J40" s="210">
        <v>41438</v>
      </c>
      <c r="K40" s="211" t="s">
        <v>175</v>
      </c>
      <c r="L40" s="208">
        <v>5.04</v>
      </c>
      <c r="M40" s="208">
        <v>5.0599999999999996</v>
      </c>
      <c r="N40" s="208">
        <v>5.05</v>
      </c>
      <c r="O40" s="208"/>
      <c r="P40" s="208">
        <v>2.0739726027397261</v>
      </c>
      <c r="Q40" s="208"/>
      <c r="R40" s="208"/>
      <c r="S40" s="208"/>
    </row>
    <row r="41" spans="1:19" ht="12.75">
      <c r="A41" s="208"/>
      <c r="B41" s="208"/>
      <c r="C41" s="208"/>
      <c r="D41" s="222"/>
      <c r="E41" s="255"/>
      <c r="F41" s="208"/>
      <c r="G41" s="208"/>
      <c r="H41" s="249">
        <v>94.460000000000008</v>
      </c>
      <c r="I41" s="249">
        <v>94.51</v>
      </c>
      <c r="J41" s="210">
        <v>41529</v>
      </c>
      <c r="K41" s="211" t="s">
        <v>174</v>
      </c>
      <c r="L41" s="208">
        <v>5.2450000000000001</v>
      </c>
      <c r="M41" s="208">
        <v>5.2949999999999999</v>
      </c>
      <c r="N41" s="208">
        <v>5.27</v>
      </c>
      <c r="O41" s="208"/>
      <c r="P41" s="208">
        <v>2.3232876712328765</v>
      </c>
      <c r="Q41" s="208"/>
      <c r="R41" s="208"/>
      <c r="S41" s="208"/>
    </row>
    <row r="42" spans="1:19" ht="12" thickBot="1">
      <c r="A42" s="208"/>
      <c r="B42" s="208"/>
      <c r="C42" s="208"/>
      <c r="D42" s="208"/>
      <c r="E42" s="212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</row>
    <row r="43" spans="1:19" ht="13.5" thickBot="1">
      <c r="A43" s="208"/>
      <c r="B43" s="407" t="s">
        <v>173</v>
      </c>
      <c r="C43" s="410"/>
      <c r="D43" s="410"/>
      <c r="E43" s="410"/>
      <c r="F43" s="410"/>
      <c r="G43" s="411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</row>
    <row r="44" spans="1:19" ht="13.5" thickBot="1">
      <c r="A44" s="256" t="s">
        <v>159</v>
      </c>
      <c r="B44" s="219" t="s">
        <v>172</v>
      </c>
      <c r="C44" s="219" t="s">
        <v>171</v>
      </c>
      <c r="D44" s="219" t="s">
        <v>170</v>
      </c>
      <c r="E44" s="257" t="s">
        <v>169</v>
      </c>
      <c r="F44" s="258" t="s">
        <v>168</v>
      </c>
      <c r="G44" s="259" t="s">
        <v>167</v>
      </c>
      <c r="H44" s="260" t="s">
        <v>166</v>
      </c>
      <c r="I44" s="261" t="s">
        <v>165</v>
      </c>
      <c r="J44" s="261" t="s">
        <v>164</v>
      </c>
      <c r="K44" s="262" t="s">
        <v>163</v>
      </c>
      <c r="L44" s="208"/>
      <c r="M44" s="208"/>
      <c r="N44" s="208"/>
      <c r="O44" s="208"/>
      <c r="P44" s="208"/>
      <c r="Q44" s="208"/>
      <c r="R44" s="208"/>
      <c r="S44" s="208"/>
    </row>
    <row r="45" spans="1:19" ht="13.5" thickBot="1">
      <c r="A45" s="250">
        <v>3</v>
      </c>
      <c r="B45" s="264">
        <v>28</v>
      </c>
      <c r="C45" s="265">
        <v>28</v>
      </c>
      <c r="D45" s="265">
        <v>28.25</v>
      </c>
      <c r="E45" s="266">
        <v>0</v>
      </c>
      <c r="F45" s="267">
        <v>28.083333333333332</v>
      </c>
      <c r="G45" s="268">
        <v>5.3208333333333258</v>
      </c>
      <c r="H45" s="269">
        <v>30.25</v>
      </c>
      <c r="I45" s="270">
        <v>5.3524999999999974</v>
      </c>
      <c r="J45" s="271">
        <v>25.75</v>
      </c>
      <c r="K45" s="270">
        <v>5.2974999999999923</v>
      </c>
      <c r="L45" s="208"/>
      <c r="M45" s="407" t="s">
        <v>162</v>
      </c>
      <c r="N45" s="410"/>
      <c r="O45" s="411"/>
      <c r="P45" s="263"/>
      <c r="Q45" s="325" t="s">
        <v>161</v>
      </c>
      <c r="R45" s="328"/>
      <c r="S45" s="329"/>
    </row>
    <row r="46" spans="1:19" ht="13.5" thickBot="1">
      <c r="A46" s="250">
        <v>4</v>
      </c>
      <c r="B46" s="264">
        <v>48.75</v>
      </c>
      <c r="C46" s="265">
        <v>48.5</v>
      </c>
      <c r="D46" s="265">
        <v>49.25</v>
      </c>
      <c r="E46" s="266">
        <v>0</v>
      </c>
      <c r="F46" s="267">
        <v>48.833333333333336</v>
      </c>
      <c r="G46" s="268">
        <v>5.5283333333333253</v>
      </c>
      <c r="H46" s="269">
        <v>50.875</v>
      </c>
      <c r="I46" s="270">
        <v>5.5587499999999972</v>
      </c>
      <c r="J46" s="271">
        <v>46.375</v>
      </c>
      <c r="K46" s="270">
        <v>5.5037499999999921</v>
      </c>
      <c r="L46" s="208"/>
      <c r="M46" s="218" t="s">
        <v>159</v>
      </c>
      <c r="N46" s="218" t="s">
        <v>158</v>
      </c>
      <c r="O46" s="217" t="s">
        <v>157</v>
      </c>
      <c r="P46" s="272" t="s">
        <v>160</v>
      </c>
      <c r="Q46" s="218" t="s">
        <v>159</v>
      </c>
      <c r="R46" s="218" t="s">
        <v>158</v>
      </c>
      <c r="S46" s="217" t="s">
        <v>157</v>
      </c>
    </row>
    <row r="47" spans="1:19" ht="13.5" thickBot="1">
      <c r="A47" s="250">
        <v>5</v>
      </c>
      <c r="B47" s="264">
        <v>59.5</v>
      </c>
      <c r="C47" s="265">
        <v>59.25</v>
      </c>
      <c r="D47" s="265">
        <v>60.25</v>
      </c>
      <c r="E47" s="266">
        <v>0</v>
      </c>
      <c r="F47" s="267">
        <v>59.666666666666664</v>
      </c>
      <c r="G47" s="268">
        <v>5.6366666666666587</v>
      </c>
      <c r="H47" s="269">
        <v>61.625</v>
      </c>
      <c r="I47" s="270">
        <v>5.6662499999999971</v>
      </c>
      <c r="J47" s="271">
        <v>57.125</v>
      </c>
      <c r="K47" s="270">
        <v>5.6112499999999921</v>
      </c>
      <c r="L47" s="273" t="s">
        <v>437</v>
      </c>
      <c r="M47" s="244" t="s">
        <v>156</v>
      </c>
      <c r="N47" s="274">
        <v>94.95</v>
      </c>
      <c r="O47" s="275">
        <v>94.960000000000008</v>
      </c>
      <c r="P47" s="276">
        <v>94.93</v>
      </c>
      <c r="Q47" s="277" t="s">
        <v>447</v>
      </c>
      <c r="R47" s="278" t="s">
        <v>448</v>
      </c>
      <c r="S47" s="279" t="s">
        <v>449</v>
      </c>
    </row>
    <row r="48" spans="1:19" ht="13.5" thickBot="1">
      <c r="A48" s="250">
        <v>6</v>
      </c>
      <c r="B48" s="264">
        <v>36.5</v>
      </c>
      <c r="C48" s="265">
        <v>36.5</v>
      </c>
      <c r="D48" s="265">
        <v>36.5</v>
      </c>
      <c r="E48" s="266">
        <v>0</v>
      </c>
      <c r="F48" s="267">
        <v>36.5</v>
      </c>
      <c r="G48" s="268">
        <v>5.7300000000000093</v>
      </c>
      <c r="H48" s="269">
        <v>38.75</v>
      </c>
      <c r="I48" s="270">
        <v>5.7575000000000047</v>
      </c>
      <c r="J48" s="271">
        <v>34.25</v>
      </c>
      <c r="K48" s="270">
        <v>5.7075000000000093</v>
      </c>
      <c r="L48" s="280" t="s">
        <v>437</v>
      </c>
      <c r="M48" s="281" t="s">
        <v>14</v>
      </c>
      <c r="N48" s="282">
        <v>94.63</v>
      </c>
      <c r="O48" s="283">
        <v>94.634999999999991</v>
      </c>
      <c r="P48" s="284">
        <v>94.61</v>
      </c>
      <c r="Q48" s="230" t="s">
        <v>450</v>
      </c>
      <c r="R48" s="278" t="s">
        <v>451</v>
      </c>
      <c r="S48" s="279" t="s">
        <v>452</v>
      </c>
    </row>
    <row r="49" spans="1:19" ht="13.5" thickBot="1">
      <c r="A49" s="250">
        <v>7</v>
      </c>
      <c r="B49" s="264">
        <v>43</v>
      </c>
      <c r="C49" s="265">
        <v>43</v>
      </c>
      <c r="D49" s="265">
        <v>43.5</v>
      </c>
      <c r="E49" s="266">
        <v>0</v>
      </c>
      <c r="F49" s="267">
        <v>43.166666666666664</v>
      </c>
      <c r="G49" s="268">
        <v>5.7966666666666757</v>
      </c>
      <c r="H49" s="269">
        <v>45.25</v>
      </c>
      <c r="I49" s="270">
        <v>5.8225000000000042</v>
      </c>
      <c r="J49" s="271">
        <v>40.75</v>
      </c>
      <c r="K49" s="270">
        <v>5.7725000000000088</v>
      </c>
      <c r="L49" s="208"/>
      <c r="M49" s="208"/>
      <c r="N49" s="208"/>
      <c r="O49" s="208"/>
      <c r="P49" s="263"/>
      <c r="Q49" s="230" t="s">
        <v>453</v>
      </c>
      <c r="R49" s="278" t="s">
        <v>454</v>
      </c>
      <c r="S49" s="279" t="s">
        <v>455</v>
      </c>
    </row>
    <row r="50" spans="1:19" ht="13.5" thickBot="1">
      <c r="A50" s="250">
        <v>8</v>
      </c>
      <c r="B50" s="264">
        <v>47.75</v>
      </c>
      <c r="C50" s="265">
        <v>48</v>
      </c>
      <c r="D50" s="265">
        <v>47.5</v>
      </c>
      <c r="E50" s="266">
        <v>0</v>
      </c>
      <c r="F50" s="267">
        <v>47.75</v>
      </c>
      <c r="G50" s="268">
        <v>5.8425000000000091</v>
      </c>
      <c r="H50" s="269">
        <v>50.125</v>
      </c>
      <c r="I50" s="270">
        <v>5.8712500000000043</v>
      </c>
      <c r="J50" s="271">
        <v>45.625</v>
      </c>
      <c r="K50" s="270">
        <v>5.8212500000000089</v>
      </c>
      <c r="L50" s="208"/>
      <c r="M50" s="208"/>
      <c r="N50" s="224" t="s">
        <v>155</v>
      </c>
      <c r="O50" s="224" t="s">
        <v>154</v>
      </c>
      <c r="P50" s="263"/>
      <c r="Q50" s="230" t="s">
        <v>456</v>
      </c>
      <c r="R50" s="278" t="s">
        <v>457</v>
      </c>
      <c r="S50" s="279" t="s">
        <v>458</v>
      </c>
    </row>
    <row r="51" spans="1:19" ht="13.5" thickBot="1">
      <c r="A51" s="250">
        <v>9</v>
      </c>
      <c r="B51" s="264">
        <v>51</v>
      </c>
      <c r="C51" s="265">
        <v>51.25</v>
      </c>
      <c r="D51" s="265">
        <v>50.725000000000001</v>
      </c>
      <c r="E51" s="266">
        <v>0</v>
      </c>
      <c r="F51" s="267">
        <v>50.991666666666667</v>
      </c>
      <c r="G51" s="268">
        <v>5.8749166666666754</v>
      </c>
      <c r="H51" s="269">
        <v>53.375</v>
      </c>
      <c r="I51" s="270">
        <v>5.9037500000000041</v>
      </c>
      <c r="J51" s="271">
        <v>48.875</v>
      </c>
      <c r="K51" s="270">
        <v>5.8537500000000087</v>
      </c>
      <c r="L51" s="208"/>
      <c r="M51" s="208"/>
      <c r="N51" s="277"/>
      <c r="O51" s="285"/>
      <c r="P51" s="263"/>
      <c r="Q51" s="230" t="s">
        <v>459</v>
      </c>
      <c r="R51" s="278" t="s">
        <v>460</v>
      </c>
      <c r="S51" s="279" t="s">
        <v>461</v>
      </c>
    </row>
    <row r="52" spans="1:19" ht="13.5" thickBot="1">
      <c r="A52" s="250">
        <v>10</v>
      </c>
      <c r="B52" s="264">
        <v>54</v>
      </c>
      <c r="C52" s="265">
        <v>54</v>
      </c>
      <c r="D52" s="265">
        <v>54</v>
      </c>
      <c r="E52" s="266">
        <v>0</v>
      </c>
      <c r="F52" s="267">
        <v>54</v>
      </c>
      <c r="G52" s="268">
        <v>5.9050000000000091</v>
      </c>
      <c r="H52" s="269">
        <v>56.25</v>
      </c>
      <c r="I52" s="270">
        <v>5.9325000000000045</v>
      </c>
      <c r="J52" s="271">
        <v>51.75</v>
      </c>
      <c r="K52" s="270">
        <v>5.8825000000000092</v>
      </c>
      <c r="L52" s="208"/>
      <c r="M52" s="245" t="s">
        <v>153</v>
      </c>
      <c r="N52" s="286">
        <v>94.955000000000013</v>
      </c>
      <c r="O52" s="287">
        <v>5.0449999999999875</v>
      </c>
      <c r="P52" s="263"/>
      <c r="Q52" s="230" t="s">
        <v>462</v>
      </c>
      <c r="R52" s="278" t="s">
        <v>463</v>
      </c>
      <c r="S52" s="279" t="s">
        <v>464</v>
      </c>
    </row>
    <row r="53" spans="1:19" ht="13.5" thickBot="1">
      <c r="A53" s="250">
        <v>12</v>
      </c>
      <c r="B53" s="264">
        <v>59.25</v>
      </c>
      <c r="C53" s="265">
        <v>59.25</v>
      </c>
      <c r="D53" s="265">
        <v>59</v>
      </c>
      <c r="E53" s="266">
        <v>0</v>
      </c>
      <c r="F53" s="267">
        <v>59.166666666666664</v>
      </c>
      <c r="G53" s="268">
        <v>5.9566666666666759</v>
      </c>
      <c r="H53" s="269">
        <v>61.75</v>
      </c>
      <c r="I53" s="270">
        <v>5.9875000000000043</v>
      </c>
      <c r="J53" s="271">
        <v>56.75</v>
      </c>
      <c r="K53" s="270">
        <v>5.932500000000009</v>
      </c>
      <c r="L53" s="208"/>
      <c r="M53" s="251" t="s">
        <v>152</v>
      </c>
      <c r="N53" s="288">
        <v>94.632499999999993</v>
      </c>
      <c r="O53" s="289">
        <v>5.3675000000000068</v>
      </c>
      <c r="P53" s="263"/>
      <c r="Q53" s="230" t="s">
        <v>465</v>
      </c>
      <c r="R53" s="278" t="s">
        <v>465</v>
      </c>
      <c r="S53" s="279" t="s">
        <v>465</v>
      </c>
    </row>
    <row r="54" spans="1:19" ht="13.5" thickBot="1">
      <c r="A54" s="250">
        <v>15</v>
      </c>
      <c r="B54" s="264">
        <v>62.25</v>
      </c>
      <c r="C54" s="265">
        <v>62.25</v>
      </c>
      <c r="D54" s="265">
        <v>61.725000000000001</v>
      </c>
      <c r="E54" s="266">
        <v>0</v>
      </c>
      <c r="F54" s="267">
        <v>62.074999999999996</v>
      </c>
      <c r="G54" s="268">
        <v>5.9857500000000092</v>
      </c>
      <c r="H54" s="269">
        <v>64.75</v>
      </c>
      <c r="I54" s="270">
        <v>6.0175000000000045</v>
      </c>
      <c r="J54" s="271">
        <v>59.75</v>
      </c>
      <c r="K54" s="270">
        <v>5.9625000000000092</v>
      </c>
      <c r="L54" s="208"/>
      <c r="M54" s="208"/>
      <c r="N54" s="224" t="s">
        <v>15</v>
      </c>
      <c r="O54" s="224" t="s">
        <v>154</v>
      </c>
      <c r="P54" s="263"/>
      <c r="Q54" s="230" t="s">
        <v>465</v>
      </c>
      <c r="R54" s="278" t="s">
        <v>465</v>
      </c>
      <c r="S54" s="279" t="s">
        <v>465</v>
      </c>
    </row>
    <row r="55" spans="1:19" ht="13.5" thickBot="1">
      <c r="A55" s="250">
        <v>20</v>
      </c>
      <c r="B55" s="264">
        <v>52.5</v>
      </c>
      <c r="C55" s="265">
        <v>52.75</v>
      </c>
      <c r="D55" s="265">
        <v>52.725000000000001</v>
      </c>
      <c r="E55" s="266">
        <v>0</v>
      </c>
      <c r="F55" s="267">
        <v>52.658333333333331</v>
      </c>
      <c r="G55" s="268">
        <v>5.8915833333333421</v>
      </c>
      <c r="H55" s="269">
        <v>55.125</v>
      </c>
      <c r="I55" s="270">
        <v>5.9212500000000041</v>
      </c>
      <c r="J55" s="271">
        <v>50.125</v>
      </c>
      <c r="K55" s="270">
        <v>5.8662500000000088</v>
      </c>
      <c r="L55" s="208"/>
      <c r="M55" s="245" t="s">
        <v>153</v>
      </c>
      <c r="N55" s="286">
        <v>94.95</v>
      </c>
      <c r="O55" s="287">
        <v>5.0499999999999972</v>
      </c>
      <c r="P55" s="208"/>
      <c r="Q55" s="238" t="s">
        <v>466</v>
      </c>
      <c r="R55" s="290" t="s">
        <v>467</v>
      </c>
      <c r="S55" s="291" t="s">
        <v>468</v>
      </c>
    </row>
    <row r="56" spans="1:19" ht="13.5" thickBot="1">
      <c r="A56" s="250">
        <v>25</v>
      </c>
      <c r="B56" s="264">
        <v>38.5</v>
      </c>
      <c r="C56" s="265">
        <v>38.875</v>
      </c>
      <c r="D56" s="265">
        <v>38.725000000000001</v>
      </c>
      <c r="E56" s="266">
        <v>0</v>
      </c>
      <c r="F56" s="267">
        <v>38.699999999999996</v>
      </c>
      <c r="G56" s="268">
        <v>5.7520000000000087</v>
      </c>
      <c r="H56" s="269">
        <v>41.1875</v>
      </c>
      <c r="I56" s="270">
        <v>5.7818750000000048</v>
      </c>
      <c r="J56" s="271">
        <v>36.1875</v>
      </c>
      <c r="K56" s="270">
        <v>5.7268750000000095</v>
      </c>
      <c r="L56" s="208"/>
      <c r="M56" s="251" t="s">
        <v>152</v>
      </c>
      <c r="N56" s="288">
        <v>94.63</v>
      </c>
      <c r="O56" s="289">
        <v>5.3700000000000045</v>
      </c>
      <c r="P56" s="208"/>
      <c r="Q56" s="208"/>
      <c r="R56" s="208"/>
      <c r="S56" s="208"/>
    </row>
    <row r="57" spans="1:19" ht="13.5" thickBot="1">
      <c r="A57" s="251">
        <v>30</v>
      </c>
      <c r="B57" s="292">
        <v>24</v>
      </c>
      <c r="C57" s="293">
        <v>25</v>
      </c>
      <c r="D57" s="294">
        <v>25</v>
      </c>
      <c r="E57" s="295">
        <v>0</v>
      </c>
      <c r="F57" s="296">
        <v>24.666666666666668</v>
      </c>
      <c r="G57" s="297">
        <v>5.6116666666666761</v>
      </c>
      <c r="H57" s="298">
        <v>27</v>
      </c>
      <c r="I57" s="299">
        <v>5.6400000000000041</v>
      </c>
      <c r="J57" s="300">
        <v>22</v>
      </c>
      <c r="K57" s="299">
        <v>5.5850000000000088</v>
      </c>
      <c r="L57" s="208"/>
      <c r="M57" s="208"/>
      <c r="N57" s="224" t="s">
        <v>16</v>
      </c>
      <c r="O57" s="224" t="s">
        <v>154</v>
      </c>
      <c r="P57" s="208"/>
      <c r="Q57" s="208"/>
      <c r="R57" s="208"/>
      <c r="S57" s="208"/>
    </row>
    <row r="58" spans="1:19" ht="12.75">
      <c r="A58" s="301"/>
      <c r="B58" s="208"/>
      <c r="C58" s="208"/>
      <c r="D58" s="208"/>
      <c r="E58" s="212"/>
      <c r="F58" s="208"/>
      <c r="G58" s="208"/>
      <c r="L58" s="208"/>
      <c r="M58" s="245" t="s">
        <v>153</v>
      </c>
      <c r="N58" s="286">
        <v>94.960000000000008</v>
      </c>
      <c r="O58" s="287">
        <v>5.039999999999992</v>
      </c>
      <c r="P58" s="208"/>
      <c r="Q58" s="208"/>
      <c r="R58" s="208"/>
      <c r="S58" s="208"/>
    </row>
    <row r="59" spans="1:19" ht="13.5" thickBot="1">
      <c r="A59" s="301"/>
      <c r="B59" s="208"/>
      <c r="C59" s="208"/>
      <c r="D59" s="208"/>
      <c r="E59" s="212"/>
      <c r="F59" s="208"/>
      <c r="G59" s="208"/>
      <c r="H59" s="208" t="s">
        <v>365</v>
      </c>
      <c r="I59" s="208"/>
      <c r="J59" s="208"/>
      <c r="K59" s="208"/>
      <c r="L59" s="208"/>
      <c r="M59" s="251" t="s">
        <v>152</v>
      </c>
      <c r="N59" s="288">
        <v>94.634999999999991</v>
      </c>
      <c r="O59" s="289">
        <v>5.3650000000000091</v>
      </c>
      <c r="P59" s="208"/>
      <c r="Q59" s="208"/>
      <c r="R59" s="208"/>
      <c r="S59" s="208"/>
    </row>
    <row r="60" spans="1:19" ht="13.5" thickBot="1">
      <c r="A60" s="305"/>
      <c r="B60" s="209" t="s">
        <v>151</v>
      </c>
      <c r="C60" s="209"/>
      <c r="D60" s="209" t="s">
        <v>150</v>
      </c>
      <c r="E60" s="209"/>
      <c r="F60" s="209" t="s">
        <v>149</v>
      </c>
      <c r="G60" s="209"/>
      <c r="H60" s="208"/>
      <c r="I60" s="208"/>
      <c r="J60" s="208"/>
      <c r="K60" s="271"/>
      <c r="L60" s="208"/>
      <c r="M60" s="302"/>
      <c r="N60" s="303"/>
      <c r="O60" s="304"/>
      <c r="P60" s="208"/>
      <c r="Q60" s="208"/>
      <c r="R60" s="208"/>
      <c r="S60" s="208"/>
    </row>
    <row r="61" spans="1:19" ht="12.75">
      <c r="A61" s="305"/>
      <c r="B61" s="307" t="s">
        <v>16</v>
      </c>
      <c r="C61" s="307" t="s">
        <v>15</v>
      </c>
      <c r="D61" s="307" t="s">
        <v>16</v>
      </c>
      <c r="E61" s="307" t="s">
        <v>15</v>
      </c>
      <c r="F61" s="307" t="s">
        <v>16</v>
      </c>
      <c r="G61" s="307" t="s">
        <v>15</v>
      </c>
      <c r="H61" s="208"/>
      <c r="I61" s="213" t="s">
        <v>148</v>
      </c>
      <c r="J61" s="208"/>
      <c r="K61" s="306" t="e">
        <v>#REF!</v>
      </c>
      <c r="L61" s="208"/>
      <c r="M61" s="245" t="s">
        <v>201</v>
      </c>
      <c r="N61" s="286">
        <v>94.960000000000008</v>
      </c>
      <c r="O61" s="287">
        <v>5.039999999999992</v>
      </c>
      <c r="P61" s="208"/>
      <c r="Q61" s="208"/>
      <c r="R61" s="208"/>
      <c r="S61" s="208"/>
    </row>
    <row r="62" spans="1:19" ht="13.5" thickBot="1">
      <c r="A62" s="308">
        <v>1</v>
      </c>
      <c r="B62" s="309">
        <v>5.15</v>
      </c>
      <c r="C62" s="309">
        <v>5.0999999999999996</v>
      </c>
      <c r="D62" s="309">
        <v>5.1429999999999998</v>
      </c>
      <c r="E62" s="309">
        <v>5.1029999999999998</v>
      </c>
      <c r="F62" s="310"/>
      <c r="G62" s="310"/>
      <c r="H62" s="208"/>
      <c r="I62" s="214" t="s">
        <v>147</v>
      </c>
      <c r="J62" s="208"/>
      <c r="K62" s="306" t="e">
        <v>#REF!</v>
      </c>
      <c r="L62" s="208"/>
      <c r="M62" s="251" t="s">
        <v>202</v>
      </c>
      <c r="N62" s="288">
        <v>94.634999999999991</v>
      </c>
      <c r="O62" s="289">
        <v>5.3650000000000091</v>
      </c>
      <c r="P62" s="208"/>
      <c r="Q62" s="208"/>
      <c r="R62" s="208"/>
      <c r="S62" s="208"/>
    </row>
    <row r="63" spans="1:19" ht="13.5" thickBot="1">
      <c r="A63" s="308">
        <v>2</v>
      </c>
      <c r="B63" s="309">
        <v>21.5</v>
      </c>
      <c r="C63" s="309">
        <v>16.5</v>
      </c>
      <c r="D63" s="309">
        <v>21.5</v>
      </c>
      <c r="E63" s="309">
        <v>17.5</v>
      </c>
      <c r="F63" s="310"/>
      <c r="G63" s="310"/>
      <c r="H63" s="208"/>
      <c r="I63" s="215" t="s">
        <v>146</v>
      </c>
      <c r="J63" s="208"/>
      <c r="K63" s="306" t="s">
        <v>145</v>
      </c>
      <c r="L63" s="359" t="s">
        <v>366</v>
      </c>
      <c r="M63" s="208"/>
      <c r="N63" s="208"/>
      <c r="O63" s="208"/>
      <c r="P63" s="208"/>
      <c r="Q63" s="208"/>
      <c r="R63" s="208"/>
      <c r="S63" s="208"/>
    </row>
    <row r="64" spans="1:19" ht="13.5" thickBot="1">
      <c r="A64" s="305">
        <v>3</v>
      </c>
      <c r="B64" s="309">
        <v>30.5</v>
      </c>
      <c r="C64" s="309">
        <v>25.5</v>
      </c>
      <c r="D64" s="309">
        <v>30</v>
      </c>
      <c r="E64" s="309">
        <v>26</v>
      </c>
      <c r="F64" s="310">
        <v>30.25</v>
      </c>
      <c r="G64" s="310">
        <v>26.25</v>
      </c>
      <c r="H64" s="208"/>
      <c r="I64" s="215" t="s">
        <v>144</v>
      </c>
      <c r="J64" s="311" t="s">
        <v>78</v>
      </c>
      <c r="K64" s="311" t="s">
        <v>169</v>
      </c>
      <c r="L64" s="359" t="s">
        <v>367</v>
      </c>
      <c r="M64" s="208"/>
      <c r="N64" s="208" t="s">
        <v>142</v>
      </c>
      <c r="O64" s="208"/>
      <c r="P64" s="208"/>
      <c r="Q64" s="208"/>
      <c r="R64" s="208"/>
      <c r="S64" s="208"/>
    </row>
    <row r="65" spans="1:19" ht="12.75">
      <c r="A65" s="305">
        <v>4</v>
      </c>
      <c r="B65" s="309">
        <v>51.25</v>
      </c>
      <c r="C65" s="309">
        <v>46.25</v>
      </c>
      <c r="D65" s="309">
        <v>50.5</v>
      </c>
      <c r="E65" s="309">
        <v>46.5</v>
      </c>
      <c r="F65" s="310">
        <v>51.25</v>
      </c>
      <c r="G65" s="310">
        <v>47.25</v>
      </c>
      <c r="H65" s="312">
        <v>5.3249999999999948</v>
      </c>
      <c r="I65" s="216" t="s">
        <v>143</v>
      </c>
      <c r="J65" s="313">
        <v>5.3399999999999874</v>
      </c>
      <c r="K65" s="314">
        <v>0</v>
      </c>
      <c r="L65" s="359" t="s">
        <v>368</v>
      </c>
      <c r="M65" s="208"/>
      <c r="N65" s="315" t="s">
        <v>33</v>
      </c>
      <c r="O65" s="208"/>
      <c r="P65" s="208"/>
      <c r="Q65" s="208"/>
      <c r="R65" s="208"/>
      <c r="S65" s="208"/>
    </row>
    <row r="66" spans="1:19" ht="12.75">
      <c r="A66" s="305">
        <v>5</v>
      </c>
      <c r="B66" s="309">
        <v>62</v>
      </c>
      <c r="C66" s="309">
        <v>57</v>
      </c>
      <c r="D66" s="309">
        <v>61.25</v>
      </c>
      <c r="E66" s="309">
        <v>57.25</v>
      </c>
      <c r="F66" s="310">
        <v>62.25</v>
      </c>
      <c r="G66" s="310">
        <v>58.25</v>
      </c>
      <c r="H66" s="312">
        <v>5.5312499999999947</v>
      </c>
      <c r="I66" s="208"/>
      <c r="J66" s="313">
        <v>5.547499999999987</v>
      </c>
      <c r="K66" s="314">
        <v>0</v>
      </c>
      <c r="L66" s="306"/>
      <c r="M66" s="208"/>
      <c r="N66" s="315" t="s">
        <v>35</v>
      </c>
      <c r="O66" s="208"/>
      <c r="P66" s="208"/>
      <c r="Q66" s="208"/>
      <c r="R66" s="208"/>
      <c r="S66" s="208"/>
    </row>
    <row r="67" spans="1:19" ht="12.75">
      <c r="A67" s="305">
        <v>6</v>
      </c>
      <c r="B67" s="309">
        <v>39</v>
      </c>
      <c r="C67" s="309">
        <v>34</v>
      </c>
      <c r="D67" s="309">
        <v>38.5</v>
      </c>
      <c r="E67" s="309">
        <v>34.5</v>
      </c>
      <c r="F67" s="310">
        <v>38.5</v>
      </c>
      <c r="G67" s="310">
        <v>34.5</v>
      </c>
      <c r="H67" s="312">
        <v>5.6387499999999946</v>
      </c>
      <c r="I67" s="208"/>
      <c r="J67" s="313">
        <v>5.6599999999999877</v>
      </c>
      <c r="K67" s="314">
        <v>0</v>
      </c>
      <c r="L67" s="306"/>
      <c r="M67" s="208"/>
      <c r="N67" s="315" t="s">
        <v>37</v>
      </c>
      <c r="O67" s="208"/>
      <c r="P67" s="208"/>
      <c r="Q67" s="208"/>
      <c r="R67" s="208"/>
      <c r="S67" s="208"/>
    </row>
    <row r="68" spans="1:19" ht="12.75">
      <c r="A68" s="305">
        <v>7</v>
      </c>
      <c r="B68" s="309">
        <v>45.5</v>
      </c>
      <c r="C68" s="309">
        <v>40.5</v>
      </c>
      <c r="D68" s="309">
        <v>45</v>
      </c>
      <c r="E68" s="309">
        <v>41</v>
      </c>
      <c r="F68" s="310">
        <v>45.5</v>
      </c>
      <c r="G68" s="310">
        <v>41.5</v>
      </c>
      <c r="H68" s="312">
        <v>5.732500000000007</v>
      </c>
      <c r="I68" s="208"/>
      <c r="J68" s="313"/>
      <c r="K68" s="314"/>
      <c r="L68" s="306" t="s">
        <v>142</v>
      </c>
      <c r="M68" s="208"/>
      <c r="N68" s="315"/>
      <c r="O68" s="208"/>
      <c r="P68" s="208"/>
      <c r="Q68" s="208"/>
      <c r="R68" s="208"/>
      <c r="S68" s="208"/>
    </row>
    <row r="69" spans="1:19" ht="12.75">
      <c r="A69" s="305">
        <v>8</v>
      </c>
      <c r="B69" s="309">
        <v>50.25</v>
      </c>
      <c r="C69" s="309">
        <v>45.25</v>
      </c>
      <c r="D69" s="309">
        <v>50</v>
      </c>
      <c r="E69" s="309">
        <v>46</v>
      </c>
      <c r="F69" s="310">
        <v>49.5</v>
      </c>
      <c r="G69" s="310">
        <v>45.5</v>
      </c>
      <c r="H69" s="312">
        <v>5.7975000000000065</v>
      </c>
      <c r="I69" s="208"/>
      <c r="J69" s="313">
        <v>5.8275000000000068</v>
      </c>
      <c r="K69" s="314">
        <v>0</v>
      </c>
      <c r="L69" s="306" t="s">
        <v>142</v>
      </c>
      <c r="M69" s="208"/>
      <c r="N69" s="315"/>
      <c r="O69" s="208"/>
      <c r="P69" s="208"/>
      <c r="Q69" s="208"/>
      <c r="R69" s="208"/>
      <c r="S69" s="208"/>
    </row>
    <row r="70" spans="1:19" ht="12.75">
      <c r="A70" s="305">
        <v>9</v>
      </c>
      <c r="B70" s="309">
        <v>53.5</v>
      </c>
      <c r="C70" s="309">
        <v>48.5</v>
      </c>
      <c r="D70" s="309">
        <v>53.25</v>
      </c>
      <c r="E70" s="309">
        <v>49.25</v>
      </c>
      <c r="F70" s="310">
        <v>52.75</v>
      </c>
      <c r="G70" s="310">
        <v>48.7</v>
      </c>
      <c r="H70" s="312">
        <v>5.8462500000000066</v>
      </c>
      <c r="I70" s="208"/>
      <c r="J70" s="313"/>
      <c r="K70" s="314"/>
      <c r="L70" s="306"/>
      <c r="M70" s="208"/>
      <c r="N70" s="315"/>
      <c r="O70" s="208"/>
      <c r="P70" s="208"/>
      <c r="Q70" s="208"/>
      <c r="R70" s="208"/>
      <c r="S70" s="208"/>
    </row>
    <row r="71" spans="1:19" ht="12.75">
      <c r="A71" s="305">
        <v>10</v>
      </c>
      <c r="B71" s="309">
        <v>56.5</v>
      </c>
      <c r="C71" s="309">
        <v>51.5</v>
      </c>
      <c r="D71" s="309">
        <v>56</v>
      </c>
      <c r="E71" s="309">
        <v>52</v>
      </c>
      <c r="F71" s="310">
        <v>56</v>
      </c>
      <c r="G71" s="310">
        <v>52</v>
      </c>
      <c r="H71" s="312">
        <v>5.8787500000000064</v>
      </c>
      <c r="I71" s="208"/>
      <c r="J71" s="313"/>
      <c r="K71" s="314"/>
      <c r="L71" s="208"/>
      <c r="M71" s="208"/>
      <c r="N71" s="315"/>
      <c r="O71" s="208"/>
      <c r="P71" s="208"/>
      <c r="Q71" s="208"/>
      <c r="R71" s="208"/>
      <c r="S71" s="208"/>
    </row>
    <row r="72" spans="1:19" ht="12.75">
      <c r="A72" s="305">
        <v>12</v>
      </c>
      <c r="B72" s="309">
        <v>62.25</v>
      </c>
      <c r="C72" s="309">
        <v>56.25</v>
      </c>
      <c r="D72" s="309">
        <v>61.25</v>
      </c>
      <c r="E72" s="309">
        <v>57.25</v>
      </c>
      <c r="F72" s="310">
        <v>61</v>
      </c>
      <c r="G72" s="310">
        <v>57</v>
      </c>
      <c r="H72" s="312">
        <v>5.9075000000000069</v>
      </c>
      <c r="I72" s="208"/>
      <c r="J72" s="313">
        <v>5.9375000000000071</v>
      </c>
      <c r="K72" s="314">
        <v>0</v>
      </c>
      <c r="L72" s="208"/>
      <c r="M72" s="208"/>
      <c r="N72" s="315"/>
      <c r="O72" s="208"/>
      <c r="P72" s="208"/>
      <c r="Q72" s="208"/>
      <c r="R72" s="208"/>
      <c r="S72" s="208"/>
    </row>
    <row r="73" spans="1:19" ht="12.75">
      <c r="A73" s="305">
        <v>15</v>
      </c>
      <c r="B73" s="309">
        <v>65.25</v>
      </c>
      <c r="C73" s="309">
        <v>59.25</v>
      </c>
      <c r="D73" s="309">
        <v>64.25</v>
      </c>
      <c r="E73" s="309">
        <v>60.25</v>
      </c>
      <c r="F73" s="310">
        <v>63.7</v>
      </c>
      <c r="G73" s="310">
        <v>59.75</v>
      </c>
      <c r="H73" s="312">
        <v>5.9600000000000062</v>
      </c>
      <c r="I73" s="208"/>
      <c r="J73" s="313"/>
      <c r="K73" s="314"/>
      <c r="L73" s="208"/>
      <c r="M73" s="208"/>
      <c r="N73" s="315"/>
      <c r="O73" s="208"/>
      <c r="P73" s="208"/>
      <c r="Q73" s="208"/>
      <c r="R73" s="208"/>
      <c r="S73" s="208"/>
    </row>
    <row r="74" spans="1:19" ht="12.75">
      <c r="A74" s="305">
        <v>20</v>
      </c>
      <c r="B74" s="309">
        <v>55.5</v>
      </c>
      <c r="C74" s="309">
        <v>49.5</v>
      </c>
      <c r="D74" s="309">
        <v>54.75</v>
      </c>
      <c r="E74" s="309">
        <v>50.75</v>
      </c>
      <c r="F74" s="310">
        <v>54.7</v>
      </c>
      <c r="G74" s="310">
        <v>50.75</v>
      </c>
      <c r="H74" s="312">
        <v>5.9900000000000073</v>
      </c>
      <c r="I74" s="208"/>
      <c r="J74" s="313">
        <v>6.045000000000007</v>
      </c>
      <c r="K74" s="314">
        <v>0</v>
      </c>
      <c r="L74" s="208"/>
      <c r="M74" s="208"/>
      <c r="N74" s="315"/>
      <c r="O74" s="208"/>
      <c r="P74" s="208"/>
      <c r="Q74" s="208"/>
      <c r="R74" s="208"/>
      <c r="S74" s="208"/>
    </row>
    <row r="75" spans="1:19" ht="12.75">
      <c r="A75" s="305">
        <v>25</v>
      </c>
      <c r="B75" s="309">
        <v>41.5</v>
      </c>
      <c r="C75" s="309">
        <v>35.5</v>
      </c>
      <c r="D75" s="309">
        <v>40.875</v>
      </c>
      <c r="E75" s="309">
        <v>36.875</v>
      </c>
      <c r="F75" s="310">
        <v>40.700000000000003</v>
      </c>
      <c r="G75" s="310">
        <v>36.75</v>
      </c>
      <c r="H75" s="312">
        <v>5.893750000000006</v>
      </c>
      <c r="I75" s="208"/>
      <c r="J75" s="313">
        <v>5.982500000000007</v>
      </c>
      <c r="K75" s="314">
        <v>0</v>
      </c>
      <c r="L75" s="208"/>
      <c r="M75" s="208"/>
      <c r="N75" s="315"/>
      <c r="O75" s="208"/>
      <c r="P75" s="208"/>
      <c r="Q75" s="208"/>
      <c r="R75" s="208"/>
      <c r="S75" s="208"/>
    </row>
    <row r="76" spans="1:19" ht="12.75">
      <c r="A76" s="305">
        <v>30</v>
      </c>
      <c r="B76" s="309">
        <v>27</v>
      </c>
      <c r="C76" s="309">
        <v>21</v>
      </c>
      <c r="D76" s="309">
        <v>27</v>
      </c>
      <c r="E76" s="309">
        <v>23</v>
      </c>
      <c r="F76" s="310">
        <v>27</v>
      </c>
      <c r="G76" s="310">
        <v>23</v>
      </c>
      <c r="H76" s="312">
        <v>5.7543750000000067</v>
      </c>
      <c r="I76" s="208"/>
      <c r="J76" s="313">
        <v>5.8425000000000065</v>
      </c>
      <c r="K76" s="314">
        <v>0</v>
      </c>
      <c r="L76" s="208"/>
      <c r="M76" s="208"/>
      <c r="N76" s="315"/>
      <c r="O76" s="208"/>
      <c r="P76" s="208"/>
      <c r="Q76" s="208"/>
      <c r="R76" s="208"/>
      <c r="S76" s="208"/>
    </row>
    <row r="77" spans="1:19" ht="12" thickBot="1">
      <c r="A77" s="208"/>
      <c r="B77" s="208"/>
      <c r="C77" s="208"/>
      <c r="D77" s="208"/>
      <c r="E77" s="212"/>
      <c r="F77" s="208"/>
      <c r="G77" s="208"/>
      <c r="H77" s="111">
        <v>5.612500000000006</v>
      </c>
      <c r="J77" s="110">
        <v>5.6975000000000069</v>
      </c>
      <c r="K77" s="109">
        <v>0</v>
      </c>
      <c r="N77" s="11"/>
    </row>
    <row r="78" spans="1:19" ht="12.75">
      <c r="A78" s="316"/>
      <c r="B78" s="316" t="s">
        <v>15</v>
      </c>
      <c r="C78" s="316" t="s">
        <v>140</v>
      </c>
      <c r="D78" s="316" t="s">
        <v>139</v>
      </c>
      <c r="E78" s="212"/>
      <c r="F78" s="208"/>
      <c r="G78" s="208"/>
    </row>
    <row r="79" spans="1:19" ht="12.75">
      <c r="A79" s="316" t="s">
        <v>138</v>
      </c>
      <c r="B79" s="317">
        <v>1.0654999999999999</v>
      </c>
      <c r="C79" s="317">
        <v>1.0657999999999999</v>
      </c>
      <c r="D79" s="317">
        <v>1.0656499999999998</v>
      </c>
      <c r="E79" s="212"/>
      <c r="F79" s="208"/>
      <c r="G79" s="208"/>
    </row>
    <row r="80" spans="1:19">
      <c r="A80" s="208"/>
      <c r="B80" s="208"/>
      <c r="C80" s="208"/>
      <c r="D80" s="208"/>
      <c r="E80" s="212"/>
      <c r="F80" s="208"/>
      <c r="G80" s="208"/>
    </row>
    <row r="81" spans="1:15">
      <c r="A81" s="208"/>
      <c r="B81" s="208"/>
      <c r="C81" s="208"/>
      <c r="D81" s="208"/>
      <c r="E81" s="212"/>
      <c r="F81" s="208"/>
      <c r="G81" s="208"/>
    </row>
    <row r="82" spans="1:15" ht="12.75">
      <c r="A82" s="316" t="s">
        <v>31</v>
      </c>
      <c r="B82" s="316" t="s">
        <v>141</v>
      </c>
      <c r="C82" s="316" t="s">
        <v>15</v>
      </c>
      <c r="D82" s="316" t="s">
        <v>140</v>
      </c>
      <c r="E82" s="316" t="s">
        <v>139</v>
      </c>
      <c r="F82" s="208"/>
      <c r="G82" s="208"/>
    </row>
    <row r="83" spans="1:15" ht="12.75">
      <c r="A83" s="318"/>
      <c r="B83" s="316" t="s">
        <v>138</v>
      </c>
      <c r="C83" s="319">
        <v>1.0654999999999999</v>
      </c>
      <c r="D83" s="319">
        <v>1.0657999999999999</v>
      </c>
      <c r="E83" s="317">
        <v>1.0656499999999998</v>
      </c>
      <c r="F83" s="208"/>
      <c r="G83" s="208"/>
    </row>
    <row r="84" spans="1:15" ht="12.75">
      <c r="A84" s="316" t="s">
        <v>137</v>
      </c>
      <c r="B84" s="316" t="s">
        <v>469</v>
      </c>
      <c r="C84" s="319">
        <v>-1.35</v>
      </c>
      <c r="D84" s="319">
        <v>-1.33</v>
      </c>
      <c r="E84" s="319">
        <v>-1.34</v>
      </c>
      <c r="F84" s="208"/>
      <c r="G84" s="208"/>
    </row>
    <row r="85" spans="1:15" ht="12.75">
      <c r="A85" s="316" t="s">
        <v>136</v>
      </c>
      <c r="B85" s="316" t="s">
        <v>470</v>
      </c>
      <c r="C85" s="319">
        <v>-1.36</v>
      </c>
      <c r="D85" s="319">
        <v>-1.33</v>
      </c>
      <c r="E85" s="319">
        <v>-1.3450000000000002</v>
      </c>
      <c r="F85" s="208"/>
      <c r="G85" s="208"/>
    </row>
    <row r="86" spans="1:15" ht="12.75">
      <c r="A86" s="316" t="s">
        <v>135</v>
      </c>
      <c r="B86" s="316" t="s">
        <v>471</v>
      </c>
      <c r="C86" s="319">
        <v>-9.5299999999999994</v>
      </c>
      <c r="D86" s="319">
        <v>-9.43</v>
      </c>
      <c r="E86" s="319">
        <v>-9.48</v>
      </c>
      <c r="F86" s="208"/>
      <c r="G86" s="208"/>
    </row>
    <row r="87" spans="1:15" ht="12.75">
      <c r="A87" s="316" t="s">
        <v>134</v>
      </c>
      <c r="B87" s="316" t="s">
        <v>472</v>
      </c>
      <c r="C87" s="319">
        <v>-42.09</v>
      </c>
      <c r="D87" s="319">
        <v>-41.89</v>
      </c>
      <c r="E87" s="319">
        <v>-41.99</v>
      </c>
      <c r="F87" s="208"/>
      <c r="G87" s="208"/>
    </row>
    <row r="88" spans="1:15" ht="12.75">
      <c r="A88" s="316" t="s">
        <v>133</v>
      </c>
      <c r="B88" s="316" t="s">
        <v>473</v>
      </c>
      <c r="C88" s="319">
        <v>-83.13</v>
      </c>
      <c r="D88" s="319">
        <v>-82.93</v>
      </c>
      <c r="E88" s="319">
        <v>-83.03</v>
      </c>
      <c r="F88" s="208"/>
      <c r="G88" s="208"/>
    </row>
    <row r="89" spans="1:15" ht="12.75">
      <c r="A89" s="316" t="s">
        <v>10</v>
      </c>
      <c r="B89" s="316" t="s">
        <v>474</v>
      </c>
      <c r="C89" s="319">
        <v>-128.78</v>
      </c>
      <c r="D89" s="319">
        <v>-128.28</v>
      </c>
      <c r="E89" s="319">
        <v>-128.53</v>
      </c>
      <c r="F89" s="208"/>
      <c r="G89" s="208"/>
    </row>
    <row r="90" spans="1:15" ht="12.75">
      <c r="A90" s="316" t="s">
        <v>132</v>
      </c>
      <c r="B90" s="316" t="s">
        <v>475</v>
      </c>
      <c r="C90" s="319">
        <v>-169.06</v>
      </c>
      <c r="D90" s="319">
        <v>-168.26</v>
      </c>
      <c r="E90" s="319">
        <v>-168.66</v>
      </c>
      <c r="F90" s="208"/>
      <c r="G90" s="208"/>
      <c r="O90" s="96"/>
    </row>
    <row r="91" spans="1:15" ht="12.75">
      <c r="A91" s="316" t="s">
        <v>131</v>
      </c>
      <c r="B91" s="316" t="s">
        <v>476</v>
      </c>
      <c r="C91" s="319">
        <v>-210.56</v>
      </c>
      <c r="D91" s="319">
        <v>-209.76</v>
      </c>
      <c r="E91" s="319">
        <v>-210.16</v>
      </c>
      <c r="F91" s="208"/>
      <c r="G91" s="208"/>
    </row>
    <row r="92" spans="1:15" ht="12.75">
      <c r="A92" s="316" t="s">
        <v>13</v>
      </c>
      <c r="B92" s="316" t="s">
        <v>477</v>
      </c>
      <c r="C92" s="319">
        <v>-254.72</v>
      </c>
      <c r="D92" s="319">
        <v>-253.72</v>
      </c>
      <c r="E92" s="319">
        <v>-254.22</v>
      </c>
      <c r="F92" s="208"/>
      <c r="G92" s="208"/>
    </row>
    <row r="93" spans="1:15" ht="12.75">
      <c r="A93" s="316" t="s">
        <v>130</v>
      </c>
      <c r="B93" s="316" t="s">
        <v>478</v>
      </c>
      <c r="C93" s="319">
        <v>-295.01</v>
      </c>
      <c r="D93" s="319">
        <v>-293.01</v>
      </c>
      <c r="E93" s="320">
        <v>-296.02333333333331</v>
      </c>
      <c r="F93" s="208"/>
      <c r="G93" s="208"/>
    </row>
    <row r="94" spans="1:15" ht="12.75">
      <c r="A94" s="316" t="s">
        <v>129</v>
      </c>
      <c r="B94" s="316" t="s">
        <v>479</v>
      </c>
      <c r="C94" s="319">
        <v>-337.1</v>
      </c>
      <c r="D94" s="319">
        <v>-335.1</v>
      </c>
      <c r="E94" s="320">
        <v>-337.82666666666665</v>
      </c>
      <c r="F94" s="208"/>
      <c r="G94" s="321"/>
    </row>
    <row r="95" spans="1:15" ht="12.75">
      <c r="A95" s="316" t="s">
        <v>128</v>
      </c>
      <c r="B95" s="316" t="s">
        <v>480</v>
      </c>
      <c r="C95" s="319">
        <v>-380.63</v>
      </c>
      <c r="D95" s="319">
        <v>-378.63</v>
      </c>
      <c r="E95" s="319">
        <v>-379.63</v>
      </c>
      <c r="F95" s="208"/>
      <c r="G95" s="208"/>
    </row>
    <row r="96" spans="1:15" ht="12.75">
      <c r="A96" s="316" t="s">
        <v>127</v>
      </c>
      <c r="B96" s="316" t="s">
        <v>481</v>
      </c>
      <c r="C96" s="319">
        <v>-501.78</v>
      </c>
      <c r="D96" s="319">
        <v>-499.78</v>
      </c>
      <c r="E96" s="319">
        <v>-500.78</v>
      </c>
      <c r="F96" s="208"/>
      <c r="G96" s="208"/>
    </row>
    <row r="97" spans="1:7">
      <c r="A97" s="208"/>
      <c r="B97" s="208"/>
      <c r="C97" s="208"/>
      <c r="D97" s="208"/>
      <c r="E97" s="212"/>
      <c r="F97" s="208"/>
      <c r="G97" s="208"/>
    </row>
    <row r="98" spans="1:7">
      <c r="A98" s="208"/>
      <c r="B98" s="208"/>
      <c r="C98" s="208"/>
      <c r="D98" s="208"/>
      <c r="E98" s="212"/>
      <c r="F98" s="208"/>
      <c r="G98" s="208"/>
    </row>
    <row r="99" spans="1:7">
      <c r="A99" s="322"/>
      <c r="B99" s="323" t="s">
        <v>338</v>
      </c>
      <c r="C99" s="323" t="s">
        <v>339</v>
      </c>
      <c r="D99" s="323" t="s">
        <v>177</v>
      </c>
      <c r="E99" s="212"/>
      <c r="F99" s="208"/>
      <c r="G99" s="208"/>
    </row>
    <row r="100" spans="1:7">
      <c r="A100" s="323" t="s">
        <v>482</v>
      </c>
      <c r="B100" s="323" t="s">
        <v>483</v>
      </c>
      <c r="C100" s="323" t="s">
        <v>484</v>
      </c>
      <c r="D100" s="323">
        <v>4.8499999999999996</v>
      </c>
      <c r="E100" s="212"/>
      <c r="F100" s="208"/>
      <c r="G100" s="208"/>
    </row>
    <row r="101" spans="1:7">
      <c r="A101" s="323" t="s">
        <v>485</v>
      </c>
      <c r="B101" s="323" t="s">
        <v>486</v>
      </c>
      <c r="C101" s="323" t="s">
        <v>487</v>
      </c>
      <c r="D101" s="323">
        <v>4.8900000000000006</v>
      </c>
      <c r="E101" s="212"/>
      <c r="F101" s="208"/>
      <c r="G101" s="208"/>
    </row>
    <row r="102" spans="1:7">
      <c r="A102" s="323" t="s">
        <v>488</v>
      </c>
      <c r="B102" s="323" t="s">
        <v>489</v>
      </c>
      <c r="C102" s="323" t="s">
        <v>490</v>
      </c>
      <c r="D102" s="323">
        <v>4.915</v>
      </c>
      <c r="E102" s="212"/>
      <c r="F102" s="208"/>
      <c r="G102" s="208"/>
    </row>
    <row r="103" spans="1:7">
      <c r="A103" s="323" t="s">
        <v>491</v>
      </c>
      <c r="B103" s="323" t="s">
        <v>492</v>
      </c>
      <c r="C103" s="323" t="s">
        <v>493</v>
      </c>
      <c r="D103" s="323">
        <v>4.9399999999999995</v>
      </c>
      <c r="E103" s="212"/>
      <c r="F103" s="208"/>
      <c r="G103" s="208"/>
    </row>
    <row r="104" spans="1:7">
      <c r="A104" s="323" t="s">
        <v>494</v>
      </c>
      <c r="B104" s="323" t="s">
        <v>495</v>
      </c>
      <c r="C104" s="323" t="s">
        <v>492</v>
      </c>
      <c r="D104" s="323">
        <v>4.9700000000000006</v>
      </c>
      <c r="E104" s="212"/>
      <c r="F104" s="208"/>
      <c r="G104" s="208"/>
    </row>
    <row r="105" spans="1:7">
      <c r="A105" s="323" t="s">
        <v>496</v>
      </c>
      <c r="B105" s="323" t="s">
        <v>497</v>
      </c>
      <c r="C105" s="323" t="s">
        <v>498</v>
      </c>
      <c r="D105" s="323">
        <v>5.04</v>
      </c>
      <c r="E105" s="212"/>
      <c r="F105" s="208"/>
      <c r="G105" s="208"/>
    </row>
    <row r="106" spans="1:7">
      <c r="A106" s="208"/>
      <c r="B106" s="208"/>
      <c r="C106" s="208"/>
      <c r="D106" s="208"/>
      <c r="E106" s="212"/>
      <c r="F106" s="208"/>
      <c r="G106" s="208"/>
    </row>
  </sheetData>
  <protectedRanges>
    <protectedRange sqref="Q19 Q15:Q16" name="Range2_1_1_1"/>
    <protectedRange sqref="I65 I61:I62" name="Range2_1_1_1_1"/>
  </protectedRanges>
  <mergeCells count="5">
    <mergeCell ref="B21:G21"/>
    <mergeCell ref="B29:G29"/>
    <mergeCell ref="B43:G43"/>
    <mergeCell ref="K30:N30"/>
    <mergeCell ref="M45:O45"/>
  </mergeCell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23</vt:i4>
      </vt:variant>
    </vt:vector>
  </HeadingPairs>
  <TitlesOfParts>
    <vt:vector size="34" baseType="lpstr">
      <vt:lpstr>Spreads</vt:lpstr>
      <vt:lpstr>TraderMids</vt:lpstr>
      <vt:lpstr>SuperDerivatives</vt:lpstr>
      <vt:lpstr>Corporates</vt:lpstr>
      <vt:lpstr>Retail</vt:lpstr>
      <vt:lpstr>LPM</vt:lpstr>
      <vt:lpstr>3Y+10Y BF</vt:lpstr>
      <vt:lpstr>Swaption</vt:lpstr>
      <vt:lpstr>ICAP Swaption</vt:lpstr>
      <vt:lpstr>CapFloor</vt:lpstr>
      <vt:lpstr>MarketDataAUD</vt:lpstr>
      <vt:lpstr>AUD1v3names</vt:lpstr>
      <vt:lpstr>AUD1v3rates</vt:lpstr>
      <vt:lpstr>AUD3v6names</vt:lpstr>
      <vt:lpstr>AUD3v6rates</vt:lpstr>
      <vt:lpstr>AUDcurveNames</vt:lpstr>
      <vt:lpstr>AUDcurveRates</vt:lpstr>
      <vt:lpstr>BlackVols1</vt:lpstr>
      <vt:lpstr>BlackVolSurface</vt:lpstr>
      <vt:lpstr>Expiries</vt:lpstr>
      <vt:lpstr>Expiries1</vt:lpstr>
      <vt:lpstr>Expiries2</vt:lpstr>
      <vt:lpstr>FuturesNames</vt:lpstr>
      <vt:lpstr>Names</vt:lpstr>
      <vt:lpstr>PPDs</vt:lpstr>
      <vt:lpstr>PPDs2</vt:lpstr>
      <vt:lpstr>PPDsurface</vt:lpstr>
      <vt:lpstr>QtlyCapletVols</vt:lpstr>
      <vt:lpstr>QtlyDates</vt:lpstr>
      <vt:lpstr>Rates</vt:lpstr>
      <vt:lpstr>SwapRates1</vt:lpstr>
      <vt:lpstr>Today</vt:lpstr>
      <vt:lpstr>YTTpay</vt:lpstr>
      <vt:lpstr>YTTrec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spmitche</dc:creator>
  <cp:lastModifiedBy>Alex</cp:lastModifiedBy>
  <dcterms:created xsi:type="dcterms:W3CDTF">2009-05-17T23:08:24Z</dcterms:created>
  <dcterms:modified xsi:type="dcterms:W3CDTF">2019-07-02T04:34:35Z</dcterms:modified>
</cp:coreProperties>
</file>