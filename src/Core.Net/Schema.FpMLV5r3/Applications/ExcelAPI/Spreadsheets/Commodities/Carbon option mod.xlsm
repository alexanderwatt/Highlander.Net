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Commodities\"/>
    </mc:Choice>
  </mc:AlternateContent>
  <xr:revisionPtr revIDLastSave="0" documentId="13_ncr:1_{26C54DDF-FA0C-40F0-9822-7730B83B4728}" xr6:coauthVersionLast="43" xr6:coauthVersionMax="43" xr10:uidLastSave="{00000000-0000-0000-0000-000000000000}"/>
  <bookViews>
    <workbookView xWindow="4860" yWindow="690" windowWidth="23940" windowHeight="14820" xr2:uid="{00000000-000D-0000-FFFF-FFFF00000000}"/>
  </bookViews>
  <sheets>
    <sheet name="Option Model" sheetId="60" r:id="rId1"/>
    <sheet name="Opt grid 11" sheetId="64" r:id="rId2"/>
    <sheet name="Opt grid 12" sheetId="63" r:id="rId3"/>
    <sheet name="DEPower Expiry Dates" sheetId="59" r:id="rId4"/>
  </sheets>
  <functionGroups builtInGroupCount="19"/>
  <externalReferences>
    <externalReference r:id="rId5"/>
  </externalReferences>
  <definedNames>
    <definedName name="amount">'[1]Option grid'!$B$5</definedName>
    <definedName name="call_skew">'[1]Option grid'!$H$5</definedName>
    <definedName name="call_skew_strikes">'[1]Option grid'!$I$9:$I$10</definedName>
    <definedName name="call_skew_vols">'[1]Option grid'!$J$9:$J$10</definedName>
    <definedName name="ex_type">'[1]Option grid'!$B$3</definedName>
    <definedName name="fut_expiry">'[1]Option grid'!$B$11</definedName>
    <definedName name="max_vol">'[1]Option grid'!$H$7</definedName>
    <definedName name="mid_price">'[1]Option grid'!$E$3</definedName>
    <definedName name="mid_strike">'[1]Option grid'!$E$5</definedName>
    <definedName name="mid_vol">'[1]Option grid'!$H$3</definedName>
    <definedName name="min_vol">'[1]Option grid'!$H$6</definedName>
    <definedName name="model">'[1]Option grid'!$B$6</definedName>
    <definedName name="model_parameters">'[1]Option grid'!$B$7:$B$9</definedName>
    <definedName name="opt_expiry">'[1]Option grid'!$B$4</definedName>
    <definedName name="pc_type1">'[1]Option grid'!$D$9</definedName>
    <definedName name="pc_type2">'[1]Option grid'!$D$10</definedName>
    <definedName name="pc_type3">'[1]Option grid'!$D$11</definedName>
    <definedName name="pc_type4">'[1]Option grid'!$D$12</definedName>
    <definedName name="pc_type5">'[1]Option grid'!$D$13</definedName>
    <definedName name="price_interval">'[1]Option grid'!$E$4</definedName>
    <definedName name="prices">'[1]Option grid'!$A$18:$A$172</definedName>
    <definedName name="put_skew">'[1]Option grid'!$H$4</definedName>
    <definedName name="put_skew_strikes">'[1]Option grid'!$I$5:$I$6</definedName>
    <definedName name="put_skew_vols">'[1]Option grid'!$J$5:$J$6</definedName>
    <definedName name="rate_curve">'[1]Option grid'!$B$12</definedName>
    <definedName name="return_choices1">'[1]Option grid'!$E$9</definedName>
    <definedName name="return_choices2">'[1]Option grid'!$E$10</definedName>
    <definedName name="return_choices3">'[1]Option grid'!$E$11</definedName>
    <definedName name="return_choices4">'[1]Option grid'!$E$12</definedName>
    <definedName name="return_choices5">'[1]Option grid'!$E$13</definedName>
    <definedName name="strike_interval">'[1]Option grid'!$E$6</definedName>
    <definedName name="strikes">'[1]Option grid'!$B$17:$V$17</definedName>
    <definedName name="Today">'Option Model'!$C$2</definedName>
    <definedName name="value_date">'[1]Option grid'!$B$10</definedName>
    <definedName name="vols">'[1]Option grid'!$B$16:$V$16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63" l="1"/>
  <c r="C4" i="63"/>
  <c r="C6" i="64"/>
  <c r="C4" i="64"/>
  <c r="C100" i="60"/>
  <c r="C99" i="60"/>
  <c r="C98" i="60"/>
  <c r="C97" i="60"/>
  <c r="C96" i="60"/>
  <c r="C94" i="60"/>
  <c r="C93" i="60"/>
  <c r="C92" i="60"/>
  <c r="C91" i="60"/>
  <c r="C90" i="60"/>
  <c r="C88" i="60"/>
  <c r="C87" i="60"/>
  <c r="C84" i="60"/>
  <c r="C79" i="60"/>
  <c r="C78" i="60"/>
  <c r="C76" i="60"/>
  <c r="C72" i="60"/>
  <c r="C69" i="60"/>
  <c r="C68" i="60"/>
  <c r="C67" i="60"/>
  <c r="C66" i="60"/>
  <c r="C64" i="60"/>
  <c r="C60" i="60"/>
  <c r="C58" i="60"/>
  <c r="C57" i="60"/>
  <c r="C54" i="60"/>
  <c r="C51" i="60"/>
  <c r="C49" i="60"/>
  <c r="C48" i="60"/>
  <c r="C44" i="60"/>
  <c r="C42" i="60"/>
  <c r="C36" i="60"/>
  <c r="C31" i="60"/>
  <c r="C30" i="60"/>
  <c r="C24" i="60"/>
  <c r="C22" i="60"/>
  <c r="B79" i="60"/>
  <c r="B80" i="60" s="1"/>
  <c r="C80" i="60" s="1"/>
  <c r="B67" i="60"/>
  <c r="B73" i="60"/>
  <c r="C73" i="60" s="1"/>
  <c r="B18" i="60"/>
  <c r="B19" i="60" s="1"/>
  <c r="C19" i="60" s="1"/>
  <c r="E7" i="60"/>
  <c r="E8" i="60" s="1"/>
  <c r="E10" i="60"/>
  <c r="E12" i="60" s="1"/>
  <c r="E13" i="60" s="1"/>
  <c r="B68" i="60"/>
  <c r="B69" i="60"/>
  <c r="E37" i="60"/>
  <c r="E38" i="60" s="1"/>
  <c r="E39" i="60" s="1"/>
  <c r="B12" i="60"/>
  <c r="C12" i="60" s="1"/>
  <c r="B25" i="60"/>
  <c r="B26" i="60" s="1"/>
  <c r="B6" i="60"/>
  <c r="C6" i="60" s="1"/>
  <c r="E49" i="60"/>
  <c r="E50" i="60" s="1"/>
  <c r="E51" i="60" s="1"/>
  <c r="E52" i="60" s="1"/>
  <c r="B37" i="60"/>
  <c r="C37" i="60" s="1"/>
  <c r="B52" i="60"/>
  <c r="C52" i="60" s="1"/>
  <c r="D58" i="60"/>
  <c r="D57" i="60"/>
  <c r="B55" i="60"/>
  <c r="C55" i="60" s="1"/>
  <c r="B56" i="60"/>
  <c r="D56" i="60" s="1"/>
  <c r="D54" i="60"/>
  <c r="B49" i="60"/>
  <c r="D94" i="60"/>
  <c r="D93" i="60"/>
  <c r="D92" i="60"/>
  <c r="D91" i="60"/>
  <c r="D90" i="60"/>
  <c r="D96" i="60"/>
  <c r="D97" i="60"/>
  <c r="D98" i="60"/>
  <c r="B43" i="60"/>
  <c r="B44" i="60" s="1"/>
  <c r="D44" i="60" s="1"/>
  <c r="G45" i="60"/>
  <c r="G46" i="60"/>
  <c r="B50" i="60"/>
  <c r="C50" i="60" s="1"/>
  <c r="B61" i="60"/>
  <c r="D61" i="60" s="1"/>
  <c r="B85" i="60"/>
  <c r="C85" i="60" s="1"/>
  <c r="H26" i="59"/>
  <c r="B31" i="60"/>
  <c r="B32" i="60"/>
  <c r="C32" i="60" s="1"/>
  <c r="D68" i="60"/>
  <c r="D67" i="60"/>
  <c r="D66" i="60"/>
  <c r="D100" i="60"/>
  <c r="D99" i="60"/>
  <c r="D43" i="60"/>
  <c r="D42" i="60"/>
  <c r="A53" i="63"/>
  <c r="F4" i="59"/>
  <c r="H4" i="59" s="1"/>
  <c r="F5" i="59"/>
  <c r="H5" i="59" s="1"/>
  <c r="F6" i="59"/>
  <c r="H6" i="59"/>
  <c r="F7" i="59"/>
  <c r="H7" i="59" s="1"/>
  <c r="F8" i="59"/>
  <c r="H8" i="59" s="1"/>
  <c r="F9" i="59"/>
  <c r="H9" i="59" s="1"/>
  <c r="F10" i="59"/>
  <c r="H10" i="59" s="1"/>
  <c r="F11" i="59"/>
  <c r="H11" i="59" s="1"/>
  <c r="F12" i="59"/>
  <c r="H12" i="59" s="1"/>
  <c r="F13" i="59"/>
  <c r="H13" i="59" s="1"/>
  <c r="F14" i="59"/>
  <c r="H14" i="59" s="1"/>
  <c r="F15" i="59"/>
  <c r="H15" i="59" s="1"/>
  <c r="F16" i="59"/>
  <c r="H16" i="59"/>
  <c r="F17" i="59"/>
  <c r="H17" i="59" s="1"/>
  <c r="F18" i="59"/>
  <c r="H18" i="59"/>
  <c r="F19" i="59"/>
  <c r="H19" i="59" s="1"/>
  <c r="F20" i="59"/>
  <c r="H20" i="59" s="1"/>
  <c r="F21" i="59"/>
  <c r="H21" i="59" s="1"/>
  <c r="F22" i="59"/>
  <c r="H22" i="59" s="1"/>
  <c r="F23" i="59"/>
  <c r="H23" i="59" s="1"/>
  <c r="F24" i="59"/>
  <c r="H24" i="59"/>
  <c r="F25" i="59"/>
  <c r="H25" i="59" s="1"/>
  <c r="F27" i="59"/>
  <c r="H27" i="59" s="1"/>
  <c r="F28" i="59"/>
  <c r="H28" i="59" s="1"/>
  <c r="F29" i="59"/>
  <c r="H29" i="59" s="1"/>
  <c r="F30" i="59"/>
  <c r="H30" i="59" s="1"/>
  <c r="F31" i="59"/>
  <c r="H31" i="59" s="1"/>
  <c r="F32" i="59"/>
  <c r="H32" i="59" s="1"/>
  <c r="F33" i="59"/>
  <c r="H33" i="59" s="1"/>
  <c r="F34" i="59"/>
  <c r="H34" i="59" s="1"/>
  <c r="F35" i="59"/>
  <c r="H35" i="59"/>
  <c r="F36" i="59"/>
  <c r="H36" i="59" s="1"/>
  <c r="F37" i="59"/>
  <c r="H37" i="59" s="1"/>
  <c r="H38" i="59"/>
  <c r="H39" i="59"/>
  <c r="H40" i="59"/>
  <c r="H41" i="59"/>
  <c r="H42" i="59"/>
  <c r="F3" i="64"/>
  <c r="I3" i="64" s="1"/>
  <c r="H22" i="64" s="1"/>
  <c r="H20" i="64" s="1"/>
  <c r="FA3" i="64"/>
  <c r="F4" i="64"/>
  <c r="F8" i="64"/>
  <c r="H8" i="64"/>
  <c r="F9" i="64"/>
  <c r="J9" i="64" s="1"/>
  <c r="C16" i="64"/>
  <c r="W22" i="64"/>
  <c r="W20" i="64"/>
  <c r="W21" i="64"/>
  <c r="A53" i="64"/>
  <c r="F3" i="63"/>
  <c r="I3" i="63" s="1"/>
  <c r="H3" i="63"/>
  <c r="M22" i="63" s="1"/>
  <c r="J3" i="63"/>
  <c r="C22" i="63" s="1"/>
  <c r="C20" i="63" s="1"/>
  <c r="FA3" i="63"/>
  <c r="F4" i="63"/>
  <c r="J4" i="63" s="1"/>
  <c r="G4" i="63"/>
  <c r="H4" i="63"/>
  <c r="I4" i="63"/>
  <c r="F8" i="63"/>
  <c r="J8" i="63" s="1"/>
  <c r="F9" i="63"/>
  <c r="C16" i="63"/>
  <c r="H22" i="63"/>
  <c r="W22" i="63"/>
  <c r="C21" i="63"/>
  <c r="M21" i="63"/>
  <c r="R21" i="63"/>
  <c r="W21" i="63"/>
  <c r="T21" i="63" s="1"/>
  <c r="U21" i="63"/>
  <c r="A6" i="60"/>
  <c r="D6" i="60"/>
  <c r="D22" i="60"/>
  <c r="D24" i="60"/>
  <c r="D30" i="60"/>
  <c r="D36" i="60"/>
  <c r="D37" i="60"/>
  <c r="D48" i="60"/>
  <c r="D49" i="60"/>
  <c r="D51" i="60"/>
  <c r="D52" i="60"/>
  <c r="D60" i="60"/>
  <c r="D64" i="60"/>
  <c r="D72" i="60"/>
  <c r="D76" i="60"/>
  <c r="D78" i="60"/>
  <c r="D79" i="60"/>
  <c r="D84" i="60"/>
  <c r="D87" i="60"/>
  <c r="D88" i="60"/>
  <c r="B27" i="60" l="1"/>
  <c r="C27" i="60" s="1"/>
  <c r="C26" i="60"/>
  <c r="D26" i="60"/>
  <c r="G9" i="64"/>
  <c r="G3" i="64"/>
  <c r="R22" i="64" s="1"/>
  <c r="C61" i="60"/>
  <c r="B38" i="60"/>
  <c r="C38" i="60" s="1"/>
  <c r="C43" i="60"/>
  <c r="B86" i="60"/>
  <c r="C25" i="60"/>
  <c r="D85" i="60"/>
  <c r="D25" i="60"/>
  <c r="AL21" i="64"/>
  <c r="AG21" i="64"/>
  <c r="I9" i="64"/>
  <c r="J3" i="64"/>
  <c r="C22" i="64" s="1"/>
  <c r="C20" i="64" s="1"/>
  <c r="C18" i="60"/>
  <c r="C56" i="60"/>
  <c r="AB21" i="64"/>
  <c r="H9" i="64"/>
  <c r="H3" i="64"/>
  <c r="M22" i="64" s="1"/>
  <c r="B74" i="60"/>
  <c r="C74" i="60" s="1"/>
  <c r="D73" i="60"/>
  <c r="A51" i="64"/>
  <c r="A49" i="64" s="1"/>
  <c r="A47" i="64" s="1"/>
  <c r="A45" i="64" s="1"/>
  <c r="A43" i="64" s="1"/>
  <c r="A41" i="64" s="1"/>
  <c r="A39" i="64" s="1"/>
  <c r="A37" i="64" s="1"/>
  <c r="A35" i="64" s="1"/>
  <c r="A33" i="64" s="1"/>
  <c r="A31" i="64" s="1"/>
  <c r="A29" i="64" s="1"/>
  <c r="A27" i="64" s="1"/>
  <c r="A25" i="64" s="1"/>
  <c r="A23" i="64" s="1"/>
  <c r="A55" i="64"/>
  <c r="A57" i="64" s="1"/>
  <c r="A59" i="64" s="1"/>
  <c r="A61" i="64" s="1"/>
  <c r="A63" i="64" s="1"/>
  <c r="A65" i="64" s="1"/>
  <c r="A67" i="64" s="1"/>
  <c r="A69" i="64" s="1"/>
  <c r="A71" i="64" s="1"/>
  <c r="A73" i="64" s="1"/>
  <c r="A75" i="64" s="1"/>
  <c r="A77" i="64" s="1"/>
  <c r="A79" i="64" s="1"/>
  <c r="A81" i="64" s="1"/>
  <c r="A83" i="64" s="1"/>
  <c r="O21" i="63"/>
  <c r="A55" i="63"/>
  <c r="A57" i="63" s="1"/>
  <c r="A59" i="63" s="1"/>
  <c r="A61" i="63" s="1"/>
  <c r="A63" i="63" s="1"/>
  <c r="A65" i="63" s="1"/>
  <c r="A67" i="63" s="1"/>
  <c r="A69" i="63" s="1"/>
  <c r="A71" i="63" s="1"/>
  <c r="A73" i="63" s="1"/>
  <c r="A75" i="63" s="1"/>
  <c r="A77" i="63" s="1"/>
  <c r="A79" i="63" s="1"/>
  <c r="A81" i="63" s="1"/>
  <c r="A83" i="63" s="1"/>
  <c r="A51" i="63"/>
  <c r="A49" i="63" s="1"/>
  <c r="A47" i="63" s="1"/>
  <c r="A45" i="63" s="1"/>
  <c r="A43" i="63" s="1"/>
  <c r="A41" i="63" s="1"/>
  <c r="A39" i="63" s="1"/>
  <c r="A37" i="63" s="1"/>
  <c r="A35" i="63" s="1"/>
  <c r="A33" i="63" s="1"/>
  <c r="A31" i="63" s="1"/>
  <c r="A29" i="63" s="1"/>
  <c r="A27" i="63" s="1"/>
  <c r="A25" i="63" s="1"/>
  <c r="A23" i="63" s="1"/>
  <c r="AE21" i="64"/>
  <c r="AC21" i="64"/>
  <c r="X21" i="64"/>
  <c r="AA21" i="64"/>
  <c r="Y21" i="64"/>
  <c r="D55" i="60"/>
  <c r="M20" i="64"/>
  <c r="D32" i="60"/>
  <c r="B33" i="60"/>
  <c r="C33" i="60" s="1"/>
  <c r="D31" i="60"/>
  <c r="D50" i="60"/>
  <c r="H20" i="63"/>
  <c r="G22" i="63"/>
  <c r="G20" i="63" s="1"/>
  <c r="D69" i="60"/>
  <c r="X22" i="63"/>
  <c r="G3" i="63"/>
  <c r="R22" i="63" s="1"/>
  <c r="V22" i="63" s="1"/>
  <c r="B45" i="60"/>
  <c r="C45" i="60" s="1"/>
  <c r="B39" i="60"/>
  <c r="C39" i="60" s="1"/>
  <c r="D38" i="60"/>
  <c r="H21" i="63"/>
  <c r="F21" i="63" s="1"/>
  <c r="D12" i="60"/>
  <c r="B13" i="60"/>
  <c r="C13" i="60" s="1"/>
  <c r="D18" i="60"/>
  <c r="B7" i="60"/>
  <c r="C7" i="60" s="1"/>
  <c r="B20" i="60"/>
  <c r="C20" i="60" s="1"/>
  <c r="D19" i="60"/>
  <c r="G4" i="64"/>
  <c r="M21" i="64"/>
  <c r="I4" i="64"/>
  <c r="C21" i="64"/>
  <c r="H4" i="64"/>
  <c r="H21" i="64"/>
  <c r="R21" i="64"/>
  <c r="J4" i="64"/>
  <c r="M20" i="63"/>
  <c r="L22" i="63"/>
  <c r="B40" i="60"/>
  <c r="C40" i="60" s="1"/>
  <c r="D39" i="60"/>
  <c r="AL21" i="63"/>
  <c r="AB21" i="63"/>
  <c r="Y21" i="63" s="1"/>
  <c r="J9" i="63"/>
  <c r="G9" i="63"/>
  <c r="H9" i="63"/>
  <c r="AG21" i="63"/>
  <c r="I9" i="63"/>
  <c r="AQ21" i="63"/>
  <c r="X22" i="64"/>
  <c r="G22" i="64"/>
  <c r="L22" i="64"/>
  <c r="B81" i="60"/>
  <c r="C81" i="60" s="1"/>
  <c r="V21" i="63"/>
  <c r="S21" i="63"/>
  <c r="E15" i="60"/>
  <c r="E14" i="60"/>
  <c r="B28" i="60"/>
  <c r="C28" i="60" s="1"/>
  <c r="D80" i="60"/>
  <c r="D27" i="60"/>
  <c r="Q22" i="63"/>
  <c r="B62" i="60"/>
  <c r="C62" i="60" s="1"/>
  <c r="Q21" i="63"/>
  <c r="P21" i="63"/>
  <c r="I8" i="63"/>
  <c r="H8" i="63"/>
  <c r="N21" i="63"/>
  <c r="G8" i="63"/>
  <c r="AH21" i="64"/>
  <c r="AJ21" i="64"/>
  <c r="AP21" i="64"/>
  <c r="I8" i="64"/>
  <c r="G8" i="64"/>
  <c r="J8" i="64"/>
  <c r="AI21" i="64"/>
  <c r="AF21" i="64"/>
  <c r="AD21" i="64"/>
  <c r="Z21" i="64"/>
  <c r="G39" i="60"/>
  <c r="E40" i="60"/>
  <c r="AK21" i="64"/>
  <c r="B70" i="60"/>
  <c r="C70" i="60" s="1"/>
  <c r="AQ21" i="64"/>
  <c r="H31" i="64"/>
  <c r="AB43" i="64"/>
  <c r="F56" i="64"/>
  <c r="T68" i="64"/>
  <c r="AD31" i="64"/>
  <c r="I44" i="64"/>
  <c r="AB56" i="64"/>
  <c r="T54" i="60"/>
  <c r="D31" i="64"/>
  <c r="X43" i="64"/>
  <c r="L91" i="60"/>
  <c r="K28" i="64"/>
  <c r="AE40" i="64"/>
  <c r="J53" i="64"/>
  <c r="X65" i="64"/>
  <c r="J27" i="64"/>
  <c r="AD39" i="64"/>
  <c r="I52" i="64"/>
  <c r="AF64" i="64"/>
  <c r="AQ24" i="64"/>
  <c r="V37" i="64"/>
  <c r="AP49" i="64"/>
  <c r="O24" i="64"/>
  <c r="AI36" i="64"/>
  <c r="N49" i="64"/>
  <c r="AD61" i="64"/>
  <c r="AK24" i="64"/>
  <c r="P37" i="64"/>
  <c r="AJ49" i="64"/>
  <c r="S62" i="64"/>
  <c r="K24" i="64"/>
  <c r="AE36" i="64"/>
  <c r="J49" i="64"/>
  <c r="AG24" i="64"/>
  <c r="X39" i="64"/>
  <c r="Y59" i="64"/>
  <c r="P29" i="64"/>
  <c r="T49" i="64"/>
  <c r="R99" i="60"/>
  <c r="E38" i="64"/>
  <c r="Y24" i="64"/>
  <c r="L37" i="64"/>
  <c r="AF49" i="64"/>
  <c r="N30" i="64"/>
  <c r="L55" i="64"/>
  <c r="O71" i="64"/>
  <c r="AC83" i="64"/>
  <c r="AK34" i="64"/>
  <c r="AO54" i="64"/>
  <c r="AC24" i="64"/>
  <c r="AG44" i="64"/>
  <c r="AN64" i="64"/>
  <c r="R33" i="64"/>
  <c r="V53" i="64"/>
  <c r="O34" i="64"/>
  <c r="AI46" i="64"/>
  <c r="Y27" i="64"/>
  <c r="X52" i="64"/>
  <c r="AP69" i="64"/>
  <c r="O82" i="64"/>
  <c r="W32" i="64"/>
  <c r="AA52" i="64"/>
  <c r="O99" i="60"/>
  <c r="S42" i="64"/>
  <c r="AA62" i="64"/>
  <c r="AH33" i="64"/>
  <c r="AD53" i="64"/>
  <c r="W34" i="64"/>
  <c r="AQ46" i="64"/>
  <c r="AO27" i="64"/>
  <c r="AN52" i="64"/>
  <c r="I70" i="64"/>
  <c r="W82" i="64"/>
  <c r="F33" i="64"/>
  <c r="AI52" i="64"/>
  <c r="R91" i="60"/>
  <c r="AQ42" i="64"/>
  <c r="AI62" i="64"/>
  <c r="AB31" i="64"/>
  <c r="AF51" i="64"/>
  <c r="H33" i="64"/>
  <c r="AB45" i="64"/>
  <c r="K25" i="64"/>
  <c r="J50" i="64"/>
  <c r="AE55" i="64"/>
  <c r="J43" i="64"/>
  <c r="Y34" i="64"/>
  <c r="AH31" i="64"/>
  <c r="O54" i="60"/>
  <c r="Y64" i="64"/>
  <c r="J23" i="63"/>
  <c r="AO41" i="64"/>
  <c r="AP62" i="64"/>
  <c r="AM76" i="64"/>
  <c r="U27" i="63"/>
  <c r="AB44" i="64"/>
  <c r="AG64" i="64"/>
  <c r="AA78" i="64"/>
  <c r="K36" i="64"/>
  <c r="Q28" i="64"/>
  <c r="R68" i="64"/>
  <c r="AK54" i="64"/>
  <c r="Z47" i="64"/>
  <c r="F54" i="64"/>
  <c r="M78" i="64"/>
  <c r="AP32" i="64"/>
  <c r="E57" i="64"/>
  <c r="U72" i="64"/>
  <c r="AQ84" i="64"/>
  <c r="X32" i="64"/>
  <c r="AH56" i="64"/>
  <c r="T72" i="64"/>
  <c r="M29" i="64"/>
  <c r="L51" i="64"/>
  <c r="AE38" i="64"/>
  <c r="J25" i="64"/>
  <c r="AN25" i="64"/>
  <c r="AM50" i="64"/>
  <c r="R58" i="64"/>
  <c r="H81" i="64"/>
  <c r="V36" i="64"/>
  <c r="R59" i="64"/>
  <c r="J74" i="64"/>
  <c r="AF24" i="63"/>
  <c r="D36" i="64"/>
  <c r="E59" i="64"/>
  <c r="Q74" i="64"/>
  <c r="AE32" i="64"/>
  <c r="J45" i="64"/>
  <c r="AB57" i="64"/>
  <c r="M57" i="60"/>
  <c r="L33" i="64"/>
  <c r="AF45" i="64"/>
  <c r="Q58" i="64"/>
  <c r="U54" i="60"/>
  <c r="AA32" i="64"/>
  <c r="F45" i="64"/>
  <c r="T100" i="60"/>
  <c r="AH29" i="64"/>
  <c r="M42" i="64"/>
  <c r="AG54" i="64"/>
  <c r="E67" i="64"/>
  <c r="AG28" i="64"/>
  <c r="L41" i="64"/>
  <c r="AF53" i="64"/>
  <c r="M66" i="64"/>
  <c r="Y26" i="64"/>
  <c r="D39" i="64"/>
  <c r="X51" i="64"/>
  <c r="AL25" i="64"/>
  <c r="Q38" i="64"/>
  <c r="AK50" i="64"/>
  <c r="K63" i="64"/>
  <c r="S26" i="64"/>
  <c r="AM38" i="64"/>
  <c r="R51" i="64"/>
  <c r="AO63" i="64"/>
  <c r="AH25" i="64"/>
  <c r="M38" i="64"/>
  <c r="AG50" i="64"/>
  <c r="T98" i="60"/>
  <c r="AL41" i="64"/>
  <c r="AL61" i="64"/>
  <c r="E32" i="64"/>
  <c r="AH51" i="64"/>
  <c r="N98" i="60"/>
  <c r="AI40" i="64"/>
  <c r="O26" i="64"/>
  <c r="AI38" i="64"/>
  <c r="N51" i="64"/>
  <c r="S33" i="64"/>
  <c r="P57" i="64"/>
  <c r="AL72" i="64"/>
  <c r="R23" i="63"/>
  <c r="J37" i="64"/>
  <c r="L57" i="64"/>
  <c r="R27" i="64"/>
  <c r="F47" i="64"/>
  <c r="K67" i="64"/>
  <c r="G36" i="64"/>
  <c r="U91" i="60"/>
  <c r="AL35" i="64"/>
  <c r="Q48" i="64"/>
  <c r="AD30" i="64"/>
  <c r="Y55" i="64"/>
  <c r="W71" i="64"/>
  <c r="AK83" i="64"/>
  <c r="D35" i="64"/>
  <c r="G55" i="64"/>
  <c r="D25" i="64"/>
  <c r="AO44" i="64"/>
  <c r="F65" i="64"/>
  <c r="O36" i="64"/>
  <c r="Q90" i="60"/>
  <c r="E36" i="64"/>
  <c r="Y48" i="64"/>
  <c r="E31" i="64"/>
  <c r="AI55" i="64"/>
  <c r="AE71" i="64"/>
  <c r="D84" i="64"/>
  <c r="T35" i="64"/>
  <c r="O55" i="64"/>
  <c r="L25" i="64"/>
  <c r="P45" i="64"/>
  <c r="N65" i="64"/>
  <c r="AP33" i="64"/>
  <c r="E54" i="64"/>
  <c r="AE34" i="64"/>
  <c r="J47" i="64"/>
  <c r="P28" i="64"/>
  <c r="O53" i="64"/>
  <c r="X60" i="64"/>
  <c r="E48" i="64"/>
  <c r="T39" i="64"/>
  <c r="AM34" i="64"/>
  <c r="AF28" i="64"/>
  <c r="Q67" i="64"/>
  <c r="AN25" i="63"/>
  <c r="E45" i="64"/>
  <c r="C65" i="64"/>
  <c r="T78" i="64"/>
  <c r="C29" i="63"/>
  <c r="AG47" i="64"/>
  <c r="D67" i="64"/>
  <c r="H80" i="64"/>
  <c r="F41" i="64"/>
  <c r="AB33" i="64"/>
  <c r="K91" i="60"/>
  <c r="AF25" i="64"/>
  <c r="AE50" i="64"/>
  <c r="G58" i="64"/>
  <c r="R80" i="64"/>
  <c r="F36" i="64"/>
  <c r="F59" i="64"/>
  <c r="AQ73" i="64"/>
  <c r="X24" i="63"/>
  <c r="AC35" i="64"/>
  <c r="AK58" i="64"/>
  <c r="I74" i="64"/>
  <c r="R32" i="64"/>
  <c r="V56" i="64"/>
  <c r="AH43" i="64"/>
  <c r="E30" i="64"/>
  <c r="D29" i="64"/>
  <c r="C54" i="64"/>
  <c r="J61" i="64"/>
  <c r="M83" i="64"/>
  <c r="AA39" i="64"/>
  <c r="S61" i="64"/>
  <c r="AF75" i="64"/>
  <c r="N26" i="63"/>
  <c r="I39" i="64"/>
  <c r="H61" i="64"/>
  <c r="AM75" i="64"/>
  <c r="U57" i="60"/>
  <c r="M34" i="64"/>
  <c r="AG46" i="64"/>
  <c r="I59" i="64"/>
  <c r="N66" i="60"/>
  <c r="AI34" i="64"/>
  <c r="N47" i="64"/>
  <c r="AM59" i="64"/>
  <c r="R66" i="60"/>
  <c r="I34" i="64"/>
  <c r="AC46" i="64"/>
  <c r="AH23" i="64"/>
  <c r="P31" i="64"/>
  <c r="AJ43" i="64"/>
  <c r="N56" i="64"/>
  <c r="AB68" i="64"/>
  <c r="O30" i="64"/>
  <c r="AI42" i="64"/>
  <c r="M55" i="64"/>
  <c r="AI67" i="64"/>
  <c r="G28" i="64"/>
  <c r="AA40" i="64"/>
  <c r="F53" i="64"/>
  <c r="T27" i="64"/>
  <c r="AN39" i="64"/>
  <c r="S52" i="64"/>
  <c r="AH64" i="64"/>
  <c r="AP27" i="64"/>
  <c r="U40" i="64"/>
  <c r="AO52" i="64"/>
  <c r="V65" i="64"/>
  <c r="P27" i="64"/>
  <c r="AJ39" i="64"/>
  <c r="O52" i="64"/>
  <c r="W24" i="64"/>
  <c r="S44" i="64"/>
  <c r="R64" i="64"/>
  <c r="S34" i="64"/>
  <c r="O54" i="64"/>
  <c r="D23" i="64"/>
  <c r="H43" i="64"/>
  <c r="AL27" i="64"/>
  <c r="Q40" i="64"/>
  <c r="AK52" i="64"/>
  <c r="X36" i="64"/>
  <c r="S59" i="64"/>
  <c r="S74" i="64"/>
  <c r="AO24" i="63"/>
  <c r="AF39" i="64"/>
  <c r="AG59" i="64"/>
  <c r="AF29" i="64"/>
  <c r="AB49" i="64"/>
  <c r="O57" i="60"/>
  <c r="U38" i="64"/>
  <c r="AO24" i="64"/>
  <c r="T37" i="64"/>
  <c r="AN49" i="64"/>
  <c r="AI33" i="64"/>
  <c r="AA57" i="64"/>
  <c r="D73" i="64"/>
  <c r="Z23" i="63"/>
  <c r="AH37" i="64"/>
  <c r="T57" i="64"/>
  <c r="Z27" i="64"/>
  <c r="AD47" i="64"/>
  <c r="S67" i="64"/>
  <c r="AC38" i="64"/>
  <c r="H25" i="64"/>
  <c r="AB37" i="64"/>
  <c r="G50" i="64"/>
  <c r="J34" i="64"/>
  <c r="AL57" i="64"/>
  <c r="L73" i="64"/>
  <c r="AH23" i="63"/>
  <c r="AP37" i="64"/>
  <c r="C58" i="64"/>
  <c r="AH27" i="64"/>
  <c r="AL47" i="64"/>
  <c r="AQ67" i="64"/>
  <c r="W36" i="64"/>
  <c r="N97" i="60"/>
  <c r="M36" i="64"/>
  <c r="AG48" i="64"/>
  <c r="U31" i="64"/>
  <c r="AD25" i="64"/>
  <c r="AF65" i="64"/>
  <c r="H53" i="64"/>
  <c r="O44" i="64"/>
  <c r="C38" i="64"/>
  <c r="AP34" i="64"/>
  <c r="Y70" i="64"/>
  <c r="K23" i="64"/>
  <c r="J48" i="64"/>
  <c r="F67" i="64"/>
  <c r="I80" i="64"/>
  <c r="AM25" i="64"/>
  <c r="AL50" i="64"/>
  <c r="E69" i="64"/>
  <c r="N42" i="60"/>
  <c r="AP45" i="64"/>
  <c r="W38" i="64"/>
  <c r="AA24" i="64"/>
  <c r="AK28" i="64"/>
  <c r="AJ53" i="64"/>
  <c r="AP60" i="64"/>
  <c r="E83" i="64"/>
  <c r="K39" i="64"/>
  <c r="I61" i="64"/>
  <c r="X75" i="64"/>
  <c r="F26" i="63"/>
  <c r="AH38" i="64"/>
  <c r="AM60" i="64"/>
  <c r="AE75" i="64"/>
  <c r="O91" i="60"/>
  <c r="N61" i="64"/>
  <c r="AC48" i="64"/>
  <c r="AO34" i="64"/>
  <c r="I32" i="64"/>
  <c r="M23" i="64"/>
  <c r="D65" i="64"/>
  <c r="I24" i="63"/>
  <c r="AF42" i="64"/>
  <c r="V63" i="64"/>
  <c r="M77" i="64"/>
  <c r="AK27" i="63"/>
  <c r="N42" i="64"/>
  <c r="P23" i="64"/>
  <c r="AJ35" i="64"/>
  <c r="O48" i="64"/>
  <c r="AF60" i="64"/>
  <c r="AL23" i="64"/>
  <c r="Q36" i="64"/>
  <c r="AK48" i="64"/>
  <c r="T61" i="64"/>
  <c r="L23" i="64"/>
  <c r="AF35" i="64"/>
  <c r="K48" i="64"/>
  <c r="Q54" i="60"/>
  <c r="AM32" i="64"/>
  <c r="R45" i="64"/>
  <c r="AJ57" i="64"/>
  <c r="Q91" i="60"/>
  <c r="AL31" i="64"/>
  <c r="Q44" i="64"/>
  <c r="AJ56" i="64"/>
  <c r="K54" i="60"/>
  <c r="AD29" i="64"/>
  <c r="I42" i="64"/>
  <c r="AC54" i="64"/>
  <c r="AQ28" i="64"/>
  <c r="V41" i="64"/>
  <c r="AP53" i="64"/>
  <c r="O66" i="64"/>
  <c r="X29" i="64"/>
  <c r="C42" i="64"/>
  <c r="W54" i="64"/>
  <c r="C67" i="64"/>
  <c r="AM28" i="64"/>
  <c r="R41" i="64"/>
  <c r="AL53" i="64"/>
  <c r="D27" i="64"/>
  <c r="H47" i="64"/>
  <c r="AE66" i="64"/>
  <c r="AO36" i="64"/>
  <c r="J57" i="64"/>
  <c r="Z25" i="64"/>
  <c r="AD45" i="64"/>
  <c r="T29" i="64"/>
  <c r="AN41" i="64"/>
  <c r="S54" i="64"/>
  <c r="AC39" i="64"/>
  <c r="U61" i="64"/>
  <c r="AO75" i="64"/>
  <c r="Q48" i="60"/>
  <c r="U42" i="64"/>
  <c r="E62" i="64"/>
  <c r="M32" i="64"/>
  <c r="Q52" i="64"/>
  <c r="Q99" i="60"/>
  <c r="AQ40" i="64"/>
  <c r="W26" i="64"/>
  <c r="AQ38" i="64"/>
  <c r="V51" i="64"/>
  <c r="AN36" i="64"/>
  <c r="AC59" i="64"/>
  <c r="AA74" i="64"/>
  <c r="H25" i="63"/>
  <c r="G40" i="64"/>
  <c r="AO59" i="64"/>
  <c r="AN29" i="64"/>
  <c r="C50" i="64"/>
  <c r="S94" i="60"/>
  <c r="J41" i="64"/>
  <c r="AE26" i="64"/>
  <c r="J39" i="64"/>
  <c r="AD51" i="64"/>
  <c r="O37" i="64"/>
  <c r="AN59" i="64"/>
  <c r="AI74" i="64"/>
  <c r="P25" i="63"/>
  <c r="O40" i="64"/>
  <c r="P60" i="64"/>
  <c r="W30" i="64"/>
  <c r="K50" i="64"/>
  <c r="M90" i="60"/>
  <c r="L39" i="64"/>
  <c r="P25" i="64"/>
  <c r="AJ37" i="64"/>
  <c r="O50" i="64"/>
  <c r="Z34" i="64"/>
  <c r="AG30" i="64"/>
  <c r="K90" i="60"/>
  <c r="I58" i="64"/>
  <c r="R49" i="64"/>
  <c r="H41" i="64"/>
  <c r="K41" i="64"/>
  <c r="AD72" i="64"/>
  <c r="P26" i="64"/>
  <c r="O51" i="64"/>
  <c r="F69" i="64"/>
  <c r="AE81" i="64"/>
  <c r="C29" i="64"/>
  <c r="AQ53" i="64"/>
  <c r="AE70" i="64"/>
  <c r="AG25" i="64"/>
  <c r="D51" i="64"/>
  <c r="R43" i="64"/>
  <c r="AL29" i="64"/>
  <c r="AP31" i="64"/>
  <c r="M94" i="60"/>
  <c r="AJ64" i="64"/>
  <c r="AP23" i="63"/>
  <c r="P42" i="64"/>
  <c r="L63" i="64"/>
  <c r="E77" i="64"/>
  <c r="AC27" i="63"/>
  <c r="AM41" i="64"/>
  <c r="AO62" i="64"/>
  <c r="L77" i="64"/>
  <c r="M26" i="64"/>
  <c r="G66" i="64"/>
  <c r="AN53" i="64"/>
  <c r="C40" i="64"/>
  <c r="N35" i="64"/>
  <c r="W29" i="64"/>
  <c r="AD68" i="64"/>
  <c r="O26" i="63"/>
  <c r="AK45" i="64"/>
  <c r="Y65" i="64"/>
  <c r="AJ78" i="64"/>
  <c r="Q97" i="60"/>
  <c r="S45" i="64"/>
  <c r="W65" i="64"/>
  <c r="AM24" i="64"/>
  <c r="R37" i="64"/>
  <c r="AL49" i="64"/>
  <c r="M62" i="64"/>
  <c r="T25" i="64"/>
  <c r="AN37" i="64"/>
  <c r="S50" i="64"/>
  <c r="AQ62" i="64"/>
  <c r="AI24" i="64"/>
  <c r="N37" i="64"/>
  <c r="AH49" i="64"/>
  <c r="U97" i="60"/>
  <c r="U34" i="64"/>
  <c r="AO46" i="64"/>
  <c r="Q59" i="64"/>
  <c r="S54" i="60"/>
  <c r="T33" i="64"/>
  <c r="AN45" i="64"/>
  <c r="Y58" i="64"/>
  <c r="O98" i="60"/>
  <c r="L31" i="64"/>
  <c r="AF43" i="64"/>
  <c r="U94" i="60"/>
  <c r="Y30" i="64"/>
  <c r="D43" i="64"/>
  <c r="W55" i="64"/>
  <c r="AK67" i="64"/>
  <c r="F31" i="64"/>
  <c r="Z43" i="64"/>
  <c r="D56" i="64"/>
  <c r="Z68" i="64"/>
  <c r="U30" i="64"/>
  <c r="AO42" i="64"/>
  <c r="M54" i="60"/>
  <c r="R29" i="64"/>
  <c r="V49" i="64"/>
  <c r="R69" i="64"/>
  <c r="N39" i="64"/>
  <c r="W59" i="64"/>
  <c r="O28" i="64"/>
  <c r="C48" i="64"/>
  <c r="AQ30" i="64"/>
  <c r="V43" i="64"/>
  <c r="Q57" i="60"/>
  <c r="AH42" i="64"/>
  <c r="AH63" i="64"/>
  <c r="V77" i="64"/>
  <c r="AE24" i="64"/>
  <c r="AI44" i="64"/>
  <c r="Z64" i="64"/>
  <c r="AA34" i="64"/>
  <c r="AE54" i="64"/>
  <c r="AB23" i="64"/>
  <c r="P43" i="64"/>
  <c r="E28" i="64"/>
  <c r="Y40" i="64"/>
  <c r="D53" i="64"/>
  <c r="D40" i="64"/>
  <c r="AF61" i="64"/>
  <c r="H76" i="64"/>
  <c r="L100" i="60"/>
  <c r="AC42" i="64"/>
  <c r="AC62" i="64"/>
  <c r="U32" i="64"/>
  <c r="Y52" i="64"/>
  <c r="AJ23" i="64"/>
  <c r="AN43" i="64"/>
  <c r="M28" i="64"/>
  <c r="AG40" i="64"/>
  <c r="L53" i="64"/>
  <c r="T40" i="64"/>
  <c r="AP61" i="64"/>
  <c r="P76" i="64"/>
  <c r="N94" i="60"/>
  <c r="AK42" i="64"/>
  <c r="AK62" i="64"/>
  <c r="AK32" i="64"/>
  <c r="AG52" i="64"/>
  <c r="K24" i="60"/>
  <c r="Z41" i="64"/>
  <c r="AM26" i="64"/>
  <c r="R39" i="64"/>
  <c r="AL51" i="64"/>
  <c r="AE37" i="64"/>
  <c r="AB35" i="64"/>
  <c r="F23" i="64"/>
  <c r="Q63" i="64"/>
  <c r="M54" i="64"/>
  <c r="M44" i="64"/>
  <c r="U47" i="64"/>
  <c r="Q75" i="64"/>
  <c r="U29" i="64"/>
  <c r="T54" i="64"/>
  <c r="AF70" i="64"/>
  <c r="L83" i="64"/>
  <c r="H32" i="64"/>
  <c r="X56" i="64"/>
  <c r="L72" i="64"/>
  <c r="AL28" i="64"/>
  <c r="AM55" i="64"/>
  <c r="U48" i="64"/>
  <c r="AG34" i="64"/>
  <c r="F35" i="64"/>
  <c r="G29" i="64"/>
  <c r="AB67" i="64"/>
  <c r="G26" i="63"/>
  <c r="U45" i="64"/>
  <c r="M65" i="64"/>
  <c r="AB78" i="64"/>
  <c r="K29" i="63"/>
  <c r="C45" i="64"/>
  <c r="L65" i="64"/>
  <c r="AI78" i="64"/>
  <c r="X31" i="64"/>
  <c r="S98" i="60"/>
  <c r="AO58" i="64"/>
  <c r="AM44" i="64"/>
  <c r="S38" i="64"/>
  <c r="AG35" i="64"/>
  <c r="U26" i="64"/>
  <c r="AO38" i="64"/>
  <c r="T51" i="64"/>
  <c r="AI63" i="64"/>
  <c r="AQ26" i="64"/>
  <c r="V39" i="64"/>
  <c r="AP51" i="64"/>
  <c r="X64" i="64"/>
  <c r="Q26" i="64"/>
  <c r="AK38" i="64"/>
  <c r="P51" i="64"/>
  <c r="X23" i="64"/>
  <c r="C36" i="64"/>
  <c r="W48" i="64"/>
  <c r="AN60" i="64"/>
  <c r="N100" i="60"/>
  <c r="AQ34" i="64"/>
  <c r="V47" i="64"/>
  <c r="F60" i="64"/>
  <c r="L54" i="60"/>
  <c r="AI32" i="64"/>
  <c r="N45" i="64"/>
  <c r="U99" i="60"/>
  <c r="G32" i="64"/>
  <c r="AA44" i="64"/>
  <c r="D57" i="64"/>
  <c r="Z69" i="64"/>
  <c r="AC32" i="64"/>
  <c r="H45" i="64"/>
  <c r="AH57" i="64"/>
  <c r="S91" i="60"/>
  <c r="C32" i="64"/>
  <c r="W44" i="64"/>
  <c r="M91" i="60"/>
  <c r="AN31" i="64"/>
  <c r="C52" i="64"/>
  <c r="Q94" i="60"/>
  <c r="AJ41" i="64"/>
  <c r="C62" i="64"/>
  <c r="AC30" i="64"/>
  <c r="Y50" i="64"/>
  <c r="Y32" i="64"/>
  <c r="D45" i="64"/>
  <c r="U100" i="60"/>
  <c r="AM45" i="64"/>
  <c r="AJ65" i="64"/>
  <c r="C79" i="64"/>
  <c r="L27" i="64"/>
  <c r="P47" i="64"/>
  <c r="M67" i="64"/>
  <c r="H37" i="64"/>
  <c r="R57" i="64"/>
  <c r="AP25" i="64"/>
  <c r="AL45" i="64"/>
  <c r="AB29" i="64"/>
  <c r="G42" i="64"/>
  <c r="AA54" i="64"/>
  <c r="I43" i="64"/>
  <c r="D64" i="64"/>
  <c r="AD77" i="64"/>
  <c r="N25" i="64"/>
  <c r="AQ44" i="64"/>
  <c r="AP64" i="64"/>
  <c r="J35" i="64"/>
  <c r="AM54" i="64"/>
  <c r="I26" i="64"/>
  <c r="M46" i="64"/>
  <c r="AJ29" i="64"/>
  <c r="O42" i="64"/>
  <c r="AI54" i="64"/>
  <c r="Y43" i="64"/>
  <c r="N64" i="64"/>
  <c r="AL77" i="64"/>
  <c r="V25" i="64"/>
  <c r="Z45" i="64"/>
  <c r="H65" i="64"/>
  <c r="R35" i="64"/>
  <c r="U55" i="64"/>
  <c r="C24" i="64"/>
  <c r="G44" i="64"/>
  <c r="U28" i="64"/>
  <c r="AO40" i="64"/>
  <c r="T53" i="64"/>
  <c r="AJ40" i="64"/>
  <c r="AM40" i="64"/>
  <c r="I28" i="64"/>
  <c r="J68" i="64"/>
  <c r="L98" i="60"/>
  <c r="R47" i="64"/>
  <c r="AE53" i="64"/>
  <c r="E78" i="64"/>
  <c r="Z32" i="64"/>
  <c r="AI56" i="64"/>
  <c r="M72" i="64"/>
  <c r="AI84" i="64"/>
  <c r="M35" i="64"/>
  <c r="Z58" i="64"/>
  <c r="AP73" i="64"/>
  <c r="AQ31" i="64"/>
  <c r="F61" i="64"/>
  <c r="P53" i="64"/>
  <c r="AB39" i="64"/>
  <c r="K38" i="64"/>
  <c r="Q35" i="64"/>
  <c r="AG70" i="64"/>
  <c r="AA23" i="64"/>
  <c r="Z48" i="64"/>
  <c r="P67" i="64"/>
  <c r="Q80" i="64"/>
  <c r="I23" i="64"/>
  <c r="H48" i="64"/>
  <c r="O67" i="64"/>
  <c r="P80" i="64"/>
  <c r="S36" i="64"/>
  <c r="AD23" i="64"/>
  <c r="AG63" i="64"/>
  <c r="I50" i="64"/>
  <c r="X41" i="64"/>
  <c r="AQ41" i="64"/>
  <c r="AB73" i="64"/>
  <c r="G27" i="64"/>
  <c r="F52" i="64"/>
  <c r="X69" i="64"/>
  <c r="F82" i="64"/>
  <c r="AD26" i="64"/>
  <c r="AC51" i="64"/>
  <c r="W69" i="64"/>
  <c r="C28" i="64"/>
  <c r="W40" i="64"/>
  <c r="AQ52" i="64"/>
  <c r="P65" i="64"/>
  <c r="Y28" i="64"/>
  <c r="D41" i="64"/>
  <c r="X53" i="64"/>
  <c r="E66" i="64"/>
  <c r="AN27" i="64"/>
  <c r="S40" i="64"/>
  <c r="AM52" i="64"/>
  <c r="F25" i="64"/>
  <c r="Z37" i="64"/>
  <c r="E50" i="64"/>
  <c r="U62" i="64"/>
  <c r="E24" i="64"/>
  <c r="Y36" i="64"/>
  <c r="D49" i="64"/>
  <c r="AB61" i="64"/>
  <c r="R100" i="60"/>
  <c r="Q34" i="64"/>
  <c r="AK46" i="64"/>
  <c r="AP23" i="64"/>
  <c r="AD33" i="64"/>
  <c r="I46" i="64"/>
  <c r="AA58" i="64"/>
  <c r="L99" i="60"/>
  <c r="K34" i="64"/>
  <c r="AE46" i="64"/>
  <c r="O59" i="64"/>
  <c r="O100" i="60"/>
  <c r="Z33" i="64"/>
  <c r="E46" i="64"/>
  <c r="K60" i="60"/>
  <c r="AC34" i="64"/>
  <c r="Q54" i="64"/>
  <c r="U24" i="64"/>
  <c r="Y44" i="64"/>
  <c r="P64" i="64"/>
  <c r="J33" i="64"/>
  <c r="N53" i="64"/>
  <c r="G34" i="64"/>
  <c r="AA46" i="64"/>
  <c r="D24" i="64"/>
  <c r="C49" i="64"/>
  <c r="AM67" i="64"/>
  <c r="Z80" i="64"/>
  <c r="AP29" i="64"/>
  <c r="AD49" i="64"/>
  <c r="L57" i="60"/>
  <c r="AL39" i="64"/>
  <c r="AE59" i="64"/>
  <c r="W28" i="64"/>
  <c r="AA48" i="64"/>
  <c r="J31" i="64"/>
  <c r="AD43" i="64"/>
  <c r="N91" i="60"/>
  <c r="N46" i="64"/>
  <c r="F66" i="64"/>
  <c r="K79" i="64"/>
  <c r="AB27" i="64"/>
  <c r="X47" i="64"/>
  <c r="U67" i="64"/>
  <c r="X37" i="64"/>
  <c r="Z57" i="64"/>
  <c r="AE28" i="64"/>
  <c r="AI48" i="64"/>
  <c r="R31" i="64"/>
  <c r="AL43" i="64"/>
  <c r="R90" i="60"/>
  <c r="AD46" i="64"/>
  <c r="Q66" i="64"/>
  <c r="S79" i="64"/>
  <c r="AJ27" i="64"/>
  <c r="AN47" i="64"/>
  <c r="AC67" i="64"/>
  <c r="AF37" i="64"/>
  <c r="AP57" i="64"/>
  <c r="AG26" i="64"/>
  <c r="U46" i="64"/>
  <c r="C30" i="64"/>
  <c r="W42" i="64"/>
  <c r="AQ54" i="64"/>
  <c r="AO43" i="64"/>
  <c r="AH45" i="64"/>
  <c r="D33" i="64"/>
  <c r="S24" i="64"/>
  <c r="X25" i="64"/>
  <c r="W50" i="64"/>
  <c r="F57" i="64"/>
  <c r="J80" i="64"/>
  <c r="AE35" i="64"/>
  <c r="AL58" i="64"/>
  <c r="AI73" i="64"/>
  <c r="P24" i="63"/>
  <c r="R38" i="64"/>
  <c r="AB60" i="64"/>
  <c r="W75" i="64"/>
  <c r="E26" i="64"/>
  <c r="AN65" i="64"/>
  <c r="AG58" i="64"/>
  <c r="AE44" i="64"/>
  <c r="P41" i="64"/>
  <c r="AA41" i="64"/>
  <c r="T73" i="64"/>
  <c r="AF26" i="64"/>
  <c r="AE51" i="64"/>
  <c r="O69" i="64"/>
  <c r="AM81" i="64"/>
  <c r="N26" i="64"/>
  <c r="M51" i="64"/>
  <c r="N69" i="64"/>
  <c r="C23" i="64"/>
  <c r="N41" i="64"/>
  <c r="AO28" i="64"/>
  <c r="AH68" i="64"/>
  <c r="C55" i="64"/>
  <c r="AC44" i="64"/>
  <c r="M97" i="60"/>
  <c r="K87" i="60"/>
  <c r="AA42" i="64"/>
  <c r="AB51" i="64"/>
  <c r="S48" i="64"/>
  <c r="AL60" i="64"/>
  <c r="AM46" i="64"/>
  <c r="AH69" i="64"/>
  <c r="AO50" i="64"/>
  <c r="M50" i="64"/>
  <c r="AJ24" i="64"/>
  <c r="V60" i="64"/>
  <c r="O38" i="64"/>
  <c r="P75" i="64"/>
  <c r="Z49" i="64"/>
  <c r="S29" i="64"/>
  <c r="AH47" i="64"/>
  <c r="Q33" i="64"/>
  <c r="AB83" i="64"/>
  <c r="J63" i="64"/>
  <c r="X26" i="64"/>
  <c r="AD41" i="64"/>
  <c r="C34" i="64"/>
  <c r="R25" i="64"/>
  <c r="L29" i="64"/>
  <c r="K54" i="64"/>
  <c r="L62" i="64"/>
  <c r="U83" i="64"/>
  <c r="AQ39" i="64"/>
  <c r="AE61" i="64"/>
  <c r="AN75" i="64"/>
  <c r="V26" i="63"/>
  <c r="Y39" i="64"/>
  <c r="S63" i="64"/>
  <c r="S57" i="60"/>
  <c r="AF44" i="64"/>
  <c r="N28" i="64"/>
  <c r="H70" i="64"/>
  <c r="AK27" i="64"/>
  <c r="Y66" i="64"/>
  <c r="AO33" i="64"/>
  <c r="L58" i="64"/>
  <c r="AE73" i="64"/>
  <c r="T26" i="64"/>
  <c r="C69" i="64"/>
  <c r="AF27" i="63"/>
  <c r="S40" i="63"/>
  <c r="AM52" i="63"/>
  <c r="T65" i="63"/>
  <c r="J51" i="64"/>
  <c r="AF33" i="64"/>
  <c r="M63" i="64"/>
  <c r="S47" i="64"/>
  <c r="AH79" i="64"/>
  <c r="AP46" i="64"/>
  <c r="G75" i="64"/>
  <c r="F44" i="64"/>
  <c r="AM64" i="64"/>
  <c r="X78" i="64"/>
  <c r="AO45" i="64"/>
  <c r="AG78" i="64"/>
  <c r="AI32" i="63"/>
  <c r="N45" i="63"/>
  <c r="AF57" i="63"/>
  <c r="J64" i="64"/>
  <c r="AL37" i="64"/>
  <c r="U66" i="60"/>
  <c r="AJ84" i="64"/>
  <c r="AJ66" i="64"/>
  <c r="AB28" i="64"/>
  <c r="AJ67" i="64"/>
  <c r="AF34" i="64"/>
  <c r="AF58" i="64"/>
  <c r="F74" i="64"/>
  <c r="AQ27" i="64"/>
  <c r="AL69" i="64"/>
  <c r="I28" i="63"/>
  <c r="AI40" i="63"/>
  <c r="N53" i="63"/>
  <c r="AJ65" i="63"/>
  <c r="X45" i="64"/>
  <c r="K30" i="64"/>
  <c r="AM58" i="64"/>
  <c r="M37" i="64"/>
  <c r="Z74" i="64"/>
  <c r="AJ36" i="64"/>
  <c r="W70" i="64"/>
  <c r="AB38" i="64"/>
  <c r="O61" i="64"/>
  <c r="AJ75" i="64"/>
  <c r="C35" i="64"/>
  <c r="P73" i="64"/>
  <c r="E30" i="63"/>
  <c r="Y42" i="63"/>
  <c r="C55" i="63"/>
  <c r="AA28" i="64"/>
  <c r="AK55" i="64"/>
  <c r="AM42" i="64"/>
  <c r="F72" i="64"/>
  <c r="H50" i="64"/>
  <c r="G81" i="64"/>
  <c r="AE49" i="64"/>
  <c r="N76" i="64"/>
  <c r="M45" i="64"/>
  <c r="AC65" i="64"/>
  <c r="I36" i="64"/>
  <c r="AE82" i="64"/>
  <c r="J46" i="64"/>
  <c r="AH59" i="64"/>
  <c r="AJ42" i="64"/>
  <c r="C32" i="63"/>
  <c r="AP56" i="63"/>
  <c r="AB42" i="64"/>
  <c r="H77" i="64"/>
  <c r="J32" i="63"/>
  <c r="AD44" i="63"/>
  <c r="O57" i="63"/>
  <c r="AD59" i="64"/>
  <c r="AE23" i="63"/>
  <c r="L37" i="63"/>
  <c r="K35" i="64"/>
  <c r="M74" i="64"/>
  <c r="AF30" i="63"/>
  <c r="F43" i="64"/>
  <c r="E72" i="64"/>
  <c r="AI23" i="64"/>
  <c r="AO77" i="64"/>
  <c r="E55" i="64"/>
  <c r="AQ63" i="64"/>
  <c r="M99" i="60"/>
  <c r="T91" i="60"/>
  <c r="AK66" i="64"/>
  <c r="G82" i="64"/>
  <c r="AG32" i="64"/>
  <c r="R54" i="60"/>
  <c r="AI49" i="64"/>
  <c r="F29" i="64"/>
  <c r="N29" i="64"/>
  <c r="AM25" i="63"/>
  <c r="U44" i="64"/>
  <c r="R54" i="64"/>
  <c r="L48" i="64"/>
  <c r="AP48" i="64"/>
  <c r="I23" i="63"/>
  <c r="Y67" i="64"/>
  <c r="AC29" i="64"/>
  <c r="Y46" i="64"/>
  <c r="F39" i="64"/>
  <c r="M30" i="64"/>
  <c r="Q32" i="64"/>
  <c r="AC23" i="64"/>
  <c r="O65" i="64"/>
  <c r="Q24" i="63"/>
  <c r="G43" i="64"/>
  <c r="AF63" i="64"/>
  <c r="U77" i="64"/>
  <c r="D28" i="63"/>
  <c r="AD42" i="64"/>
  <c r="AM30" i="64"/>
  <c r="N27" i="64"/>
  <c r="P56" i="64"/>
  <c r="X34" i="64"/>
  <c r="K73" i="64"/>
  <c r="F34" i="64"/>
  <c r="AN69" i="64"/>
  <c r="U37" i="64"/>
  <c r="Y60" i="64"/>
  <c r="L75" i="64"/>
  <c r="AD32" i="64"/>
  <c r="J72" i="64"/>
  <c r="V29" i="63"/>
  <c r="AP41" i="63"/>
  <c r="U54" i="63"/>
  <c r="AN23" i="64"/>
  <c r="L61" i="64"/>
  <c r="AP39" i="64"/>
  <c r="Y69" i="64"/>
  <c r="AC53" i="64"/>
  <c r="AL82" i="64"/>
  <c r="AJ52" i="64"/>
  <c r="AJ77" i="64"/>
  <c r="K47" i="64"/>
  <c r="AP66" i="64"/>
  <c r="E80" i="64"/>
  <c r="J52" i="64"/>
  <c r="Y81" i="64"/>
  <c r="Q34" i="63"/>
  <c r="AK46" i="63"/>
  <c r="M59" i="63"/>
  <c r="R98" i="60"/>
  <c r="AJ47" i="64"/>
  <c r="C33" i="64"/>
  <c r="E29" i="64"/>
  <c r="X70" i="64"/>
  <c r="AL34" i="64"/>
  <c r="O70" i="64"/>
  <c r="L38" i="64"/>
  <c r="C61" i="64"/>
  <c r="AB75" i="64"/>
  <c r="L34" i="64"/>
  <c r="AP72" i="64"/>
  <c r="AL29" i="63"/>
  <c r="Q42" i="63"/>
  <c r="AK54" i="63"/>
  <c r="S28" i="64"/>
  <c r="AC55" i="64"/>
  <c r="U36" i="64"/>
  <c r="Z65" i="64"/>
  <c r="W43" i="64"/>
  <c r="AC77" i="64"/>
  <c r="E43" i="64"/>
  <c r="R73" i="64"/>
  <c r="AG41" i="64"/>
  <c r="P63" i="64"/>
  <c r="Q77" i="64"/>
  <c r="M41" i="64"/>
  <c r="T76" i="64"/>
  <c r="AB31" i="63"/>
  <c r="G44" i="63"/>
  <c r="Z56" i="63"/>
  <c r="Y38" i="64"/>
  <c r="AL65" i="64"/>
  <c r="H49" i="64"/>
  <c r="AN76" i="64"/>
  <c r="C56" i="64"/>
  <c r="K84" i="64"/>
  <c r="H55" i="64"/>
  <c r="S78" i="64"/>
  <c r="R48" i="64"/>
  <c r="AF67" i="64"/>
  <c r="AD60" i="64"/>
  <c r="AI31" i="64"/>
  <c r="P59" i="64"/>
  <c r="S64" i="64"/>
  <c r="F55" i="64"/>
  <c r="H35" i="63"/>
  <c r="D60" i="63"/>
  <c r="AL48" i="64"/>
  <c r="L80" i="64"/>
  <c r="AG33" i="63"/>
  <c r="L46" i="63"/>
  <c r="AL58" i="63"/>
  <c r="AJ63" i="64"/>
  <c r="AI25" i="63"/>
  <c r="AI38" i="63"/>
  <c r="U41" i="64"/>
  <c r="P77" i="64"/>
  <c r="N32" i="63"/>
  <c r="L97" i="60"/>
  <c r="O81" i="64"/>
  <c r="AD36" i="64"/>
  <c r="C81" i="64"/>
  <c r="AA67" i="64"/>
  <c r="AB25" i="64"/>
  <c r="L35" i="64"/>
  <c r="H35" i="64"/>
  <c r="X35" i="64"/>
  <c r="O32" i="64"/>
  <c r="L45" i="64"/>
  <c r="E40" i="64"/>
  <c r="S68" i="64"/>
  <c r="AQ48" i="64"/>
  <c r="AC28" i="64"/>
  <c r="W41" i="64"/>
  <c r="AK47" i="64"/>
  <c r="AM70" i="64"/>
  <c r="V54" i="64"/>
  <c r="J55" i="64"/>
  <c r="Y23" i="64"/>
  <c r="E71" i="64"/>
  <c r="AH32" i="64"/>
  <c r="AJ51" i="64"/>
  <c r="AP43" i="64"/>
  <c r="P35" i="64"/>
  <c r="V35" i="64"/>
  <c r="AM29" i="64"/>
  <c r="AN68" i="64"/>
  <c r="K98" i="60"/>
  <c r="L46" i="64"/>
  <c r="AI65" i="64"/>
  <c r="J79" i="64"/>
  <c r="O94" i="60"/>
  <c r="AI45" i="64"/>
  <c r="AK40" i="64"/>
  <c r="X33" i="64"/>
  <c r="AG62" i="64"/>
  <c r="AH40" i="64"/>
  <c r="O76" i="64"/>
  <c r="P40" i="64"/>
  <c r="D72" i="64"/>
  <c r="Z40" i="64"/>
  <c r="Z62" i="64"/>
  <c r="AI76" i="64"/>
  <c r="AN38" i="64"/>
  <c r="M75" i="64"/>
  <c r="D31" i="63"/>
  <c r="X43" i="63"/>
  <c r="AQ55" i="63"/>
  <c r="AL33" i="64"/>
  <c r="L66" i="60"/>
  <c r="K46" i="64"/>
  <c r="AQ74" i="64"/>
  <c r="P58" i="64"/>
  <c r="AO23" i="63"/>
  <c r="N57" i="64"/>
  <c r="AO79" i="64"/>
  <c r="P50" i="64"/>
  <c r="AQ68" i="64"/>
  <c r="AA81" i="64"/>
  <c r="M57" i="64"/>
  <c r="AQ83" i="64"/>
  <c r="AN35" i="63"/>
  <c r="S48" i="63"/>
  <c r="AJ60" i="63"/>
  <c r="V31" i="64"/>
  <c r="L94" i="60"/>
  <c r="W45" i="64"/>
  <c r="O35" i="64"/>
  <c r="AA73" i="64"/>
  <c r="G41" i="64"/>
  <c r="J73" i="64"/>
  <c r="Q41" i="64"/>
  <c r="F63" i="64"/>
  <c r="I77" i="64"/>
  <c r="V40" i="64"/>
  <c r="D76" i="64"/>
  <c r="T31" i="63"/>
  <c r="AN43" i="63"/>
  <c r="R56" i="63"/>
  <c r="I38" i="64"/>
  <c r="AD65" i="64"/>
  <c r="AE42" i="64"/>
  <c r="AM71" i="64"/>
  <c r="AG49" i="64"/>
  <c r="AO80" i="64"/>
  <c r="O49" i="64"/>
  <c r="F76" i="64"/>
  <c r="AL44" i="64"/>
  <c r="S65" i="64"/>
  <c r="AN78" i="64"/>
  <c r="W47" i="64"/>
  <c r="W79" i="64"/>
  <c r="J33" i="63"/>
  <c r="AD45" i="63"/>
  <c r="G58" i="63"/>
  <c r="AE48" i="64"/>
  <c r="K32" i="64"/>
  <c r="Q55" i="64"/>
  <c r="AF81" i="64"/>
  <c r="I60" i="64"/>
  <c r="O25" i="63"/>
  <c r="E58" i="64"/>
  <c r="Q36" i="60"/>
  <c r="W51" i="64"/>
  <c r="AC69" i="64"/>
  <c r="AQ32" i="64"/>
  <c r="AB46" i="64"/>
  <c r="AA68" i="64"/>
  <c r="D70" i="64"/>
  <c r="R63" i="64"/>
  <c r="M38" i="63"/>
  <c r="O63" i="63"/>
  <c r="D55" i="64"/>
  <c r="AG82" i="64"/>
  <c r="O35" i="63"/>
  <c r="AI47" i="63"/>
  <c r="AK23" i="64"/>
  <c r="AN67" i="64"/>
  <c r="AD27" i="63"/>
  <c r="Q40" i="63"/>
  <c r="AE47" i="64"/>
  <c r="T80" i="64"/>
  <c r="AG38" i="64"/>
  <c r="AG51" i="64"/>
  <c r="Z29" i="64"/>
  <c r="V29" i="64"/>
  <c r="G38" i="64"/>
  <c r="AF47" i="64"/>
  <c r="AB47" i="64"/>
  <c r="T66" i="60"/>
  <c r="K52" i="64"/>
  <c r="T24" i="64"/>
  <c r="N60" i="64"/>
  <c r="AP80" i="64"/>
  <c r="Z31" i="64"/>
  <c r="AB53" i="64"/>
  <c r="AE62" i="64"/>
  <c r="Y75" i="64"/>
  <c r="H26" i="64"/>
  <c r="AO70" i="64"/>
  <c r="O57" i="64"/>
  <c r="AI29" i="64"/>
  <c r="AB72" i="64"/>
  <c r="AM35" i="64"/>
  <c r="AD56" i="64"/>
  <c r="L49" i="64"/>
  <c r="K40" i="64"/>
  <c r="AA38" i="64"/>
  <c r="H36" i="64"/>
  <c r="G71" i="64"/>
  <c r="R24" i="64"/>
  <c r="Q49" i="64"/>
  <c r="AL67" i="64"/>
  <c r="AG80" i="64"/>
  <c r="AO23" i="64"/>
  <c r="AN48" i="64"/>
  <c r="AQ50" i="64"/>
  <c r="AH39" i="64"/>
  <c r="P69" i="64"/>
  <c r="C47" i="64"/>
  <c r="Z79" i="64"/>
  <c r="Z46" i="64"/>
  <c r="AO74" i="64"/>
  <c r="AE43" i="64"/>
  <c r="AC64" i="64"/>
  <c r="P78" i="64"/>
  <c r="I45" i="64"/>
  <c r="Q78" i="64"/>
  <c r="AA32" i="63"/>
  <c r="F45" i="63"/>
  <c r="X57" i="63"/>
  <c r="C44" i="64"/>
  <c r="X27" i="64"/>
  <c r="U52" i="64"/>
  <c r="AI79" i="64"/>
  <c r="V62" i="64"/>
  <c r="E27" i="63"/>
  <c r="G60" i="64"/>
  <c r="Z24" i="64"/>
  <c r="U53" i="64"/>
  <c r="AB70" i="64"/>
  <c r="H83" i="64"/>
  <c r="P61" i="64"/>
  <c r="D24" i="63"/>
  <c r="V37" i="63"/>
  <c r="AP49" i="63"/>
  <c r="Y62" i="63"/>
  <c r="AB41" i="64"/>
  <c r="AD27" i="64"/>
  <c r="AK56" i="64"/>
  <c r="Y41" i="64"/>
  <c r="AE76" i="64"/>
  <c r="Q47" i="64"/>
  <c r="O75" i="64"/>
  <c r="V44" i="64"/>
  <c r="I65" i="64"/>
  <c r="AF78" i="64"/>
  <c r="AF46" i="64"/>
  <c r="G79" i="64"/>
  <c r="AQ32" i="63"/>
  <c r="V45" i="63"/>
  <c r="AN57" i="63"/>
  <c r="G48" i="64"/>
  <c r="S99" i="60"/>
  <c r="AO48" i="64"/>
  <c r="AF76" i="64"/>
  <c r="AH55" i="64"/>
  <c r="C84" i="64"/>
  <c r="AA53" i="64"/>
  <c r="K78" i="64"/>
  <c r="AQ47" i="64"/>
  <c r="V67" i="64"/>
  <c r="U80" i="64"/>
  <c r="AG53" i="64"/>
  <c r="I82" i="64"/>
  <c r="AG34" i="63"/>
  <c r="L47" i="63"/>
  <c r="AC59" i="63"/>
  <c r="S58" i="64"/>
  <c r="Q42" i="64"/>
  <c r="AQ25" i="64"/>
  <c r="AG24" i="63"/>
  <c r="M64" i="64"/>
  <c r="T28" i="63"/>
  <c r="AC61" i="64"/>
  <c r="AN26" i="64"/>
  <c r="AB54" i="64"/>
  <c r="R71" i="64"/>
  <c r="I24" i="64"/>
  <c r="AC60" i="64"/>
  <c r="AG74" i="64"/>
  <c r="AD74" i="64"/>
  <c r="C71" i="64"/>
  <c r="R41" i="63"/>
  <c r="AB65" i="63"/>
  <c r="K59" i="64"/>
  <c r="L23" i="63"/>
  <c r="AL36" i="63"/>
  <c r="Q49" i="63"/>
  <c r="E42" i="64"/>
  <c r="AP41" i="64"/>
  <c r="AA50" i="64"/>
  <c r="H60" i="64"/>
  <c r="J23" i="64"/>
  <c r="AD35" i="64"/>
  <c r="Q60" i="60"/>
  <c r="S49" i="64"/>
  <c r="T31" i="64"/>
  <c r="Q30" i="64"/>
  <c r="E44" i="64"/>
  <c r="AE60" i="64"/>
  <c r="D77" i="64"/>
  <c r="AK29" i="64"/>
  <c r="Q46" i="64"/>
  <c r="AG75" i="64"/>
  <c r="Z67" i="64"/>
  <c r="AN32" i="64"/>
  <c r="T77" i="64"/>
  <c r="S90" i="60"/>
  <c r="V61" i="64"/>
  <c r="G54" i="64"/>
  <c r="V45" i="64"/>
  <c r="AF41" i="64"/>
  <c r="R42" i="64"/>
  <c r="AJ73" i="64"/>
  <c r="W27" i="64"/>
  <c r="V52" i="64"/>
  <c r="AG69" i="64"/>
  <c r="N82" i="64"/>
  <c r="E27" i="64"/>
  <c r="AF23" i="64"/>
  <c r="D61" i="64"/>
  <c r="C46" i="64"/>
  <c r="K74" i="64"/>
  <c r="M53" i="64"/>
  <c r="AD82" i="64"/>
  <c r="T52" i="64"/>
  <c r="AB77" i="64"/>
  <c r="AJ46" i="64"/>
  <c r="AF66" i="64"/>
  <c r="AL79" i="64"/>
  <c r="S51" i="64"/>
  <c r="L81" i="64"/>
  <c r="I34" i="63"/>
  <c r="AC46" i="63"/>
  <c r="E59" i="63"/>
  <c r="AH53" i="64"/>
  <c r="AD37" i="64"/>
  <c r="K99" i="60"/>
  <c r="AB84" i="64"/>
  <c r="Z66" i="64"/>
  <c r="S100" i="60"/>
  <c r="AE63" i="64"/>
  <c r="D30" i="64"/>
  <c r="S56" i="64"/>
  <c r="Q72" i="64"/>
  <c r="AE84" i="64"/>
  <c r="T65" i="64"/>
  <c r="H26" i="63"/>
  <c r="D39" i="63"/>
  <c r="X51" i="63"/>
  <c r="G24" i="64"/>
  <c r="Z51" i="64"/>
  <c r="AN33" i="64"/>
  <c r="W63" i="64"/>
  <c r="AI47" i="64"/>
  <c r="AP79" i="64"/>
  <c r="K53" i="64"/>
  <c r="C78" i="64"/>
  <c r="AA47" i="64"/>
  <c r="J67" i="64"/>
  <c r="M80" i="64"/>
  <c r="AP52" i="64"/>
  <c r="AK81" i="64"/>
  <c r="Y34" i="63"/>
  <c r="D47" i="63"/>
  <c r="U59" i="63"/>
  <c r="K58" i="64"/>
  <c r="AJ31" i="64"/>
  <c r="I55" i="64"/>
  <c r="X81" i="64"/>
  <c r="AL59" i="64"/>
  <c r="G25" i="63"/>
  <c r="AI57" i="64"/>
  <c r="K49" i="60"/>
  <c r="G51" i="64"/>
  <c r="T69" i="64"/>
  <c r="AQ81" i="64"/>
  <c r="N58" i="64"/>
  <c r="AC84" i="64"/>
  <c r="O36" i="63"/>
  <c r="AI48" i="63"/>
  <c r="R61" i="63"/>
  <c r="L68" i="64"/>
  <c r="G52" i="64"/>
  <c r="V38" i="64"/>
  <c r="I25" i="64"/>
  <c r="Q68" i="64"/>
  <c r="AF24" i="64"/>
  <c r="V64" i="64"/>
  <c r="K31" i="64"/>
  <c r="I57" i="64"/>
  <c r="AO72" i="64"/>
  <c r="Z39" i="64"/>
  <c r="AL71" i="64"/>
  <c r="N44" i="60"/>
  <c r="AG77" i="64"/>
  <c r="J77" i="64"/>
  <c r="W44" i="63"/>
  <c r="Q67" i="63"/>
  <c r="O63" i="64"/>
  <c r="N25" i="63"/>
  <c r="T38" i="63"/>
  <c r="AN50" i="63"/>
  <c r="P36" i="64"/>
  <c r="T74" i="64"/>
  <c r="AQ30" i="63"/>
  <c r="V43" i="63"/>
  <c r="W58" i="64"/>
  <c r="P23" i="63"/>
  <c r="AG36" i="64"/>
  <c r="L84" i="64"/>
  <c r="Y54" i="64"/>
  <c r="U54" i="64"/>
  <c r="I63" i="64"/>
  <c r="N23" i="64"/>
  <c r="AQ36" i="64"/>
  <c r="I48" i="64"/>
  <c r="K42" i="64"/>
  <c r="H68" i="64"/>
  <c r="H51" i="64"/>
  <c r="U50" i="64"/>
  <c r="T57" i="60"/>
  <c r="AM82" i="64"/>
  <c r="AO30" i="64"/>
  <c r="AJ54" i="64"/>
  <c r="AJ33" i="64"/>
  <c r="U78" i="64"/>
  <c r="F71" i="64"/>
  <c r="X48" i="64"/>
  <c r="AQ78" i="64"/>
  <c r="AK26" i="64"/>
  <c r="W66" i="64"/>
  <c r="G59" i="64"/>
  <c r="Q50" i="64"/>
  <c r="AK44" i="64"/>
  <c r="AB48" i="64"/>
  <c r="X76" i="64"/>
  <c r="AB30" i="64"/>
  <c r="X55" i="64"/>
  <c r="N71" i="64"/>
  <c r="AJ83" i="64"/>
  <c r="J30" i="64"/>
  <c r="V33" i="64"/>
  <c r="H27" i="64"/>
  <c r="M52" i="64"/>
  <c r="AA79" i="64"/>
  <c r="F58" i="64"/>
  <c r="AG23" i="63"/>
  <c r="M56" i="64"/>
  <c r="AG79" i="64"/>
  <c r="AO49" i="64"/>
  <c r="AG68" i="64"/>
  <c r="S81" i="64"/>
  <c r="AG56" i="64"/>
  <c r="AE83" i="64"/>
  <c r="AF35" i="63"/>
  <c r="K48" i="63"/>
  <c r="AB60" i="63"/>
  <c r="AA63" i="64"/>
  <c r="T47" i="64"/>
  <c r="AB32" i="64"/>
  <c r="AD28" i="64"/>
  <c r="P70" i="64"/>
  <c r="L28" i="64"/>
  <c r="AI66" i="64"/>
  <c r="P34" i="64"/>
  <c r="V58" i="64"/>
  <c r="AM73" i="64"/>
  <c r="K27" i="64"/>
  <c r="U69" i="64"/>
  <c r="AO27" i="63"/>
  <c r="AA40" i="63"/>
  <c r="F53" i="63"/>
  <c r="E34" i="64"/>
  <c r="AJ61" i="64"/>
  <c r="I40" i="64"/>
  <c r="Q70" i="64"/>
  <c r="D54" i="64"/>
  <c r="D83" i="64"/>
  <c r="X57" i="64"/>
  <c r="K57" i="60"/>
  <c r="AF50" i="64"/>
  <c r="K69" i="64"/>
  <c r="AI81" i="64"/>
  <c r="AG57" i="64"/>
  <c r="P84" i="64"/>
  <c r="G36" i="63"/>
  <c r="AA48" i="63"/>
  <c r="J61" i="63"/>
  <c r="D68" i="64"/>
  <c r="AH41" i="64"/>
  <c r="AA25" i="64"/>
  <c r="Y24" i="63"/>
  <c r="C64" i="64"/>
  <c r="L28" i="63"/>
  <c r="R61" i="64"/>
  <c r="Q25" i="64"/>
  <c r="L54" i="64"/>
  <c r="J71" i="64"/>
  <c r="X83" i="64"/>
  <c r="Q62" i="64"/>
  <c r="Z24" i="63"/>
  <c r="AL37" i="63"/>
  <c r="Q50" i="63"/>
  <c r="AO62" i="63"/>
  <c r="C26" i="64"/>
  <c r="Z23" i="64"/>
  <c r="AP50" i="64"/>
  <c r="S31" i="64"/>
  <c r="AD71" i="64"/>
  <c r="AP30" i="64"/>
  <c r="P68" i="64"/>
  <c r="W35" i="64"/>
  <c r="V59" i="64"/>
  <c r="V74" i="64"/>
  <c r="K72" i="60"/>
  <c r="R79" i="64"/>
  <c r="N36" i="64"/>
  <c r="AK80" i="64"/>
  <c r="AI82" i="64"/>
  <c r="AB47" i="63"/>
  <c r="AM23" i="64"/>
  <c r="T67" i="64"/>
  <c r="L27" i="63"/>
  <c r="AQ39" i="63"/>
  <c r="V52" i="63"/>
  <c r="Z42" i="64"/>
  <c r="W77" i="64"/>
  <c r="Y32" i="63"/>
  <c r="D45" i="63"/>
  <c r="Z63" i="64"/>
  <c r="AM66" i="64"/>
  <c r="AC26" i="64"/>
  <c r="T23" i="64"/>
  <c r="AH35" i="64"/>
  <c r="AL56" i="64"/>
  <c r="I27" i="64"/>
  <c r="K62" i="64"/>
  <c r="AH80" i="64"/>
  <c r="AO32" i="64"/>
  <c r="T90" i="60"/>
  <c r="E47" i="64"/>
  <c r="AJ38" i="64"/>
  <c r="V23" i="64"/>
  <c r="AN70" i="64"/>
  <c r="N90" i="60"/>
  <c r="AQ23" i="64"/>
  <c r="AC72" i="64"/>
  <c r="AH54" i="64"/>
  <c r="Q66" i="60"/>
  <c r="AF31" i="64"/>
  <c r="M24" i="64"/>
  <c r="H64" i="64"/>
  <c r="K55" i="64"/>
  <c r="AP47" i="64"/>
  <c r="AL54" i="64"/>
  <c r="AC78" i="64"/>
  <c r="AG33" i="64"/>
  <c r="Y57" i="64"/>
  <c r="AK72" i="64"/>
  <c r="Q23" i="63"/>
  <c r="O33" i="64"/>
  <c r="T43" i="64"/>
  <c r="F37" i="64"/>
  <c r="U98" i="60"/>
  <c r="T84" i="64"/>
  <c r="J62" i="64"/>
  <c r="AL26" i="63"/>
  <c r="AK59" i="64"/>
  <c r="J24" i="64"/>
  <c r="E53" i="64"/>
  <c r="T70" i="64"/>
  <c r="AP82" i="64"/>
  <c r="AJ60" i="64"/>
  <c r="AI23" i="63"/>
  <c r="N37" i="63"/>
  <c r="AH49" i="63"/>
  <c r="Q62" i="63"/>
  <c r="N31" i="64"/>
  <c r="N54" i="60"/>
  <c r="G45" i="64"/>
  <c r="AN34" i="64"/>
  <c r="S73" i="64"/>
  <c r="V34" i="64"/>
  <c r="G70" i="64"/>
  <c r="AK37" i="64"/>
  <c r="AI60" i="64"/>
  <c r="T75" i="64"/>
  <c r="U33" i="64"/>
  <c r="Z72" i="64"/>
  <c r="AD29" i="63"/>
  <c r="I42" i="63"/>
  <c r="AC54" i="63"/>
  <c r="K44" i="64"/>
  <c r="O66" i="60"/>
  <c r="S46" i="64"/>
  <c r="I75" i="64"/>
  <c r="AB58" i="64"/>
  <c r="H24" i="63"/>
  <c r="R60" i="64"/>
  <c r="AP24" i="64"/>
  <c r="AK53" i="64"/>
  <c r="AJ70" i="64"/>
  <c r="P83" i="64"/>
  <c r="AK61" i="64"/>
  <c r="N24" i="63"/>
  <c r="AD37" i="63"/>
  <c r="I50" i="63"/>
  <c r="AG62" i="63"/>
  <c r="AJ25" i="64"/>
  <c r="AN51" i="64"/>
  <c r="F38" i="64"/>
  <c r="AH24" i="64"/>
  <c r="G68" i="64"/>
  <c r="P24" i="64"/>
  <c r="L64" i="64"/>
  <c r="AJ30" i="64"/>
  <c r="AO56" i="64"/>
  <c r="AG72" i="64"/>
  <c r="S42" i="60"/>
  <c r="V66" i="64"/>
  <c r="AA26" i="63"/>
  <c r="T39" i="63"/>
  <c r="AN51" i="63"/>
  <c r="V64" i="63"/>
  <c r="AP35" i="64"/>
  <c r="S30" i="64"/>
  <c r="H59" i="64"/>
  <c r="AC37" i="64"/>
  <c r="AH74" i="64"/>
  <c r="K37" i="64"/>
  <c r="M71" i="64"/>
  <c r="C39" i="64"/>
  <c r="Y61" i="64"/>
  <c r="N33" i="64"/>
  <c r="Q51" i="64"/>
  <c r="AE25" i="63"/>
  <c r="O43" i="64"/>
  <c r="AN83" i="64"/>
  <c r="E25" i="63"/>
  <c r="AG50" i="63"/>
  <c r="H30" i="64"/>
  <c r="AQ70" i="64"/>
  <c r="D29" i="63"/>
  <c r="Y41" i="63"/>
  <c r="D54" i="63"/>
  <c r="AJ48" i="64"/>
  <c r="X80" i="64"/>
  <c r="G34" i="63"/>
  <c r="S44" i="60"/>
  <c r="AE67" i="64"/>
  <c r="AI26" i="64"/>
  <c r="Y63" i="64"/>
  <c r="H29" i="64"/>
  <c r="R74" i="64"/>
  <c r="Q64" i="60"/>
  <c r="AK38" i="63"/>
  <c r="AF40" i="64"/>
  <c r="AF43" i="63"/>
  <c r="AP63" i="64"/>
  <c r="AF51" i="63"/>
  <c r="F68" i="64"/>
  <c r="V53" i="63"/>
  <c r="Z73" i="64"/>
  <c r="AK28" i="63"/>
  <c r="AA55" i="64"/>
  <c r="I71" i="64"/>
  <c r="Q24" i="64"/>
  <c r="AA59" i="64"/>
  <c r="AL74" i="64"/>
  <c r="F83" i="64"/>
  <c r="AJ47" i="63"/>
  <c r="AD24" i="64"/>
  <c r="AO67" i="64"/>
  <c r="V27" i="63"/>
  <c r="J40" i="63"/>
  <c r="AD52" i="63"/>
  <c r="Q43" i="64"/>
  <c r="AM77" i="64"/>
  <c r="AG32" i="63"/>
  <c r="L45" i="63"/>
  <c r="P39" i="64"/>
  <c r="E56" i="64"/>
  <c r="AB28" i="63"/>
  <c r="D46" i="64"/>
  <c r="O84" i="64"/>
  <c r="AA25" i="63"/>
  <c r="H51" i="63"/>
  <c r="AE31" i="64"/>
  <c r="AG71" i="64"/>
  <c r="U29" i="63"/>
  <c r="AO41" i="63"/>
  <c r="T54" i="63"/>
  <c r="R50" i="64"/>
  <c r="I81" i="64"/>
  <c r="W34" i="63"/>
  <c r="N24" i="64"/>
  <c r="J69" i="64"/>
  <c r="AF25" i="63"/>
  <c r="D52" i="64"/>
  <c r="AI61" i="64"/>
  <c r="N48" i="64"/>
  <c r="R33" i="63"/>
  <c r="O58" i="63"/>
  <c r="AP44" i="64"/>
  <c r="O78" i="64"/>
  <c r="AH32" i="63"/>
  <c r="M45" i="63"/>
  <c r="AM57" i="63"/>
  <c r="K61" i="64"/>
  <c r="V24" i="63"/>
  <c r="AJ37" i="63"/>
  <c r="Y37" i="64"/>
  <c r="D47" i="64"/>
  <c r="D66" i="64"/>
  <c r="I79" i="64"/>
  <c r="K76" i="64"/>
  <c r="G74" i="64"/>
  <c r="AO42" i="63"/>
  <c r="AA66" i="63"/>
  <c r="M61" i="64"/>
  <c r="M24" i="63"/>
  <c r="AE52" i="64"/>
  <c r="AK57" i="64"/>
  <c r="AH73" i="64"/>
  <c r="O73" i="64"/>
  <c r="X68" i="64"/>
  <c r="K40" i="63"/>
  <c r="D65" i="63"/>
  <c r="M58" i="64"/>
  <c r="Z84" i="64"/>
  <c r="V36" i="63"/>
  <c r="AP48" i="63"/>
  <c r="X28" i="64"/>
  <c r="Z70" i="64"/>
  <c r="L44" i="64"/>
  <c r="AH56" i="63"/>
  <c r="K39" i="63"/>
  <c r="AP75" i="64"/>
  <c r="AC44" i="63"/>
  <c r="G78" i="64"/>
  <c r="L34" i="63"/>
  <c r="AF46" i="63"/>
  <c r="Y68" i="64"/>
  <c r="W40" i="63"/>
  <c r="AO59" i="63"/>
  <c r="AF73" i="63"/>
  <c r="N36" i="60"/>
  <c r="J46" i="63"/>
  <c r="AA27" i="64"/>
  <c r="K28" i="63"/>
  <c r="AO51" i="63"/>
  <c r="S67" i="63"/>
  <c r="E80" i="63"/>
  <c r="AO81" i="64"/>
  <c r="Q76" i="63"/>
  <c r="L76" i="64"/>
  <c r="AF44" i="63"/>
  <c r="Y25" i="64"/>
  <c r="AH33" i="63"/>
  <c r="S31" i="63"/>
  <c r="L40" i="64"/>
  <c r="V35" i="63"/>
  <c r="I67" i="64"/>
  <c r="Q29" i="63"/>
  <c r="L42" i="63"/>
  <c r="H40" i="64"/>
  <c r="X31" i="63"/>
  <c r="G54" i="63"/>
  <c r="N69" i="63"/>
  <c r="AJ81" i="63"/>
  <c r="N81" i="64"/>
  <c r="R75" i="63"/>
  <c r="T56" i="64"/>
  <c r="X54" i="64"/>
  <c r="AK79" i="64"/>
  <c r="AG56" i="63"/>
  <c r="K30" i="63"/>
  <c r="H52" i="64"/>
  <c r="T83" i="64"/>
  <c r="N57" i="60"/>
  <c r="AN24" i="63"/>
  <c r="U63" i="64"/>
  <c r="P51" i="63"/>
  <c r="AJ72" i="64"/>
  <c r="J56" i="63"/>
  <c r="T30" i="64"/>
  <c r="N64" i="63"/>
  <c r="G35" i="64"/>
  <c r="K76" i="60"/>
  <c r="H42" i="64"/>
  <c r="AL53" i="63"/>
  <c r="P71" i="64"/>
  <c r="AN82" i="64"/>
  <c r="N72" i="64"/>
  <c r="AL68" i="64"/>
  <c r="G84" i="64"/>
  <c r="Q25" i="63"/>
  <c r="AO50" i="63"/>
  <c r="AN30" i="64"/>
  <c r="Q71" i="64"/>
  <c r="M29" i="63"/>
  <c r="AG41" i="63"/>
  <c r="L54" i="63"/>
  <c r="AA49" i="64"/>
  <c r="AL80" i="64"/>
  <c r="O34" i="63"/>
  <c r="W23" i="64"/>
  <c r="AJ68" i="64"/>
  <c r="V72" i="64"/>
  <c r="AE33" i="64"/>
  <c r="R55" i="64"/>
  <c r="AM31" i="64"/>
  <c r="N29" i="63"/>
  <c r="M54" i="63"/>
  <c r="AO37" i="64"/>
  <c r="AK74" i="64"/>
  <c r="C31" i="63"/>
  <c r="W43" i="63"/>
  <c r="I56" i="63"/>
  <c r="AC56" i="64"/>
  <c r="AO83" i="64"/>
  <c r="E36" i="63"/>
  <c r="X30" i="64"/>
  <c r="O46" i="64"/>
  <c r="D38" i="64"/>
  <c r="I62" i="64"/>
  <c r="T66" i="64"/>
  <c r="AJ58" i="64"/>
  <c r="W36" i="63"/>
  <c r="Z61" i="63"/>
  <c r="K51" i="64"/>
  <c r="J81" i="64"/>
  <c r="P34" i="63"/>
  <c r="AJ46" i="63"/>
  <c r="T59" i="63"/>
  <c r="Q65" i="64"/>
  <c r="Y26" i="63"/>
  <c r="R39" i="63"/>
  <c r="AI43" i="64"/>
  <c r="AI30" i="64"/>
  <c r="H75" i="64"/>
  <c r="F28" i="64"/>
  <c r="N79" i="64"/>
  <c r="N80" i="64"/>
  <c r="E46" i="63"/>
  <c r="H68" i="63"/>
  <c r="R65" i="64"/>
  <c r="Q26" i="63"/>
  <c r="AK36" i="64"/>
  <c r="AM68" i="64"/>
  <c r="Y79" i="64"/>
  <c r="AA76" i="64"/>
  <c r="AM74" i="64"/>
  <c r="P43" i="63"/>
  <c r="AQ66" i="63"/>
  <c r="O62" i="64"/>
  <c r="AI24" i="63"/>
  <c r="D38" i="63"/>
  <c r="X50" i="63"/>
  <c r="AH34" i="64"/>
  <c r="AC73" i="64"/>
  <c r="S66" i="60"/>
  <c r="I67" i="63"/>
  <c r="AN42" i="63"/>
  <c r="S82" i="64"/>
  <c r="S27" i="64"/>
  <c r="Q81" i="64"/>
  <c r="AI35" i="63"/>
  <c r="N48" i="63"/>
  <c r="AN74" i="64"/>
  <c r="AB43" i="63"/>
  <c r="AE61" i="63"/>
  <c r="M75" i="63"/>
  <c r="M64" i="60"/>
  <c r="W53" i="63"/>
  <c r="F40" i="64"/>
  <c r="V31" i="63"/>
  <c r="F54" i="63"/>
  <c r="E69" i="63"/>
  <c r="AA81" i="63"/>
  <c r="Z30" i="63"/>
  <c r="AQ80" i="63"/>
  <c r="AB82" i="64"/>
  <c r="X47" i="63"/>
  <c r="G76" i="64"/>
  <c r="M46" i="63"/>
  <c r="G35" i="63"/>
  <c r="AD57" i="64"/>
  <c r="AA38" i="63"/>
  <c r="Y71" i="64"/>
  <c r="G31" i="63"/>
  <c r="AI43" i="63"/>
  <c r="AB52" i="64"/>
  <c r="AC34" i="63"/>
  <c r="G56" i="63"/>
  <c r="AK70" i="63"/>
  <c r="Q83" i="63"/>
  <c r="S29" i="63"/>
  <c r="C80" i="63"/>
  <c r="Q76" i="60"/>
  <c r="U82" i="64"/>
  <c r="C27" i="63"/>
  <c r="AP26" i="64"/>
  <c r="P33" i="63"/>
  <c r="AK30" i="64"/>
  <c r="Q24" i="60"/>
  <c r="G26" i="64"/>
  <c r="T36" i="64"/>
  <c r="V28" i="64"/>
  <c r="AM63" i="63"/>
  <c r="AP40" i="64"/>
  <c r="I54" i="64"/>
  <c r="AE56" i="64"/>
  <c r="Z35" i="64"/>
  <c r="L59" i="64"/>
  <c r="G46" i="64"/>
  <c r="AB63" i="64"/>
  <c r="R36" i="64"/>
  <c r="O83" i="64"/>
  <c r="T25" i="63"/>
  <c r="J32" i="64"/>
  <c r="V76" i="64"/>
  <c r="G31" i="64"/>
  <c r="E29" i="63"/>
  <c r="E54" i="63"/>
  <c r="I37" i="64"/>
  <c r="U74" i="64"/>
  <c r="AJ30" i="63"/>
  <c r="O43" i="63"/>
  <c r="AP55" i="63"/>
  <c r="H56" i="64"/>
  <c r="AA83" i="64"/>
  <c r="AL35" i="63"/>
  <c r="AG29" i="64"/>
  <c r="AC40" i="64"/>
  <c r="X25" i="63"/>
  <c r="V50" i="64"/>
  <c r="M60" i="64"/>
  <c r="R44" i="64"/>
  <c r="S32" i="63"/>
  <c r="P57" i="63"/>
  <c r="J44" i="64"/>
  <c r="AN77" i="64"/>
  <c r="Z32" i="63"/>
  <c r="E45" i="63"/>
  <c r="AE57" i="63"/>
  <c r="AG60" i="64"/>
  <c r="L24" i="63"/>
  <c r="AB37" i="63"/>
  <c r="AH36" i="64"/>
  <c r="AG42" i="64"/>
  <c r="AL52" i="64"/>
  <c r="U71" i="64"/>
  <c r="AH71" i="64"/>
  <c r="AQ66" i="64"/>
  <c r="AB39" i="63"/>
  <c r="F64" i="63"/>
  <c r="AF56" i="64"/>
  <c r="AD83" i="64"/>
  <c r="AM35" i="63"/>
  <c r="R48" i="63"/>
  <c r="J26" i="64"/>
  <c r="Q69" i="64"/>
  <c r="P28" i="63"/>
  <c r="AO40" i="63"/>
  <c r="D50" i="64"/>
  <c r="P49" i="64"/>
  <c r="S84" i="64"/>
  <c r="AI39" i="64"/>
  <c r="R82" i="64"/>
  <c r="C23" i="63"/>
  <c r="J49" i="63"/>
  <c r="C27" i="64"/>
  <c r="S69" i="64"/>
  <c r="K22" i="60"/>
  <c r="E52" i="64"/>
  <c r="D78" i="64"/>
  <c r="I33" i="64"/>
  <c r="AD79" i="64"/>
  <c r="AN80" i="64"/>
  <c r="U46" i="63"/>
  <c r="R42" i="60"/>
  <c r="S66" i="64"/>
  <c r="AI26" i="63"/>
  <c r="AA39" i="63"/>
  <c r="F52" i="63"/>
  <c r="C41" i="64"/>
  <c r="AG76" i="64"/>
  <c r="AO57" i="64"/>
  <c r="AK41" i="64"/>
  <c r="K47" i="63"/>
  <c r="M25" i="63"/>
  <c r="AM39" i="64"/>
  <c r="H84" i="64"/>
  <c r="Q37" i="63"/>
  <c r="AK49" i="63"/>
  <c r="AQ80" i="64"/>
  <c r="AD46" i="63"/>
  <c r="U63" i="63"/>
  <c r="AJ76" i="63"/>
  <c r="L87" i="60"/>
  <c r="AL59" i="63"/>
  <c r="Z52" i="64"/>
  <c r="AA34" i="63"/>
  <c r="F56" i="63"/>
  <c r="AB70" i="63"/>
  <c r="H83" i="63"/>
  <c r="AO39" i="63"/>
  <c r="T87" i="60"/>
  <c r="R25" i="63"/>
  <c r="C50" i="63"/>
  <c r="AG55" i="64"/>
  <c r="AE58" i="63"/>
  <c r="S39" i="63"/>
  <c r="R67" i="64"/>
  <c r="AF41" i="63"/>
  <c r="C75" i="64"/>
  <c r="AL32" i="63"/>
  <c r="Q45" i="63"/>
  <c r="Q61" i="64"/>
  <c r="AH37" i="63"/>
  <c r="J58" i="63"/>
  <c r="R72" i="63"/>
  <c r="AN84" i="63"/>
  <c r="AQ37" i="63"/>
  <c r="AC84" i="63"/>
  <c r="AM27" i="64"/>
  <c r="AO34" i="63"/>
  <c r="AA31" i="63"/>
  <c r="AI41" i="64"/>
  <c r="U36" i="63"/>
  <c r="I30" i="64"/>
  <c r="L30" i="64"/>
  <c r="F51" i="64"/>
  <c r="Z53" i="64"/>
  <c r="I56" i="64"/>
  <c r="T41" i="64"/>
  <c r="AL62" i="64"/>
  <c r="AF27" i="64"/>
  <c r="Y72" i="64"/>
  <c r="R23" i="64"/>
  <c r="N74" i="64"/>
  <c r="AC36" i="64"/>
  <c r="AQ58" i="64"/>
  <c r="E74" i="64"/>
  <c r="T29" i="63"/>
  <c r="Q27" i="63"/>
  <c r="X50" i="64"/>
  <c r="AC45" i="64"/>
  <c r="AA43" i="64"/>
  <c r="K32" i="63"/>
  <c r="H57" i="63"/>
  <c r="S43" i="64"/>
  <c r="X77" i="64"/>
  <c r="R32" i="63"/>
  <c r="AL44" i="63"/>
  <c r="W57" i="63"/>
  <c r="K60" i="64"/>
  <c r="AQ23" i="63"/>
  <c r="T37" i="63"/>
  <c r="AQ35" i="64"/>
  <c r="AC66" i="64"/>
  <c r="H34" i="64"/>
  <c r="AN61" i="64"/>
  <c r="J66" i="64"/>
  <c r="K56" i="64"/>
  <c r="X35" i="63"/>
  <c r="T60" i="63"/>
  <c r="T50" i="64"/>
  <c r="AM80" i="64"/>
  <c r="H34" i="63"/>
  <c r="AB46" i="63"/>
  <c r="L59" i="63"/>
  <c r="AK64" i="64"/>
  <c r="P26" i="63"/>
  <c r="J39" i="63"/>
  <c r="C43" i="64"/>
  <c r="AA30" i="64"/>
  <c r="AI64" i="64"/>
  <c r="AL76" i="64"/>
  <c r="C76" i="64"/>
  <c r="AF73" i="64"/>
  <c r="AG42" i="63"/>
  <c r="S66" i="63"/>
  <c r="AH60" i="64"/>
  <c r="C24" i="63"/>
  <c r="U37" i="63"/>
  <c r="AO49" i="63"/>
  <c r="T32" i="64"/>
  <c r="W72" i="64"/>
  <c r="C30" i="63"/>
  <c r="W42" i="63"/>
  <c r="AO55" i="64"/>
  <c r="AK31" i="64"/>
  <c r="Q100" i="60"/>
  <c r="AH48" i="64"/>
  <c r="F24" i="64"/>
  <c r="D27" i="63"/>
  <c r="O52" i="63"/>
  <c r="M33" i="64"/>
  <c r="X72" i="64"/>
  <c r="AI28" i="64"/>
  <c r="M39" i="64"/>
  <c r="Y23" i="63"/>
  <c r="X42" i="64"/>
  <c r="AH82" i="64"/>
  <c r="W23" i="63"/>
  <c r="Z49" i="63"/>
  <c r="Z28" i="64"/>
  <c r="K70" i="64"/>
  <c r="Z28" i="63"/>
  <c r="I41" i="63"/>
  <c r="AC53" i="63"/>
  <c r="M47" i="64"/>
  <c r="AJ79" i="64"/>
  <c r="Y77" i="64"/>
  <c r="AJ62" i="64"/>
  <c r="AE51" i="63"/>
  <c r="AQ28" i="63"/>
  <c r="R52" i="64"/>
  <c r="AC24" i="63"/>
  <c r="AN38" i="63"/>
  <c r="S51" i="63"/>
  <c r="AM23" i="63"/>
  <c r="H49" i="63"/>
  <c r="U65" i="63"/>
  <c r="Y78" i="63"/>
  <c r="U87" i="60"/>
  <c r="H65" i="63"/>
  <c r="G61" i="64"/>
  <c r="AF37" i="63"/>
  <c r="I58" i="63"/>
  <c r="Q72" i="63"/>
  <c r="AE84" i="63"/>
  <c r="AF48" i="63"/>
  <c r="AN28" i="64"/>
  <c r="F29" i="63"/>
  <c r="U52" i="63"/>
  <c r="AA31" i="64"/>
  <c r="P68" i="63"/>
  <c r="AM43" i="63"/>
  <c r="Q76" i="64"/>
  <c r="AK44" i="63"/>
  <c r="W78" i="64"/>
  <c r="T34" i="63"/>
  <c r="AN46" i="63"/>
  <c r="V69" i="64"/>
  <c r="G30" i="64"/>
  <c r="T45" i="64"/>
  <c r="Y80" i="64"/>
  <c r="AC58" i="64"/>
  <c r="L47" i="64"/>
  <c r="I72" i="64"/>
  <c r="V27" i="64"/>
  <c r="AQ76" i="64"/>
  <c r="AC52" i="64"/>
  <c r="AM84" i="64"/>
  <c r="Z50" i="64"/>
  <c r="AH28" i="64"/>
  <c r="AA66" i="64"/>
  <c r="G69" i="64"/>
  <c r="AB30" i="63"/>
  <c r="AD35" i="63"/>
  <c r="H29" i="63"/>
  <c r="AO61" i="64"/>
  <c r="AD52" i="64"/>
  <c r="AF55" i="64"/>
  <c r="P35" i="63"/>
  <c r="L60" i="63"/>
  <c r="AC49" i="64"/>
  <c r="AA80" i="64"/>
  <c r="AO33" i="63"/>
  <c r="T46" i="63"/>
  <c r="D59" i="63"/>
  <c r="O64" i="64"/>
  <c r="D26" i="63"/>
  <c r="AQ38" i="63"/>
  <c r="L42" i="64"/>
  <c r="Y42" i="64"/>
  <c r="AN50" i="64"/>
  <c r="AF69" i="64"/>
  <c r="Z71" i="64"/>
  <c r="T64" i="64"/>
  <c r="AC38" i="63"/>
  <c r="AE63" i="63"/>
  <c r="J56" i="64"/>
  <c r="Q83" i="64"/>
  <c r="AE35" i="63"/>
  <c r="J48" i="63"/>
  <c r="S25" i="64"/>
  <c r="AO68" i="64"/>
  <c r="G28" i="63"/>
  <c r="AG40" i="63"/>
  <c r="M49" i="64"/>
  <c r="AJ45" i="64"/>
  <c r="AP74" i="64"/>
  <c r="AE27" i="64"/>
  <c r="F79" i="64"/>
  <c r="AM79" i="64"/>
  <c r="AL45" i="63"/>
  <c r="AO67" i="63"/>
  <c r="AL64" i="64"/>
  <c r="E26" i="63"/>
  <c r="C39" i="63"/>
  <c r="W51" i="63"/>
  <c r="AD38" i="64"/>
  <c r="Z75" i="64"/>
  <c r="Z31" i="63"/>
  <c r="E44" i="63"/>
  <c r="AM48" i="64"/>
  <c r="T60" i="64"/>
  <c r="AQ37" i="64"/>
  <c r="AN55" i="64"/>
  <c r="Z36" i="64"/>
  <c r="U30" i="63"/>
  <c r="S55" i="63"/>
  <c r="W39" i="64"/>
  <c r="AA75" i="64"/>
  <c r="R53" i="64"/>
  <c r="AL66" i="64"/>
  <c r="W25" i="64"/>
  <c r="Y49" i="64"/>
  <c r="AC25" i="64"/>
  <c r="W27" i="63"/>
  <c r="AE52" i="63"/>
  <c r="AJ34" i="64"/>
  <c r="N73" i="64"/>
  <c r="L30" i="63"/>
  <c r="AF42" i="63"/>
  <c r="R55" i="63"/>
  <c r="W53" i="64"/>
  <c r="AE30" i="64"/>
  <c r="D42" i="64"/>
  <c r="AH76" i="64"/>
  <c r="Z55" i="63"/>
  <c r="I32" i="63"/>
  <c r="D62" i="64"/>
  <c r="AN26" i="63"/>
  <c r="V40" i="63"/>
  <c r="F26" i="64"/>
  <c r="AJ27" i="63"/>
  <c r="AC51" i="63"/>
  <c r="T67" i="63"/>
  <c r="F80" i="63"/>
  <c r="G57" i="64"/>
  <c r="J70" i="63"/>
  <c r="M69" i="64"/>
  <c r="AK40" i="63"/>
  <c r="H60" i="63"/>
  <c r="AM73" i="63"/>
  <c r="M36" i="60"/>
  <c r="AG55" i="63"/>
  <c r="S41" i="64"/>
  <c r="L32" i="63"/>
  <c r="Y54" i="63"/>
  <c r="P62" i="64"/>
  <c r="X46" i="64"/>
  <c r="AA47" i="63"/>
  <c r="AF82" i="64"/>
  <c r="J28" i="64"/>
  <c r="AC81" i="64"/>
  <c r="AQ35" i="63"/>
  <c r="V48" i="63"/>
  <c r="AD75" i="64"/>
  <c r="C44" i="63"/>
  <c r="AN61" i="63"/>
  <c r="U75" i="63"/>
  <c r="R60" i="60"/>
  <c r="N54" i="63"/>
  <c r="H39" i="64"/>
  <c r="M40" i="64"/>
  <c r="C57" i="64"/>
  <c r="P81" i="64"/>
  <c r="L32" i="64"/>
  <c r="W84" i="64"/>
  <c r="Z56" i="64"/>
  <c r="AE39" i="64"/>
  <c r="AQ79" i="64"/>
  <c r="AP65" i="64"/>
  <c r="C31" i="64"/>
  <c r="M70" i="64"/>
  <c r="AM43" i="64"/>
  <c r="Q31" i="64"/>
  <c r="G43" i="63"/>
  <c r="AN41" i="63"/>
  <c r="C63" i="64"/>
  <c r="AD26" i="63"/>
  <c r="C60" i="64"/>
  <c r="AM63" i="64"/>
  <c r="U38" i="63"/>
  <c r="W63" i="63"/>
  <c r="AD55" i="64"/>
  <c r="C83" i="64"/>
  <c r="W35" i="63"/>
  <c r="AQ47" i="63"/>
  <c r="AB24" i="64"/>
  <c r="U68" i="64"/>
  <c r="AM27" i="63"/>
  <c r="Y40" i="63"/>
  <c r="V48" i="64"/>
  <c r="F27" i="64"/>
  <c r="W64" i="64"/>
  <c r="AD76" i="64"/>
  <c r="D75" i="64"/>
  <c r="AI71" i="64"/>
  <c r="AH41" i="63"/>
  <c r="K66" i="63"/>
  <c r="L60" i="64"/>
  <c r="AF23" i="63"/>
  <c r="M37" i="63"/>
  <c r="AG49" i="63"/>
  <c r="AC31" i="64"/>
  <c r="G72" i="64"/>
  <c r="AJ29" i="63"/>
  <c r="O42" i="63"/>
  <c r="S55" i="64"/>
  <c r="AH26" i="64"/>
  <c r="V82" i="64"/>
  <c r="S39" i="64"/>
  <c r="J82" i="64"/>
  <c r="AO84" i="64"/>
  <c r="AQ48" i="63"/>
  <c r="L26" i="64"/>
  <c r="AP68" i="64"/>
  <c r="AN27" i="63"/>
  <c r="Z40" i="63"/>
  <c r="E53" i="63"/>
  <c r="AN44" i="64"/>
  <c r="AD78" i="64"/>
  <c r="H33" i="63"/>
  <c r="AB45" i="63"/>
  <c r="U90" i="60"/>
  <c r="F77" i="64"/>
  <c r="V55" i="64"/>
  <c r="F62" i="64"/>
  <c r="E49" i="64"/>
  <c r="Z33" i="63"/>
  <c r="W58" i="63"/>
  <c r="AG45" i="64"/>
  <c r="AE78" i="64"/>
  <c r="AA26" i="64"/>
  <c r="AK78" i="64"/>
  <c r="AK43" i="64"/>
  <c r="AE57" i="64"/>
  <c r="H38" i="64"/>
  <c r="AK30" i="63"/>
  <c r="AI55" i="63"/>
  <c r="E41" i="64"/>
  <c r="R76" i="64"/>
  <c r="AI31" i="63"/>
  <c r="N44" i="63"/>
  <c r="AO56" i="63"/>
  <c r="AE58" i="64"/>
  <c r="D37" i="64"/>
  <c r="AJ76" i="64"/>
  <c r="D25" i="63"/>
  <c r="U39" i="64"/>
  <c r="N35" i="63"/>
  <c r="AD66" i="64"/>
  <c r="AN28" i="63"/>
  <c r="D42" i="63"/>
  <c r="Z38" i="64"/>
  <c r="H31" i="63"/>
  <c r="AJ53" i="63"/>
  <c r="F69" i="63"/>
  <c r="AB81" i="63"/>
  <c r="L79" i="64"/>
  <c r="AJ74" i="63"/>
  <c r="V75" i="64"/>
  <c r="AP43" i="63"/>
  <c r="AM61" i="63"/>
  <c r="T75" i="63"/>
  <c r="L36" i="60"/>
  <c r="AB61" i="63"/>
  <c r="AM53" i="64"/>
  <c r="Q35" i="63"/>
  <c r="AA56" i="63"/>
  <c r="V79" i="64"/>
  <c r="AM65" i="64"/>
  <c r="AM51" i="63"/>
  <c r="Y25" i="63"/>
  <c r="AD40" i="64"/>
  <c r="U84" i="64"/>
  <c r="Y37" i="63"/>
  <c r="D50" i="63"/>
  <c r="Z81" i="64"/>
  <c r="AP46" i="63"/>
  <c r="AD63" i="63"/>
  <c r="J77" i="63"/>
  <c r="N30" i="60"/>
  <c r="X60" i="63"/>
  <c r="H54" i="64"/>
  <c r="Y33" i="64"/>
  <c r="G23" i="64"/>
  <c r="M48" i="64"/>
  <c r="AO60" i="64"/>
  <c r="AA36" i="64"/>
  <c r="AB59" i="64"/>
  <c r="P66" i="64"/>
  <c r="AK25" i="63"/>
  <c r="W76" i="64"/>
  <c r="L31" i="63"/>
  <c r="M27" i="63"/>
  <c r="L39" i="63"/>
  <c r="Z30" i="64"/>
  <c r="AQ40" i="63"/>
  <c r="U43" i="64"/>
  <c r="P30" i="64"/>
  <c r="F30" i="64"/>
  <c r="AO53" i="64"/>
  <c r="AM36" i="64"/>
  <c r="F50" i="64"/>
  <c r="L70" i="64"/>
  <c r="Z77" i="64"/>
  <c r="AE44" i="63"/>
  <c r="Y67" i="63"/>
  <c r="AK63" i="64"/>
  <c r="Z25" i="63"/>
  <c r="AB38" i="63"/>
  <c r="G51" i="63"/>
  <c r="G37" i="64"/>
  <c r="AJ74" i="64"/>
  <c r="J31" i="63"/>
  <c r="AD43" i="63"/>
  <c r="U59" i="64"/>
  <c r="R26" i="64"/>
  <c r="W81" i="64"/>
  <c r="E37" i="64"/>
  <c r="K81" i="64"/>
  <c r="R83" i="64"/>
  <c r="C48" i="63"/>
  <c r="U25" i="64"/>
  <c r="V68" i="64"/>
  <c r="AE27" i="63"/>
  <c r="R40" i="63"/>
  <c r="AL52" i="63"/>
  <c r="H44" i="64"/>
  <c r="N78" i="64"/>
  <c r="AO32" i="63"/>
  <c r="T45" i="63"/>
  <c r="L43" i="64"/>
  <c r="C74" i="64"/>
  <c r="AA37" i="64"/>
  <c r="AB55" i="64"/>
  <c r="AI35" i="64"/>
  <c r="M30" i="63"/>
  <c r="K55" i="63"/>
  <c r="AF38" i="64"/>
  <c r="K75" i="64"/>
  <c r="K31" i="63"/>
  <c r="AE43" i="63"/>
  <c r="Q56" i="63"/>
  <c r="H57" i="64"/>
  <c r="M84" i="64"/>
  <c r="M36" i="63"/>
  <c r="O31" i="64"/>
  <c r="M44" i="60"/>
  <c r="O56" i="64"/>
  <c r="AC71" i="64"/>
  <c r="AP71" i="64"/>
  <c r="W67" i="64"/>
  <c r="AJ39" i="63"/>
  <c r="AD64" i="63"/>
  <c r="K57" i="64"/>
  <c r="AP83" i="64"/>
  <c r="AO26" i="64"/>
  <c r="N44" i="64"/>
  <c r="C66" i="64"/>
  <c r="W68" i="64"/>
  <c r="O60" i="64"/>
  <c r="F37" i="63"/>
  <c r="I62" i="63"/>
  <c r="Y53" i="64"/>
  <c r="H82" i="64"/>
  <c r="AN34" i="63"/>
  <c r="S47" i="63"/>
  <c r="K36" i="60"/>
  <c r="AN66" i="64"/>
  <c r="AO69" i="64"/>
  <c r="O44" i="63"/>
  <c r="AF34" i="63"/>
  <c r="R66" i="64"/>
  <c r="X41" i="63"/>
  <c r="AC74" i="64"/>
  <c r="AD32" i="63"/>
  <c r="I45" i="63"/>
  <c r="U60" i="64"/>
  <c r="R37" i="63"/>
  <c r="AO57" i="63"/>
  <c r="J72" i="63"/>
  <c r="AF84" i="63"/>
  <c r="AJ36" i="63"/>
  <c r="E84" i="63"/>
  <c r="R24" i="63"/>
  <c r="T49" i="63"/>
  <c r="AC65" i="63"/>
  <c r="X78" i="63"/>
  <c r="AQ61" i="64"/>
  <c r="AF71" i="63"/>
  <c r="E70" i="64"/>
  <c r="AA41" i="63"/>
  <c r="X49" i="64"/>
  <c r="AB80" i="64"/>
  <c r="Z26" i="63"/>
  <c r="E23" i="64"/>
  <c r="Q32" i="63"/>
  <c r="Y62" i="64"/>
  <c r="H27" i="63"/>
  <c r="AD40" i="63"/>
  <c r="AC27" i="64"/>
  <c r="N28" i="63"/>
  <c r="AP51" i="63"/>
  <c r="AC67" i="63"/>
  <c r="N80" i="63"/>
  <c r="D60" i="64"/>
  <c r="AH70" i="63"/>
  <c r="S23" i="64"/>
  <c r="V71" i="64"/>
  <c r="AO65" i="64"/>
  <c r="AL30" i="64"/>
  <c r="H78" i="64"/>
  <c r="AM37" i="64"/>
  <c r="O23" i="64"/>
  <c r="I51" i="64"/>
  <c r="M59" i="64"/>
  <c r="AL63" i="64"/>
  <c r="V58" i="63"/>
  <c r="AN30" i="63"/>
  <c r="T79" i="63"/>
  <c r="V38" i="63"/>
  <c r="G39" i="63"/>
  <c r="AG78" i="63"/>
  <c r="F70" i="64"/>
  <c r="AO66" i="64"/>
  <c r="G77" i="64"/>
  <c r="U56" i="64"/>
  <c r="J25" i="63"/>
  <c r="O39" i="63"/>
  <c r="AI51" i="63"/>
  <c r="AP24" i="63"/>
  <c r="AI49" i="63"/>
  <c r="AM65" i="63"/>
  <c r="AO78" i="63"/>
  <c r="E64" i="64"/>
  <c r="P71" i="63"/>
  <c r="AL70" i="64"/>
  <c r="AB41" i="63"/>
  <c r="Z60" i="63"/>
  <c r="N74" i="63"/>
  <c r="I68" i="64"/>
  <c r="AM72" i="63"/>
  <c r="AL38" i="64"/>
  <c r="M23" i="63"/>
  <c r="H28" i="63"/>
  <c r="AG27" i="64"/>
  <c r="X33" i="63"/>
  <c r="F64" i="64"/>
  <c r="AI27" i="63"/>
  <c r="E41" i="63"/>
  <c r="AH30" i="64"/>
  <c r="I29" i="63"/>
  <c r="Y52" i="63"/>
  <c r="F68" i="63"/>
  <c r="AD80" i="63"/>
  <c r="AO31" i="64"/>
  <c r="G67" i="63"/>
  <c r="K64" i="64"/>
  <c r="AM38" i="63"/>
  <c r="AO58" i="63"/>
  <c r="AO72" i="63"/>
  <c r="O22" i="60"/>
  <c r="E58" i="63"/>
  <c r="AA33" i="64"/>
  <c r="AN42" i="64"/>
  <c r="Q29" i="64"/>
  <c r="U45" i="63"/>
  <c r="T79" i="64"/>
  <c r="K46" i="63"/>
  <c r="AC79" i="64"/>
  <c r="C35" i="63"/>
  <c r="W47" i="63"/>
  <c r="AJ71" i="64"/>
  <c r="E42" i="63"/>
  <c r="AK60" i="63"/>
  <c r="W74" i="63"/>
  <c r="AB36" i="64"/>
  <c r="AI67" i="63"/>
  <c r="AI58" i="64"/>
  <c r="Y29" i="64"/>
  <c r="AD73" i="64"/>
  <c r="AJ54" i="63"/>
  <c r="Y28" i="63"/>
  <c r="AJ50" i="64"/>
  <c r="G24" i="63"/>
  <c r="X38" i="63"/>
  <c r="C51" i="63"/>
  <c r="AD84" i="64"/>
  <c r="X48" i="63"/>
  <c r="AI64" i="63"/>
  <c r="I78" i="63"/>
  <c r="Y47" i="64"/>
  <c r="C69" i="63"/>
  <c r="N67" i="64"/>
  <c r="E40" i="63"/>
  <c r="AE59" i="63"/>
  <c r="W73" i="63"/>
  <c r="U88" i="60"/>
  <c r="O60" i="63"/>
  <c r="N38" i="64"/>
  <c r="U31" i="63"/>
  <c r="C54" i="63"/>
  <c r="D48" i="64"/>
  <c r="C43" i="63"/>
  <c r="E70" i="63"/>
  <c r="U58" i="64"/>
  <c r="I59" i="63"/>
  <c r="N24" i="60"/>
  <c r="E61" i="64"/>
  <c r="N46" i="63"/>
  <c r="R65" i="63"/>
  <c r="G78" i="63"/>
  <c r="AL34" i="63"/>
  <c r="AD83" i="63"/>
  <c r="F24" i="63"/>
  <c r="N49" i="63"/>
  <c r="X65" i="63"/>
  <c r="L78" i="63"/>
  <c r="AL36" i="64"/>
  <c r="R28" i="63"/>
  <c r="S71" i="64"/>
  <c r="AF71" i="64"/>
  <c r="AP77" i="64"/>
  <c r="J75" i="64"/>
  <c r="AJ26" i="63"/>
  <c r="U81" i="64"/>
  <c r="AE36" i="63"/>
  <c r="AB50" i="64"/>
  <c r="AH62" i="64"/>
  <c r="AA43" i="63"/>
  <c r="T81" i="64"/>
  <c r="AI50" i="64"/>
  <c r="AA51" i="63"/>
  <c r="L72" i="60"/>
  <c r="L78" i="64"/>
  <c r="F36" i="63"/>
  <c r="Y84" i="64"/>
  <c r="E63" i="64"/>
  <c r="Z27" i="63"/>
  <c r="AL40" i="63"/>
  <c r="K29" i="64"/>
  <c r="AF28" i="63"/>
  <c r="M52" i="63"/>
  <c r="AL67" i="63"/>
  <c r="V80" i="63"/>
  <c r="I83" i="64"/>
  <c r="AP75" i="63"/>
  <c r="C77" i="64"/>
  <c r="AG44" i="63"/>
  <c r="P62" i="63"/>
  <c r="AJ75" i="63"/>
  <c r="K24" i="63"/>
  <c r="W77" i="63"/>
  <c r="R40" i="64"/>
  <c r="AM36" i="63"/>
  <c r="AQ31" i="63"/>
  <c r="AE45" i="64"/>
  <c r="AC36" i="63"/>
  <c r="AF68" i="64"/>
  <c r="AG29" i="63"/>
  <c r="AB42" i="63"/>
  <c r="M43" i="64"/>
  <c r="O32" i="63"/>
  <c r="AA54" i="63"/>
  <c r="AD69" i="63"/>
  <c r="K82" i="63"/>
  <c r="H67" i="64"/>
  <c r="AN71" i="63"/>
  <c r="AB71" i="64"/>
  <c r="C42" i="63"/>
  <c r="AI60" i="63"/>
  <c r="V74" i="63"/>
  <c r="O60" i="60"/>
  <c r="AA63" i="63"/>
  <c r="F46" i="64"/>
  <c r="AK69" i="64"/>
  <c r="P54" i="64"/>
  <c r="I49" i="63"/>
  <c r="K23" i="63"/>
  <c r="AC33" i="64"/>
  <c r="AA82" i="64"/>
  <c r="Z36" i="63"/>
  <c r="E49" i="63"/>
  <c r="AQ77" i="64"/>
  <c r="J45" i="63"/>
  <c r="AA62" i="63"/>
  <c r="D76" i="63"/>
  <c r="AQ69" i="64"/>
  <c r="W72" i="63"/>
  <c r="M98" i="60"/>
  <c r="AC70" i="64"/>
  <c r="AN84" i="64"/>
  <c r="AD58" i="63"/>
  <c r="AH31" i="63"/>
  <c r="W60" i="64"/>
  <c r="U26" i="63"/>
  <c r="F40" i="63"/>
  <c r="T99" i="60"/>
  <c r="AO26" i="63"/>
  <c r="D51" i="63"/>
  <c r="AH66" i="63"/>
  <c r="AE79" i="63"/>
  <c r="AB74" i="64"/>
  <c r="AC73" i="63"/>
  <c r="AO73" i="64"/>
  <c r="J43" i="63"/>
  <c r="U61" i="63"/>
  <c r="D75" i="63"/>
  <c r="R84" i="60"/>
  <c r="Z65" i="63"/>
  <c r="AH50" i="64"/>
  <c r="Z34" i="63"/>
  <c r="E56" i="63"/>
  <c r="U23" i="63"/>
  <c r="M49" i="63"/>
  <c r="L76" i="63"/>
  <c r="Z78" i="64"/>
  <c r="AI62" i="63"/>
  <c r="E73" i="64"/>
  <c r="AA71" i="64"/>
  <c r="AE49" i="63"/>
  <c r="H67" i="63"/>
  <c r="AC79" i="63"/>
  <c r="L44" i="63"/>
  <c r="R28" i="64"/>
  <c r="AQ27" i="63"/>
  <c r="AH51" i="63"/>
  <c r="N67" i="63"/>
  <c r="AP79" i="63"/>
  <c r="AH61" i="64"/>
  <c r="AI83" i="64"/>
  <c r="Q46" i="63"/>
  <c r="C45" i="63"/>
  <c r="AN45" i="63"/>
  <c r="S76" i="63"/>
  <c r="AB74" i="63"/>
  <c r="N30" i="63"/>
  <c r="R58" i="63"/>
  <c r="H72" i="63"/>
  <c r="AD84" i="63"/>
  <c r="Q59" i="63"/>
  <c r="AN54" i="64"/>
  <c r="AI34" i="63"/>
  <c r="L56" i="63"/>
  <c r="F49" i="64"/>
  <c r="T27" i="63"/>
  <c r="M100" i="60"/>
  <c r="AK77" i="64"/>
  <c r="Z41" i="63"/>
  <c r="AB29" i="63"/>
  <c r="AM44" i="63"/>
  <c r="R31" i="63"/>
  <c r="G52" i="63"/>
  <c r="AE34" i="63"/>
  <c r="AH61" i="63"/>
  <c r="AP33" i="63"/>
  <c r="AN81" i="64"/>
  <c r="E51" i="64"/>
  <c r="AO46" i="63"/>
  <c r="AK49" i="64"/>
  <c r="T24" i="63"/>
  <c r="M66" i="60"/>
  <c r="O58" i="64"/>
  <c r="AI39" i="63"/>
  <c r="AH26" i="63"/>
  <c r="K68" i="64"/>
  <c r="Y29" i="63"/>
  <c r="T42" i="63"/>
  <c r="AE41" i="64"/>
  <c r="AN31" i="63"/>
  <c r="Q54" i="63"/>
  <c r="V69" i="63"/>
  <c r="C82" i="63"/>
  <c r="J30" i="63"/>
  <c r="AA80" i="63"/>
  <c r="AC82" i="64"/>
  <c r="Y47" i="63"/>
  <c r="P64" i="63"/>
  <c r="Q77" i="63"/>
  <c r="AN32" i="63"/>
  <c r="H82" i="63"/>
  <c r="AA84" i="64"/>
  <c r="R49" i="63"/>
  <c r="N36" i="63"/>
  <c r="J59" i="64"/>
  <c r="AH39" i="63"/>
  <c r="P72" i="64"/>
  <c r="W31" i="63"/>
  <c r="J44" i="63"/>
  <c r="T55" i="64"/>
  <c r="T35" i="63"/>
  <c r="AC56" i="63"/>
  <c r="K71" i="63"/>
  <c r="AG83" i="63"/>
  <c r="H23" i="63"/>
  <c r="Y76" i="63"/>
  <c r="AI77" i="64"/>
  <c r="H45" i="63"/>
  <c r="Z62" i="63"/>
  <c r="C76" i="63"/>
  <c r="O41" i="64"/>
  <c r="AK68" i="63"/>
  <c r="J29" i="64"/>
  <c r="AF83" i="64"/>
  <c r="AA70" i="64"/>
  <c r="U53" i="63"/>
  <c r="K27" i="63"/>
  <c r="H46" i="64"/>
  <c r="AB23" i="63"/>
  <c r="H38" i="63"/>
  <c r="AB50" i="63"/>
  <c r="S83" i="64"/>
  <c r="AN47" i="63"/>
  <c r="Q64" i="63"/>
  <c r="AH77" i="63"/>
  <c r="AD23" i="63"/>
  <c r="G77" i="63"/>
  <c r="G67" i="64"/>
  <c r="AA28" i="63"/>
  <c r="AK29" i="63"/>
  <c r="AQ33" i="64"/>
  <c r="AM34" i="63"/>
  <c r="AB65" i="64"/>
  <c r="V28" i="63"/>
  <c r="AC41" i="63"/>
  <c r="U35" i="64"/>
  <c r="Q30" i="63"/>
  <c r="P53" i="63"/>
  <c r="AF68" i="63"/>
  <c r="L81" i="63"/>
  <c r="AH25" i="63"/>
  <c r="N78" i="63"/>
  <c r="G80" i="64"/>
  <c r="O46" i="63"/>
  <c r="T63" i="63"/>
  <c r="AA76" i="63"/>
  <c r="G56" i="64"/>
  <c r="Z70" i="63"/>
  <c r="E60" i="64"/>
  <c r="AE37" i="63"/>
  <c r="Y56" i="64"/>
  <c r="D37" i="63"/>
  <c r="R46" i="64"/>
  <c r="AA82" i="63"/>
  <c r="T26" i="63"/>
  <c r="X66" i="63"/>
  <c r="M35" i="63"/>
  <c r="F80" i="64"/>
  <c r="AQ52" i="63"/>
  <c r="AL68" i="63"/>
  <c r="R81" i="63"/>
  <c r="I52" i="63"/>
  <c r="AL40" i="64"/>
  <c r="N31" i="63"/>
  <c r="AO53" i="63"/>
  <c r="AQ68" i="63"/>
  <c r="W81" i="63"/>
  <c r="X34" i="63"/>
  <c r="X30" i="63"/>
  <c r="AB55" i="63"/>
  <c r="AA69" i="63"/>
  <c r="AQ50" i="63"/>
  <c r="V79" i="63"/>
  <c r="AL83" i="63"/>
  <c r="J34" i="63"/>
  <c r="P60" i="63"/>
  <c r="AD73" i="63"/>
  <c r="U64" i="60"/>
  <c r="AF64" i="63"/>
  <c r="AD62" i="64"/>
  <c r="AN37" i="63"/>
  <c r="Y58" i="63"/>
  <c r="G25" i="64"/>
  <c r="AO64" i="64"/>
  <c r="N52" i="64"/>
  <c r="C66" i="63"/>
  <c r="G42" i="63"/>
  <c r="AG67" i="63"/>
  <c r="AL43" i="63"/>
  <c r="V32" i="64"/>
  <c r="E25" i="64"/>
  <c r="AQ51" i="64"/>
  <c r="AM58" i="63"/>
  <c r="AJ31" i="63"/>
  <c r="M34" i="63"/>
  <c r="AL63" i="63"/>
  <c r="E79" i="64"/>
  <c r="AM40" i="63"/>
  <c r="I47" i="63"/>
  <c r="G64" i="64"/>
  <c r="F44" i="63"/>
  <c r="Z39" i="63"/>
  <c r="AO71" i="64"/>
  <c r="O31" i="63"/>
  <c r="AQ43" i="63"/>
  <c r="J54" i="64"/>
  <c r="D35" i="63"/>
  <c r="S56" i="63"/>
  <c r="C71" i="63"/>
  <c r="Y83" i="63"/>
  <c r="I39" i="63"/>
  <c r="M76" i="60"/>
  <c r="S25" i="63"/>
  <c r="E50" i="63"/>
  <c r="F66" i="63"/>
  <c r="AN78" i="63"/>
  <c r="N42" i="63"/>
  <c r="R44" i="60"/>
  <c r="AH65" i="64"/>
  <c r="AP61" i="63"/>
  <c r="AH40" i="63"/>
  <c r="J70" i="64"/>
  <c r="AM42" i="63"/>
  <c r="AI75" i="64"/>
  <c r="M33" i="63"/>
  <c r="AG45" i="63"/>
  <c r="T63" i="64"/>
  <c r="Y38" i="63"/>
  <c r="AF58" i="63"/>
  <c r="AH72" i="63"/>
  <c r="R22" i="60"/>
  <c r="Q31" i="63"/>
  <c r="I81" i="63"/>
  <c r="N83" i="64"/>
  <c r="AL47" i="63"/>
  <c r="Y64" i="63"/>
  <c r="Y77" i="63"/>
  <c r="AH70" i="64"/>
  <c r="U73" i="63"/>
  <c r="S32" i="64"/>
  <c r="AM62" i="64"/>
  <c r="T82" i="64"/>
  <c r="F58" i="63"/>
  <c r="AA30" i="63"/>
  <c r="V57" i="64"/>
  <c r="AP25" i="63"/>
  <c r="AE39" i="63"/>
  <c r="J52" i="63"/>
  <c r="AQ25" i="63"/>
  <c r="S50" i="63"/>
  <c r="P66" i="63"/>
  <c r="O79" i="63"/>
  <c r="X32" i="63"/>
  <c r="AG81" i="63"/>
  <c r="S60" i="64"/>
  <c r="J41" i="63"/>
  <c r="Y33" i="63"/>
  <c r="AO51" i="64"/>
  <c r="C38" i="63"/>
  <c r="C70" i="64"/>
  <c r="P30" i="63"/>
  <c r="K43" i="63"/>
  <c r="AO47" i="64"/>
  <c r="V33" i="63"/>
  <c r="P55" i="63"/>
  <c r="M70" i="63"/>
  <c r="AI82" i="63"/>
  <c r="V34" i="63"/>
  <c r="AN82" i="63"/>
  <c r="O23" i="63"/>
  <c r="AJ48" i="63"/>
  <c r="J65" i="63"/>
  <c r="H78" i="63"/>
  <c r="AE77" i="64"/>
  <c r="J75" i="63"/>
  <c r="N68" i="64"/>
  <c r="AJ40" i="63"/>
  <c r="G73" i="64"/>
  <c r="T34" i="64"/>
  <c r="AH78" i="64"/>
  <c r="R76" i="60"/>
  <c r="D33" i="63"/>
  <c r="AK69" i="63"/>
  <c r="T52" i="63"/>
  <c r="AK24" i="63"/>
  <c r="X55" i="63"/>
  <c r="S70" i="63"/>
  <c r="AO82" i="63"/>
  <c r="AA58" i="63"/>
  <c r="Q53" i="64"/>
  <c r="S34" i="63"/>
  <c r="AO55" i="63"/>
  <c r="X70" i="63"/>
  <c r="D83" i="63"/>
  <c r="AF50" i="63"/>
  <c r="I37" i="63"/>
  <c r="L63" i="63"/>
  <c r="U48" i="60"/>
  <c r="O55" i="63"/>
  <c r="I41" i="64"/>
  <c r="AH55" i="63"/>
  <c r="AF59" i="64"/>
  <c r="AF54" i="64"/>
  <c r="Q64" i="64"/>
  <c r="AQ59" i="64"/>
  <c r="H72" i="64"/>
  <c r="W46" i="64"/>
  <c r="V81" i="64"/>
  <c r="O47" i="64"/>
  <c r="T30" i="63"/>
  <c r="AL55" i="63"/>
  <c r="AQ76" i="63"/>
  <c r="Y56" i="63"/>
  <c r="V49" i="63"/>
  <c r="AI65" i="63"/>
  <c r="AC80" i="64"/>
  <c r="Z48" i="63"/>
  <c r="AE42" i="63"/>
  <c r="S75" i="64"/>
  <c r="E33" i="63"/>
  <c r="Y45" i="63"/>
  <c r="R62" i="64"/>
  <c r="I38" i="63"/>
  <c r="T58" i="63"/>
  <c r="Z72" i="63"/>
  <c r="N48" i="60"/>
  <c r="G48" i="63"/>
  <c r="AF30" i="64"/>
  <c r="G29" i="63"/>
  <c r="X52" i="63"/>
  <c r="AK67" i="63"/>
  <c r="U80" i="63"/>
  <c r="AA50" i="63"/>
  <c r="D32" i="64"/>
  <c r="J40" i="64"/>
  <c r="AI27" i="64"/>
  <c r="V44" i="63"/>
  <c r="D79" i="64"/>
  <c r="C46" i="63"/>
  <c r="M79" i="64"/>
  <c r="AJ34" i="63"/>
  <c r="O47" i="63"/>
  <c r="D71" i="64"/>
  <c r="AD41" i="63"/>
  <c r="AA60" i="63"/>
  <c r="O74" i="63"/>
  <c r="M49" i="60"/>
  <c r="P40" i="63"/>
  <c r="O84" i="60"/>
  <c r="AO25" i="63"/>
  <c r="R50" i="63"/>
  <c r="O66" i="63"/>
  <c r="F79" i="63"/>
  <c r="L25" i="63"/>
  <c r="F78" i="63"/>
  <c r="P44" i="64"/>
  <c r="AJ24" i="63"/>
  <c r="Q28" i="63"/>
  <c r="O29" i="64"/>
  <c r="AF33" i="63"/>
  <c r="AB64" i="64"/>
  <c r="C28" i="63"/>
  <c r="M41" i="63"/>
  <c r="P32" i="64"/>
  <c r="Z29" i="63"/>
  <c r="AI52" i="63"/>
  <c r="O68" i="63"/>
  <c r="AL80" i="63"/>
  <c r="W41" i="63"/>
  <c r="AK33" i="64"/>
  <c r="U27" i="64"/>
  <c r="AD53" i="63"/>
  <c r="AK37" i="63"/>
  <c r="N63" i="64"/>
  <c r="H41" i="63"/>
  <c r="V73" i="64"/>
  <c r="F32" i="63"/>
  <c r="AH44" i="63"/>
  <c r="X58" i="64"/>
  <c r="AA36" i="63"/>
  <c r="S57" i="63"/>
  <c r="AI71" i="63"/>
  <c r="P84" i="63"/>
  <c r="AK43" i="63"/>
  <c r="V24" i="64"/>
  <c r="P27" i="63"/>
  <c r="N51" i="63"/>
  <c r="AP66" i="63"/>
  <c r="AD79" i="63"/>
  <c r="X28" i="63"/>
  <c r="AJ79" i="63"/>
  <c r="AE74" i="64"/>
  <c r="AO43" i="63"/>
  <c r="C40" i="63"/>
  <c r="AB69" i="64"/>
  <c r="F33" i="63"/>
  <c r="AL42" i="64"/>
  <c r="N39" i="63"/>
  <c r="G73" i="63"/>
  <c r="M64" i="63"/>
  <c r="AM29" i="63"/>
  <c r="H58" i="63"/>
  <c r="AO71" i="63"/>
  <c r="V84" i="63"/>
  <c r="D64" i="63"/>
  <c r="AA61" i="64"/>
  <c r="X37" i="63"/>
  <c r="M58" i="63"/>
  <c r="E72" i="63"/>
  <c r="AC75" i="64"/>
  <c r="AP28" i="64"/>
  <c r="V23" i="63"/>
  <c r="N43" i="64"/>
  <c r="AJ25" i="63"/>
  <c r="J60" i="64"/>
  <c r="AC29" i="63"/>
  <c r="T38" i="64"/>
  <c r="L56" i="64"/>
  <c r="U79" i="64"/>
  <c r="N54" i="64"/>
  <c r="AC70" i="63"/>
  <c r="AJ28" i="64"/>
  <c r="L29" i="63"/>
  <c r="I60" i="63"/>
  <c r="I29" i="64"/>
  <c r="T47" i="63"/>
  <c r="N52" i="63"/>
  <c r="AJ45" i="63"/>
  <c r="AM78" i="64"/>
  <c r="AB34" i="63"/>
  <c r="G47" i="63"/>
  <c r="N70" i="64"/>
  <c r="N41" i="63"/>
  <c r="R60" i="63"/>
  <c r="G74" i="63"/>
  <c r="M87" i="60"/>
  <c r="W55" i="63"/>
  <c r="K43" i="64"/>
  <c r="M32" i="63"/>
  <c r="Z54" i="63"/>
  <c r="U69" i="63"/>
  <c r="AQ81" i="63"/>
  <c r="N57" i="63"/>
  <c r="X44" i="64"/>
  <c r="M68" i="64"/>
  <c r="AH52" i="64"/>
  <c r="AH48" i="63"/>
  <c r="AL84" i="64"/>
  <c r="AL32" i="64"/>
  <c r="M82" i="64"/>
  <c r="R36" i="63"/>
  <c r="AL48" i="63"/>
  <c r="K77" i="64"/>
  <c r="AI44" i="63"/>
  <c r="R62" i="63"/>
  <c r="AK75" i="63"/>
  <c r="L88" i="60"/>
  <c r="D49" i="63"/>
  <c r="N32" i="64"/>
  <c r="X29" i="63"/>
  <c r="AH52" i="63"/>
  <c r="E68" i="63"/>
  <c r="AC80" i="63"/>
  <c r="F34" i="63"/>
  <c r="AF82" i="63"/>
  <c r="AD44" i="64"/>
  <c r="E38" i="63"/>
  <c r="AP32" i="63"/>
  <c r="V46" i="64"/>
  <c r="AK36" i="63"/>
  <c r="I69" i="64"/>
  <c r="AO29" i="63"/>
  <c r="AJ42" i="63"/>
  <c r="AJ44" i="64"/>
  <c r="AE32" i="63"/>
  <c r="AM54" i="63"/>
  <c r="AL69" i="63"/>
  <c r="S82" i="63"/>
  <c r="AQ49" i="63"/>
  <c r="P46" i="64"/>
  <c r="Y74" i="64"/>
  <c r="L65" i="63"/>
  <c r="P42" i="63"/>
  <c r="M73" i="64"/>
  <c r="M44" i="63"/>
  <c r="AP76" i="64"/>
  <c r="AK33" i="63"/>
  <c r="P46" i="63"/>
  <c r="X66" i="64"/>
  <c r="AF39" i="63"/>
  <c r="V59" i="63"/>
  <c r="P73" i="63"/>
  <c r="O78" i="60"/>
  <c r="AK51" i="63"/>
  <c r="AP36" i="64"/>
  <c r="AE30" i="63"/>
  <c r="Y53" i="63"/>
  <c r="AE68" i="63"/>
  <c r="K81" i="63"/>
  <c r="AA37" i="63"/>
  <c r="U84" i="63"/>
  <c r="R81" i="64"/>
  <c r="AM46" i="63"/>
  <c r="AF57" i="64"/>
  <c r="J83" i="64"/>
  <c r="Z45" i="63"/>
  <c r="AD42" i="63"/>
  <c r="X45" i="63"/>
  <c r="K76" i="63"/>
  <c r="D74" i="63"/>
  <c r="AI33" i="63"/>
  <c r="G60" i="63"/>
  <c r="V73" i="63"/>
  <c r="S51" i="60"/>
  <c r="K69" i="63"/>
  <c r="AE69" i="64"/>
  <c r="AC40" i="63"/>
  <c r="M60" i="63"/>
  <c r="AA73" i="63"/>
  <c r="K30" i="60"/>
  <c r="C25" i="63"/>
  <c r="AC49" i="63"/>
  <c r="AB76" i="63"/>
  <c r="P79" i="64"/>
  <c r="K63" i="63"/>
  <c r="R75" i="64"/>
  <c r="G63" i="64"/>
  <c r="Z46" i="63"/>
  <c r="AA65" i="63"/>
  <c r="O78" i="63"/>
  <c r="Y82" i="64"/>
  <c r="AB79" i="63"/>
  <c r="Q82" i="64"/>
  <c r="F47" i="63"/>
  <c r="AQ63" i="63"/>
  <c r="AN72" i="64"/>
  <c r="AN35" i="64"/>
  <c r="AF62" i="64"/>
  <c r="U66" i="64"/>
  <c r="E37" i="63"/>
  <c r="C73" i="64"/>
  <c r="AJ38" i="63"/>
  <c r="AJ28" i="63"/>
  <c r="H42" i="63"/>
  <c r="T62" i="64"/>
  <c r="AO25" i="64"/>
  <c r="Q33" i="63"/>
  <c r="S38" i="63"/>
  <c r="I83" i="63"/>
  <c r="AN66" i="63"/>
  <c r="I53" i="64"/>
  <c r="AD65" i="63"/>
  <c r="AC41" i="64"/>
  <c r="AK59" i="63"/>
  <c r="J58" i="64"/>
  <c r="F32" i="64"/>
  <c r="AP81" i="64"/>
  <c r="J36" i="63"/>
  <c r="AD48" i="63"/>
  <c r="U76" i="64"/>
  <c r="S44" i="63"/>
  <c r="H62" i="63"/>
  <c r="AC75" i="63"/>
  <c r="L64" i="60"/>
  <c r="I61" i="63"/>
  <c r="P55" i="64"/>
  <c r="R35" i="63"/>
  <c r="AB56" i="63"/>
  <c r="J71" i="63"/>
  <c r="X83" i="63"/>
  <c r="AP62" i="63"/>
  <c r="H23" i="64"/>
  <c r="Z82" i="64"/>
  <c r="AJ69" i="64"/>
  <c r="M53" i="63"/>
  <c r="AQ26" i="63"/>
  <c r="Q45" i="64"/>
  <c r="F23" i="63"/>
  <c r="AO37" i="63"/>
  <c r="T50" i="63"/>
  <c r="AJ82" i="64"/>
  <c r="Z47" i="63"/>
  <c r="H64" i="63"/>
  <c r="Z77" i="63"/>
  <c r="U72" i="60"/>
  <c r="D56" i="63"/>
  <c r="AH44" i="64"/>
  <c r="AC32" i="63"/>
  <c r="AL54" i="63"/>
  <c r="AC69" i="63"/>
  <c r="J82" i="63"/>
  <c r="U43" i="63"/>
  <c r="N60" i="60"/>
  <c r="W25" i="63"/>
  <c r="Y50" i="63"/>
  <c r="AD36" i="63"/>
  <c r="AG61" i="64"/>
  <c r="AP39" i="63"/>
  <c r="AF72" i="64"/>
  <c r="AE31" i="63"/>
  <c r="R44" i="63"/>
  <c r="W56" i="64"/>
  <c r="AJ35" i="63"/>
  <c r="AM56" i="63"/>
  <c r="S71" i="63"/>
  <c r="AO83" i="63"/>
  <c r="AJ56" i="63"/>
  <c r="S57" i="64"/>
  <c r="AM51" i="64"/>
  <c r="AA35" i="64"/>
  <c r="D46" i="63"/>
  <c r="AH81" i="64"/>
  <c r="AK25" i="64"/>
  <c r="AF80" i="64"/>
  <c r="S35" i="63"/>
  <c r="AM47" i="63"/>
  <c r="Q73" i="64"/>
  <c r="AK42" i="63"/>
  <c r="M61" i="63"/>
  <c r="AM74" i="63"/>
  <c r="L49" i="60"/>
  <c r="Q58" i="63"/>
  <c r="U49" i="64"/>
  <c r="AJ33" i="63"/>
  <c r="Y55" i="63"/>
  <c r="L70" i="63"/>
  <c r="AH82" i="63"/>
  <c r="AL46" i="63"/>
  <c r="L78" i="60"/>
  <c r="O24" i="63"/>
  <c r="S49" i="63"/>
  <c r="I33" i="63"/>
  <c r="H30" i="63"/>
  <c r="F55" i="63"/>
  <c r="U68" i="63"/>
  <c r="AD50" i="63"/>
  <c r="N79" i="63"/>
  <c r="N83" i="63"/>
  <c r="F38" i="63"/>
  <c r="AL61" i="63"/>
  <c r="C75" i="63"/>
  <c r="H58" i="64"/>
  <c r="AK73" i="63"/>
  <c r="AL75" i="64"/>
  <c r="AH43" i="63"/>
  <c r="C62" i="63"/>
  <c r="H75" i="63"/>
  <c r="AC68" i="64"/>
  <c r="K38" i="63"/>
  <c r="W49" i="64"/>
  <c r="AQ82" i="63"/>
  <c r="AM26" i="63"/>
  <c r="AG66" i="63"/>
  <c r="T36" i="63"/>
  <c r="R72" i="64"/>
  <c r="O50" i="63"/>
  <c r="R67" i="63"/>
  <c r="AK79" i="63"/>
  <c r="D36" i="63"/>
  <c r="M84" i="63"/>
  <c r="AB24" i="63"/>
  <c r="AA49" i="63"/>
  <c r="AG65" i="63"/>
  <c r="AC50" i="64"/>
  <c r="R26" i="63"/>
  <c r="AG31" i="64"/>
  <c r="Y49" i="63"/>
  <c r="O27" i="64"/>
  <c r="O51" i="63"/>
  <c r="T46" i="64"/>
  <c r="AB54" i="63"/>
  <c r="AP67" i="64"/>
  <c r="AQ55" i="64"/>
  <c r="AK45" i="63"/>
  <c r="AI70" i="64"/>
  <c r="F28" i="63"/>
  <c r="G62" i="64"/>
  <c r="AM24" i="63"/>
  <c r="AN73" i="63"/>
  <c r="H62" i="64"/>
  <c r="F48" i="64"/>
  <c r="AI69" i="64"/>
  <c r="Z44" i="64"/>
  <c r="AG84" i="64"/>
  <c r="AG37" i="63"/>
  <c r="L50" i="63"/>
  <c r="K82" i="64"/>
  <c r="N47" i="63"/>
  <c r="AG72" i="63"/>
  <c r="AP56" i="64"/>
  <c r="U49" i="60"/>
  <c r="AL26" i="64"/>
  <c r="AO45" i="63"/>
  <c r="W73" i="64"/>
  <c r="X79" i="64"/>
  <c r="AB57" i="63"/>
  <c r="AH36" i="63"/>
  <c r="Z76" i="63"/>
  <c r="S76" i="64"/>
  <c r="U70" i="63"/>
  <c r="O73" i="63"/>
  <c r="AL25" i="63"/>
  <c r="AA70" i="63"/>
  <c r="AP52" i="63"/>
  <c r="AD31" i="63"/>
  <c r="I69" i="63"/>
  <c r="F73" i="64"/>
  <c r="K36" i="63"/>
  <c r="O72" i="64"/>
  <c r="U40" i="63"/>
  <c r="AE73" i="63"/>
  <c r="AH54" i="63"/>
  <c r="C82" i="64"/>
  <c r="X53" i="63"/>
  <c r="L69" i="63"/>
  <c r="AH81" i="63"/>
  <c r="AG53" i="63"/>
  <c r="W31" i="64"/>
  <c r="AM28" i="63"/>
  <c r="R52" i="63"/>
  <c r="AF67" i="63"/>
  <c r="Q80" i="63"/>
  <c r="AA55" i="63"/>
  <c r="AL73" i="64"/>
  <c r="AQ36" i="63"/>
  <c r="AF52" i="63"/>
  <c r="M47" i="63"/>
  <c r="I77" i="63"/>
  <c r="AO76" i="63"/>
  <c r="AG35" i="63"/>
  <c r="AH60" i="63"/>
  <c r="E74" i="63"/>
  <c r="E35" i="64"/>
  <c r="AP70" i="63"/>
  <c r="C72" i="64"/>
  <c r="AK71" i="64"/>
  <c r="N43" i="63"/>
  <c r="W26" i="63"/>
  <c r="AE24" i="63"/>
  <c r="S42" i="63"/>
  <c r="AD74" i="63"/>
  <c r="AK58" i="63"/>
  <c r="AL83" i="64"/>
  <c r="O54" i="63"/>
  <c r="AB69" i="63"/>
  <c r="I82" i="63"/>
  <c r="M55" i="63"/>
  <c r="AB34" i="64"/>
  <c r="AF29" i="63"/>
  <c r="AN52" i="63"/>
  <c r="Q79" i="64"/>
  <c r="U44" i="63"/>
  <c r="X67" i="64"/>
  <c r="Q30" i="60"/>
  <c r="Y36" i="63"/>
  <c r="AH71" i="63"/>
  <c r="AA59" i="63"/>
  <c r="AG27" i="63"/>
  <c r="Q57" i="63"/>
  <c r="Q71" i="63"/>
  <c r="AM83" i="63"/>
  <c r="E62" i="63"/>
  <c r="AD48" i="64"/>
  <c r="L33" i="63"/>
  <c r="I55" i="63"/>
  <c r="D34" i="64"/>
  <c r="Z43" i="63"/>
  <c r="D55" i="63"/>
  <c r="M25" i="64"/>
  <c r="AP67" i="63"/>
  <c r="S48" i="60"/>
  <c r="P82" i="64"/>
  <c r="AN63" i="63"/>
  <c r="J38" i="64"/>
  <c r="AD25" i="63"/>
  <c r="AK61" i="63"/>
  <c r="N66" i="64"/>
  <c r="U64" i="64"/>
  <c r="AH58" i="64"/>
  <c r="AP45" i="63"/>
  <c r="AP71" i="63"/>
  <c r="AJ62" i="63"/>
  <c r="AE80" i="64"/>
  <c r="H43" i="63"/>
  <c r="T84" i="60"/>
  <c r="Z82" i="63"/>
  <c r="AL38" i="63"/>
  <c r="K75" i="63"/>
  <c r="AI69" i="63"/>
  <c r="D41" i="63"/>
  <c r="AL24" i="64"/>
  <c r="AL23" i="63"/>
  <c r="L48" i="63"/>
  <c r="AM50" i="63"/>
  <c r="AA46" i="63"/>
  <c r="AI76" i="63"/>
  <c r="M66" i="63"/>
  <c r="S26" i="63"/>
  <c r="O56" i="63"/>
  <c r="AI70" i="63"/>
  <c r="O83" i="63"/>
  <c r="F60" i="63"/>
  <c r="AQ43" i="64"/>
  <c r="E32" i="63"/>
  <c r="V54" i="63"/>
  <c r="Q69" i="63"/>
  <c r="AM81" i="63"/>
  <c r="AQ75" i="64"/>
  <c r="S24" i="63"/>
  <c r="AK48" i="63"/>
  <c r="L74" i="63"/>
  <c r="L52" i="63"/>
  <c r="M80" i="63"/>
  <c r="V30" i="64"/>
  <c r="AC39" i="63"/>
  <c r="X62" i="63"/>
  <c r="AA75" i="63"/>
  <c r="H69" i="64"/>
  <c r="I76" i="63"/>
  <c r="J78" i="64"/>
  <c r="C68" i="64"/>
  <c r="AQ57" i="64"/>
  <c r="P39" i="63"/>
  <c r="Z57" i="63"/>
  <c r="I48" i="63"/>
  <c r="AG77" i="63"/>
  <c r="S69" i="63"/>
  <c r="O27" i="63"/>
  <c r="E57" i="63"/>
  <c r="I71" i="63"/>
  <c r="AE83" i="63"/>
  <c r="S61" i="63"/>
  <c r="G47" i="64"/>
  <c r="AK32" i="63"/>
  <c r="AP54" i="63"/>
  <c r="W74" i="64"/>
  <c r="X61" i="64"/>
  <c r="R27" i="63"/>
  <c r="J27" i="63"/>
  <c r="AI42" i="63"/>
  <c r="AL74" i="63"/>
  <c r="AQ69" i="63"/>
  <c r="AB32" i="63"/>
  <c r="R59" i="63"/>
  <c r="AN72" i="63"/>
  <c r="T88" i="60"/>
  <c r="P67" i="63"/>
  <c r="AP58" i="64"/>
  <c r="Q36" i="63"/>
  <c r="V57" i="63"/>
  <c r="K80" i="64"/>
  <c r="AD61" i="63"/>
  <c r="J63" i="63"/>
  <c r="AH67" i="64"/>
  <c r="P70" i="63"/>
  <c r="R87" i="60"/>
  <c r="AA24" i="63"/>
  <c r="X49" i="63"/>
  <c r="AF65" i="63"/>
  <c r="T73" i="63"/>
  <c r="L72" i="63"/>
  <c r="Q84" i="63"/>
  <c r="S72" i="63"/>
  <c r="F42" i="64"/>
  <c r="AH30" i="63"/>
  <c r="AA44" i="63"/>
  <c r="X74" i="64"/>
  <c r="H66" i="63"/>
  <c r="AA45" i="63"/>
  <c r="T60" i="60"/>
  <c r="V41" i="63"/>
  <c r="K78" i="60"/>
  <c r="AI77" i="63"/>
  <c r="E75" i="63"/>
  <c r="AJ23" i="63"/>
  <c r="L51" i="63"/>
  <c r="AI59" i="63"/>
  <c r="G81" i="63"/>
  <c r="AC63" i="64"/>
  <c r="N38" i="63"/>
  <c r="X58" i="63"/>
  <c r="K49" i="63"/>
  <c r="R48" i="60"/>
  <c r="R80" i="63"/>
  <c r="W46" i="63"/>
  <c r="E82" i="63"/>
  <c r="J24" i="63"/>
  <c r="D62" i="63"/>
  <c r="Z54" i="64"/>
  <c r="AF26" i="63"/>
  <c r="AP83" i="63"/>
  <c r="H74" i="63"/>
  <c r="F72" i="63"/>
  <c r="E48" i="63"/>
  <c r="N75" i="64"/>
  <c r="AB26" i="64"/>
  <c r="AI51" i="64"/>
  <c r="V80" i="64"/>
  <c r="S79" i="63"/>
  <c r="E61" i="63"/>
  <c r="M28" i="63"/>
  <c r="P78" i="63"/>
  <c r="Y71" i="63"/>
  <c r="R77" i="63"/>
  <c r="L68" i="63"/>
  <c r="W39" i="63"/>
  <c r="R56" i="64"/>
  <c r="G63" i="63"/>
  <c r="AO38" i="63"/>
  <c r="P50" i="63"/>
  <c r="C63" i="63"/>
  <c r="O84" i="63"/>
  <c r="M30" i="60"/>
  <c r="D79" i="63"/>
  <c r="AF52" i="64"/>
  <c r="L52" i="64"/>
  <c r="N76" i="60"/>
  <c r="AH42" i="63"/>
  <c r="AH76" i="63"/>
  <c r="T74" i="63"/>
  <c r="I44" i="63"/>
  <c r="W52" i="63"/>
  <c r="AM31" i="63"/>
  <c r="I57" i="63"/>
  <c r="E73" i="63"/>
  <c r="AB51" i="63"/>
  <c r="AL79" i="63"/>
  <c r="AH75" i="63"/>
  <c r="AD30" i="63"/>
  <c r="AB58" i="63"/>
  <c r="P72" i="63"/>
  <c r="AL84" i="63"/>
  <c r="Q65" i="63"/>
  <c r="AL55" i="64"/>
  <c r="J35" i="63"/>
  <c r="V56" i="63"/>
  <c r="AN70" i="63"/>
  <c r="T83" i="63"/>
  <c r="L38" i="63"/>
  <c r="V32" i="63"/>
  <c r="AC57" i="63"/>
  <c r="D26" i="64"/>
  <c r="P56" i="63"/>
  <c r="P83" i="63"/>
  <c r="N55" i="64"/>
  <c r="Y43" i="63"/>
  <c r="O64" i="63"/>
  <c r="H77" i="63"/>
  <c r="M26" i="63"/>
  <c r="AI80" i="63"/>
  <c r="Z83" i="64"/>
  <c r="AL64" i="63"/>
  <c r="Z76" i="64"/>
  <c r="AE50" i="63"/>
  <c r="AE77" i="63"/>
  <c r="C53" i="63"/>
  <c r="AK80" i="63"/>
  <c r="AD78" i="63"/>
  <c r="AK31" i="63"/>
  <c r="H59" i="63"/>
  <c r="AF72" i="63"/>
  <c r="N22" i="60"/>
  <c r="AE66" i="63"/>
  <c r="AN57" i="64"/>
  <c r="AP35" i="63"/>
  <c r="L57" i="63"/>
  <c r="AI66" i="63"/>
  <c r="AF77" i="64"/>
  <c r="G40" i="63"/>
  <c r="G59" i="63"/>
  <c r="W48" i="63"/>
  <c r="AO77" i="63"/>
  <c r="L79" i="63"/>
  <c r="X36" i="63"/>
  <c r="K61" i="63"/>
  <c r="U74" i="63"/>
  <c r="T44" i="64"/>
  <c r="G72" i="63"/>
  <c r="AH66" i="64"/>
  <c r="V39" i="63"/>
  <c r="Y59" i="63"/>
  <c r="D80" i="64"/>
  <c r="L75" i="63"/>
  <c r="C70" i="63"/>
  <c r="G27" i="63"/>
  <c r="AC72" i="63"/>
  <c r="AE29" i="64"/>
  <c r="S28" i="63"/>
  <c r="D52" i="63"/>
  <c r="AP55" i="64"/>
  <c r="AA77" i="63"/>
  <c r="D84" i="63"/>
  <c r="D44" i="64"/>
  <c r="V76" i="63"/>
  <c r="R54" i="63"/>
  <c r="M43" i="63"/>
  <c r="AB68" i="63"/>
  <c r="AC60" i="63"/>
  <c r="E71" i="63"/>
  <c r="C56" i="63"/>
  <c r="C36" i="63"/>
  <c r="AG28" i="63"/>
  <c r="AB66" i="64"/>
  <c r="AQ60" i="64"/>
  <c r="AC35" i="63"/>
  <c r="AQ41" i="63"/>
  <c r="M73" i="63"/>
  <c r="T64" i="63"/>
  <c r="L83" i="63"/>
  <c r="K71" i="64"/>
  <c r="S41" i="63"/>
  <c r="AD60" i="63"/>
  <c r="AD57" i="63"/>
  <c r="AQ72" i="64"/>
  <c r="K48" i="60"/>
  <c r="AC55" i="63"/>
  <c r="V42" i="64"/>
  <c r="M63" i="63"/>
  <c r="I68" i="63"/>
  <c r="J38" i="63"/>
  <c r="X39" i="63"/>
  <c r="X40" i="64"/>
  <c r="K78" i="63"/>
  <c r="P80" i="63"/>
  <c r="AI37" i="63"/>
  <c r="AB62" i="63"/>
  <c r="H74" i="64"/>
  <c r="R43" i="63"/>
  <c r="V30" i="63"/>
  <c r="AJ58" i="63"/>
  <c r="M27" i="64"/>
  <c r="M42" i="60"/>
  <c r="AQ51" i="63"/>
  <c r="AH35" i="63"/>
  <c r="AP40" i="63"/>
  <c r="AP58" i="63"/>
  <c r="AH24" i="63"/>
  <c r="T76" i="63"/>
  <c r="AQ53" i="63"/>
  <c r="E55" i="63"/>
  <c r="AG81" i="64"/>
  <c r="G39" i="64"/>
  <c r="Q60" i="64"/>
  <c r="K53" i="63"/>
  <c r="L53" i="63"/>
  <c r="Z81" i="63"/>
  <c r="AO29" i="64"/>
  <c r="E52" i="63"/>
  <c r="AC37" i="63"/>
  <c r="P38" i="63"/>
  <c r="Z64" i="63"/>
  <c r="AG23" i="64"/>
  <c r="AK55" i="63"/>
  <c r="AP82" i="63"/>
  <c r="M22" i="60"/>
  <c r="AP34" i="63"/>
  <c r="Y60" i="63"/>
  <c r="AL73" i="63"/>
  <c r="R30" i="64"/>
  <c r="R70" i="63"/>
  <c r="AD63" i="64"/>
  <c r="O38" i="63"/>
  <c r="AI58" i="63"/>
  <c r="U72" i="63"/>
  <c r="AQ84" i="63"/>
  <c r="J55" i="63"/>
  <c r="AF38" i="63"/>
  <c r="K65" i="63"/>
  <c r="O68" i="64"/>
  <c r="Q60" i="63"/>
  <c r="W33" i="64"/>
  <c r="J65" i="64"/>
  <c r="AK47" i="63"/>
  <c r="E66" i="63"/>
  <c r="AE78" i="63"/>
  <c r="R38" i="63"/>
  <c r="L24" i="60"/>
  <c r="AC25" i="63"/>
  <c r="N84" i="64"/>
  <c r="K26" i="63"/>
  <c r="J59" i="63"/>
  <c r="S35" i="64"/>
  <c r="F57" i="63"/>
  <c r="AN83" i="63"/>
  <c r="S72" i="60"/>
  <c r="H36" i="63"/>
  <c r="AQ60" i="63"/>
  <c r="M74" i="63"/>
  <c r="AG39" i="64"/>
  <c r="X71" i="63"/>
  <c r="AG65" i="64"/>
  <c r="F39" i="63"/>
  <c r="O59" i="63"/>
  <c r="W24" i="63"/>
  <c r="AE26" i="63"/>
  <c r="Q51" i="63"/>
  <c r="AL78" i="63"/>
  <c r="O53" i="63"/>
  <c r="C81" i="63"/>
  <c r="AF36" i="64"/>
  <c r="T40" i="63"/>
  <c r="AQ62" i="63"/>
  <c r="AQ75" i="63"/>
  <c r="AK73" i="64"/>
  <c r="O77" i="63"/>
  <c r="Y73" i="64"/>
  <c r="AA42" i="63"/>
  <c r="P61" i="63"/>
  <c r="AE47" i="63"/>
  <c r="M24" i="60"/>
  <c r="J76" i="63"/>
  <c r="AE38" i="63"/>
  <c r="Z74" i="63"/>
  <c r="J42" i="64"/>
  <c r="AC31" i="63"/>
  <c r="I54" i="63"/>
  <c r="AK82" i="64"/>
  <c r="AD81" i="63"/>
  <c r="AA29" i="64"/>
  <c r="AN79" i="64"/>
  <c r="Z80" i="63"/>
  <c r="K72" i="63"/>
  <c r="AA53" i="63"/>
  <c r="V81" i="63"/>
  <c r="S24" i="60"/>
  <c r="I75" i="63"/>
  <c r="L64" i="63"/>
  <c r="R69" i="63"/>
  <c r="M72" i="60"/>
  <c r="U58" i="63"/>
  <c r="C52" i="63"/>
  <c r="M76" i="64"/>
  <c r="N55" i="63"/>
  <c r="AJ26" i="64"/>
  <c r="J68" i="63"/>
  <c r="U22" i="60"/>
  <c r="R77" i="64"/>
  <c r="X44" i="63"/>
  <c r="T62" i="63"/>
  <c r="AN64" i="63"/>
  <c r="M57" i="63"/>
  <c r="H39" i="63"/>
  <c r="D63" i="63"/>
  <c r="D43" i="63"/>
  <c r="I79" i="63"/>
  <c r="Q73" i="63"/>
  <c r="U64" i="63"/>
  <c r="AL50" i="63"/>
  <c r="F78" i="64"/>
  <c r="O82" i="63"/>
  <c r="S49" i="60"/>
  <c r="G75" i="63"/>
  <c r="L77" i="63"/>
  <c r="V83" i="63"/>
  <c r="AF56" i="63"/>
  <c r="F46" i="63"/>
  <c r="O40" i="63"/>
  <c r="R78" i="64"/>
  <c r="V66" i="63"/>
  <c r="AI59" i="64"/>
  <c r="U25" i="63"/>
  <c r="AL56" i="63"/>
  <c r="AP70" i="64"/>
  <c r="AP72" i="63"/>
  <c r="P38" i="64"/>
  <c r="N78" i="60"/>
  <c r="AI25" i="64"/>
  <c r="R82" i="63"/>
  <c r="AH46" i="63"/>
  <c r="S70" i="64"/>
  <c r="T33" i="63"/>
  <c r="AO64" i="63"/>
  <c r="AJ55" i="63"/>
  <c r="G83" i="63"/>
  <c r="T42" i="64"/>
  <c r="J54" i="63"/>
  <c r="AK53" i="63"/>
  <c r="Z44" i="63"/>
  <c r="AA71" i="63"/>
  <c r="L66" i="64"/>
  <c r="AN59" i="63"/>
  <c r="O30" i="60"/>
  <c r="Q27" i="64"/>
  <c r="M39" i="63"/>
  <c r="O62" i="63"/>
  <c r="S75" i="63"/>
  <c r="H66" i="64"/>
  <c r="Z75" i="63"/>
  <c r="L71" i="64"/>
  <c r="T41" i="63"/>
  <c r="AE60" i="63"/>
  <c r="AQ73" i="63"/>
  <c r="S36" i="60"/>
  <c r="AK65" i="64"/>
  <c r="AP44" i="63"/>
  <c r="AQ71" i="63"/>
  <c r="D82" i="64"/>
  <c r="G64" i="63"/>
  <c r="AH83" i="64"/>
  <c r="AN73" i="64"/>
  <c r="AP50" i="63"/>
  <c r="AJ67" i="63"/>
  <c r="L80" i="63"/>
  <c r="V47" i="63"/>
  <c r="E33" i="64"/>
  <c r="P29" i="63"/>
  <c r="Q41" i="63"/>
  <c r="AC33" i="63"/>
  <c r="Y66" i="63"/>
  <c r="S72" i="64"/>
  <c r="C61" i="63"/>
  <c r="S84" i="60"/>
  <c r="I35" i="64"/>
  <c r="D40" i="63"/>
  <c r="AH62" i="63"/>
  <c r="AI75" i="63"/>
  <c r="X71" i="64"/>
  <c r="AG76" i="63"/>
  <c r="AI72" i="64"/>
  <c r="K42" i="63"/>
  <c r="G61" i="63"/>
  <c r="X42" i="63"/>
  <c r="D34" i="63"/>
  <c r="AF59" i="63"/>
  <c r="X38" i="64"/>
  <c r="R57" i="63"/>
  <c r="G84" i="63"/>
  <c r="Q57" i="64"/>
  <c r="G45" i="63"/>
  <c r="AG64" i="63"/>
  <c r="X77" i="63"/>
  <c r="AP30" i="63"/>
  <c r="AO81" i="63"/>
  <c r="AF79" i="64"/>
  <c r="AF45" i="63"/>
  <c r="F63" i="63"/>
  <c r="U42" i="63"/>
  <c r="AP60" i="63"/>
  <c r="Y82" i="63"/>
  <c r="V46" i="63"/>
  <c r="W76" i="63"/>
  <c r="AD54" i="64"/>
  <c r="AH34" i="63"/>
  <c r="H63" i="64"/>
  <c r="AJ81" i="64"/>
  <c r="F50" i="63"/>
  <c r="R71" i="63"/>
  <c r="F43" i="63"/>
  <c r="O24" i="60"/>
  <c r="W83" i="64"/>
  <c r="AJ63" i="63"/>
  <c r="J28" i="63"/>
  <c r="AC47" i="64"/>
  <c r="AH63" i="63"/>
  <c r="S43" i="63"/>
  <c r="AD39" i="63"/>
  <c r="L24" i="64"/>
  <c r="F62" i="63"/>
  <c r="AE25" i="64"/>
  <c r="V70" i="64"/>
  <c r="V60" i="63"/>
  <c r="N62" i="64"/>
  <c r="AJ50" i="63"/>
  <c r="AP77" i="63"/>
  <c r="AJ80" i="64"/>
  <c r="AC63" i="63"/>
  <c r="H24" i="64"/>
  <c r="P52" i="64"/>
  <c r="I43" i="63"/>
  <c r="E64" i="63"/>
  <c r="AP76" i="63"/>
  <c r="R84" i="64"/>
  <c r="K80" i="63"/>
  <c r="S77" i="64"/>
  <c r="Y44" i="63"/>
  <c r="U62" i="63"/>
  <c r="X75" i="63"/>
  <c r="K26" i="64"/>
  <c r="AH28" i="63"/>
  <c r="K51" i="63"/>
  <c r="Q78" i="63"/>
  <c r="AD28" i="63"/>
  <c r="AB67" i="63"/>
  <c r="G41" i="63"/>
  <c r="K83" i="64"/>
  <c r="AH53" i="63"/>
  <c r="T69" i="63"/>
  <c r="AP81" i="63"/>
  <c r="X54" i="63"/>
  <c r="Y45" i="64"/>
  <c r="U32" i="63"/>
  <c r="N58" i="63"/>
  <c r="AM39" i="63"/>
  <c r="H73" i="63"/>
  <c r="AM83" i="64"/>
  <c r="AH64" i="63"/>
  <c r="AQ45" i="64"/>
  <c r="Q56" i="64"/>
  <c r="P44" i="63"/>
  <c r="X64" i="63"/>
  <c r="P77" i="63"/>
  <c r="AP28" i="63"/>
  <c r="Q81" i="63"/>
  <c r="AP78" i="64"/>
  <c r="P45" i="63"/>
  <c r="AM62" i="63"/>
  <c r="AB59" i="63"/>
  <c r="N40" i="63"/>
  <c r="K67" i="63"/>
  <c r="I73" i="64"/>
  <c r="L61" i="63"/>
  <c r="AD50" i="64"/>
  <c r="L67" i="64"/>
  <c r="U48" i="63"/>
  <c r="W66" i="63"/>
  <c r="E79" i="63"/>
  <c r="AF40" i="63"/>
  <c r="T49" i="60"/>
  <c r="AK84" i="64"/>
  <c r="P48" i="63"/>
  <c r="AM64" i="63"/>
  <c r="AE74" i="63"/>
  <c r="AK39" i="64"/>
  <c r="G49" i="64"/>
  <c r="S53" i="63"/>
  <c r="AJ78" i="63"/>
  <c r="AB62" i="64"/>
  <c r="AM37" i="63"/>
  <c r="L58" i="63"/>
  <c r="AO47" i="63"/>
  <c r="R78" i="60"/>
  <c r="L66" i="63"/>
  <c r="AQ44" i="63"/>
  <c r="U84" i="60"/>
  <c r="AG59" i="63"/>
  <c r="X67" i="63"/>
  <c r="W33" i="63"/>
  <c r="AD24" i="63"/>
  <c r="S83" i="63"/>
  <c r="Z73" i="63"/>
  <c r="AF36" i="63"/>
  <c r="V51" i="63"/>
  <c r="AQ24" i="63"/>
  <c r="E82" i="64"/>
  <c r="G62" i="63"/>
  <c r="K70" i="63"/>
  <c r="Y27" i="63"/>
  <c r="AK72" i="63"/>
  <c r="O88" i="60"/>
  <c r="F25" i="63"/>
  <c r="AL49" i="63"/>
  <c r="AO65" i="63"/>
  <c r="AP73" i="63"/>
  <c r="R30" i="60"/>
  <c r="L51" i="60"/>
  <c r="AL72" i="63"/>
  <c r="AP78" i="63"/>
  <c r="AB79" i="64"/>
  <c r="E76" i="64"/>
  <c r="G83" i="64"/>
  <c r="AJ66" i="63"/>
  <c r="AQ46" i="63"/>
  <c r="M42" i="63"/>
  <c r="M48" i="63"/>
  <c r="AM48" i="63"/>
  <c r="AF60" i="63"/>
  <c r="Y81" i="63"/>
  <c r="W38" i="63"/>
  <c r="G57" i="63"/>
  <c r="G66" i="63"/>
  <c r="AF83" i="63"/>
  <c r="J76" i="64"/>
  <c r="W62" i="63"/>
  <c r="AP36" i="63"/>
  <c r="N59" i="64"/>
  <c r="AL51" i="63"/>
  <c r="R42" i="63"/>
  <c r="AE76" i="63"/>
  <c r="O80" i="64"/>
  <c r="S59" i="63"/>
  <c r="K49" i="64"/>
  <c r="AK63" i="63"/>
  <c r="D63" i="64"/>
  <c r="AC76" i="64"/>
  <c r="L62" i="63"/>
  <c r="I40" i="63"/>
  <c r="W57" i="64"/>
  <c r="H84" i="63"/>
  <c r="AH27" i="63"/>
  <c r="J67" i="63"/>
  <c r="C80" i="64"/>
  <c r="I64" i="64"/>
  <c r="J47" i="63"/>
  <c r="AK65" i="63"/>
  <c r="W78" i="63"/>
  <c r="K37" i="63"/>
  <c r="AK84" i="63"/>
  <c r="AQ82" i="64"/>
  <c r="R47" i="63"/>
  <c r="K64" i="63"/>
  <c r="E77" i="63"/>
  <c r="AO39" i="64"/>
  <c r="P41" i="63"/>
  <c r="T59" i="64"/>
  <c r="X84" i="63"/>
  <c r="AQ34" i="63"/>
  <c r="AJ70" i="63"/>
  <c r="X56" i="63"/>
  <c r="AK26" i="63"/>
  <c r="AK56" i="63"/>
  <c r="AQ70" i="63"/>
  <c r="W83" i="63"/>
  <c r="AG60" i="63"/>
  <c r="AN56" i="64"/>
  <c r="Z35" i="63"/>
  <c r="AM72" i="64"/>
  <c r="H46" i="63"/>
  <c r="W79" i="63"/>
  <c r="AN29" i="63"/>
  <c r="N68" i="63"/>
  <c r="AG26" i="63"/>
  <c r="K66" i="64"/>
  <c r="H48" i="63"/>
  <c r="N66" i="63"/>
  <c r="AM78" i="63"/>
  <c r="Y39" i="63"/>
  <c r="U36" i="60"/>
  <c r="J84" i="64"/>
  <c r="D48" i="63"/>
  <c r="AC64" i="63"/>
  <c r="D74" i="64"/>
  <c r="X46" i="63"/>
  <c r="X73" i="63"/>
  <c r="X84" i="64"/>
  <c r="AQ64" i="63"/>
  <c r="AB27" i="63"/>
  <c r="AH77" i="64"/>
  <c r="Z51" i="63"/>
  <c r="M68" i="63"/>
  <c r="AB80" i="63"/>
  <c r="P49" i="63"/>
  <c r="AE23" i="64"/>
  <c r="AC26" i="63"/>
  <c r="AK50" i="63"/>
  <c r="AC66" i="63"/>
  <c r="AE33" i="63"/>
  <c r="N23" i="63"/>
  <c r="N50" i="63"/>
  <c r="C59" i="63"/>
  <c r="AO80" i="63"/>
  <c r="U70" i="64"/>
  <c r="C41" i="63"/>
  <c r="U60" i="63"/>
  <c r="AI56" i="63"/>
  <c r="AF69" i="63"/>
  <c r="AK78" i="63"/>
  <c r="AG54" i="63"/>
  <c r="Q38" i="63"/>
  <c r="AB77" i="63"/>
  <c r="AJ72" i="63"/>
  <c r="AJ61" i="63"/>
  <c r="AP37" i="63"/>
  <c r="N34" i="64"/>
  <c r="AD77" i="63"/>
  <c r="I31" i="63"/>
  <c r="AO74" i="63"/>
  <c r="AQ83" i="63"/>
  <c r="D81" i="64"/>
  <c r="AB75" i="63"/>
  <c r="R76" i="63"/>
  <c r="AL39" i="63"/>
  <c r="AH74" i="63"/>
  <c r="M31" i="64"/>
  <c r="AL28" i="63"/>
  <c r="Q52" i="63"/>
  <c r="AP59" i="64"/>
  <c r="E78" i="63"/>
  <c r="P48" i="64"/>
  <c r="N50" i="64"/>
  <c r="C77" i="63"/>
  <c r="D58" i="64"/>
  <c r="P32" i="63"/>
  <c r="AE48" i="63"/>
  <c r="I64" i="63"/>
  <c r="AB71" i="63"/>
  <c r="AP57" i="63"/>
  <c r="U71" i="63"/>
  <c r="AQ65" i="63"/>
  <c r="P58" i="63"/>
  <c r="AG79" i="63"/>
  <c r="S33" i="63"/>
  <c r="T30" i="60"/>
  <c r="L74" i="64"/>
  <c r="O49" i="63"/>
  <c r="AC58" i="63"/>
  <c r="S30" i="63"/>
  <c r="G79" i="63"/>
  <c r="Y51" i="63"/>
  <c r="U33" i="63"/>
  <c r="K65" i="64"/>
  <c r="U49" i="63"/>
  <c r="AO36" i="63"/>
  <c r="H50" i="63"/>
  <c r="AB63" i="63"/>
  <c r="AA84" i="63"/>
  <c r="AL33" i="63"/>
  <c r="D70" i="63"/>
  <c r="AI80" i="64"/>
  <c r="D69" i="63"/>
  <c r="S45" i="63"/>
  <c r="U28" i="63"/>
  <c r="W67" i="63"/>
  <c r="AN46" i="64"/>
  <c r="E84" i="64"/>
  <c r="M48" i="60"/>
  <c r="K34" i="63"/>
  <c r="T70" i="63"/>
  <c r="AH38" i="63"/>
  <c r="H73" i="64"/>
  <c r="AC50" i="63"/>
  <c r="AA67" i="63"/>
  <c r="D80" i="63"/>
  <c r="Y46" i="63"/>
  <c r="S88" i="60"/>
  <c r="I25" i="63"/>
  <c r="AM49" i="63"/>
  <c r="AP65" i="63"/>
  <c r="AB78" i="63"/>
  <c r="Q37" i="64"/>
  <c r="AA51" i="64"/>
  <c r="S23" i="63"/>
  <c r="AO76" i="64"/>
  <c r="L41" i="63"/>
  <c r="F74" i="63"/>
  <c r="Z67" i="63"/>
  <c r="E31" i="63"/>
  <c r="AN58" i="63"/>
  <c r="X72" i="63"/>
  <c r="M78" i="60"/>
  <c r="D66" i="63"/>
  <c r="AE64" i="64"/>
  <c r="W52" i="64"/>
  <c r="AI30" i="63"/>
  <c r="U65" i="64"/>
  <c r="O76" i="60"/>
  <c r="I36" i="63"/>
  <c r="Z71" i="63"/>
  <c r="AB44" i="63"/>
  <c r="U75" i="64"/>
  <c r="M51" i="63"/>
  <c r="D68" i="63"/>
  <c r="T80" i="63"/>
  <c r="T48" i="63"/>
  <c r="O25" i="64"/>
  <c r="J26" i="63"/>
  <c r="W50" i="63"/>
  <c r="P33" i="64"/>
  <c r="AP31" i="63"/>
  <c r="X24" i="64"/>
  <c r="AM79" i="63"/>
  <c r="O30" i="63"/>
  <c r="W68" i="63"/>
  <c r="AI45" i="63"/>
  <c r="V84" i="64"/>
  <c r="AI54" i="63"/>
  <c r="AJ69" i="63"/>
  <c r="Q82" i="63"/>
  <c r="N56" i="63"/>
  <c r="J36" i="64"/>
  <c r="G30" i="63"/>
  <c r="I53" i="63"/>
  <c r="S68" i="63"/>
  <c r="AF74" i="64"/>
  <c r="K41" i="63"/>
  <c r="AE72" i="63"/>
  <c r="Y63" i="63"/>
  <c r="AL82" i="63"/>
  <c r="AB76" i="64"/>
  <c r="H44" i="63"/>
  <c r="K62" i="63"/>
  <c r="C64" i="63"/>
  <c r="AM61" i="64"/>
  <c r="AM32" i="63"/>
  <c r="J62" i="63"/>
  <c r="AA64" i="63"/>
  <c r="I31" i="64"/>
  <c r="AQ79" i="63"/>
  <c r="N76" i="63"/>
  <c r="AB49" i="63"/>
  <c r="AN71" i="64"/>
  <c r="AK81" i="63"/>
  <c r="AM71" i="63"/>
  <c r="Q75" i="63"/>
  <c r="AN40" i="64"/>
  <c r="F48" i="63"/>
  <c r="N62" i="63"/>
  <c r="AG82" i="63"/>
  <c r="AF47" i="63"/>
  <c r="AM76" i="63"/>
  <c r="AG43" i="64"/>
  <c r="D32" i="63"/>
  <c r="S54" i="63"/>
  <c r="AN23" i="63"/>
  <c r="L82" i="63"/>
  <c r="T44" i="63"/>
  <c r="X82" i="64"/>
  <c r="F81" i="63"/>
  <c r="J57" i="63"/>
  <c r="AJ44" i="63"/>
  <c r="I70" i="63"/>
  <c r="T36" i="60"/>
  <c r="AE75" i="63"/>
  <c r="G65" i="63"/>
  <c r="W28" i="63"/>
  <c r="AA74" i="63"/>
  <c r="AJ49" i="63"/>
  <c r="AI57" i="63"/>
  <c r="AM59" i="63"/>
  <c r="W37" i="64"/>
  <c r="AE67" i="63"/>
  <c r="Z38" i="63"/>
  <c r="E47" i="63"/>
  <c r="R68" i="63"/>
  <c r="AQ65" i="64"/>
  <c r="U24" i="60"/>
  <c r="L43" i="63"/>
  <c r="J79" i="63"/>
  <c r="S37" i="63"/>
  <c r="O36" i="60"/>
  <c r="AQ64" i="64"/>
  <c r="AK82" i="63"/>
  <c r="I80" i="63"/>
  <c r="AC71" i="63"/>
  <c r="D81" i="63"/>
  <c r="AC28" i="63"/>
  <c r="AM77" i="63"/>
  <c r="F65" i="63"/>
  <c r="AB83" i="63"/>
  <c r="I78" i="64"/>
  <c r="AN44" i="63"/>
  <c r="AC62" i="63"/>
  <c r="AH65" i="63"/>
  <c r="J60" i="63"/>
  <c r="Z55" i="64"/>
  <c r="V77" i="63"/>
  <c r="E60" i="63"/>
  <c r="R46" i="63"/>
  <c r="AE71" i="63"/>
  <c r="D69" i="64"/>
  <c r="AQ58" i="63"/>
  <c r="C37" i="63"/>
  <c r="AK70" i="64"/>
  <c r="O74" i="64"/>
  <c r="AL70" i="63"/>
  <c r="S87" i="60"/>
  <c r="W64" i="63"/>
  <c r="W29" i="63"/>
  <c r="AJ57" i="63"/>
  <c r="AN60" i="63"/>
  <c r="AE81" i="63"/>
  <c r="AE65" i="64"/>
  <c r="E39" i="63"/>
  <c r="N59" i="63"/>
  <c r="AD51" i="63"/>
  <c r="U30" i="60"/>
  <c r="G71" i="63"/>
  <c r="J37" i="63"/>
  <c r="R88" i="60"/>
  <c r="AK76" i="63"/>
  <c r="AC47" i="63"/>
  <c r="L73" i="63"/>
  <c r="K72" i="64"/>
  <c r="AM80" i="63"/>
  <c r="AE64" i="63"/>
  <c r="W71" i="63"/>
  <c r="AN75" i="63"/>
  <c r="AP38" i="64"/>
  <c r="V26" i="64"/>
  <c r="P82" i="63"/>
  <c r="C33" i="63"/>
  <c r="X82" i="63"/>
  <c r="J66" i="63"/>
  <c r="C84" i="63"/>
  <c r="AE79" i="64"/>
  <c r="AE45" i="63"/>
  <c r="E63" i="63"/>
  <c r="F67" i="63"/>
  <c r="V65" i="63"/>
  <c r="F76" i="63"/>
  <c r="O70" i="63"/>
  <c r="L71" i="63"/>
  <c r="AJ84" i="63"/>
  <c r="G70" i="63"/>
  <c r="S60" i="60"/>
  <c r="AK77" i="63"/>
  <c r="AM53" i="63"/>
  <c r="J83" i="63"/>
  <c r="N33" i="63"/>
  <c r="AP29" i="63"/>
  <c r="AH57" i="63"/>
  <c r="Y80" i="63"/>
  <c r="AI68" i="64"/>
  <c r="L40" i="63"/>
  <c r="S62" i="63"/>
  <c r="N49" i="60"/>
  <c r="AQ29" i="63"/>
  <c r="J81" i="63"/>
  <c r="R34" i="63"/>
  <c r="N84" i="60"/>
  <c r="AI83" i="63"/>
  <c r="K56" i="63"/>
  <c r="W32" i="63"/>
  <c r="AK35" i="64"/>
  <c r="AG31" i="63"/>
  <c r="Q44" i="63"/>
  <c r="R49" i="60"/>
  <c r="AM69" i="63"/>
  <c r="Q66" i="63"/>
  <c r="AP59" i="63"/>
  <c r="AO52" i="63"/>
  <c r="AG67" i="64"/>
  <c r="AB73" i="63"/>
  <c r="I63" i="63"/>
  <c r="W45" i="63"/>
  <c r="AG37" i="64"/>
  <c r="AA68" i="63"/>
  <c r="T24" i="60"/>
  <c r="Y83" i="64"/>
  <c r="AD47" i="63"/>
  <c r="S64" i="63"/>
  <c r="Q70" i="63"/>
  <c r="O75" i="63"/>
  <c r="AP84" i="64"/>
  <c r="AC81" i="63"/>
  <c r="N75" i="63"/>
  <c r="V55" i="63"/>
  <c r="AA65" i="64"/>
  <c r="F41" i="63"/>
  <c r="W70" i="63"/>
  <c r="U82" i="63"/>
  <c r="U79" i="63"/>
  <c r="AA33" i="63"/>
  <c r="G23" i="63"/>
  <c r="N77" i="64"/>
  <c r="AL24" i="63"/>
  <c r="AM45" i="63"/>
  <c r="V78" i="63"/>
  <c r="O65" i="63"/>
  <c r="AJ83" i="63"/>
  <c r="AH72" i="64"/>
  <c r="J42" i="63"/>
  <c r="F61" i="63"/>
  <c r="Z59" i="63"/>
  <c r="X79" i="63"/>
  <c r="U83" i="63"/>
  <c r="C49" i="63"/>
  <c r="AB84" i="63"/>
  <c r="L76" i="60"/>
  <c r="W56" i="63"/>
  <c r="AH75" i="64"/>
  <c r="I30" i="63"/>
  <c r="AP84" i="63"/>
  <c r="F84" i="64"/>
  <c r="AK83" i="63"/>
  <c r="K84" i="63"/>
  <c r="Q61" i="63"/>
  <c r="AH45" i="63"/>
  <c r="F31" i="63"/>
  <c r="AG48" i="63"/>
  <c r="L50" i="64"/>
  <c r="Y69" i="63"/>
  <c r="T78" i="60"/>
  <c r="AH84" i="64"/>
  <c r="O48" i="63"/>
  <c r="AK64" i="63"/>
  <c r="T71" i="63"/>
  <c r="AL77" i="63"/>
  <c r="N87" i="60"/>
  <c r="S74" i="63"/>
  <c r="C83" i="63"/>
  <c r="X62" i="64"/>
  <c r="AC76" i="63"/>
  <c r="AL31" i="63"/>
  <c r="L60" i="60"/>
  <c r="E76" i="63"/>
  <c r="T56" i="63"/>
  <c r="X69" i="63"/>
  <c r="X68" i="63"/>
  <c r="Y78" i="64"/>
  <c r="AM41" i="63"/>
  <c r="AD62" i="63"/>
  <c r="V82" i="63"/>
  <c r="E75" i="64"/>
  <c r="Q43" i="63"/>
  <c r="AG61" i="63"/>
  <c r="M62" i="63"/>
  <c r="U47" i="63"/>
  <c r="J80" i="63"/>
  <c r="O71" i="63"/>
  <c r="S22" i="60"/>
  <c r="R70" i="64"/>
  <c r="AQ29" i="64"/>
  <c r="AK51" i="64"/>
  <c r="R64" i="63"/>
  <c r="V42" i="63"/>
  <c r="O49" i="60"/>
  <c r="AG30" i="63"/>
  <c r="K58" i="60"/>
  <c r="S93" i="60"/>
  <c r="AB52" i="63"/>
  <c r="T78" i="63"/>
  <c r="Z61" i="64"/>
  <c r="W37" i="63"/>
  <c r="AQ57" i="63"/>
  <c r="AE46" i="63"/>
  <c r="J51" i="63"/>
  <c r="U73" i="64"/>
  <c r="D44" i="63"/>
  <c r="E51" i="63"/>
  <c r="H54" i="63"/>
  <c r="AD70" i="63"/>
  <c r="AP68" i="63"/>
  <c r="K77" i="63"/>
  <c r="AA61" i="63"/>
  <c r="N61" i="63"/>
  <c r="N72" i="63"/>
  <c r="AE41" i="63"/>
  <c r="AK71" i="63"/>
  <c r="AD33" i="63"/>
  <c r="W61" i="63"/>
  <c r="AN65" i="63"/>
  <c r="T61" i="63"/>
  <c r="T51" i="63"/>
  <c r="R29" i="63"/>
  <c r="S78" i="63"/>
  <c r="M81" i="63"/>
  <c r="AG52" i="63"/>
  <c r="AD81" i="64"/>
  <c r="M88" i="60"/>
  <c r="AC78" i="63"/>
  <c r="AF53" i="63"/>
  <c r="AP63" i="63"/>
  <c r="K68" i="63"/>
  <c r="L30" i="60"/>
  <c r="L84" i="63"/>
  <c r="AP42" i="64"/>
  <c r="AJ55" i="64"/>
  <c r="AM75" i="63"/>
  <c r="AG73" i="63"/>
  <c r="AI79" i="63"/>
  <c r="Q87" i="60"/>
  <c r="T55" i="63"/>
  <c r="O28" i="63"/>
  <c r="AK23" i="63"/>
  <c r="AA57" i="63"/>
  <c r="P74" i="64"/>
  <c r="F71" i="63"/>
  <c r="Q72" i="60"/>
  <c r="AB25" i="63"/>
  <c r="J50" i="63"/>
  <c r="I66" i="63"/>
  <c r="X74" i="63"/>
  <c r="W61" i="64"/>
  <c r="AB35" i="63"/>
  <c r="E83" i="63"/>
  <c r="P31" i="63"/>
  <c r="AN62" i="63"/>
  <c r="O41" i="63"/>
  <c r="H52" i="63"/>
  <c r="AH78" i="63"/>
  <c r="AD34" i="64"/>
  <c r="F83" i="63"/>
  <c r="R53" i="63"/>
  <c r="AN79" i="63"/>
  <c r="D30" i="63"/>
  <c r="AF49" i="63"/>
  <c r="AK57" i="63"/>
  <c r="O39" i="64"/>
  <c r="AI68" i="63"/>
  <c r="N51" i="60"/>
  <c r="AO78" i="64"/>
  <c r="O45" i="63"/>
  <c r="AL62" i="63"/>
  <c r="Z66" i="63"/>
  <c r="R72" i="60"/>
  <c r="G33" i="64"/>
  <c r="Y57" i="63"/>
  <c r="AM69" i="64"/>
  <c r="Z37" i="63"/>
  <c r="AI63" i="63"/>
  <c r="AQ45" i="63"/>
  <c r="AC42" i="63"/>
  <c r="O51" i="60"/>
  <c r="AE40" i="63"/>
  <c r="F77" i="63"/>
  <c r="C25" i="64"/>
  <c r="AB82" i="63"/>
  <c r="I49" i="64"/>
  <c r="AI53" i="63"/>
  <c r="AD59" i="63"/>
  <c r="W80" i="64"/>
  <c r="V71" i="63"/>
  <c r="U23" i="64"/>
  <c r="AB26" i="63"/>
  <c r="AI50" i="63"/>
  <c r="AF32" i="64"/>
  <c r="W75" i="63"/>
  <c r="O48" i="60"/>
  <c r="AN62" i="64"/>
  <c r="Z78" i="63"/>
  <c r="E35" i="63"/>
  <c r="T23" i="63"/>
  <c r="K54" i="63"/>
  <c r="AI81" i="63"/>
  <c r="AQ49" i="64"/>
  <c r="N64" i="60"/>
  <c r="U67" i="63"/>
  <c r="AL81" i="63"/>
  <c r="T72" i="60"/>
  <c r="AN36" i="63"/>
  <c r="C68" i="63"/>
  <c r="AL66" i="63"/>
  <c r="S84" i="63"/>
  <c r="E81" i="64"/>
  <c r="S46" i="63"/>
  <c r="X63" i="63"/>
  <c r="Q68" i="63"/>
  <c r="H69" i="63"/>
  <c r="Y31" i="64"/>
  <c r="V75" i="63"/>
  <c r="P47" i="63"/>
  <c r="S27" i="63"/>
  <c r="L35" i="63"/>
  <c r="AJ51" i="63"/>
  <c r="F70" i="63"/>
  <c r="G53" i="63"/>
  <c r="T71" i="64"/>
  <c r="AN68" i="63"/>
  <c r="O79" i="64"/>
  <c r="E43" i="63"/>
  <c r="C58" i="63"/>
  <c r="AG80" i="63"/>
  <c r="AD69" i="64"/>
  <c r="AB40" i="63"/>
  <c r="K60" i="63"/>
  <c r="AF55" i="63"/>
  <c r="AE70" i="63"/>
  <c r="AP54" i="64"/>
  <c r="AF74" i="63"/>
  <c r="J29" i="63"/>
  <c r="N81" i="63"/>
  <c r="N77" i="63"/>
  <c r="O80" i="63"/>
  <c r="AG74" i="63"/>
  <c r="N27" i="63"/>
  <c r="AO31" i="63"/>
  <c r="R51" i="63"/>
  <c r="T68" i="63"/>
  <c r="T64" i="60"/>
  <c r="AG46" i="63"/>
  <c r="C57" i="63"/>
  <c r="Y70" i="63"/>
  <c r="AD67" i="63"/>
  <c r="AK35" i="63"/>
  <c r="X80" i="63"/>
  <c r="AC57" i="64"/>
  <c r="Q23" i="64"/>
  <c r="S63" i="63"/>
  <c r="AO82" i="64"/>
  <c r="AH73" i="63"/>
  <c r="S37" i="64"/>
  <c r="AD34" i="63"/>
  <c r="AQ56" i="64"/>
  <c r="X61" i="63"/>
  <c r="W62" i="64"/>
  <c r="G49" i="63"/>
  <c r="AP64" i="63"/>
  <c r="W30" i="63"/>
  <c r="C73" i="63"/>
  <c r="AJ32" i="64"/>
  <c r="O29" i="63"/>
  <c r="AA52" i="63"/>
  <c r="X63" i="64"/>
  <c r="AA78" i="63"/>
  <c r="Y48" i="63"/>
  <c r="AG47" i="63"/>
  <c r="AD58" i="64"/>
  <c r="AB66" i="63"/>
  <c r="AG68" i="63"/>
  <c r="AK66" i="63"/>
  <c r="O67" i="63"/>
  <c r="Y73" i="63"/>
  <c r="K44" i="63"/>
  <c r="C34" i="63"/>
  <c r="N63" i="63"/>
  <c r="V25" i="63"/>
  <c r="F35" i="63"/>
  <c r="AL65" i="63"/>
  <c r="I65" i="63"/>
  <c r="F75" i="64"/>
  <c r="N71" i="63"/>
  <c r="U76" i="60"/>
  <c r="I84" i="64"/>
  <c r="AP47" i="63"/>
  <c r="AB64" i="63"/>
  <c r="AM70" i="63"/>
  <c r="Y30" i="63"/>
  <c r="Z50" i="63"/>
  <c r="AJ64" i="63"/>
  <c r="AN49" i="63"/>
  <c r="AO68" i="63"/>
  <c r="J69" i="63"/>
  <c r="Z68" i="63"/>
  <c r="J53" i="63"/>
  <c r="C53" i="64"/>
  <c r="AF31" i="63"/>
  <c r="M69" i="63"/>
  <c r="Z59" i="64"/>
  <c r="J78" i="63"/>
  <c r="AC45" i="63"/>
  <c r="AM68" i="63"/>
  <c r="AF66" i="63"/>
  <c r="AB33" i="63"/>
  <c r="S73" i="63"/>
  <c r="AO35" i="64"/>
  <c r="F30" i="63"/>
  <c r="H53" i="63"/>
  <c r="H71" i="64"/>
  <c r="AA79" i="63"/>
  <c r="AB81" i="64"/>
  <c r="AG25" i="63"/>
  <c r="AC82" i="63"/>
  <c r="P65" i="63"/>
  <c r="T57" i="63"/>
  <c r="U60" i="60"/>
  <c r="F49" i="63"/>
  <c r="F27" i="63"/>
  <c r="V67" i="63"/>
  <c r="C72" i="63"/>
  <c r="AN40" i="63"/>
  <c r="AM47" i="64"/>
  <c r="K52" i="63"/>
  <c r="AJ59" i="64"/>
  <c r="AO69" i="63"/>
  <c r="R64" i="60"/>
  <c r="X23" i="63"/>
  <c r="AN48" i="63"/>
  <c r="N65" i="63"/>
  <c r="T72" i="63"/>
  <c r="AP80" i="63"/>
  <c r="AG73" i="64"/>
  <c r="Y79" i="63"/>
  <c r="G69" i="63"/>
  <c r="H40" i="63"/>
  <c r="AF63" i="63"/>
  <c r="AF81" i="63"/>
  <c r="I74" i="63"/>
  <c r="V62" i="63"/>
  <c r="C65" i="63"/>
  <c r="C51" i="64"/>
  <c r="O37" i="63"/>
  <c r="AC68" i="63"/>
  <c r="P63" i="63"/>
  <c r="AD82" i="63"/>
  <c r="AK75" i="64"/>
  <c r="AG43" i="63"/>
  <c r="AQ61" i="63"/>
  <c r="H63" i="63"/>
  <c r="W82" i="63"/>
  <c r="L22" i="60"/>
  <c r="AH29" i="63"/>
  <c r="AN39" i="63"/>
  <c r="S36" i="63"/>
  <c r="AM66" i="63"/>
  <c r="T43" i="63"/>
  <c r="O87" i="60"/>
  <c r="AN56" i="63"/>
  <c r="E23" i="63"/>
  <c r="X76" i="63"/>
  <c r="U81" i="63"/>
  <c r="I47" i="64"/>
  <c r="G38" i="63"/>
  <c r="AI84" i="63"/>
  <c r="AG63" i="63"/>
  <c r="AO61" i="63"/>
  <c r="AQ78" i="63"/>
  <c r="Y75" i="63"/>
  <c r="P69" i="63"/>
  <c r="S77" i="63"/>
  <c r="D58" i="63"/>
  <c r="Z84" i="63"/>
  <c r="AI53" i="64"/>
  <c r="I35" i="63"/>
  <c r="AQ67" i="63"/>
  <c r="AD54" i="63"/>
  <c r="AP69" i="63"/>
  <c r="U57" i="64"/>
  <c r="T48" i="60"/>
  <c r="AI28" i="63"/>
  <c r="S65" i="63"/>
  <c r="AF77" i="63"/>
  <c r="M40" i="63"/>
  <c r="AP74" i="63"/>
  <c r="O45" i="64"/>
  <c r="T32" i="63"/>
  <c r="AE54" i="63"/>
  <c r="C26" i="63"/>
  <c r="AE82" i="63"/>
  <c r="Z69" i="63"/>
  <c r="AD56" i="63"/>
  <c r="I46" i="63"/>
  <c r="AF80" i="63"/>
  <c r="AJ73" i="63"/>
  <c r="Q79" i="63"/>
  <c r="M76" i="63"/>
  <c r="AJ59" i="63"/>
  <c r="I73" i="63"/>
  <c r="AI61" i="63"/>
  <c r="AC43" i="63"/>
  <c r="U76" i="63"/>
  <c r="AE28" i="63"/>
  <c r="AF78" i="63"/>
  <c r="AG71" i="63"/>
  <c r="AM30" i="63"/>
  <c r="K73" i="63"/>
  <c r="U68" i="60"/>
  <c r="I26" i="63"/>
  <c r="V50" i="63"/>
  <c r="AN24" i="64"/>
  <c r="AQ74" i="63"/>
  <c r="AK62" i="63"/>
  <c r="Y74" i="63"/>
  <c r="AH69" i="63"/>
  <c r="AE69" i="63"/>
  <c r="AJ82" i="63"/>
  <c r="Q74" i="63"/>
  <c r="AN80" i="63"/>
  <c r="AF61" i="63"/>
  <c r="U24" i="63"/>
  <c r="Y68" i="63"/>
  <c r="AO66" i="63"/>
  <c r="D23" i="63"/>
  <c r="U66" i="63"/>
  <c r="K35" i="63"/>
  <c r="S81" i="63"/>
  <c r="F73" i="63"/>
  <c r="AQ42" i="63"/>
  <c r="AF75" i="63"/>
  <c r="T48" i="64"/>
  <c r="K33" i="63"/>
  <c r="H55" i="63"/>
  <c r="AA29" i="63"/>
  <c r="AH83" i="63"/>
  <c r="L55" i="63"/>
  <c r="AG38" i="63"/>
  <c r="AG70" i="63"/>
  <c r="R78" i="63"/>
  <c r="N70" i="63"/>
  <c r="M67" i="63"/>
  <c r="N73" i="63"/>
  <c r="AP42" i="63"/>
  <c r="K58" i="63"/>
  <c r="G50" i="63"/>
  <c r="P37" i="63"/>
  <c r="AL71" i="63"/>
  <c r="Z26" i="64"/>
  <c r="X27" i="63"/>
  <c r="K45" i="64"/>
  <c r="J84" i="63"/>
  <c r="M78" i="63"/>
  <c r="E67" i="63"/>
  <c r="AJ68" i="63"/>
  <c r="AN63" i="64"/>
  <c r="C67" i="63"/>
  <c r="R24" i="60"/>
  <c r="AA77" i="64"/>
  <c r="P79" i="63"/>
  <c r="G32" i="63"/>
  <c r="AK68" i="64"/>
  <c r="Q47" i="63"/>
  <c r="AN69" i="63"/>
  <c r="X81" i="63"/>
  <c r="S64" i="60"/>
  <c r="P54" i="63"/>
  <c r="C79" i="63"/>
  <c r="AN33" i="63"/>
  <c r="C59" i="64"/>
  <c r="F84" i="63"/>
  <c r="AC48" i="63"/>
  <c r="M77" i="63"/>
  <c r="AM56" i="64"/>
  <c r="Y35" i="63"/>
  <c r="AE56" i="63"/>
  <c r="AP38" i="63"/>
  <c r="AC83" i="63"/>
  <c r="AN81" i="63"/>
  <c r="AO63" i="63"/>
  <c r="G68" i="63"/>
  <c r="AC43" i="64"/>
  <c r="AA83" i="63"/>
  <c r="L26" i="63"/>
  <c r="T84" i="63"/>
  <c r="D71" i="63"/>
  <c r="Q39" i="63"/>
  <c r="AI73" i="63"/>
  <c r="H80" i="63"/>
  <c r="N72" i="60"/>
  <c r="C37" i="64"/>
  <c r="E65" i="64"/>
  <c r="AN77" i="63"/>
  <c r="AJ41" i="63"/>
  <c r="P75" i="63"/>
  <c r="R34" i="64"/>
  <c r="AE29" i="63"/>
  <c r="AK52" i="63"/>
  <c r="AD67" i="64"/>
  <c r="H79" i="63"/>
  <c r="AL76" i="63"/>
  <c r="S78" i="60"/>
  <c r="AO73" i="63"/>
  <c r="D82" i="63"/>
  <c r="AM49" i="64"/>
  <c r="T22" i="60"/>
  <c r="U34" i="63"/>
  <c r="AN67" i="63"/>
  <c r="W49" i="63"/>
  <c r="P81" i="63"/>
  <c r="R63" i="63"/>
  <c r="AK39" i="63"/>
  <c r="AL42" i="63"/>
  <c r="AA72" i="64"/>
  <c r="AI29" i="63"/>
  <c r="M79" i="63"/>
  <c r="K50" i="63"/>
  <c r="AC77" i="63"/>
  <c r="AN58" i="64"/>
  <c r="P36" i="63"/>
  <c r="K57" i="63"/>
  <c r="F42" i="63"/>
  <c r="E81" i="63"/>
  <c r="AD72" i="63"/>
  <c r="M50" i="63"/>
  <c r="S30" i="60"/>
  <c r="L84" i="60"/>
  <c r="AN74" i="63"/>
  <c r="C47" i="63"/>
  <c r="O33" i="63"/>
  <c r="AB48" i="63"/>
  <c r="E68" i="64"/>
  <c r="N88" i="60"/>
  <c r="K33" i="64"/>
  <c r="AL57" i="63"/>
  <c r="V68" i="63"/>
  <c r="AG36" i="63"/>
  <c r="J74" i="63"/>
  <c r="E39" i="64"/>
  <c r="AL30" i="63"/>
  <c r="AB53" i="63"/>
  <c r="O77" i="64"/>
  <c r="AE80" i="63"/>
  <c r="AO60" i="63"/>
  <c r="AL41" i="63"/>
  <c r="T77" i="63"/>
  <c r="AA45" i="64"/>
  <c r="P59" i="63"/>
  <c r="S76" i="60"/>
  <c r="M81" i="64"/>
  <c r="T82" i="63"/>
  <c r="AA72" i="63"/>
  <c r="AC30" i="63"/>
  <c r="S58" i="63"/>
  <c r="AC61" i="63"/>
  <c r="AK60" i="64"/>
  <c r="H70" i="63"/>
  <c r="O72" i="60"/>
  <c r="E24" i="63"/>
  <c r="L49" i="63"/>
  <c r="W65" i="63"/>
  <c r="AQ72" i="63"/>
  <c r="AB36" i="63"/>
  <c r="AE68" i="64"/>
  <c r="AM67" i="63"/>
  <c r="M65" i="63"/>
  <c r="O64" i="60"/>
  <c r="Q39" i="64"/>
  <c r="Y84" i="63"/>
  <c r="Z60" i="64"/>
  <c r="R84" i="63"/>
  <c r="R30" i="63"/>
  <c r="M82" i="63"/>
  <c r="L36" i="64"/>
  <c r="AN76" i="63"/>
  <c r="AK41" i="63"/>
  <c r="O76" i="63"/>
  <c r="N34" i="63"/>
  <c r="G80" i="63"/>
  <c r="AL75" i="63"/>
  <c r="E28" i="63"/>
  <c r="W54" i="63"/>
  <c r="Y76" i="64"/>
  <c r="G33" i="63"/>
  <c r="G55" i="63"/>
  <c r="AE53" i="63"/>
  <c r="U56" i="63"/>
  <c r="E34" i="63"/>
  <c r="Z83" i="63"/>
  <c r="AL60" i="63"/>
  <c r="L48" i="60"/>
  <c r="AI72" i="63"/>
  <c r="AM33" i="64"/>
  <c r="H71" i="63"/>
  <c r="I76" i="64"/>
  <c r="AF54" i="63"/>
  <c r="R79" i="63"/>
  <c r="AD64" i="64"/>
  <c r="AD38" i="63"/>
  <c r="AH58" i="63"/>
  <c r="U50" i="63"/>
  <c r="AQ77" i="63"/>
  <c r="R45" i="63"/>
  <c r="O69" i="63"/>
  <c r="W80" i="63"/>
  <c r="L82" i="64"/>
  <c r="Q84" i="64"/>
  <c r="AH67" i="63"/>
  <c r="AH46" i="64"/>
  <c r="K79" i="63"/>
  <c r="AD75" i="63"/>
  <c r="N82" i="63"/>
  <c r="K74" i="63"/>
  <c r="AF79" i="63"/>
  <c r="Z53" i="63"/>
  <c r="O72" i="63"/>
  <c r="N84" i="63"/>
  <c r="AO48" i="63"/>
  <c r="U77" i="63"/>
  <c r="AL46" i="64"/>
  <c r="AJ32" i="63"/>
  <c r="AO54" i="63"/>
  <c r="AL27" i="63"/>
  <c r="K83" i="63"/>
  <c r="AE72" i="64"/>
  <c r="X59" i="64"/>
  <c r="C78" i="63"/>
  <c r="AL78" i="64"/>
  <c r="AF84" i="64"/>
  <c r="K25" i="63"/>
  <c r="AO70" i="63"/>
  <c r="AB72" i="63"/>
  <c r="AD66" i="63"/>
  <c r="X26" i="63"/>
  <c r="I51" i="63"/>
  <c r="F51" i="63"/>
  <c r="Y65" i="63"/>
  <c r="D61" i="63"/>
  <c r="S80" i="63"/>
  <c r="H32" i="63"/>
  <c r="AE55" i="63"/>
  <c r="AH79" i="63"/>
  <c r="AG66" i="64"/>
  <c r="U39" i="63"/>
  <c r="X59" i="63"/>
  <c r="AJ52" i="63"/>
  <c r="T76" i="60"/>
  <c r="AA56" i="64"/>
  <c r="Z58" i="63"/>
  <c r="H79" i="64"/>
  <c r="AJ43" i="63"/>
  <c r="I27" i="63"/>
  <c r="AA35" i="63"/>
  <c r="F81" i="64"/>
  <c r="U57" i="63"/>
  <c r="AD70" i="64"/>
  <c r="Q53" i="63"/>
  <c r="G65" i="64"/>
  <c r="I72" i="63"/>
  <c r="AC74" i="63"/>
  <c r="AO44" i="63"/>
  <c r="G76" i="63"/>
  <c r="Y51" i="64"/>
  <c r="AQ33" i="63"/>
  <c r="AD55" i="63"/>
  <c r="AF32" i="63"/>
  <c r="AH84" i="63"/>
  <c r="AG75" i="63"/>
  <c r="AC52" i="63"/>
  <c r="AO28" i="63"/>
  <c r="AP53" i="63"/>
  <c r="R66" i="63"/>
  <c r="AP26" i="63"/>
  <c r="AK34" i="63"/>
  <c r="N99" i="60"/>
  <c r="AD76" i="63"/>
  <c r="Y35" i="64"/>
  <c r="Y72" i="63"/>
  <c r="AD68" i="63"/>
  <c r="AA23" i="63"/>
  <c r="M72" i="63"/>
  <c r="H28" i="64"/>
  <c r="AP27" i="63"/>
  <c r="AG51" i="63"/>
  <c r="U51" i="64"/>
  <c r="D77" i="63"/>
  <c r="AI37" i="64"/>
  <c r="D72" i="63"/>
  <c r="Q48" i="63"/>
  <c r="Y31" i="63"/>
  <c r="Z63" i="63"/>
  <c r="L67" i="63"/>
  <c r="Z52" i="63"/>
  <c r="N60" i="63"/>
  <c r="U78" i="63"/>
  <c r="AG83" i="64"/>
  <c r="D28" i="64"/>
  <c r="Q96" i="60"/>
  <c r="AQ59" i="63"/>
  <c r="P74" i="63"/>
  <c r="H56" i="63"/>
  <c r="AD49" i="63"/>
  <c r="G53" i="64"/>
  <c r="AF48" i="64"/>
  <c r="H76" i="63"/>
  <c r="AI78" i="63"/>
  <c r="AG39" i="63"/>
  <c r="H61" i="63"/>
  <c r="W69" i="63"/>
  <c r="N40" i="64"/>
  <c r="AF70" i="63"/>
  <c r="J64" i="63"/>
  <c r="AH68" i="63"/>
  <c r="AJ77" i="63"/>
  <c r="V83" i="64"/>
  <c r="AD71" i="63"/>
  <c r="M71" i="63"/>
  <c r="D53" i="63"/>
  <c r="T58" i="64"/>
  <c r="D57" i="63"/>
  <c r="C60" i="63"/>
  <c r="O81" i="63"/>
  <c r="AQ71" i="64"/>
  <c r="AI41" i="63"/>
  <c r="AM60" i="63"/>
  <c r="AG58" i="63"/>
  <c r="AL81" i="64"/>
  <c r="V72" i="63"/>
  <c r="R73" i="63"/>
  <c r="AA69" i="64"/>
  <c r="AM33" i="63"/>
  <c r="S52" i="63"/>
  <c r="M60" i="60"/>
  <c r="L36" i="63"/>
  <c r="F75" i="63"/>
  <c r="U78" i="60"/>
  <c r="M84" i="60"/>
  <c r="AA27" i="63"/>
  <c r="V63" i="63"/>
  <c r="T81" i="63"/>
  <c r="D59" i="64"/>
  <c r="V78" i="64"/>
  <c r="U55" i="63"/>
  <c r="Z79" i="63"/>
  <c r="AM57" i="64"/>
  <c r="AO35" i="63"/>
  <c r="AQ56" i="63"/>
  <c r="X40" i="63"/>
  <c r="R36" i="60"/>
  <c r="P52" i="63"/>
  <c r="AC23" i="63"/>
  <c r="G82" i="63"/>
  <c r="AE62" i="63"/>
  <c r="U35" i="63"/>
  <c r="Q55" i="63"/>
  <c r="T28" i="64"/>
  <c r="AF76" i="63"/>
  <c r="R83" i="63"/>
  <c r="AH50" i="63"/>
  <c r="AG69" i="63"/>
  <c r="AH59" i="63"/>
  <c r="P76" i="63"/>
  <c r="U51" i="60"/>
  <c r="L69" i="64"/>
  <c r="AF62" i="63"/>
  <c r="Y61" i="63"/>
  <c r="F82" i="63"/>
  <c r="X73" i="64"/>
  <c r="Z42" i="63"/>
  <c r="O61" i="63"/>
  <c r="W60" i="63"/>
  <c r="AI36" i="63"/>
  <c r="AQ54" i="63"/>
  <c r="AE65" i="63"/>
  <c r="T53" i="63"/>
  <c r="V70" i="63"/>
  <c r="AI74" i="63"/>
  <c r="V61" i="63"/>
  <c r="T66" i="63"/>
  <c r="E65" i="63"/>
  <c r="W59" i="63"/>
  <c r="AI46" i="63"/>
  <c r="U41" i="63"/>
  <c r="W84" i="63"/>
  <c r="AJ80" i="63"/>
  <c r="U51" i="63"/>
  <c r="D78" i="63"/>
  <c r="AA60" i="64"/>
  <c r="G37" i="63"/>
  <c r="AG57" i="63"/>
  <c r="K45" i="63"/>
  <c r="I84" i="63"/>
  <c r="AD80" i="64"/>
  <c r="S60" i="63"/>
  <c r="K59" i="63"/>
  <c r="C74" i="63"/>
  <c r="AJ71" i="63"/>
  <c r="M56" i="63"/>
  <c r="H47" i="63"/>
  <c r="AA64" i="64"/>
  <c r="AH80" i="63"/>
  <c r="I66" i="64"/>
  <c r="AM84" i="63"/>
  <c r="AK74" i="63"/>
  <c r="H37" i="63"/>
  <c r="R74" i="63"/>
  <c r="AB40" i="64"/>
  <c r="M31" i="63"/>
  <c r="AN53" i="63"/>
  <c r="S80" i="64"/>
  <c r="H81" i="63"/>
  <c r="AO75" i="63"/>
  <c r="D73" i="63"/>
  <c r="AK76" i="64"/>
  <c r="M51" i="60"/>
  <c r="AO30" i="63"/>
  <c r="F59" i="63"/>
  <c r="AO79" i="63"/>
  <c r="S53" i="64"/>
  <c r="M83" i="63"/>
  <c r="AM82" i="63"/>
  <c r="AH47" i="63"/>
  <c r="AN54" i="63"/>
  <c r="D67" i="63"/>
  <c r="J73" i="63"/>
  <c r="AO84" i="63"/>
  <c r="G46" i="63"/>
  <c r="AN55" i="63"/>
  <c r="AM55" i="63"/>
  <c r="AG84" i="63"/>
  <c r="Q63" i="63"/>
  <c r="T94" i="60"/>
  <c r="O52" i="60"/>
  <c r="U52" i="60"/>
  <c r="O37" i="60"/>
  <c r="N6" i="60"/>
  <c r="U85" i="60"/>
  <c r="N12" i="60"/>
  <c r="T97" i="60"/>
  <c r="L92" i="60"/>
  <c r="K67" i="60"/>
  <c r="K18" i="60"/>
  <c r="R93" i="60"/>
  <c r="K69" i="60"/>
  <c r="Q44" i="60"/>
  <c r="T96" i="60"/>
  <c r="O58" i="60"/>
  <c r="O12" i="60"/>
  <c r="U93" i="60"/>
  <c r="K32" i="60"/>
  <c r="Q49" i="60"/>
  <c r="R67" i="60"/>
  <c r="K96" i="60"/>
  <c r="S68" i="60"/>
  <c r="U44" i="60"/>
  <c r="L69" i="60"/>
  <c r="O69" i="60"/>
  <c r="R55" i="60"/>
  <c r="U42" i="60"/>
  <c r="R38" i="60"/>
  <c r="R37" i="60"/>
  <c r="T37" i="60"/>
  <c r="R85" i="60"/>
  <c r="O90" i="60"/>
  <c r="L44" i="60"/>
  <c r="M32" i="60"/>
  <c r="L58" i="60"/>
  <c r="K68" i="60"/>
  <c r="R94" i="60"/>
  <c r="U92" i="60"/>
  <c r="R52" i="60"/>
  <c r="L37" i="60"/>
  <c r="K37" i="60"/>
  <c r="S6" i="60"/>
  <c r="L85" i="60"/>
  <c r="U12" i="60"/>
  <c r="T92" i="60"/>
  <c r="Q12" i="60"/>
  <c r="S12" i="60"/>
  <c r="U96" i="60"/>
  <c r="L12" i="60"/>
  <c r="T67" i="60"/>
  <c r="K92" i="60"/>
  <c r="R57" i="60"/>
  <c r="K94" i="60"/>
  <c r="L96" i="60"/>
  <c r="O68" i="60"/>
  <c r="M92" i="60"/>
  <c r="R68" i="60"/>
  <c r="K52" i="60"/>
  <c r="O6" i="60"/>
  <c r="M12" i="60"/>
  <c r="N93" i="60"/>
  <c r="R92" i="60"/>
  <c r="S67" i="60"/>
  <c r="Q84" i="60"/>
  <c r="S96" i="60"/>
  <c r="T68" i="60"/>
  <c r="Q18" i="60"/>
  <c r="Q67" i="60"/>
  <c r="T52" i="60"/>
  <c r="N37" i="60"/>
  <c r="U6" i="60"/>
  <c r="K85" i="60"/>
  <c r="N85" i="60"/>
  <c r="T12" i="60"/>
  <c r="M18" i="60"/>
  <c r="Q51" i="60"/>
  <c r="S31" i="60"/>
  <c r="S58" i="60"/>
  <c r="K31" i="60"/>
  <c r="N58" i="60"/>
  <c r="Q88" i="60"/>
  <c r="T55" i="60"/>
  <c r="M67" i="60"/>
  <c r="S92" i="60"/>
  <c r="T18" i="60"/>
  <c r="O93" i="60"/>
  <c r="T93" i="60"/>
  <c r="L90" i="60"/>
  <c r="L68" i="60"/>
  <c r="K55" i="60"/>
  <c r="K84" i="60"/>
  <c r="N96" i="60"/>
  <c r="K64" i="60"/>
  <c r="N55" i="60"/>
  <c r="M52" i="60"/>
  <c r="T58" i="60"/>
  <c r="Q78" i="60"/>
  <c r="T44" i="60"/>
  <c r="L93" i="60"/>
  <c r="N32" i="60"/>
  <c r="N52" i="60"/>
  <c r="U37" i="60"/>
  <c r="L6" i="60"/>
  <c r="O85" i="60"/>
  <c r="T85" i="60"/>
  <c r="O42" i="60"/>
  <c r="M93" i="60"/>
  <c r="K97" i="60"/>
  <c r="K88" i="60"/>
  <c r="M55" i="60"/>
  <c r="U18" i="60"/>
  <c r="R12" i="60"/>
  <c r="O67" i="60"/>
  <c r="S18" i="60"/>
  <c r="R32" i="60"/>
  <c r="R96" i="60"/>
  <c r="K73" i="60"/>
  <c r="O31" i="60"/>
  <c r="M85" i="60"/>
  <c r="K6" i="60"/>
  <c r="Q93" i="60"/>
  <c r="Q68" i="60"/>
  <c r="K100" i="60"/>
  <c r="Q52" i="60"/>
  <c r="S37" i="60"/>
  <c r="M6" i="60"/>
  <c r="S85" i="60"/>
  <c r="S97" i="60"/>
  <c r="K51" i="60"/>
  <c r="U67" i="60"/>
  <c r="M96" i="60"/>
  <c r="U69" i="60"/>
  <c r="R18" i="60"/>
  <c r="L55" i="60"/>
  <c r="M58" i="60"/>
  <c r="T42" i="60"/>
  <c r="K12" i="60"/>
  <c r="O55" i="60"/>
  <c r="T31" i="60"/>
  <c r="L67" i="60"/>
  <c r="O92" i="60"/>
  <c r="Q92" i="60"/>
  <c r="N67" i="60"/>
  <c r="K66" i="60"/>
  <c r="T6" i="60"/>
  <c r="T51" i="60"/>
  <c r="Q6" i="60"/>
  <c r="K44" i="60"/>
  <c r="O18" i="60"/>
  <c r="L52" i="60"/>
  <c r="M37" i="60"/>
  <c r="R6" i="60"/>
  <c r="Q85" i="60"/>
  <c r="R97" i="60"/>
  <c r="O97" i="60"/>
  <c r="K93" i="60"/>
  <c r="L42" i="60"/>
  <c r="N92" i="60"/>
  <c r="R58" i="60"/>
  <c r="S55" i="60"/>
  <c r="M68" i="60"/>
  <c r="R51" i="60"/>
  <c r="K50" i="60"/>
  <c r="N68" i="60"/>
  <c r="U58" i="60"/>
  <c r="Q69" i="60"/>
  <c r="Q42" i="60"/>
  <c r="Q98" i="60"/>
  <c r="Q58" i="60"/>
  <c r="K42" i="60"/>
  <c r="N18" i="60"/>
  <c r="Q55" i="60"/>
  <c r="S52" i="60"/>
  <c r="Q37" i="60"/>
  <c r="O96" i="60"/>
  <c r="Q22" i="60"/>
  <c r="O44" i="60"/>
  <c r="M69" i="60"/>
  <c r="Q50" i="60"/>
  <c r="Q95" i="60" l="1"/>
  <c r="K47" i="60"/>
  <c r="Q101" i="60"/>
  <c r="K59" i="60"/>
  <c r="V22" i="64"/>
  <c r="R20" i="64"/>
  <c r="G21" i="63"/>
  <c r="C86" i="60"/>
  <c r="D86" i="60"/>
  <c r="Z21" i="63"/>
  <c r="E21" i="63"/>
  <c r="Q22" i="64"/>
  <c r="Q20" i="64" s="1"/>
  <c r="V20" i="63"/>
  <c r="U22" i="63"/>
  <c r="U20" i="63" s="1"/>
  <c r="X21" i="63"/>
  <c r="P22" i="64"/>
  <c r="O22" i="64" s="1"/>
  <c r="D21" i="63"/>
  <c r="R20" i="63"/>
  <c r="B46" i="60"/>
  <c r="C46" i="60" s="1"/>
  <c r="D45" i="60"/>
  <c r="I21" i="63"/>
  <c r="J21" i="63"/>
  <c r="B75" i="60"/>
  <c r="C75" i="60" s="1"/>
  <c r="D74" i="60"/>
  <c r="X20" i="63"/>
  <c r="Y22" i="63"/>
  <c r="F22" i="63"/>
  <c r="F20" i="63" s="1"/>
  <c r="L21" i="63"/>
  <c r="K21" i="63"/>
  <c r="B34" i="60"/>
  <c r="C34" i="60" s="1"/>
  <c r="D33" i="60"/>
  <c r="B14" i="60"/>
  <c r="C14" i="60" s="1"/>
  <c r="D13" i="60"/>
  <c r="D7" i="60"/>
  <c r="B8" i="60"/>
  <c r="C8" i="60" s="1"/>
  <c r="Q65" i="60"/>
  <c r="Q47" i="60"/>
  <c r="K53" i="60"/>
  <c r="K95" i="60"/>
  <c r="K65" i="60"/>
  <c r="Q59" i="60"/>
  <c r="Q53" i="60"/>
  <c r="K101" i="60"/>
  <c r="F22" i="64"/>
  <c r="G20" i="64"/>
  <c r="P21" i="64"/>
  <c r="N21" i="64"/>
  <c r="T21" i="64"/>
  <c r="U21" i="64"/>
  <c r="S21" i="64"/>
  <c r="O21" i="64"/>
  <c r="Q21" i="64"/>
  <c r="E18" i="60"/>
  <c r="E19" i="60" s="1"/>
  <c r="E20" i="60" s="1"/>
  <c r="E21" i="60" s="1"/>
  <c r="E24" i="60" s="1"/>
  <c r="E25" i="60" s="1"/>
  <c r="E26" i="60" s="1"/>
  <c r="E16" i="60"/>
  <c r="P20" i="64"/>
  <c r="AO21" i="64"/>
  <c r="AM21" i="64"/>
  <c r="B82" i="60"/>
  <c r="C82" i="60" s="1"/>
  <c r="D81" i="60"/>
  <c r="V21" i="64"/>
  <c r="F21" i="64"/>
  <c r="D21" i="64"/>
  <c r="G21" i="64"/>
  <c r="E21" i="64"/>
  <c r="K22" i="64"/>
  <c r="L20" i="64"/>
  <c r="B63" i="60"/>
  <c r="C63" i="60" s="1"/>
  <c r="D62" i="60"/>
  <c r="E22" i="63"/>
  <c r="AJ21" i="63"/>
  <c r="AI21" i="63"/>
  <c r="AH21" i="63"/>
  <c r="AK21" i="63"/>
  <c r="L20" i="63"/>
  <c r="K22" i="63"/>
  <c r="L21" i="64"/>
  <c r="J21" i="64"/>
  <c r="I21" i="64"/>
  <c r="K21" i="64"/>
  <c r="D70" i="60"/>
  <c r="P22" i="63"/>
  <c r="Q20" i="63"/>
  <c r="AO21" i="63"/>
  <c r="AN21" i="63"/>
  <c r="AM21" i="63"/>
  <c r="AP21" i="63"/>
  <c r="D40" i="60"/>
  <c r="B21" i="60"/>
  <c r="C21" i="60" s="1"/>
  <c r="D20" i="60"/>
  <c r="D28" i="60"/>
  <c r="Y22" i="64"/>
  <c r="X20" i="64"/>
  <c r="AF21" i="63"/>
  <c r="AC21" i="63"/>
  <c r="AD21" i="63"/>
  <c r="AA21" i="63"/>
  <c r="AE21" i="63"/>
  <c r="AN21" i="64"/>
  <c r="T26" i="60"/>
  <c r="N25" i="60"/>
  <c r="T25" i="60"/>
  <c r="L79" i="60"/>
  <c r="R61" i="60"/>
  <c r="R43" i="60"/>
  <c r="R73" i="60"/>
  <c r="O27" i="60"/>
  <c r="Q56" i="60"/>
  <c r="L43" i="60"/>
  <c r="U56" i="60"/>
  <c r="S27" i="60"/>
  <c r="R31" i="60"/>
  <c r="L56" i="60"/>
  <c r="O19" i="60"/>
  <c r="K80" i="60"/>
  <c r="M7" i="60"/>
  <c r="N27" i="60"/>
  <c r="S50" i="60"/>
  <c r="U39" i="60"/>
  <c r="R13" i="60"/>
  <c r="R69" i="60"/>
  <c r="N7" i="60"/>
  <c r="U38" i="60"/>
  <c r="M50" i="60"/>
  <c r="U31" i="60"/>
  <c r="S13" i="60"/>
  <c r="R80" i="60"/>
  <c r="T79" i="60"/>
  <c r="T32" i="60"/>
  <c r="R26" i="60"/>
  <c r="Q25" i="60"/>
  <c r="S25" i="60"/>
  <c r="K27" i="60"/>
  <c r="Q80" i="60"/>
  <c r="N69" i="60"/>
  <c r="L73" i="60"/>
  <c r="U55" i="60"/>
  <c r="N79" i="60"/>
  <c r="R50" i="60"/>
  <c r="N19" i="60"/>
  <c r="L7" i="60"/>
  <c r="K38" i="60"/>
  <c r="S69" i="60"/>
  <c r="S56" i="60"/>
  <c r="Q61" i="60"/>
  <c r="O61" i="60"/>
  <c r="L80" i="60"/>
  <c r="O38" i="60"/>
  <c r="S32" i="60"/>
  <c r="R19" i="60"/>
  <c r="L19" i="60"/>
  <c r="U80" i="60"/>
  <c r="S73" i="60"/>
  <c r="Q73" i="60"/>
  <c r="Q38" i="60"/>
  <c r="U32" i="60"/>
  <c r="N50" i="60"/>
  <c r="S80" i="60"/>
  <c r="M27" i="60"/>
  <c r="N61" i="60"/>
  <c r="K26" i="60"/>
  <c r="K25" i="60"/>
  <c r="N39" i="60"/>
  <c r="O79" i="60"/>
  <c r="K39" i="60"/>
  <c r="U43" i="60"/>
  <c r="U73" i="60"/>
  <c r="T80" i="60"/>
  <c r="L31" i="60"/>
  <c r="S79" i="60"/>
  <c r="M56" i="60"/>
  <c r="U7" i="60"/>
  <c r="M43" i="60"/>
  <c r="Q32" i="60"/>
  <c r="R39" i="60"/>
  <c r="N43" i="60"/>
  <c r="Q19" i="60"/>
  <c r="N73" i="60"/>
  <c r="O13" i="60"/>
  <c r="R56" i="60"/>
  <c r="N80" i="60"/>
  <c r="O56" i="60"/>
  <c r="K56" i="60"/>
  <c r="S43" i="60"/>
  <c r="S26" i="60"/>
  <c r="U25" i="60"/>
  <c r="O80" i="60"/>
  <c r="Q13" i="60"/>
  <c r="M79" i="60"/>
  <c r="Q43" i="60"/>
  <c r="T43" i="60"/>
  <c r="U61" i="60"/>
  <c r="S19" i="60"/>
  <c r="T19" i="60"/>
  <c r="Q7" i="60"/>
  <c r="S61" i="60"/>
  <c r="T61" i="60"/>
  <c r="T56" i="60"/>
  <c r="L26" i="60"/>
  <c r="R25" i="60"/>
  <c r="Q26" i="60"/>
  <c r="M73" i="60"/>
  <c r="L61" i="60"/>
  <c r="M61" i="60"/>
  <c r="U50" i="60"/>
  <c r="O50" i="60"/>
  <c r="T39" i="60"/>
  <c r="T7" i="60"/>
  <c r="M31" i="60"/>
  <c r="L13" i="60"/>
  <c r="S39" i="60"/>
  <c r="T13" i="60"/>
  <c r="O43" i="60"/>
  <c r="K43" i="60"/>
  <c r="Q27" i="60"/>
  <c r="K61" i="60"/>
  <c r="O73" i="60"/>
  <c r="M80" i="60"/>
  <c r="M38" i="60"/>
  <c r="N26" i="60"/>
  <c r="M25" i="60"/>
  <c r="L50" i="60"/>
  <c r="K79" i="60"/>
  <c r="S7" i="60"/>
  <c r="T69" i="60"/>
  <c r="Q31" i="60"/>
  <c r="M39" i="60"/>
  <c r="O39" i="60"/>
  <c r="T50" i="60"/>
  <c r="L32" i="60"/>
  <c r="O26" i="60"/>
  <c r="U26" i="60"/>
  <c r="O25" i="60"/>
  <c r="N38" i="60"/>
  <c r="O7" i="60"/>
  <c r="K19" i="60"/>
  <c r="L39" i="60"/>
  <c r="T38" i="60"/>
  <c r="L38" i="60"/>
  <c r="O32" i="60"/>
  <c r="N56" i="60"/>
  <c r="L27" i="60"/>
  <c r="M19" i="60"/>
  <c r="U79" i="60"/>
  <c r="N31" i="60"/>
  <c r="U19" i="60"/>
  <c r="M26" i="60"/>
  <c r="L25" i="60"/>
  <c r="K7" i="60"/>
  <c r="N13" i="60"/>
  <c r="L18" i="60"/>
  <c r="T27" i="60"/>
  <c r="U27" i="60"/>
  <c r="R7" i="60"/>
  <c r="T73" i="60"/>
  <c r="Q39" i="60"/>
  <c r="R27" i="60"/>
  <c r="R79" i="60"/>
  <c r="Q79" i="60"/>
  <c r="U13" i="60"/>
  <c r="S38" i="60"/>
  <c r="U22" i="64" l="1"/>
  <c r="V20" i="64"/>
  <c r="D75" i="60"/>
  <c r="D46" i="60"/>
  <c r="T22" i="63"/>
  <c r="Z22" i="63"/>
  <c r="Y20" i="63"/>
  <c r="D34" i="60"/>
  <c r="Q5" i="60"/>
  <c r="K5" i="60"/>
  <c r="B15" i="60"/>
  <c r="C15" i="60" s="1"/>
  <c r="D14" i="60"/>
  <c r="D8" i="60"/>
  <c r="B9" i="60"/>
  <c r="C9" i="60" s="1"/>
  <c r="K77" i="60"/>
  <c r="P20" i="63"/>
  <c r="O22" i="63"/>
  <c r="D82" i="60"/>
  <c r="D63" i="60"/>
  <c r="T20" i="63"/>
  <c r="S22" i="63"/>
  <c r="S20" i="63" s="1"/>
  <c r="O20" i="64"/>
  <c r="N22" i="64"/>
  <c r="N20" i="64" s="1"/>
  <c r="Z22" i="64"/>
  <c r="Y20" i="64"/>
  <c r="D21" i="60"/>
  <c r="F20" i="64"/>
  <c r="E22" i="64"/>
  <c r="E20" i="63"/>
  <c r="D22" i="63"/>
  <c r="D20" i="63" s="1"/>
  <c r="J22" i="63"/>
  <c r="K20" i="63"/>
  <c r="K20" i="64"/>
  <c r="J22" i="64"/>
  <c r="G26" i="60"/>
  <c r="E27" i="60"/>
  <c r="E28" i="60" s="1"/>
  <c r="E30" i="60" s="1"/>
  <c r="K86" i="60"/>
  <c r="L86" i="60"/>
  <c r="R45" i="60"/>
  <c r="U62" i="60"/>
  <c r="T40" i="60"/>
  <c r="O33" i="60"/>
  <c r="M20" i="60"/>
  <c r="Q28" i="60"/>
  <c r="Q8" i="60"/>
  <c r="T33" i="60"/>
  <c r="R81" i="60"/>
  <c r="Q81" i="60"/>
  <c r="U81" i="60"/>
  <c r="N45" i="60"/>
  <c r="S40" i="60"/>
  <c r="M81" i="60"/>
  <c r="L14" i="60"/>
  <c r="R20" i="60"/>
  <c r="N40" i="60"/>
  <c r="U40" i="60"/>
  <c r="N28" i="60"/>
  <c r="O81" i="60"/>
  <c r="R14" i="60"/>
  <c r="M74" i="60"/>
  <c r="T45" i="60"/>
  <c r="Q20" i="60"/>
  <c r="R33" i="60"/>
  <c r="O86" i="60"/>
  <c r="U33" i="60"/>
  <c r="M13" i="60"/>
  <c r="R8" i="60"/>
  <c r="M33" i="60"/>
  <c r="R86" i="60"/>
  <c r="Q86" i="60"/>
  <c r="S33" i="60"/>
  <c r="T62" i="60"/>
  <c r="N62" i="60"/>
  <c r="T14" i="60"/>
  <c r="S20" i="60"/>
  <c r="N14" i="60"/>
  <c r="R40" i="60"/>
  <c r="L33" i="60"/>
  <c r="O20" i="60"/>
  <c r="O40" i="60"/>
  <c r="M28" i="60"/>
  <c r="K14" i="60"/>
  <c r="K40" i="60"/>
  <c r="K13" i="60"/>
  <c r="L28" i="60"/>
  <c r="K33" i="60"/>
  <c r="N70" i="60"/>
  <c r="U86" i="60"/>
  <c r="M14" i="60"/>
  <c r="Q62" i="60"/>
  <c r="M86" i="60"/>
  <c r="S14" i="60"/>
  <c r="U70" i="60"/>
  <c r="T28" i="60"/>
  <c r="L62" i="60"/>
  <c r="S74" i="60"/>
  <c r="K70" i="60"/>
  <c r="R74" i="60"/>
  <c r="Q40" i="60"/>
  <c r="T74" i="60"/>
  <c r="Q33" i="60"/>
  <c r="K20" i="60"/>
  <c r="O14" i="60"/>
  <c r="U20" i="60"/>
  <c r="T70" i="60"/>
  <c r="N86" i="60"/>
  <c r="Q14" i="60"/>
  <c r="Q74" i="60"/>
  <c r="K28" i="60"/>
  <c r="R28" i="60"/>
  <c r="Q45" i="60"/>
  <c r="L20" i="60"/>
  <c r="L81" i="60"/>
  <c r="R70" i="60"/>
  <c r="U45" i="60"/>
  <c r="U14" i="60"/>
  <c r="O28" i="60"/>
  <c r="L70" i="60"/>
  <c r="M40" i="60"/>
  <c r="R62" i="60"/>
  <c r="Q70" i="60"/>
  <c r="T81" i="60"/>
  <c r="S45" i="60"/>
  <c r="N81" i="60"/>
  <c r="N8" i="60"/>
  <c r="S86" i="60"/>
  <c r="L40" i="60"/>
  <c r="U74" i="60"/>
  <c r="S28" i="60"/>
  <c r="T20" i="60"/>
  <c r="M45" i="60"/>
  <c r="N20" i="60"/>
  <c r="K81" i="60"/>
  <c r="S70" i="60"/>
  <c r="N33" i="60"/>
  <c r="S81" i="60"/>
  <c r="O70" i="60"/>
  <c r="U28" i="60"/>
  <c r="L45" i="60"/>
  <c r="O45" i="60"/>
  <c r="O62" i="60"/>
  <c r="N74" i="60"/>
  <c r="K62" i="60"/>
  <c r="L74" i="60"/>
  <c r="T86" i="60"/>
  <c r="M62" i="60"/>
  <c r="K45" i="60"/>
  <c r="O74" i="60"/>
  <c r="K74" i="60"/>
  <c r="U8" i="60"/>
  <c r="S62" i="60"/>
  <c r="M70" i="60"/>
  <c r="U20" i="64" l="1"/>
  <c r="T22" i="64"/>
  <c r="AA22" i="63"/>
  <c r="Z20" i="63"/>
  <c r="D15" i="60"/>
  <c r="B16" i="60"/>
  <c r="C16" i="60" s="1"/>
  <c r="D9" i="60"/>
  <c r="B10" i="60"/>
  <c r="C10" i="60" s="1"/>
  <c r="Q71" i="60"/>
  <c r="Q29" i="60"/>
  <c r="K41" i="60"/>
  <c r="Q41" i="60"/>
  <c r="K71" i="60"/>
  <c r="K29" i="60"/>
  <c r="I22" i="64"/>
  <c r="I20" i="64" s="1"/>
  <c r="J20" i="64"/>
  <c r="E20" i="64"/>
  <c r="D22" i="64"/>
  <c r="D20" i="64" s="1"/>
  <c r="AA22" i="64"/>
  <c r="Z20" i="64"/>
  <c r="E31" i="60"/>
  <c r="E32" i="60" s="1"/>
  <c r="E33" i="60" s="1"/>
  <c r="E34" i="60" s="1"/>
  <c r="G30" i="60"/>
  <c r="N22" i="63"/>
  <c r="N20" i="63" s="1"/>
  <c r="O20" i="63"/>
  <c r="I22" i="63"/>
  <c r="I20" i="63" s="1"/>
  <c r="J20" i="63"/>
  <c r="N34" i="60"/>
  <c r="S46" i="60"/>
  <c r="U63" i="60"/>
  <c r="K21" i="60"/>
  <c r="M82" i="60"/>
  <c r="Q46" i="60"/>
  <c r="O34" i="60"/>
  <c r="M8" i="60"/>
  <c r="Q63" i="60"/>
  <c r="T15" i="60"/>
  <c r="Q9" i="60"/>
  <c r="U82" i="60"/>
  <c r="S21" i="60"/>
  <c r="M46" i="60"/>
  <c r="L34" i="60"/>
  <c r="M63" i="60"/>
  <c r="R75" i="60"/>
  <c r="S63" i="60"/>
  <c r="L46" i="60"/>
  <c r="R46" i="60"/>
  <c r="S34" i="60"/>
  <c r="U46" i="60"/>
  <c r="N46" i="60"/>
  <c r="O75" i="60"/>
  <c r="T82" i="60"/>
  <c r="M21" i="60"/>
  <c r="R21" i="60"/>
  <c r="K46" i="60"/>
  <c r="T46" i="60"/>
  <c r="Q34" i="60"/>
  <c r="S75" i="60"/>
  <c r="Q82" i="60"/>
  <c r="S8" i="60"/>
  <c r="N15" i="60"/>
  <c r="U9" i="60"/>
  <c r="K63" i="60"/>
  <c r="N63" i="60"/>
  <c r="R82" i="60"/>
  <c r="Q15" i="60"/>
  <c r="R63" i="60"/>
  <c r="M15" i="60"/>
  <c r="N82" i="60"/>
  <c r="Q75" i="60"/>
  <c r="T8" i="60"/>
  <c r="R15" i="60"/>
  <c r="T21" i="60"/>
  <c r="L75" i="60"/>
  <c r="M75" i="60"/>
  <c r="K75" i="60"/>
  <c r="O82" i="60"/>
  <c r="U21" i="60"/>
  <c r="S15" i="60"/>
  <c r="T63" i="60"/>
  <c r="R34" i="60"/>
  <c r="Q21" i="60"/>
  <c r="O9" i="60"/>
  <c r="K9" i="60"/>
  <c r="L8" i="60"/>
  <c r="K8" i="60"/>
  <c r="U15" i="60"/>
  <c r="N9" i="60"/>
  <c r="M34" i="60"/>
  <c r="L63" i="60"/>
  <c r="O63" i="60"/>
  <c r="O46" i="60"/>
  <c r="L21" i="60"/>
  <c r="N75" i="60"/>
  <c r="K82" i="60"/>
  <c r="O21" i="60"/>
  <c r="T75" i="60"/>
  <c r="U34" i="60"/>
  <c r="T34" i="60"/>
  <c r="O8" i="60"/>
  <c r="O15" i="60"/>
  <c r="L9" i="60"/>
  <c r="K34" i="60"/>
  <c r="U75" i="60"/>
  <c r="L82" i="60"/>
  <c r="S82" i="60"/>
  <c r="N21" i="60"/>
  <c r="T20" i="64" l="1"/>
  <c r="S22" i="64"/>
  <c r="S20" i="64" s="1"/>
  <c r="Q77" i="60"/>
  <c r="AA20" i="63"/>
  <c r="AB22" i="63"/>
  <c r="D16" i="60"/>
  <c r="D10" i="60"/>
  <c r="K23" i="60"/>
  <c r="Q23" i="60"/>
  <c r="AB22" i="64"/>
  <c r="AA20" i="64"/>
  <c r="O10" i="60"/>
  <c r="M10" i="60"/>
  <c r="S10" i="60"/>
  <c r="K10" i="60"/>
  <c r="R10" i="60"/>
  <c r="N10" i="60"/>
  <c r="Q16" i="60"/>
  <c r="U16" i="60"/>
  <c r="Q10" i="60"/>
  <c r="S9" i="60"/>
  <c r="T9" i="60"/>
  <c r="K15" i="60"/>
  <c r="R9" i="60"/>
  <c r="N16" i="60"/>
  <c r="U10" i="60"/>
  <c r="M9" i="60"/>
  <c r="L15" i="60"/>
  <c r="L10" i="60"/>
  <c r="T10" i="60"/>
  <c r="R16" i="60"/>
  <c r="AC22" i="63" l="1"/>
  <c r="AB20" i="63"/>
  <c r="Q17" i="60"/>
  <c r="AC22" i="64"/>
  <c r="AB20" i="64"/>
  <c r="T16" i="60"/>
  <c r="O16" i="60"/>
  <c r="L16" i="60"/>
  <c r="M16" i="60"/>
  <c r="K16" i="60"/>
  <c r="S16" i="60"/>
  <c r="K17" i="60" l="1"/>
  <c r="AC20" i="63"/>
  <c r="AD22" i="63"/>
  <c r="AD22" i="64"/>
  <c r="AC20" i="64"/>
  <c r="AE22" i="63" l="1"/>
  <c r="AD20" i="63"/>
  <c r="AE22" i="64"/>
  <c r="AD20" i="64"/>
  <c r="AE20" i="63" l="1"/>
  <c r="AF22" i="63"/>
  <c r="AF22" i="64"/>
  <c r="AE20" i="64"/>
  <c r="AG22" i="63" l="1"/>
  <c r="AF20" i="63"/>
  <c r="AG22" i="64"/>
  <c r="AF20" i="64"/>
  <c r="AH22" i="63" l="1"/>
  <c r="AG20" i="63"/>
  <c r="AH22" i="64"/>
  <c r="AG20" i="64"/>
  <c r="AH20" i="63" l="1"/>
  <c r="AI22" i="63"/>
  <c r="AI22" i="64"/>
  <c r="AH20" i="64"/>
  <c r="AJ22" i="63" l="1"/>
  <c r="AI20" i="63"/>
  <c r="AJ22" i="64"/>
  <c r="AI20" i="64"/>
  <c r="AK22" i="63" l="1"/>
  <c r="AJ20" i="63"/>
  <c r="AK22" i="64"/>
  <c r="AJ20" i="64"/>
  <c r="AL22" i="63" l="1"/>
  <c r="AK20" i="63"/>
  <c r="AL22" i="64"/>
  <c r="AK20" i="64"/>
  <c r="AM22" i="63" l="1"/>
  <c r="AL20" i="63"/>
  <c r="AM22" i="64"/>
  <c r="AL20" i="64"/>
  <c r="AM20" i="63" l="1"/>
  <c r="AN22" i="63"/>
  <c r="AN22" i="64"/>
  <c r="AM20" i="64"/>
  <c r="AN20" i="63" l="1"/>
  <c r="AO22" i="63"/>
  <c r="AO22" i="64"/>
  <c r="AN20" i="64"/>
  <c r="AO20" i="63" l="1"/>
  <c r="AP22" i="63"/>
  <c r="AP22" i="64"/>
  <c r="AO20" i="64"/>
  <c r="AP20" i="63" l="1"/>
  <c r="AQ22" i="63"/>
  <c r="AQ20" i="63" s="1"/>
  <c r="AQ22" i="64"/>
  <c r="AQ20" i="64" s="1"/>
  <c r="AP20" i="64"/>
</calcChain>
</file>

<file path=xl/sharedStrings.xml><?xml version="1.0" encoding="utf-8"?>
<sst xmlns="http://schemas.openxmlformats.org/spreadsheetml/2006/main" count="377" uniqueCount="90">
  <si>
    <t>Call</t>
  </si>
  <si>
    <t>Put</t>
  </si>
  <si>
    <t>Value</t>
  </si>
  <si>
    <t>Vega</t>
  </si>
  <si>
    <t>Days</t>
  </si>
  <si>
    <t>Delta</t>
  </si>
  <si>
    <t>Today</t>
  </si>
  <si>
    <t>Risk-free rate ( r )</t>
  </si>
  <si>
    <t>BID</t>
  </si>
  <si>
    <t>OFFER</t>
  </si>
  <si>
    <t>Expiry Date</t>
  </si>
  <si>
    <t>Delivery</t>
  </si>
  <si>
    <t xml:space="preserve">Futures </t>
  </si>
  <si>
    <t xml:space="preserve">Strike </t>
  </si>
  <si>
    <t>Option</t>
  </si>
  <si>
    <t>Bid Vol</t>
  </si>
  <si>
    <t>Offer Vol</t>
  </si>
  <si>
    <t>Price</t>
  </si>
  <si>
    <t>Cal 09</t>
  </si>
  <si>
    <t>Q2'08</t>
  </si>
  <si>
    <t>Q3'08</t>
  </si>
  <si>
    <t>Q4'08</t>
  </si>
  <si>
    <t>Cal 10</t>
  </si>
  <si>
    <t xml:space="preserve">Rule: expiry 15:00 CET </t>
  </si>
  <si>
    <t>Day</t>
  </si>
  <si>
    <t>Date</t>
  </si>
  <si>
    <t>Thursday</t>
  </si>
  <si>
    <t>Tuesday</t>
  </si>
  <si>
    <t>Friday</t>
  </si>
  <si>
    <t>Monday</t>
  </si>
  <si>
    <t>Wednesday</t>
  </si>
  <si>
    <t>26//08/2009</t>
  </si>
  <si>
    <t>Q1'09</t>
  </si>
  <si>
    <t>Q2'09</t>
  </si>
  <si>
    <t>Q3'09</t>
  </si>
  <si>
    <t>Q4'09</t>
  </si>
  <si>
    <t>Cal 11</t>
  </si>
  <si>
    <t>Cal 12</t>
  </si>
  <si>
    <t>DEC08 CO2</t>
  </si>
  <si>
    <t>DEC09 CO2</t>
  </si>
  <si>
    <t>DEC10 CO2</t>
  </si>
  <si>
    <t>DEC11 CO3</t>
  </si>
  <si>
    <t>DEC12 CO4</t>
  </si>
  <si>
    <t>Table headers</t>
  </si>
  <si>
    <t>A/E</t>
  </si>
  <si>
    <t>Mid-price</t>
  </si>
  <si>
    <t>Mid-vol</t>
  </si>
  <si>
    <t>Opt expiry</t>
  </si>
  <si>
    <t>Price intrvl</t>
  </si>
  <si>
    <t>Mid-strike</t>
  </si>
  <si>
    <t>Strike intrvl</t>
  </si>
  <si>
    <t>Value date</t>
  </si>
  <si>
    <t>Int. rate</t>
  </si>
  <si>
    <t>Call Skew</t>
  </si>
  <si>
    <t>Skew vols:</t>
  </si>
  <si>
    <t>Price/Strike:</t>
  </si>
  <si>
    <t>Contract</t>
  </si>
  <si>
    <t>StartDate</t>
  </si>
  <si>
    <t>EndDate</t>
  </si>
  <si>
    <r>
      <t xml:space="preserve">Delta </t>
    </r>
    <r>
      <rPr>
        <b/>
        <sz val="9"/>
        <color indexed="8"/>
        <rFont val="Symbol"/>
      </rPr>
      <t>D</t>
    </r>
  </si>
  <si>
    <r>
      <t xml:space="preserve">Gamma </t>
    </r>
    <r>
      <rPr>
        <b/>
        <sz val="9"/>
        <color indexed="8"/>
        <rFont val="Symbol"/>
      </rPr>
      <t>G</t>
    </r>
  </si>
  <si>
    <r>
      <t xml:space="preserve">Theta </t>
    </r>
    <r>
      <rPr>
        <b/>
        <sz val="9"/>
        <color indexed="8"/>
        <rFont val="Symbol"/>
      </rPr>
      <t>Q</t>
    </r>
  </si>
  <si>
    <t>HoursBase</t>
  </si>
  <si>
    <t>DaysBase</t>
  </si>
  <si>
    <t>European</t>
  </si>
  <si>
    <t>TimetoMaturity</t>
  </si>
  <si>
    <t>Put Skew</t>
  </si>
  <si>
    <t>Input</t>
  </si>
  <si>
    <t>Skew</t>
  </si>
  <si>
    <t>Vol</t>
  </si>
  <si>
    <t>Strike</t>
  </si>
  <si>
    <t>P</t>
  </si>
  <si>
    <t>Option grid - prices x strikes (with volatility skew)</t>
  </si>
  <si>
    <t>Option Model - Futures</t>
  </si>
  <si>
    <t>G</t>
  </si>
  <si>
    <t>Greeks</t>
  </si>
  <si>
    <t>Theta</t>
  </si>
  <si>
    <t>Gamma</t>
  </si>
  <si>
    <t>Skew intrvl</t>
  </si>
  <si>
    <t xml:space="preserve"> </t>
  </si>
  <si>
    <t>p</t>
  </si>
  <si>
    <t>Odd</t>
  </si>
  <si>
    <t>c</t>
  </si>
  <si>
    <t>Cal11 Mar exp</t>
  </si>
  <si>
    <t>Cal11 June exp</t>
  </si>
  <si>
    <t>Q3'10</t>
  </si>
  <si>
    <t>Q2'10</t>
  </si>
  <si>
    <t>Nord Qs</t>
  </si>
  <si>
    <t>DEC12 CO2</t>
  </si>
  <si>
    <t>DEC13 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</si>
</sst>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_(* #,##0.000_);_(* \(#,##0.000\);_(* &quot;-&quot;??_);_(@_)"/>
    <numFmt numFmtId="167" formatCode="_(* #,##0_);_(* \(#,##0\);_(* &quot;-&quot;??_);_(@_)"/>
    <numFmt numFmtId="168" formatCode="dd\ mmm\ yyyy"/>
    <numFmt numFmtId="169" formatCode="mmm\ yyyy"/>
    <numFmt numFmtId="170" formatCode="#,##0.000"/>
    <numFmt numFmtId="171" formatCode="0.0%"/>
    <numFmt numFmtId="172" formatCode="0.00%;[Red]\-0.00%;0.0;@"/>
  </numFmts>
  <fonts count="25">
    <font>
      <sz val="9"/>
      <name val="Geneva"/>
    </font>
    <font>
      <b/>
      <sz val="9"/>
      <name val="Geneva"/>
    </font>
    <font>
      <sz val="9"/>
      <name val="Geneva"/>
    </font>
    <font>
      <sz val="10"/>
      <name val="Geneva"/>
    </font>
    <font>
      <b/>
      <sz val="10"/>
      <color indexed="8"/>
      <name val="Geneva"/>
    </font>
    <font>
      <b/>
      <sz val="10"/>
      <color indexed="12"/>
      <name val="Geneva"/>
    </font>
    <font>
      <sz val="10"/>
      <color indexed="8"/>
      <name val="Geneva"/>
    </font>
    <font>
      <b/>
      <sz val="9"/>
      <color indexed="8"/>
      <name val="Geneva"/>
    </font>
    <font>
      <b/>
      <sz val="9"/>
      <color indexed="22"/>
      <name val="Geneva"/>
    </font>
    <font>
      <sz val="9"/>
      <color indexed="8"/>
      <name val="Geneva"/>
    </font>
    <font>
      <b/>
      <sz val="8"/>
      <name val="Arial"/>
    </font>
    <font>
      <b/>
      <sz val="18"/>
      <color indexed="9"/>
      <name val="Arial"/>
      <family val="2"/>
    </font>
    <font>
      <b/>
      <sz val="8"/>
      <name val="Arial"/>
      <family val="2"/>
    </font>
    <font>
      <sz val="8"/>
      <name val="Geneva"/>
    </font>
    <font>
      <sz val="8"/>
      <name val="Arial"/>
      <family val="2"/>
    </font>
    <font>
      <b/>
      <sz val="9"/>
      <color indexed="12"/>
      <name val="Geneva"/>
    </font>
    <font>
      <b/>
      <sz val="9"/>
      <color indexed="8"/>
      <name val="Symbol"/>
    </font>
    <font>
      <sz val="10"/>
      <color indexed="12"/>
      <name val="Geneva"/>
    </font>
    <font>
      <sz val="8"/>
      <color indexed="9"/>
      <name val="Arial"/>
      <family val="2"/>
    </font>
    <font>
      <sz val="8"/>
      <color indexed="8"/>
      <name val="Arial"/>
      <family val="2"/>
    </font>
    <font>
      <b/>
      <sz val="9"/>
      <color indexed="10"/>
      <name val="Geneva"/>
    </font>
    <font>
      <b/>
      <sz val="11"/>
      <color indexed="18"/>
      <name val="Geneva"/>
    </font>
    <font>
      <b/>
      <sz val="11"/>
      <color indexed="10"/>
      <name val="Geneva"/>
    </font>
    <font>
      <i/>
      <sz val="10"/>
      <color indexed="8"/>
      <name val="Geneva"/>
    </font>
    <font>
      <i/>
      <sz val="10"/>
      <color indexed="12"/>
      <name val="Geneva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</cellStyleXfs>
  <cellXfs count="139">
    <xf numFmtId="0" fontId="0" fillId="0" borderId="0" xfId="0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/>
    <xf numFmtId="0" fontId="9" fillId="2" borderId="0" xfId="0" applyFont="1" applyFill="1" applyBorder="1"/>
    <xf numFmtId="0" fontId="0" fillId="0" borderId="0" xfId="0" applyFill="1"/>
    <xf numFmtId="169" fontId="0" fillId="0" borderId="0" xfId="0" applyNumberFormat="1"/>
    <xf numFmtId="17" fontId="6" fillId="0" borderId="0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7" fillId="2" borderId="0" xfId="2" applyFont="1" applyFill="1" applyBorder="1" applyAlignment="1">
      <alignment horizontal="left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7" fillId="2" borderId="0" xfId="2" applyFont="1" applyFill="1" applyBorder="1" applyAlignment="1">
      <alignment horizontal="center" vertical="center"/>
    </xf>
    <xf numFmtId="165" fontId="7" fillId="2" borderId="0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1" fillId="3" borderId="0" xfId="0" applyFont="1" applyFill="1" applyProtection="1"/>
    <xf numFmtId="0" fontId="0" fillId="3" borderId="0" xfId="0" applyFill="1" applyBorder="1" applyProtection="1"/>
    <xf numFmtId="0" fontId="11" fillId="3" borderId="0" xfId="0" applyFont="1" applyFill="1" applyAlignment="1" applyProtection="1">
      <alignment horizontal="right"/>
    </xf>
    <xf numFmtId="0" fontId="0" fillId="0" borderId="0" xfId="0" applyBorder="1" applyProtection="1"/>
    <xf numFmtId="0" fontId="12" fillId="2" borderId="0" xfId="0" applyFont="1" applyFill="1" applyBorder="1" applyProtection="1"/>
    <xf numFmtId="0" fontId="14" fillId="2" borderId="0" xfId="0" applyFont="1" applyFill="1" applyBorder="1" applyProtection="1"/>
    <xf numFmtId="0" fontId="12" fillId="2" borderId="0" xfId="0" applyFont="1" applyFill="1" applyBorder="1" applyAlignment="1" applyProtection="1">
      <alignment horizontal="center"/>
    </xf>
    <xf numFmtId="0" fontId="12" fillId="2" borderId="0" xfId="0" quotePrefix="1" applyFont="1" applyFill="1" applyBorder="1" applyAlignment="1" applyProtection="1">
      <alignment horizontal="center"/>
    </xf>
    <xf numFmtId="0" fontId="12" fillId="2" borderId="0" xfId="0" quotePrefix="1" applyFont="1" applyFill="1" applyBorder="1" applyProtection="1"/>
    <xf numFmtId="0" fontId="14" fillId="2" borderId="0" xfId="0" applyFont="1" applyFill="1" applyBorder="1" applyAlignment="1" applyProtection="1">
      <alignment horizontal="left"/>
    </xf>
    <xf numFmtId="0" fontId="14" fillId="2" borderId="0" xfId="0" applyFont="1" applyFill="1" applyBorder="1" applyAlignment="1" applyProtection="1">
      <alignment horizontal="right"/>
    </xf>
    <xf numFmtId="10" fontId="12" fillId="4" borderId="0" xfId="0" applyNumberFormat="1" applyFont="1" applyFill="1" applyBorder="1" applyProtection="1"/>
    <xf numFmtId="10" fontId="14" fillId="4" borderId="0" xfId="0" applyNumberFormat="1" applyFont="1" applyFill="1" applyBorder="1" applyProtection="1"/>
    <xf numFmtId="164" fontId="14" fillId="2" borderId="0" xfId="1" applyFont="1" applyFill="1" applyBorder="1" applyAlignment="1" applyProtection="1">
      <alignment horizontal="right"/>
    </xf>
    <xf numFmtId="164" fontId="12" fillId="4" borderId="0" xfId="1" applyFont="1" applyFill="1" applyBorder="1" applyProtection="1"/>
    <xf numFmtId="164" fontId="12" fillId="5" borderId="0" xfId="1" applyFont="1" applyFill="1" applyBorder="1" applyProtection="1"/>
    <xf numFmtId="170" fontId="14" fillId="5" borderId="0" xfId="0" applyNumberFormat="1" applyFont="1" applyFill="1" applyBorder="1" applyProtection="1"/>
    <xf numFmtId="164" fontId="14" fillId="5" borderId="0" xfId="1" applyFont="1" applyFill="1" applyBorder="1" applyProtection="1"/>
    <xf numFmtId="164" fontId="12" fillId="0" borderId="0" xfId="1" applyFont="1" applyFill="1" applyBorder="1" applyProtection="1"/>
    <xf numFmtId="170" fontId="14" fillId="0" borderId="0" xfId="0" applyNumberFormat="1" applyFont="1" applyFill="1" applyBorder="1" applyProtection="1"/>
    <xf numFmtId="164" fontId="14" fillId="0" borderId="0" xfId="1" applyFont="1" applyFill="1" applyBorder="1" applyProtection="1"/>
    <xf numFmtId="10" fontId="15" fillId="2" borderId="0" xfId="3" applyNumberFormat="1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right"/>
    </xf>
    <xf numFmtId="169" fontId="0" fillId="0" borderId="2" xfId="0" applyNumberFormat="1" applyBorder="1" applyAlignment="1">
      <alignment horizontal="right"/>
    </xf>
    <xf numFmtId="0" fontId="0" fillId="0" borderId="3" xfId="0" applyBorder="1"/>
    <xf numFmtId="14" fontId="0" fillId="0" borderId="3" xfId="0" applyNumberFormat="1" applyBorder="1"/>
    <xf numFmtId="168" fontId="0" fillId="0" borderId="3" xfId="0" applyNumberFormat="1" applyBorder="1"/>
    <xf numFmtId="168" fontId="0" fillId="0" borderId="4" xfId="0" applyNumberFormat="1" applyBorder="1"/>
    <xf numFmtId="169" fontId="0" fillId="0" borderId="5" xfId="0" applyNumberFormat="1" applyBorder="1" applyAlignment="1">
      <alignment horizontal="right"/>
    </xf>
    <xf numFmtId="168" fontId="0" fillId="0" borderId="6" xfId="0" applyNumberFormat="1" applyBorder="1"/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/>
    <xf numFmtId="14" fontId="0" fillId="0" borderId="8" xfId="0" applyNumberFormat="1" applyBorder="1"/>
    <xf numFmtId="168" fontId="0" fillId="0" borderId="8" xfId="0" applyNumberFormat="1" applyBorder="1"/>
    <xf numFmtId="168" fontId="0" fillId="0" borderId="9" xfId="0" applyNumberFormat="1" applyBorder="1"/>
    <xf numFmtId="169" fontId="0" fillId="0" borderId="10" xfId="0" applyNumberFormat="1" applyBorder="1" applyAlignment="1">
      <alignment horizontal="right"/>
    </xf>
    <xf numFmtId="169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164" fontId="14" fillId="5" borderId="1" xfId="1" applyFont="1" applyFill="1" applyBorder="1" applyProtection="1"/>
    <xf numFmtId="10" fontId="14" fillId="5" borderId="1" xfId="3" applyNumberFormat="1" applyFont="1" applyFill="1" applyBorder="1" applyProtection="1"/>
    <xf numFmtId="10" fontId="14" fillId="5" borderId="1" xfId="0" applyNumberFormat="1" applyFont="1" applyFill="1" applyBorder="1" applyProtection="1"/>
    <xf numFmtId="9" fontId="18" fillId="6" borderId="1" xfId="3" applyFont="1" applyFill="1" applyBorder="1" applyProtection="1">
      <protection locked="0"/>
    </xf>
    <xf numFmtId="172" fontId="18" fillId="6" borderId="1" xfId="0" applyNumberFormat="1" applyFont="1" applyFill="1" applyBorder="1" applyProtection="1">
      <protection locked="0"/>
    </xf>
    <xf numFmtId="0" fontId="18" fillId="6" borderId="1" xfId="0" applyFont="1" applyFill="1" applyBorder="1" applyAlignment="1" applyProtection="1">
      <alignment horizontal="right"/>
      <protection locked="0"/>
    </xf>
    <xf numFmtId="14" fontId="18" fillId="6" borderId="1" xfId="0" applyNumberFormat="1" applyFont="1" applyFill="1" applyBorder="1" applyProtection="1">
      <protection locked="0"/>
    </xf>
    <xf numFmtId="164" fontId="18" fillId="6" borderId="1" xfId="1" applyFont="1" applyFill="1" applyBorder="1" applyProtection="1">
      <protection locked="0"/>
    </xf>
    <xf numFmtId="10" fontId="18" fillId="6" borderId="1" xfId="0" applyNumberFormat="1" applyFont="1" applyFill="1" applyBorder="1" applyProtection="1">
      <protection locked="0"/>
    </xf>
    <xf numFmtId="171" fontId="18" fillId="6" borderId="1" xfId="3" applyNumberFormat="1" applyFont="1" applyFill="1" applyBorder="1" applyProtection="1">
      <protection locked="0"/>
    </xf>
    <xf numFmtId="164" fontId="19" fillId="6" borderId="1" xfId="1" applyFont="1" applyFill="1" applyBorder="1" applyProtection="1"/>
    <xf numFmtId="0" fontId="14" fillId="4" borderId="13" xfId="0" applyFont="1" applyFill="1" applyBorder="1" applyAlignment="1" applyProtection="1">
      <alignment horizontal="center"/>
    </xf>
    <xf numFmtId="10" fontId="12" fillId="4" borderId="14" xfId="0" applyNumberFormat="1" applyFont="1" applyFill="1" applyBorder="1" applyProtection="1"/>
    <xf numFmtId="164" fontId="12" fillId="4" borderId="14" xfId="1" applyFont="1" applyFill="1" applyBorder="1" applyProtection="1"/>
    <xf numFmtId="170" fontId="14" fillId="5" borderId="14" xfId="0" applyNumberFormat="1" applyFont="1" applyFill="1" applyBorder="1" applyProtection="1"/>
    <xf numFmtId="170" fontId="14" fillId="0" borderId="14" xfId="0" applyNumberFormat="1" applyFont="1" applyFill="1" applyBorder="1" applyProtection="1"/>
    <xf numFmtId="170" fontId="14" fillId="5" borderId="15" xfId="0" applyNumberFormat="1" applyFont="1" applyFill="1" applyBorder="1" applyProtection="1"/>
    <xf numFmtId="164" fontId="12" fillId="0" borderId="16" xfId="1" applyFont="1" applyFill="1" applyBorder="1" applyProtection="1"/>
    <xf numFmtId="164" fontId="12" fillId="0" borderId="17" xfId="1" applyFont="1" applyFill="1" applyBorder="1" applyProtection="1"/>
    <xf numFmtId="170" fontId="14" fillId="0" borderId="17" xfId="0" applyNumberFormat="1" applyFont="1" applyFill="1" applyBorder="1" applyProtection="1"/>
    <xf numFmtId="170" fontId="14" fillId="0" borderId="13" xfId="0" applyNumberFormat="1" applyFont="1" applyFill="1" applyBorder="1" applyProtection="1"/>
    <xf numFmtId="170" fontId="14" fillId="0" borderId="18" xfId="0" applyNumberFormat="1" applyFont="1" applyFill="1" applyBorder="1" applyProtection="1"/>
    <xf numFmtId="164" fontId="14" fillId="0" borderId="19" xfId="1" applyFont="1" applyFill="1" applyBorder="1" applyProtection="1"/>
    <xf numFmtId="164" fontId="12" fillId="0" borderId="20" xfId="1" applyFont="1" applyFill="1" applyBorder="1" applyProtection="1"/>
    <xf numFmtId="170" fontId="14" fillId="0" borderId="20" xfId="0" applyNumberFormat="1" applyFont="1" applyFill="1" applyBorder="1" applyProtection="1"/>
    <xf numFmtId="170" fontId="14" fillId="0" borderId="15" xfId="0" applyNumberFormat="1" applyFont="1" applyFill="1" applyBorder="1" applyProtection="1"/>
    <xf numFmtId="170" fontId="14" fillId="0" borderId="21" xfId="0" applyNumberFormat="1" applyFont="1" applyFill="1" applyBorder="1" applyProtection="1"/>
    <xf numFmtId="0" fontId="0" fillId="0" borderId="0" xfId="0" applyBorder="1" applyProtection="1">
      <protection locked="0"/>
    </xf>
    <xf numFmtId="164" fontId="2" fillId="0" borderId="0" xfId="1" applyBorder="1" applyProtection="1"/>
    <xf numFmtId="10" fontId="18" fillId="6" borderId="1" xfId="3" applyNumberFormat="1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>
      <alignment horizontal="center" vertical="center"/>
    </xf>
    <xf numFmtId="0" fontId="4" fillId="2" borderId="0" xfId="2" applyFont="1" applyFill="1" applyBorder="1" applyAlignment="1">
      <alignment horizontal="center" vertical="center"/>
    </xf>
    <xf numFmtId="165" fontId="4" fillId="2" borderId="0" xfId="2" applyNumberFormat="1" applyFont="1" applyFill="1" applyBorder="1" applyAlignment="1">
      <alignment horizontal="center" vertical="center"/>
    </xf>
    <xf numFmtId="168" fontId="6" fillId="7" borderId="0" xfId="1" applyNumberFormat="1" applyFont="1" applyFill="1" applyBorder="1"/>
    <xf numFmtId="167" fontId="6" fillId="7" borderId="0" xfId="1" applyNumberFormat="1" applyFont="1" applyFill="1" applyBorder="1" applyProtection="1"/>
    <xf numFmtId="17" fontId="6" fillId="7" borderId="0" xfId="0" applyNumberFormat="1" applyFont="1" applyFill="1" applyBorder="1"/>
    <xf numFmtId="164" fontId="5" fillId="8" borderId="0" xfId="1" applyFont="1" applyFill="1" applyBorder="1" applyProtection="1">
      <protection locked="0"/>
    </xf>
    <xf numFmtId="164" fontId="17" fillId="8" borderId="0" xfId="1" applyFont="1" applyFill="1" applyBorder="1" applyProtection="1">
      <protection locked="0"/>
    </xf>
    <xf numFmtId="17" fontId="6" fillId="7" borderId="0" xfId="0" applyNumberFormat="1" applyFont="1" applyFill="1" applyBorder="1" applyAlignment="1">
      <alignment horizontal="center"/>
    </xf>
    <xf numFmtId="10" fontId="17" fillId="8" borderId="0" xfId="3" applyNumberFormat="1" applyFont="1" applyFill="1" applyBorder="1" applyProtection="1">
      <protection locked="0"/>
    </xf>
    <xf numFmtId="0" fontId="6" fillId="2" borderId="0" xfId="0" applyFont="1" applyFill="1" applyBorder="1"/>
    <xf numFmtId="166" fontId="6" fillId="5" borderId="0" xfId="1" applyNumberFormat="1" applyFont="1" applyFill="1" applyBorder="1"/>
    <xf numFmtId="164" fontId="6" fillId="5" borderId="0" xfId="1" applyFont="1" applyFill="1" applyBorder="1"/>
    <xf numFmtId="166" fontId="6" fillId="7" borderId="0" xfId="1" applyNumberFormat="1" applyFont="1" applyFill="1" applyBorder="1"/>
    <xf numFmtId="164" fontId="6" fillId="7" borderId="0" xfId="1" applyFont="1" applyFill="1" applyBorder="1"/>
    <xf numFmtId="0" fontId="17" fillId="2" borderId="0" xfId="0" applyFont="1" applyFill="1" applyBorder="1" applyProtection="1">
      <protection locked="0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Protection="1">
      <protection locked="0"/>
    </xf>
    <xf numFmtId="0" fontId="4" fillId="2" borderId="0" xfId="0" applyFont="1" applyFill="1" applyBorder="1" applyAlignment="1">
      <alignment horizontal="center"/>
    </xf>
    <xf numFmtId="43" fontId="21" fillId="2" borderId="0" xfId="0" applyNumberFormat="1" applyFont="1" applyFill="1" applyBorder="1"/>
    <xf numFmtId="43" fontId="22" fillId="2" borderId="0" xfId="0" applyNumberFormat="1" applyFont="1" applyFill="1" applyBorder="1"/>
    <xf numFmtId="17" fontId="4" fillId="7" borderId="0" xfId="0" applyNumberFormat="1" applyFont="1" applyFill="1" applyBorder="1" applyAlignment="1">
      <alignment horizontal="center"/>
    </xf>
    <xf numFmtId="10" fontId="5" fillId="8" borderId="0" xfId="3" applyNumberFormat="1" applyFont="1" applyFill="1" applyBorder="1" applyProtection="1">
      <protection locked="0"/>
    </xf>
    <xf numFmtId="43" fontId="6" fillId="2" borderId="0" xfId="0" applyNumberFormat="1" applyFont="1" applyFill="1" applyBorder="1"/>
    <xf numFmtId="43" fontId="4" fillId="2" borderId="0" xfId="0" applyNumberFormat="1" applyFont="1" applyFill="1" applyBorder="1"/>
    <xf numFmtId="164" fontId="6" fillId="5" borderId="0" xfId="1" applyNumberFormat="1" applyFont="1" applyFill="1" applyBorder="1"/>
    <xf numFmtId="0" fontId="4" fillId="2" borderId="0" xfId="0" applyFont="1" applyFill="1" applyBorder="1"/>
    <xf numFmtId="164" fontId="6" fillId="7" borderId="0" xfId="1" applyNumberFormat="1" applyFont="1" applyFill="1" applyBorder="1"/>
    <xf numFmtId="43" fontId="4" fillId="2" borderId="0" xfId="2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/>
    <xf numFmtId="166" fontId="4" fillId="7" borderId="0" xfId="1" applyNumberFormat="1" applyFont="1" applyFill="1" applyBorder="1"/>
    <xf numFmtId="43" fontId="6" fillId="2" borderId="0" xfId="0" applyNumberFormat="1" applyFont="1" applyFill="1" applyBorder="1" applyAlignment="1">
      <alignment horizontal="center"/>
    </xf>
    <xf numFmtId="17" fontId="17" fillId="7" borderId="0" xfId="0" applyNumberFormat="1" applyFont="1" applyFill="1" applyBorder="1" applyAlignment="1">
      <alignment horizontal="center"/>
    </xf>
    <xf numFmtId="14" fontId="2" fillId="0" borderId="1" xfId="0" applyNumberFormat="1" applyFont="1" applyBorder="1"/>
    <xf numFmtId="10" fontId="7" fillId="2" borderId="0" xfId="0" applyNumberFormat="1" applyFont="1" applyFill="1" applyBorder="1"/>
    <xf numFmtId="168" fontId="23" fillId="7" borderId="0" xfId="1" applyNumberFormat="1" applyFont="1" applyFill="1" applyBorder="1"/>
    <xf numFmtId="17" fontId="23" fillId="7" borderId="0" xfId="0" applyNumberFormat="1" applyFont="1" applyFill="1" applyBorder="1"/>
    <xf numFmtId="164" fontId="24" fillId="8" borderId="0" xfId="1" applyFont="1" applyFill="1" applyBorder="1" applyProtection="1">
      <protection locked="0"/>
    </xf>
    <xf numFmtId="17" fontId="23" fillId="7" borderId="0" xfId="0" applyNumberFormat="1" applyFont="1" applyFill="1" applyBorder="1" applyAlignment="1">
      <alignment horizontal="center"/>
    </xf>
    <xf numFmtId="10" fontId="24" fillId="8" borderId="0" xfId="3" applyNumberFormat="1" applyFont="1" applyFill="1" applyBorder="1" applyProtection="1">
      <protection locked="0"/>
    </xf>
    <xf numFmtId="168" fontId="4" fillId="7" borderId="0" xfId="1" applyNumberFormat="1" applyFont="1" applyFill="1" applyBorder="1"/>
    <xf numFmtId="17" fontId="4" fillId="7" borderId="0" xfId="0" applyNumberFormat="1" applyFont="1" applyFill="1" applyBorder="1"/>
    <xf numFmtId="17" fontId="5" fillId="2" borderId="0" xfId="0" applyNumberFormat="1" applyFont="1" applyFill="1" applyBorder="1" applyAlignment="1" applyProtection="1">
      <alignment horizontal="center"/>
      <protection locked="0"/>
    </xf>
    <xf numFmtId="14" fontId="20" fillId="2" borderId="0" xfId="0" applyNumberFormat="1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center"/>
    </xf>
    <xf numFmtId="0" fontId="10" fillId="2" borderId="0" xfId="0" applyFont="1" applyFill="1" applyBorder="1" applyAlignment="1" applyProtection="1">
      <alignment horizontal="center"/>
    </xf>
  </cellXfs>
  <cellStyles count="4">
    <cellStyle name="Comma" xfId="1" builtinId="3"/>
    <cellStyle name="Normal" xfId="0" builtinId="0"/>
    <cellStyle name="Normal_ANALY.XLS" xfId="2" xr:uid="{00000000-0005-0000-0000-000002000000}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11'!$C$22:$AQ$22</c:f>
              <c:numCache>
                <c:formatCode>_(* #,##0.00_);_(* \(#,##0.00\);_(* "-"??_);_(@_)</c:formatCode>
                <c:ptCount val="41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</c:numCache>
            </c:numRef>
          </c:cat>
          <c:val>
            <c:numRef>
              <c:f>'Opt grid 11'!$C$21:$AQ$21</c:f>
              <c:numCache>
                <c:formatCode>0.00%</c:formatCode>
                <c:ptCount val="41"/>
                <c:pt idx="0">
                  <c:v>0.19799999999999998</c:v>
                </c:pt>
                <c:pt idx="1">
                  <c:v>0.19649999999999998</c:v>
                </c:pt>
                <c:pt idx="2">
                  <c:v>0.19525000000000001</c:v>
                </c:pt>
                <c:pt idx="3">
                  <c:v>0.19425000000000001</c:v>
                </c:pt>
                <c:pt idx="4">
                  <c:v>0.19350000000000001</c:v>
                </c:pt>
                <c:pt idx="5">
                  <c:v>0.193</c:v>
                </c:pt>
                <c:pt idx="6">
                  <c:v>0.1915</c:v>
                </c:pt>
                <c:pt idx="7">
                  <c:v>0.19025</c:v>
                </c:pt>
                <c:pt idx="8">
                  <c:v>0.18925</c:v>
                </c:pt>
                <c:pt idx="9">
                  <c:v>0.1885</c:v>
                </c:pt>
                <c:pt idx="10">
                  <c:v>0.188</c:v>
                </c:pt>
                <c:pt idx="11">
                  <c:v>0.1865</c:v>
                </c:pt>
                <c:pt idx="12">
                  <c:v>0.18525</c:v>
                </c:pt>
                <c:pt idx="13">
                  <c:v>0.18425</c:v>
                </c:pt>
                <c:pt idx="14">
                  <c:v>0.1835</c:v>
                </c:pt>
                <c:pt idx="15">
                  <c:v>0.183</c:v>
                </c:pt>
                <c:pt idx="16">
                  <c:v>0.18149999999999999</c:v>
                </c:pt>
                <c:pt idx="17">
                  <c:v>0.18024999999999999</c:v>
                </c:pt>
                <c:pt idx="18">
                  <c:v>0.17924999999999999</c:v>
                </c:pt>
                <c:pt idx="19">
                  <c:v>0.17849999999999999</c:v>
                </c:pt>
                <c:pt idx="20">
                  <c:v>0.17799999999999999</c:v>
                </c:pt>
                <c:pt idx="21">
                  <c:v>0.17874999999999999</c:v>
                </c:pt>
                <c:pt idx="22">
                  <c:v>0.17987500000000001</c:v>
                </c:pt>
                <c:pt idx="23">
                  <c:v>0.18137500000000001</c:v>
                </c:pt>
                <c:pt idx="24">
                  <c:v>0.18325</c:v>
                </c:pt>
                <c:pt idx="25">
                  <c:v>0.1855</c:v>
                </c:pt>
                <c:pt idx="26">
                  <c:v>0.18625</c:v>
                </c:pt>
                <c:pt idx="27">
                  <c:v>0.18737500000000001</c:v>
                </c:pt>
                <c:pt idx="28">
                  <c:v>0.18887500000000002</c:v>
                </c:pt>
                <c:pt idx="29">
                  <c:v>0.19075</c:v>
                </c:pt>
                <c:pt idx="30">
                  <c:v>0.193</c:v>
                </c:pt>
                <c:pt idx="31">
                  <c:v>0.19375000000000001</c:v>
                </c:pt>
                <c:pt idx="32">
                  <c:v>0.19487499999999999</c:v>
                </c:pt>
                <c:pt idx="33">
                  <c:v>0.19637499999999999</c:v>
                </c:pt>
                <c:pt idx="34">
                  <c:v>0.19824999999999998</c:v>
                </c:pt>
                <c:pt idx="35">
                  <c:v>0.20049999999999998</c:v>
                </c:pt>
                <c:pt idx="36">
                  <c:v>0.20024999999999998</c:v>
                </c:pt>
                <c:pt idx="37">
                  <c:v>0.19987499999999997</c:v>
                </c:pt>
                <c:pt idx="38">
                  <c:v>0.19937499999999997</c:v>
                </c:pt>
                <c:pt idx="39">
                  <c:v>0.19874999999999998</c:v>
                </c:pt>
                <c:pt idx="40">
                  <c:v>0.19799999999999998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8-4A01-BF9D-DDA42C59E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47680"/>
        <c:axId val="79083008"/>
      </c:lineChart>
      <c:catAx>
        <c:axId val="7904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083008"/>
        <c:crossesAt val="0"/>
        <c:auto val="1"/>
        <c:lblAlgn val="ctr"/>
        <c:lblOffset val="100"/>
        <c:tickLblSkip val="2"/>
        <c:tickMarkSkip val="1"/>
        <c:noMultiLvlLbl val="0"/>
      </c:catAx>
      <c:valAx>
        <c:axId val="79083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047680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12'!$C$22:$AQ$22</c:f>
              <c:numCache>
                <c:formatCode>_(* #,##0.00_);_(* \(#,##0.00\);_(* "-"??_);_(@_)</c:formatCode>
                <c:ptCount val="4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</c:numCache>
            </c:numRef>
          </c:cat>
          <c:val>
            <c:numRef>
              <c:f>'Opt grid 12'!$C$21:$AQ$21</c:f>
              <c:numCache>
                <c:formatCode>0.00%</c:formatCode>
                <c:ptCount val="41"/>
                <c:pt idx="0">
                  <c:v>0.1825</c:v>
                </c:pt>
                <c:pt idx="1">
                  <c:v>0.18174999999999999</c:v>
                </c:pt>
                <c:pt idx="2">
                  <c:v>0.18112499999999998</c:v>
                </c:pt>
                <c:pt idx="3">
                  <c:v>0.18062499999999998</c:v>
                </c:pt>
                <c:pt idx="4">
                  <c:v>0.18024999999999999</c:v>
                </c:pt>
                <c:pt idx="5">
                  <c:v>0.18</c:v>
                </c:pt>
                <c:pt idx="6">
                  <c:v>0.17924999999999999</c:v>
                </c:pt>
                <c:pt idx="7">
                  <c:v>0.17862499999999998</c:v>
                </c:pt>
                <c:pt idx="8">
                  <c:v>0.17812499999999998</c:v>
                </c:pt>
                <c:pt idx="9">
                  <c:v>0.17774999999999999</c:v>
                </c:pt>
                <c:pt idx="10">
                  <c:v>0.17749999999999999</c:v>
                </c:pt>
                <c:pt idx="11">
                  <c:v>0.17674999999999999</c:v>
                </c:pt>
                <c:pt idx="12">
                  <c:v>0.17612499999999998</c:v>
                </c:pt>
                <c:pt idx="13">
                  <c:v>0.17562499999999998</c:v>
                </c:pt>
                <c:pt idx="14">
                  <c:v>0.17524999999999999</c:v>
                </c:pt>
                <c:pt idx="15">
                  <c:v>0.17499999999999999</c:v>
                </c:pt>
                <c:pt idx="16">
                  <c:v>0.17424999999999999</c:v>
                </c:pt>
                <c:pt idx="17">
                  <c:v>0.17362499999999997</c:v>
                </c:pt>
                <c:pt idx="18">
                  <c:v>0.17312499999999997</c:v>
                </c:pt>
                <c:pt idx="19">
                  <c:v>0.17274999999999999</c:v>
                </c:pt>
                <c:pt idx="20">
                  <c:v>0.17249999999999999</c:v>
                </c:pt>
                <c:pt idx="21">
                  <c:v>0.17299999999999999</c:v>
                </c:pt>
                <c:pt idx="22">
                  <c:v>0.17374999999999999</c:v>
                </c:pt>
                <c:pt idx="23">
                  <c:v>0.17474999999999999</c:v>
                </c:pt>
                <c:pt idx="24">
                  <c:v>0.17599999999999999</c:v>
                </c:pt>
                <c:pt idx="25">
                  <c:v>0.17749999999999999</c:v>
                </c:pt>
                <c:pt idx="26">
                  <c:v>0.17799999999999999</c:v>
                </c:pt>
                <c:pt idx="27">
                  <c:v>0.17874999999999999</c:v>
                </c:pt>
                <c:pt idx="28">
                  <c:v>0.17974999999999999</c:v>
                </c:pt>
                <c:pt idx="29">
                  <c:v>0.18099999999999999</c:v>
                </c:pt>
                <c:pt idx="30">
                  <c:v>0.1825</c:v>
                </c:pt>
                <c:pt idx="31">
                  <c:v>0.183</c:v>
                </c:pt>
                <c:pt idx="32">
                  <c:v>0.18375</c:v>
                </c:pt>
                <c:pt idx="33">
                  <c:v>0.18475</c:v>
                </c:pt>
                <c:pt idx="34">
                  <c:v>0.186</c:v>
                </c:pt>
                <c:pt idx="35">
                  <c:v>0.1875</c:v>
                </c:pt>
                <c:pt idx="36">
                  <c:v>0.188</c:v>
                </c:pt>
                <c:pt idx="37">
                  <c:v>0.18875</c:v>
                </c:pt>
                <c:pt idx="38">
                  <c:v>0.18975</c:v>
                </c:pt>
                <c:pt idx="39">
                  <c:v>0.19099999999999998</c:v>
                </c:pt>
                <c:pt idx="40">
                  <c:v>0.19249999999999998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C-4736-8A9D-F88A7A990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46656"/>
        <c:axId val="49048576"/>
      </c:lineChart>
      <c:catAx>
        <c:axId val="49046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48576"/>
        <c:crossesAt val="0"/>
        <c:auto val="1"/>
        <c:lblAlgn val="ctr"/>
        <c:lblOffset val="100"/>
        <c:tickLblSkip val="2"/>
        <c:tickMarkSkip val="1"/>
        <c:noMultiLvlLbl val="0"/>
      </c:catAx>
      <c:valAx>
        <c:axId val="49048576"/>
        <c:scaling>
          <c:orientation val="minMax"/>
          <c:min val="0.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46656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59" dropStyle="combo" dx="16" fmlaLink="$EZ$3" fmlaRange="$EY$3:$EY$6" sel="4" val="0"/>
</file>

<file path=xl/ctrlProps/ctrlProp2.xml><?xml version="1.0" encoding="utf-8"?>
<formControlPr xmlns="http://schemas.microsoft.com/office/spreadsheetml/2009/9/main" objectType="Drop" dropLines="59" dropStyle="combo" dx="16" fmlaLink="$EZ$3" fmlaRange="$EY$3:$EY$6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1681" name="Chart 1">
          <a:extLst>
            <a:ext uri="{FF2B5EF4-FFF2-40B4-BE49-F238E27FC236}">
              <a16:creationId xmlns:a16="http://schemas.microsoft.com/office/drawing/2014/main" id="{00000000-0008-0000-0100-0000011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95250</xdr:rowOff>
        </xdr:from>
        <xdr:to>
          <xdr:col>7</xdr:col>
          <xdr:colOff>323850</xdr:colOff>
          <xdr:row>15</xdr:row>
          <xdr:rowOff>47625</xdr:rowOff>
        </xdr:to>
        <xdr:sp macro="" textlink="">
          <xdr:nvSpPr>
            <xdr:cNvPr id="71682" name="Drop Dow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1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0657" name="Chart 1">
          <a:extLst>
            <a:ext uri="{FF2B5EF4-FFF2-40B4-BE49-F238E27FC236}">
              <a16:creationId xmlns:a16="http://schemas.microsoft.com/office/drawing/2014/main" id="{00000000-0008-0000-0200-000001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95250</xdr:rowOff>
        </xdr:from>
        <xdr:to>
          <xdr:col>7</xdr:col>
          <xdr:colOff>323850</xdr:colOff>
          <xdr:row>15</xdr:row>
          <xdr:rowOff>47625</xdr:rowOff>
        </xdr:to>
        <xdr:sp macro="" textlink="">
          <xdr:nvSpPr>
            <xdr:cNvPr id="70658" name="Drop Dow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2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ederick%20Tesselaar/Local%20Settings/Temporary%20Internet%20Files/Content.IE5/0ZRZEOLL/optgrid_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 grid"/>
    </sheetNames>
    <sheetDataSet>
      <sheetData sheetId="0" refreshError="1">
        <row r="3">
          <cell r="B3" t="str">
            <v>e</v>
          </cell>
          <cell r="E3">
            <v>63</v>
          </cell>
          <cell r="H3">
            <v>0.19750000000000001</v>
          </cell>
        </row>
        <row r="4">
          <cell r="B4">
            <v>39793</v>
          </cell>
          <cell r="E4">
            <v>0.05</v>
          </cell>
          <cell r="H4">
            <v>-5.0000000000000001E-4</v>
          </cell>
        </row>
        <row r="5">
          <cell r="B5">
            <v>1</v>
          </cell>
          <cell r="E5">
            <v>63</v>
          </cell>
          <cell r="H5">
            <v>1.25E-3</v>
          </cell>
          <cell r="I5">
            <v>63</v>
          </cell>
          <cell r="J5">
            <v>0.19750000000000001</v>
          </cell>
        </row>
        <row r="6">
          <cell r="B6" t="str">
            <v>b</v>
          </cell>
          <cell r="E6">
            <v>1</v>
          </cell>
          <cell r="H6">
            <v>0.19500000000000001</v>
          </cell>
          <cell r="I6">
            <v>62</v>
          </cell>
          <cell r="J6">
            <v>0.19700000000000001</v>
          </cell>
        </row>
        <row r="7">
          <cell r="B7">
            <v>0.2</v>
          </cell>
          <cell r="H7">
            <v>0.5</v>
          </cell>
        </row>
        <row r="8">
          <cell r="B8">
            <v>35</v>
          </cell>
        </row>
        <row r="9">
          <cell r="B9">
            <v>0</v>
          </cell>
          <cell r="D9" t="str">
            <v>c</v>
          </cell>
          <cell r="E9" t="str">
            <v>p</v>
          </cell>
          <cell r="I9">
            <v>63</v>
          </cell>
          <cell r="J9">
            <v>0.19750000000000001</v>
          </cell>
        </row>
        <row r="10">
          <cell r="B10">
            <v>39493</v>
          </cell>
          <cell r="D10" t="str">
            <v>c</v>
          </cell>
          <cell r="E10" t="str">
            <v>h</v>
          </cell>
          <cell r="I10">
            <v>64</v>
          </cell>
          <cell r="J10">
            <v>0.19875000000000001</v>
          </cell>
        </row>
        <row r="11">
          <cell r="D11" t="str">
            <v>p</v>
          </cell>
          <cell r="E11" t="str">
            <v>p</v>
          </cell>
        </row>
        <row r="12">
          <cell r="B12">
            <v>4.3999999999999997E-2</v>
          </cell>
          <cell r="D12" t="str">
            <v>p</v>
          </cell>
          <cell r="E12" t="str">
            <v>h</v>
          </cell>
        </row>
        <row r="13">
          <cell r="D13" t="str">
            <v>p</v>
          </cell>
          <cell r="E13" t="str">
            <v>v</v>
          </cell>
        </row>
        <row r="16">
          <cell r="B16">
            <v>0.19500000000000001</v>
          </cell>
          <cell r="C16">
            <v>0.19500000000000001</v>
          </cell>
          <cell r="D16">
            <v>0.19500000000000001</v>
          </cell>
          <cell r="E16">
            <v>0.19500000000000001</v>
          </cell>
          <cell r="F16">
            <v>0.19500000000000001</v>
          </cell>
          <cell r="G16">
            <v>0.19500000000000001</v>
          </cell>
          <cell r="H16">
            <v>0.19550000000000001</v>
          </cell>
          <cell r="I16">
            <v>0.19600000000000001</v>
          </cell>
          <cell r="J16">
            <v>0.19650000000000001</v>
          </cell>
          <cell r="K16">
            <v>0.19700000000000001</v>
          </cell>
          <cell r="L16">
            <v>0.19750000000000001</v>
          </cell>
          <cell r="M16">
            <v>0.19874999999999998</v>
          </cell>
          <cell r="N16">
            <v>0.2</v>
          </cell>
          <cell r="O16">
            <v>0.20124999999999998</v>
          </cell>
          <cell r="P16">
            <v>0.20250000000000001</v>
          </cell>
          <cell r="Q16">
            <v>0.20374999999999999</v>
          </cell>
          <cell r="R16">
            <v>0.20500000000000002</v>
          </cell>
          <cell r="S16">
            <v>0.20624999999999999</v>
          </cell>
          <cell r="T16">
            <v>0.20750000000000002</v>
          </cell>
          <cell r="U16">
            <v>0.20874999999999999</v>
          </cell>
          <cell r="V16">
            <v>0.21000000000000002</v>
          </cell>
        </row>
        <row r="17">
          <cell r="B17">
            <v>53</v>
          </cell>
          <cell r="C17">
            <v>54</v>
          </cell>
          <cell r="D17">
            <v>55</v>
          </cell>
          <cell r="E17">
            <v>56</v>
          </cell>
          <cell r="F17">
            <v>57</v>
          </cell>
          <cell r="G17">
            <v>58</v>
          </cell>
          <cell r="H17">
            <v>59</v>
          </cell>
          <cell r="I17">
            <v>60</v>
          </cell>
          <cell r="J17">
            <v>61</v>
          </cell>
          <cell r="K17">
            <v>62</v>
          </cell>
          <cell r="L17">
            <v>63</v>
          </cell>
          <cell r="M17">
            <v>64</v>
          </cell>
          <cell r="N17">
            <v>65</v>
          </cell>
          <cell r="O17">
            <v>66</v>
          </cell>
          <cell r="P17">
            <v>67</v>
          </cell>
          <cell r="Q17">
            <v>68</v>
          </cell>
          <cell r="R17">
            <v>69</v>
          </cell>
          <cell r="S17">
            <v>70</v>
          </cell>
          <cell r="T17">
            <v>71</v>
          </cell>
          <cell r="U17">
            <v>72</v>
          </cell>
          <cell r="V17">
            <v>73</v>
          </cell>
        </row>
        <row r="18">
          <cell r="A18">
            <v>62.25</v>
          </cell>
        </row>
        <row r="23">
          <cell r="A23">
            <v>62.3</v>
          </cell>
        </row>
        <row r="28">
          <cell r="A28">
            <v>62.349999999999994</v>
          </cell>
        </row>
        <row r="33">
          <cell r="A33">
            <v>62.399999999999991</v>
          </cell>
        </row>
        <row r="38">
          <cell r="A38">
            <v>62.449999999999989</v>
          </cell>
        </row>
        <row r="43">
          <cell r="A43">
            <v>62.499999999999986</v>
          </cell>
        </row>
        <row r="48">
          <cell r="A48">
            <v>62.549999999999983</v>
          </cell>
        </row>
        <row r="53">
          <cell r="A53">
            <v>62.59999999999998</v>
          </cell>
        </row>
        <row r="58">
          <cell r="A58">
            <v>62.649999999999977</v>
          </cell>
        </row>
        <row r="63">
          <cell r="A63">
            <v>62.699999999999974</v>
          </cell>
        </row>
        <row r="68">
          <cell r="A68">
            <v>62.749999999999972</v>
          </cell>
        </row>
        <row r="73">
          <cell r="A73">
            <v>62.799999999999969</v>
          </cell>
        </row>
        <row r="78">
          <cell r="A78">
            <v>62.849999999999966</v>
          </cell>
        </row>
        <row r="83">
          <cell r="A83">
            <v>62.899999999999963</v>
          </cell>
        </row>
        <row r="88">
          <cell r="A88">
            <v>62.94999999999996</v>
          </cell>
        </row>
        <row r="93">
          <cell r="A93">
            <v>62.999999999999957</v>
          </cell>
        </row>
        <row r="98">
          <cell r="A98">
            <v>63.049999999999955</v>
          </cell>
        </row>
        <row r="103">
          <cell r="A103">
            <v>63.099999999999952</v>
          </cell>
        </row>
        <row r="108">
          <cell r="A108">
            <v>63.149999999999949</v>
          </cell>
        </row>
        <row r="113">
          <cell r="A113">
            <v>63.199999999999946</v>
          </cell>
        </row>
        <row r="118">
          <cell r="A118">
            <v>63.249999999999943</v>
          </cell>
        </row>
        <row r="123">
          <cell r="A123">
            <v>63.29999999999994</v>
          </cell>
        </row>
        <row r="128">
          <cell r="A128">
            <v>63.349999999999937</v>
          </cell>
        </row>
        <row r="133">
          <cell r="A133">
            <v>63.399999999999935</v>
          </cell>
        </row>
        <row r="138">
          <cell r="A138">
            <v>63.449999999999932</v>
          </cell>
        </row>
        <row r="143">
          <cell r="A143">
            <v>63.499999999999929</v>
          </cell>
        </row>
        <row r="148">
          <cell r="A148">
            <v>63.549999999999926</v>
          </cell>
        </row>
        <row r="153">
          <cell r="A153">
            <v>63.599999999999923</v>
          </cell>
        </row>
        <row r="158">
          <cell r="A158">
            <v>63.64999999999992</v>
          </cell>
        </row>
        <row r="163">
          <cell r="A163">
            <v>63.699999999999918</v>
          </cell>
        </row>
        <row r="168">
          <cell r="A168">
            <v>63.749999999999915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Q102"/>
  <sheetViews>
    <sheetView tabSelected="1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6" sqref="K6"/>
    </sheetView>
  </sheetViews>
  <sheetFormatPr defaultRowHeight="12"/>
  <cols>
    <col min="1" max="1" width="4.7109375" style="4" customWidth="1"/>
    <col min="2" max="2" width="11.85546875" style="4" customWidth="1"/>
    <col min="3" max="3" width="6.7109375" style="4" customWidth="1"/>
    <col min="4" max="4" width="7.7109375" style="4" bestFit="1" customWidth="1"/>
    <col min="5" max="5" width="8.42578125" style="4" bestFit="1" customWidth="1"/>
    <col min="6" max="6" width="8.7109375" style="4" customWidth="1"/>
    <col min="7" max="7" width="4.140625" style="4" customWidth="1"/>
    <col min="8" max="8" width="9" style="4" bestFit="1" customWidth="1"/>
    <col min="9" max="9" width="9.28515625" style="4" bestFit="1" customWidth="1"/>
    <col min="10" max="10" width="3.140625" style="4" customWidth="1"/>
    <col min="11" max="11" width="9.7109375" style="4" bestFit="1" customWidth="1"/>
    <col min="12" max="12" width="8.28515625" style="4" bestFit="1" customWidth="1"/>
    <col min="13" max="13" width="9.5703125" style="4" bestFit="1" customWidth="1"/>
    <col min="14" max="14" width="6.7109375" style="4" bestFit="1" customWidth="1"/>
    <col min="15" max="15" width="7.7109375" style="4" bestFit="1" customWidth="1"/>
    <col min="16" max="16" width="3.42578125" style="4" customWidth="1"/>
    <col min="17" max="17" width="7.7109375" style="4" bestFit="1" customWidth="1"/>
    <col min="18" max="18" width="8.28515625" style="4" bestFit="1" customWidth="1"/>
    <col min="19" max="19" width="9.5703125" style="4" bestFit="1" customWidth="1"/>
    <col min="20" max="20" width="6.7109375" style="4" bestFit="1" customWidth="1"/>
    <col min="21" max="21" width="7.7109375" style="4" bestFit="1" customWidth="1"/>
    <col min="22" max="22" width="6.5703125" style="4" customWidth="1"/>
    <col min="23" max="16384" width="9.140625" style="4"/>
  </cols>
  <sheetData>
    <row r="1" spans="1:251" s="19" customFormat="1" ht="23.25">
      <c r="A1" s="17"/>
      <c r="B1" s="16" t="s">
        <v>73</v>
      </c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</row>
    <row r="2" spans="1:251" s="1" customFormat="1">
      <c r="B2" s="1" t="s">
        <v>6</v>
      </c>
      <c r="C2" s="136">
        <v>40221</v>
      </c>
      <c r="D2" s="136"/>
      <c r="F2" s="11" t="s">
        <v>7</v>
      </c>
      <c r="I2" s="37">
        <v>1.2500000000000001E-2</v>
      </c>
      <c r="K2" s="37">
        <v>1.35E-2</v>
      </c>
      <c r="L2" s="37">
        <v>2.5999999999999999E-2</v>
      </c>
      <c r="N2" s="127">
        <v>1.4999999999999999E-2</v>
      </c>
    </row>
    <row r="3" spans="1:251" s="1" customFormat="1">
      <c r="K3" s="137" t="s">
        <v>8</v>
      </c>
      <c r="L3" s="137"/>
      <c r="M3" s="137"/>
      <c r="N3" s="137"/>
      <c r="O3" s="137"/>
      <c r="Q3" s="137" t="s">
        <v>9</v>
      </c>
      <c r="R3" s="137"/>
      <c r="S3" s="137"/>
      <c r="T3" s="137"/>
      <c r="U3" s="137"/>
    </row>
    <row r="4" spans="1:251" s="2" customFormat="1">
      <c r="B4" s="12" t="s">
        <v>10</v>
      </c>
      <c r="C4" s="2" t="s">
        <v>4</v>
      </c>
      <c r="D4" s="2" t="s">
        <v>11</v>
      </c>
      <c r="E4" s="13" t="s">
        <v>12</v>
      </c>
      <c r="F4" s="13" t="s">
        <v>13</v>
      </c>
      <c r="H4" s="2" t="s">
        <v>15</v>
      </c>
      <c r="I4" s="2" t="s">
        <v>16</v>
      </c>
      <c r="K4" s="13" t="s">
        <v>17</v>
      </c>
      <c r="L4" s="13" t="s">
        <v>59</v>
      </c>
      <c r="M4" s="13" t="s">
        <v>60</v>
      </c>
      <c r="N4" s="13" t="s">
        <v>3</v>
      </c>
      <c r="O4" s="14" t="s">
        <v>61</v>
      </c>
      <c r="Q4" s="13" t="s">
        <v>17</v>
      </c>
      <c r="R4" s="13" t="s">
        <v>59</v>
      </c>
      <c r="S4" s="13" t="s">
        <v>60</v>
      </c>
      <c r="T4" s="13" t="s">
        <v>3</v>
      </c>
      <c r="U4" s="14" t="s">
        <v>61</v>
      </c>
    </row>
    <row r="5" spans="1:251" s="2" customFormat="1" ht="12.75">
      <c r="B5" s="92" t="s">
        <v>36</v>
      </c>
      <c r="C5" s="93"/>
      <c r="D5" s="93"/>
      <c r="E5" s="94"/>
      <c r="F5" s="94"/>
      <c r="G5" s="93"/>
      <c r="H5" s="93"/>
      <c r="I5" s="93"/>
      <c r="J5" s="93"/>
      <c r="K5" s="121">
        <f>K7+K6</f>
        <v>4.3383307182501589</v>
      </c>
      <c r="L5" s="94"/>
      <c r="M5" s="94"/>
      <c r="N5" s="94"/>
      <c r="O5" s="95"/>
      <c r="P5" s="93"/>
      <c r="Q5" s="121">
        <f>Q6+Q7</f>
        <v>4.3171011715268799</v>
      </c>
      <c r="R5" s="94"/>
      <c r="S5" s="94"/>
      <c r="T5" s="94"/>
      <c r="U5" s="95"/>
    </row>
    <row r="6" spans="1:251" ht="12.75">
      <c r="A6" s="3" t="str">
        <f>B11</f>
        <v>Cal 11</v>
      </c>
      <c r="B6" s="96">
        <f>VLOOKUP($B$5,'DEPower Expiry Dates'!A4:F42,4,FALSE)</f>
        <v>40521</v>
      </c>
      <c r="C6" s="97">
        <f>B6-Today</f>
        <v>300</v>
      </c>
      <c r="D6" s="98">
        <f>B6+30</f>
        <v>40551</v>
      </c>
      <c r="E6" s="100">
        <v>45.5</v>
      </c>
      <c r="F6" s="100">
        <v>55</v>
      </c>
      <c r="G6" s="101" t="s">
        <v>82</v>
      </c>
      <c r="H6" s="102">
        <v>0.186</v>
      </c>
      <c r="I6" s="102">
        <v>0.182</v>
      </c>
      <c r="J6" s="103"/>
      <c r="K6" s="104">
        <f>EBlackScholesForward("p",$G6,$E6,$F6,$C6/365,$C6/365,$I$2,H6)</f>
        <v>0.54444056483329606</v>
      </c>
      <c r="L6" s="105">
        <f>EBlackScholesForward("d",G6,E6,F6,C6/365,C6/365,$I$2,H6)</f>
        <v>0.14760270066930259</v>
      </c>
      <c r="M6" s="104">
        <f>EBlackScholesForward("g",G6,E6,F6,C6/365,C6/365,$I$2,H6)</f>
        <v>2.9961217085094916E-2</v>
      </c>
      <c r="N6" s="104">
        <f>EBlackScholesForward("v",G6,E6,F6,C6/365,C6/365,$I$2,H6)</f>
        <v>9.4723837332462146E-2</v>
      </c>
      <c r="O6" s="104">
        <f>EBlackScholesForward("t",G6,E6,F6,C6/365,C6/365,$I$2,H6)</f>
        <v>-2.9204005985010717E-3</v>
      </c>
      <c r="P6" s="103"/>
      <c r="Q6" s="104">
        <f>EBlackScholesForward("p",$G6,$E6,$F6,$C6/365,$C6/365,$I$2,$I6)</f>
        <v>0.50702985831749259</v>
      </c>
      <c r="R6" s="105">
        <f>EBlackScholesForward("d",$G6,$E6,$F6,$C6/365,$C6/365,$I$2,$I6)</f>
        <v>0.14158868321666462</v>
      </c>
      <c r="S6" s="104">
        <f>EBlackScholesForward("g",$G6,$E6,$F6,$C6/365,$C6/365,$I$2,$I6)</f>
        <v>2.9775873684467768E-2</v>
      </c>
      <c r="T6" s="104">
        <f>EBlackScholesForward("v",$G6,$E6,$F6,$C6/365,$C6/365,$I$2,$I6)</f>
        <v>9.2107971816849543E-2</v>
      </c>
      <c r="U6" s="104">
        <f>EBlackScholesForward("t",$G6,$E6,$F6,$C6/365,$C6/365,$I$2,$I6)</f>
        <v>-2.7790908366674971E-3</v>
      </c>
    </row>
    <row r="7" spans="1:251" ht="12.75">
      <c r="B7" s="96">
        <f>B6</f>
        <v>40521</v>
      </c>
      <c r="C7" s="97">
        <f>B7-Today</f>
        <v>300</v>
      </c>
      <c r="D7" s="98">
        <f>B7+30</f>
        <v>40551</v>
      </c>
      <c r="E7" s="100">
        <f>E6</f>
        <v>45.5</v>
      </c>
      <c r="F7" s="100">
        <v>47</v>
      </c>
      <c r="G7" s="101" t="s">
        <v>80</v>
      </c>
      <c r="H7" s="102">
        <v>0.18099999999999999</v>
      </c>
      <c r="I7" s="102">
        <v>0.182</v>
      </c>
      <c r="J7" s="103"/>
      <c r="K7" s="106">
        <f>EBlackScholesForward("p",$G7,$E7,$F7,$C7/365,$C7/365,$I$2,H7)</f>
        <v>3.793890153416863</v>
      </c>
      <c r="L7" s="107">
        <f>EBlackScholesForward("d",G7,E7,F7,C7/365,C7/365,$I$2,H7)</f>
        <v>-0.5404403686539494</v>
      </c>
      <c r="M7" s="106">
        <f>EBlackScholesForward("g",G7,E7,F7,C7/365,C7/365,$I$2,H7)</f>
        <v>5.2534100336565359E-2</v>
      </c>
      <c r="N7" s="106">
        <f>EBlackScholesForward("v",G7,E7,F7,C7/365,C7/365,$I$2,H7)</f>
        <v>0.16178710046253841</v>
      </c>
      <c r="O7" s="106">
        <f>EBlackScholesForward("t",G7,E7,F7,C7/365,C7/365,$I$2,H7)</f>
        <v>-4.7550630294965757E-3</v>
      </c>
      <c r="P7" s="103"/>
      <c r="Q7" s="106">
        <f>EBlackScholesForward("p",$G7,$E7,$F7,$C7/365,$C7/365,$I$2,$I7)</f>
        <v>3.8100713132093871</v>
      </c>
      <c r="R7" s="107">
        <f>EBlackScholesForward("d",$G7,$E7,$F7,$C7/365,$C7/365,$I$2,$I7)</f>
        <v>-0.53983652664224557</v>
      </c>
      <c r="S7" s="106">
        <f>EBlackScholesForward("g",$G7,$E7,$F7,$C7/365,$C7/365,$I$2,$I7)</f>
        <v>5.2254688762687351E-2</v>
      </c>
      <c r="T7" s="106">
        <f>EBlackScholesForward("v",$G7,$E7,$F7,$C7/365,$C7/365,$I$2,$I7)</f>
        <v>0.16181591286123087</v>
      </c>
      <c r="U7" s="106">
        <f>EBlackScholesForward("t",$G7,$E7,$F7,$C7/365,$C7/365,$I$2,$I7)</f>
        <v>-4.7823683068384248E-3</v>
      </c>
    </row>
    <row r="8" spans="1:251" ht="12.75">
      <c r="B8" s="96">
        <f>B7</f>
        <v>40521</v>
      </c>
      <c r="C8" s="97">
        <f>B8-Today</f>
        <v>300</v>
      </c>
      <c r="D8" s="98">
        <f>B8+30</f>
        <v>40551</v>
      </c>
      <c r="E8" s="100">
        <f>E7</f>
        <v>45.5</v>
      </c>
      <c r="F8" s="100">
        <v>55</v>
      </c>
      <c r="G8" s="101" t="s">
        <v>82</v>
      </c>
      <c r="H8" s="102">
        <v>0.185</v>
      </c>
      <c r="I8" s="102">
        <v>0.19</v>
      </c>
      <c r="J8" s="103"/>
      <c r="K8" s="104">
        <f>EBlackScholesForward("p",$G8,$E8,$F8,$C8/365,$C8/365,$I$2,H8)</f>
        <v>0.53499020162669253</v>
      </c>
      <c r="L8" s="105">
        <f>EBlackScholesForward("d",G8,E8,F8,C8/365,C8/365,$I$2,H8)</f>
        <v>0.14610631183683553</v>
      </c>
      <c r="M8" s="104">
        <f>EBlackScholesForward("g",G8,E8,F8,C8/365,C8/365,$I$2,H8)</f>
        <v>2.9918563890785066E-2</v>
      </c>
      <c r="N8" s="104">
        <f>EBlackScholesForward("v",G8,E8,F8,C8/365,C8/365,$I$2,H8)</f>
        <v>9.4079074666882395E-2</v>
      </c>
      <c r="O8" s="104">
        <f>EBlackScholesForward("t",G8,E8,F8,C8/365,C8/365,$I$2,H8)</f>
        <v>-2.8850339320183327E-3</v>
      </c>
      <c r="P8" s="103"/>
      <c r="Q8" s="104">
        <f>EBlackScholesForward("p",$G8,$E8,$F8,$C8/365,$C8/365,$I$2,$I8)</f>
        <v>0.58287701242935797</v>
      </c>
      <c r="R8" s="105">
        <f>EBlackScholesForward("d",$G8,$E8,$F8,$C8/365,$C8/365,$I$2,$I8)</f>
        <v>0.15353927871756268</v>
      </c>
      <c r="S8" s="104">
        <f>EBlackScholesForward("g",$G8,$E8,$F8,$C8/365,$C8/365,$I$2,$I8)</f>
        <v>3.0108653890081882E-2</v>
      </c>
      <c r="T8" s="104">
        <f>EBlackScholesForward("v",$G8,$E8,$F8,$C8/365,$C8/365,$I$2,$I8)</f>
        <v>9.7242602554839075E-2</v>
      </c>
      <c r="U8" s="104">
        <f>EBlackScholesForward("t",$G8,$E8,$F8,$C8/365,$C8/365,$I$2,$I8)</f>
        <v>-3.0620820635508528E-3</v>
      </c>
    </row>
    <row r="9" spans="1:251" ht="12.75">
      <c r="B9" s="96">
        <f>B8</f>
        <v>40521</v>
      </c>
      <c r="C9" s="97">
        <f>B9-Today</f>
        <v>300</v>
      </c>
      <c r="D9" s="98">
        <f>B9+30</f>
        <v>40551</v>
      </c>
      <c r="E9" s="100">
        <v>45.5</v>
      </c>
      <c r="F9" s="100">
        <v>51</v>
      </c>
      <c r="G9" s="101" t="s">
        <v>82</v>
      </c>
      <c r="H9" s="102">
        <v>0.185</v>
      </c>
      <c r="I9" s="102">
        <v>0.1855</v>
      </c>
      <c r="J9" s="103"/>
      <c r="K9" s="106">
        <f>EBlackScholesForward("p",$G9,$E9,$F9,$C9/365,$C9/365,$I$2,H9)</f>
        <v>1.1787006187190594</v>
      </c>
      <c r="L9" s="120">
        <f>EBlackScholesForward("d",G9,E9,F9,C9/365,C9/365,$I$2,H9)</f>
        <v>0.27259955472345165</v>
      </c>
      <c r="M9" s="106">
        <f>EBlackScholesForward("g",G9,E9,F9,C9/365,C9/365,$I$2,H9)</f>
        <v>4.3309429265114829E-2</v>
      </c>
      <c r="N9" s="106">
        <f>EBlackScholesForward("v",G9,E9,F9,C9/365,C9/365,$I$2,H9)</f>
        <v>0.13625539227346428</v>
      </c>
      <c r="O9" s="106">
        <f>EBlackScholesForward("t",G9,E9,F9,C9/365,C9/365,$I$2,H9)</f>
        <v>-4.1653275768778197E-3</v>
      </c>
      <c r="P9" s="103"/>
      <c r="Q9" s="106">
        <f>EBlackScholesForward("p",$G9,$E9,$F9,$C9/365,$C9/365,$I$2,$I9)</f>
        <v>1.1855215279958211</v>
      </c>
      <c r="R9" s="107">
        <f>EBlackScholesForward("d",$G9,$E9,$F9,$C9/365,$C9/365,$I$2,$I9)</f>
        <v>0.27328099831784858</v>
      </c>
      <c r="S9" s="106">
        <f>EBlackScholesForward("g",$G9,$E9,$F9,$C9/365,$C9/365,$I$2,$I9)</f>
        <v>4.3245723664320224E-2</v>
      </c>
      <c r="T9" s="106">
        <f>EBlackScholesForward("v",$G9,$E9,$F9,$C9/365,$C9/365,$I$2,$I9)</f>
        <v>0.13642345110078136</v>
      </c>
      <c r="U9" s="106">
        <f>EBlackScholesForward("t",$G9,$E9,$F9,$C9/365,$C9/365,$I$2,$I9)</f>
        <v>-4.1816472985398701E-3</v>
      </c>
    </row>
    <row r="10" spans="1:251" ht="12.75">
      <c r="B10" s="96">
        <f>B9</f>
        <v>40521</v>
      </c>
      <c r="C10" s="97">
        <f>B10-Today</f>
        <v>300</v>
      </c>
      <c r="D10" s="98">
        <f>B10+30</f>
        <v>40551</v>
      </c>
      <c r="E10" s="99">
        <f>E9</f>
        <v>45.5</v>
      </c>
      <c r="F10" s="99">
        <v>46</v>
      </c>
      <c r="G10" s="114" t="s">
        <v>82</v>
      </c>
      <c r="H10" s="115">
        <v>0.17699999999999999</v>
      </c>
      <c r="I10" s="115">
        <v>0.17899999999999999</v>
      </c>
      <c r="J10" s="103"/>
      <c r="K10" s="104">
        <f>EBlackScholesForward("p",$G10,$E10,$F10,$C10/365,$C10/365,$I$2,H10)</f>
        <v>2.6550035987270224</v>
      </c>
      <c r="L10" s="118">
        <f>EBlackScholesForward("d",G10,E10,F10,C10/365,C10/365,$I$2,H10)</f>
        <v>0.49967737574800886</v>
      </c>
      <c r="M10" s="104">
        <f>EBlackScholesForward("g",G10,E10,F10,C10/365,C10/365,$I$2,H10)</f>
        <v>5.4077584481504459E-2</v>
      </c>
      <c r="N10" s="104">
        <f>EBlackScholesForward("v",G10,E10,F10,C10/365,C10/365,$I$2,H10)</f>
        <v>0.16286849592007324</v>
      </c>
      <c r="O10" s="104">
        <f>EBlackScholesForward("t",G10,E10,F10,C10/365,C10/365,$I$2,H10)</f>
        <v>-4.7179288550736054E-3</v>
      </c>
      <c r="P10" s="103"/>
      <c r="Q10" s="104">
        <f>EBlackScholesForward("p",$G10,$E10,$F10,$C10/365,$C10/365,$I$2,$I10)</f>
        <v>2.6875773062878254</v>
      </c>
      <c r="R10" s="105">
        <f>EBlackScholesForward("d",$G10,$E10,$F10,$C10/365,$C10/365,$I$2,$I10)</f>
        <v>0.50033578703561066</v>
      </c>
      <c r="S10" s="104">
        <f>EBlackScholesForward("g",$G10,$E10,$F10,$C10/365,$C10/365,$I$2,$I10)</f>
        <v>5.3472210228555639E-2</v>
      </c>
      <c r="T10" s="104">
        <f>EBlackScholesForward("v",$G10,$E10,$F10,$C10/365,$C10/365,$I$2,$I10)</f>
        <v>0.16286502940173486</v>
      </c>
      <c r="U10" s="104">
        <f>EBlackScholesForward("t",$G10,$E10,$F10,$C10/365,$C10/365,$I$2,$I10)</f>
        <v>-4.7710465557386783E-3</v>
      </c>
    </row>
    <row r="11" spans="1:251" ht="12.75">
      <c r="B11" s="92" t="s">
        <v>36</v>
      </c>
      <c r="C11" s="103"/>
      <c r="D11" s="103"/>
      <c r="E11" s="108"/>
      <c r="F11" s="108"/>
      <c r="G11" s="109"/>
      <c r="H11" s="108"/>
      <c r="I11" s="108"/>
      <c r="J11" s="103"/>
      <c r="K11" s="122"/>
      <c r="L11" s="103"/>
      <c r="M11" s="103"/>
      <c r="N11" s="103"/>
      <c r="O11" s="103"/>
      <c r="P11" s="103"/>
      <c r="Q11" s="117"/>
      <c r="R11" s="103"/>
      <c r="S11" s="103"/>
      <c r="T11" s="103"/>
      <c r="U11" s="103"/>
    </row>
    <row r="12" spans="1:251" ht="12.75">
      <c r="A12" s="3"/>
      <c r="B12" s="96">
        <f>VLOOKUP($B$11,'DEPower Expiry Dates'!A4:F42,4,FALSE)</f>
        <v>40521</v>
      </c>
      <c r="C12" s="97">
        <f>B12-Today</f>
        <v>300</v>
      </c>
      <c r="D12" s="98">
        <f>B12+30</f>
        <v>40551</v>
      </c>
      <c r="E12" s="100">
        <f>E10</f>
        <v>45.5</v>
      </c>
      <c r="F12" s="100">
        <v>50</v>
      </c>
      <c r="G12" s="101" t="s">
        <v>82</v>
      </c>
      <c r="H12" s="102">
        <v>0.17699999999999999</v>
      </c>
      <c r="I12" s="102">
        <v>0.189</v>
      </c>
      <c r="J12" s="103"/>
      <c r="K12" s="104">
        <f>EBlackScholesForward("p",$G12,$E12,$F12,$C12/365,$C12/365,$I$2,H12)</f>
        <v>1.3012476843212688</v>
      </c>
      <c r="L12" s="105">
        <f>EBlackScholesForward("d",G12,E12,F12,C12/365,C12/365,$I$2,H12)</f>
        <v>0.30277873152103618</v>
      </c>
      <c r="M12" s="104">
        <f>EBlackScholesForward("g",G12,E12,F12,C12/365,C12/365,$I$2,H12)</f>
        <v>4.7547069403908182E-2</v>
      </c>
      <c r="N12" s="104">
        <f>EBlackScholesForward("v",G12,E12,F12,C12/365,C12/365,$I$2,H12)</f>
        <v>0.14313089763378284</v>
      </c>
      <c r="O12" s="104">
        <f>EBlackScholesForward("t",G12,E12,F12,C12/365,C12/365,$I$2,H12)</f>
        <v>-4.1823608708255744E-3</v>
      </c>
      <c r="P12" s="103"/>
      <c r="Q12" s="104">
        <f>EBlackScholesForward("p",$G12,$E12,$F12,$C12/365,$C12/365,$I$2,$I12)</f>
        <v>1.4749488565601965</v>
      </c>
      <c r="R12" s="118">
        <f>EBlackScholesForward("d",$G12,$E12,$F12,$C12/365,$C12/365,$I$2,$I12)</f>
        <v>0.31777904807748225</v>
      </c>
      <c r="S12" s="104">
        <f>EBlackScholesForward("g",$G12,$E12,$F12,$C12/365,$C12/365,$I$2,$I12)</f>
        <v>4.5463363922415567E-2</v>
      </c>
      <c r="T12" s="104">
        <f>EBlackScholesForward("v",$G12,$E12,$F12,$C12/365,$C12/365,$I$2,$I12)</f>
        <v>0.14615251766930382</v>
      </c>
      <c r="U12" s="104">
        <f>EBlackScholesForward("t",$G12,$E12,$F12,$C12/365,$C12/365,$I$2,$I12)</f>
        <v>-4.5579400561828187E-3</v>
      </c>
    </row>
    <row r="13" spans="1:251" ht="12.75">
      <c r="B13" s="96">
        <f>B12</f>
        <v>40521</v>
      </c>
      <c r="C13" s="97">
        <f>B13-Today</f>
        <v>300</v>
      </c>
      <c r="D13" s="98">
        <f>B13+30</f>
        <v>40551</v>
      </c>
      <c r="E13" s="100">
        <f>E12</f>
        <v>45.5</v>
      </c>
      <c r="F13" s="100">
        <v>45</v>
      </c>
      <c r="G13" s="101" t="s">
        <v>82</v>
      </c>
      <c r="H13" s="102">
        <v>0.23799999999999999</v>
      </c>
      <c r="I13" s="102">
        <v>0.25</v>
      </c>
      <c r="J13" s="103"/>
      <c r="K13" s="106">
        <f>EBlackScholesForward("p",$G13,$E13,$F13,$C13/365,$C13/365,$I$2,H13)</f>
        <v>4.1003011497481161</v>
      </c>
      <c r="L13" s="107">
        <f>EBlackScholesForward("d",G13,E13,F13,C13/365,C13/365,$I$2,H13)</f>
        <v>0.55744671618440655</v>
      </c>
      <c r="M13" s="106">
        <f>EBlackScholesForward("g",G13,E13,F13,C13/365,C13/365,$I$2,H13)</f>
        <v>3.9714510462474095E-2</v>
      </c>
      <c r="N13" s="106">
        <f>EBlackScholesForward("v",G13,E13,F13,C13/365,C13/365,$I$2,H13)</f>
        <v>0.16083290273727346</v>
      </c>
      <c r="O13" s="106">
        <f>EBlackScholesForward("t",G13,E13,F13,C13/365,C13/365,$I$2,H13)</f>
        <v>-6.2449099174806122E-3</v>
      </c>
      <c r="P13" s="103"/>
      <c r="Q13" s="106">
        <f>EBlackScholesForward("p",$G13,$E13,$F13,$C13/365,$C13/365,$I$2,$I13)</f>
        <v>4.29325630907939</v>
      </c>
      <c r="R13" s="107">
        <f>EBlackScholesForward("d",$G13,$E13,$F13,$C13/365,$C13/365,$I$2,$I13)</f>
        <v>0.5586089018322582</v>
      </c>
      <c r="S13" s="106">
        <f>EBlackScholesForward("g",$G13,$E13,$F13,$C13/365,$C13/365,$I$2,$I13)</f>
        <v>3.7790116813596342E-2</v>
      </c>
      <c r="T13" s="106">
        <f>EBlackScholesForward("v",$G13,$E13,$F13,$C13/365,$C13/365,$I$2,$I13)</f>
        <v>0.16075598491404941</v>
      </c>
      <c r="U13" s="106">
        <f>EBlackScholesForward("t",$G13,$E13,$F13,$C13/365,$C13/365,$I$2,$I13)</f>
        <v>-6.5570488931809834E-3</v>
      </c>
    </row>
    <row r="14" spans="1:251" ht="12.75">
      <c r="B14" s="96">
        <f>B13</f>
        <v>40521</v>
      </c>
      <c r="C14" s="97">
        <f>B14-Today</f>
        <v>300</v>
      </c>
      <c r="D14" s="98">
        <f>B14+30</f>
        <v>40551</v>
      </c>
      <c r="E14" s="100">
        <f>E13</f>
        <v>45.5</v>
      </c>
      <c r="F14" s="100">
        <v>47</v>
      </c>
      <c r="G14" s="101" t="s">
        <v>80</v>
      </c>
      <c r="H14" s="102">
        <v>0.18</v>
      </c>
      <c r="I14" s="102">
        <v>0.19500000000000001</v>
      </c>
      <c r="J14" s="103"/>
      <c r="K14" s="104">
        <f>EBlackScholesForward("p",$G14,$E14,$F14,$C14/365,$C14/365,$I$2,H14)</f>
        <v>3.7777118845219499</v>
      </c>
      <c r="L14" s="105">
        <f>EBlackScholesForward("d",G14,E14,F14,C14/365,C14/365,$I$2,H14)</f>
        <v>-0.54104883556682637</v>
      </c>
      <c r="M14" s="104">
        <f>EBlackScholesForward("g",G14,E14,F14,C14/365,C14/365,$I$2,H14)</f>
        <v>5.2816418234513662E-2</v>
      </c>
      <c r="N14" s="104">
        <f>EBlackScholesForward("v",G14,E14,F14,C14/365,C14/365,$I$2,H14)</f>
        <v>0.1617576754208585</v>
      </c>
      <c r="O14" s="104">
        <f>EBlackScholesForward("t",G14,E14,F14,C14/365,C14/365,$I$2,H14)</f>
        <v>-4.7277489678521079E-3</v>
      </c>
      <c r="P14" s="103"/>
      <c r="Q14" s="104">
        <f>EBlackScholesForward("p",$G14,$E14,$F14,$C14/365,$C14/365,$I$2,$I14)</f>
        <v>4.0206636902427215</v>
      </c>
      <c r="R14" s="105">
        <f>EBlackScholesForward("d",$G14,$E14,$F14,$C14/365,$C14/365,$I$2,$I14)</f>
        <v>-0.53237591522559136</v>
      </c>
      <c r="S14" s="104">
        <f>EBlackScholesForward("g",$G14,$E14,$F14,$C14/365,$C14/365,$I$2,$I14)</f>
        <v>4.8868036435223416E-2</v>
      </c>
      <c r="T14" s="104">
        <f>EBlackScholesForward("v",$G14,$E14,$F14,$C14/365,$C14/365,$I$2,$I14)</f>
        <v>0.16213997675711056</v>
      </c>
      <c r="U14" s="104">
        <f>EBlackScholesForward("t",$G14,$E14,$F14,$C14/365,$C14/365,$I$2,$I14)</f>
        <v>-5.1365687647431102E-3</v>
      </c>
    </row>
    <row r="15" spans="1:251" ht="12.75">
      <c r="B15" s="96">
        <f>B14</f>
        <v>40521</v>
      </c>
      <c r="C15" s="97">
        <f>B15-Today</f>
        <v>300</v>
      </c>
      <c r="D15" s="98">
        <f>B15+30</f>
        <v>40551</v>
      </c>
      <c r="E15" s="99">
        <f>E13</f>
        <v>45.5</v>
      </c>
      <c r="F15" s="99">
        <v>51</v>
      </c>
      <c r="G15" s="114" t="s">
        <v>82</v>
      </c>
      <c r="H15" s="115">
        <v>0.183</v>
      </c>
      <c r="I15" s="115">
        <v>0.19350000000000001</v>
      </c>
      <c r="J15" s="103"/>
      <c r="K15" s="106">
        <f>EBlackScholesForward("p",$G15,$E15,$F15,$C15/365,$C15/365,$I$2,H15)</f>
        <v>1.151501568335018</v>
      </c>
      <c r="L15" s="107">
        <f>EBlackScholesForward("d",G15,E15,F15,C15/365,C15/365,$I$2,H15)</f>
        <v>0.2698492132115482</v>
      </c>
      <c r="M15" s="106">
        <f>EBlackScholesForward("g",G15,E15,F15,C15/365,C15/365,$I$2,H15)</f>
        <v>4.3563900835597025E-2</v>
      </c>
      <c r="N15" s="106">
        <f>EBlackScholesForward("v",G15,E15,F15,C15/365,C15/365,$I$2,H15)</f>
        <v>0.1355711586086642</v>
      </c>
      <c r="O15" s="106">
        <f>EBlackScholesForward("t",G15,E15,F15,C15/365,C15/365,$I$2,H15)</f>
        <v>-4.0999607985312547E-3</v>
      </c>
      <c r="P15" s="103"/>
      <c r="Q15" s="106">
        <f>EBlackScholesForward("p",$G15,$E15,$F15,$C15/365,$C15/365,$I$2,$I15)</f>
        <v>1.2957517635220801</v>
      </c>
      <c r="R15" s="107">
        <f>EBlackScholesForward("d",$G15,$E15,$F15,$C15/365,$C15/365,$I$2,$I15)</f>
        <v>0.28386181208361894</v>
      </c>
      <c r="S15" s="106">
        <f>EBlackScholesForward("g",$G15,$E15,$F15,$C15/365,$C15/365,$I$2,$I15)</f>
        <v>4.222473859449849E-2</v>
      </c>
      <c r="T15" s="106">
        <f>EBlackScholesForward("v",$G15,$E15,$F15,$C15/365,$C15/365,$I$2,$I15)</f>
        <v>0.13895854400631202</v>
      </c>
      <c r="U15" s="106">
        <f>EBlackScholesForward("t",$G15,$E15,$F15,$C15/365,$C15/365,$I$2,$I15)</f>
        <v>-4.4415842439124997E-3</v>
      </c>
    </row>
    <row r="16" spans="1:251" ht="15">
      <c r="B16" s="96">
        <f>B15</f>
        <v>40521</v>
      </c>
      <c r="C16" s="97">
        <f>B16-Today</f>
        <v>300</v>
      </c>
      <c r="D16" s="98">
        <f>B16+30</f>
        <v>40551</v>
      </c>
      <c r="E16" s="99">
        <f>E15</f>
        <v>45.5</v>
      </c>
      <c r="F16" s="99">
        <v>47</v>
      </c>
      <c r="G16" s="114" t="s">
        <v>82</v>
      </c>
      <c r="H16" s="115">
        <v>0.17499999999999999</v>
      </c>
      <c r="I16" s="115">
        <v>0.17499999999999999</v>
      </c>
      <c r="J16" s="103"/>
      <c r="K16" s="104">
        <f>EBlackScholesForward("p",$G16,$E16,$F16,$C16/365,$C16/365,$I$2,H16)</f>
        <v>2.2121981590011011</v>
      </c>
      <c r="L16" s="105">
        <f>EBlackScholesForward("d",G16,E16,F16,C16/365,C16/365,$I$2,H16)</f>
        <v>0.44561538743088658</v>
      </c>
      <c r="M16" s="104">
        <f>EBlackScholesForward("g",G16,E16,F16,C16/365,C16/365,$I$2,H16)</f>
        <v>5.4273195098097915E-2</v>
      </c>
      <c r="N16" s="104">
        <f>EBlackScholesForward("v",G16,E16,F16,C16/365,C16/365,$I$2,H16)</f>
        <v>0.16160089901196106</v>
      </c>
      <c r="O16" s="104">
        <f>EBlackScholesForward("t",G16,E16,F16,C16/365,C16/365,$I$2,H16)</f>
        <v>-4.6418898336293424E-3</v>
      </c>
      <c r="P16" s="103"/>
      <c r="Q16" s="104">
        <f>EBlackScholesForward("p",$G16,$E16,$F16,$C16/365,$C16/365,$I$2,$I16)</f>
        <v>2.2121981590011011</v>
      </c>
      <c r="R16" s="105">
        <f>EBlackScholesForward("d",$G16,$E16,$F16,$C16/365,$C16/365,$I$2,$I16)</f>
        <v>0.44561538743088658</v>
      </c>
      <c r="S16" s="104">
        <f>EBlackScholesForward("g",$G16,$E16,$F16,$C16/365,$C16/365,$I$2,$I16)</f>
        <v>5.4273195098097915E-2</v>
      </c>
      <c r="T16" s="104">
        <f>EBlackScholesForward("v",$G16,$E16,$F16,$C16/365,$C16/365,$I$2,$I16)</f>
        <v>0.16160089901196106</v>
      </c>
      <c r="U16" s="104">
        <f>EBlackScholesForward("t",$G16,$E16,$F16,$C16/365,$C16/365,$I$2,$I16)</f>
        <v>-4.6418898336293424E-3</v>
      </c>
      <c r="V16" s="112"/>
      <c r="W16" s="113"/>
    </row>
    <row r="17" spans="2:21" ht="12.75">
      <c r="B17" s="92" t="s">
        <v>36</v>
      </c>
      <c r="C17" s="103"/>
      <c r="D17" s="103"/>
      <c r="E17" s="110"/>
      <c r="F17" s="110"/>
      <c r="G17" s="111"/>
      <c r="H17" s="110"/>
      <c r="I17" s="110"/>
      <c r="J17" s="103"/>
      <c r="K17" s="117">
        <f>K16-Q15*2</f>
        <v>-0.37930536804305914</v>
      </c>
      <c r="L17" s="103"/>
      <c r="M17" s="103"/>
      <c r="N17" s="103"/>
      <c r="O17" s="103"/>
      <c r="P17" s="103"/>
      <c r="Q17" s="122">
        <f>Q16-K15*2</f>
        <v>-9.0804977668935027E-2</v>
      </c>
      <c r="R17" s="103"/>
      <c r="S17" s="103"/>
      <c r="T17" s="103"/>
      <c r="U17" s="103"/>
    </row>
    <row r="18" spans="2:21" ht="12.75">
      <c r="B18" s="96">
        <f>VLOOKUP($B$17,'DEPower Expiry Dates'!A4:F42,4,FALSE)</f>
        <v>40521</v>
      </c>
      <c r="C18" s="97">
        <f>B18-Today</f>
        <v>300</v>
      </c>
      <c r="D18" s="98">
        <f>B18+30</f>
        <v>40551</v>
      </c>
      <c r="E18" s="100">
        <f>E15</f>
        <v>45.5</v>
      </c>
      <c r="F18" s="100">
        <v>45</v>
      </c>
      <c r="G18" s="101" t="s">
        <v>80</v>
      </c>
      <c r="H18" s="102">
        <v>0.21</v>
      </c>
      <c r="I18" s="102">
        <v>0.215</v>
      </c>
      <c r="J18" s="103"/>
      <c r="K18" s="104">
        <f>EBlackScholesForward("p",$G18,$E18,$F18,$C18/365,$C18/365,$I$2,H18)</f>
        <v>3.1548595678932023</v>
      </c>
      <c r="L18" s="105">
        <f>EBlackScholesForward("d",G18,E18,F18,C18/365,C18/365,$I$2,H18)</f>
        <v>-0.43461941040034979</v>
      </c>
      <c r="M18" s="104">
        <f>EBlackScholesForward("g",G18,E18,F18,C18/365,C18/365,$I$2,H18)</f>
        <v>4.505101527385591E-2</v>
      </c>
      <c r="N18" s="104">
        <f>EBlackScholesForward("v",G18,E18,F18,C18/365,C18/365,$I$2,H18)</f>
        <v>0.16098001256692029</v>
      </c>
      <c r="O18" s="104">
        <f>EBlackScholesForward("t",G18,E18,F18,C18/365,C18/365,$I$2,H18)</f>
        <v>-5.5312192218313072E-3</v>
      </c>
      <c r="P18" s="103"/>
      <c r="Q18" s="104">
        <f>EBlackScholesForward("p",$G18,$E18,$F18,$C18/365,$C18/365,$I$2,$I18)</f>
        <v>3.2353445580049933</v>
      </c>
      <c r="R18" s="105">
        <f>EBlackScholesForward("d",$G18,$E18,$F18,$C18/365,$C18/365,$I$2,$I18)</f>
        <v>-0.43426167130360405</v>
      </c>
      <c r="S18" s="104">
        <f>EBlackScholesForward("g",$G18,$E18,$F18,$C18/365,$C18/365,$I$2,$I18)</f>
        <v>4.3997118197580676E-2</v>
      </c>
      <c r="T18" s="104">
        <f>EBlackScholesForward("v",$G18,$E18,$F18,$C18/365,$C18/365,$I$2,$I18)</f>
        <v>0.16095738874705279</v>
      </c>
      <c r="U18" s="104">
        <f>EBlackScholesForward("t",$G18,$E18,$F18,$C18/365,$C18/365,$I$2,$I18)</f>
        <v>-5.6619204830359315E-3</v>
      </c>
    </row>
    <row r="19" spans="2:21" ht="12.75">
      <c r="B19" s="96">
        <f>B18</f>
        <v>40521</v>
      </c>
      <c r="C19" s="97">
        <f>B19-Today</f>
        <v>300</v>
      </c>
      <c r="D19" s="98">
        <f>B19+30</f>
        <v>40551</v>
      </c>
      <c r="E19" s="100">
        <f>E18</f>
        <v>45.5</v>
      </c>
      <c r="F19" s="100">
        <v>51</v>
      </c>
      <c r="G19" s="101" t="s">
        <v>82</v>
      </c>
      <c r="H19" s="102">
        <v>0.2175</v>
      </c>
      <c r="I19" s="102">
        <v>0.2175</v>
      </c>
      <c r="J19" s="103"/>
      <c r="K19" s="106">
        <f>EBlackScholesForward("p",$G19,$E19,$F19,$C19/365,$C19/365,$I$2,H19)</f>
        <v>1.6371544768596882</v>
      </c>
      <c r="L19" s="107">
        <f>EBlackScholesForward("d",G19,E19,F19,C19/365,C19/365,$I$2,H19)</f>
        <v>0.31234546455916057</v>
      </c>
      <c r="M19" s="106">
        <f>EBlackScholesForward("g",G19,E19,F19,C19/365,C19/365,$I$2,H19)</f>
        <v>3.9219990641825575E-2</v>
      </c>
      <c r="N19" s="106">
        <f>EBlackScholesForward("v",G19,E19,F19,C19/365,C19/365,$I$2,H19)</f>
        <v>0.14510377529834406</v>
      </c>
      <c r="O19" s="106">
        <f>EBlackScholesForward("t",G19,E19,F19,C19/365,C19/365,$I$2,H19)</f>
        <v>-5.2087728149712298E-3</v>
      </c>
      <c r="P19" s="103"/>
      <c r="Q19" s="106">
        <f>EBlackScholesForward("p",$G19,$E19,$F19,$C19/365,$C19/365,$I$2,$I19)</f>
        <v>1.6371544768596882</v>
      </c>
      <c r="R19" s="107">
        <f>EBlackScholesForward("d",$G19,$E19,$F19,$C19/365,$C19/365,$I$2,$I19)</f>
        <v>0.31234546455916057</v>
      </c>
      <c r="S19" s="106">
        <f>EBlackScholesForward("g",$G19,$E19,$F19,$C19/365,$C19/365,$I$2,$I19)</f>
        <v>3.9219990641825575E-2</v>
      </c>
      <c r="T19" s="106">
        <f>EBlackScholesForward("v",$G19,$E19,$F19,$C19/365,$C19/365,$I$2,$I19)</f>
        <v>0.14510377529834406</v>
      </c>
      <c r="U19" s="106">
        <f>EBlackScholesForward("t",$G19,$E19,$F19,$C19/365,$C19/365,$I$2,$I19)</f>
        <v>-5.2087728149712298E-3</v>
      </c>
    </row>
    <row r="20" spans="2:21" ht="12.75">
      <c r="B20" s="96">
        <f>B19</f>
        <v>40521</v>
      </c>
      <c r="C20" s="97">
        <f>B20-Today</f>
        <v>300</v>
      </c>
      <c r="D20" s="98">
        <f>B20+30</f>
        <v>40551</v>
      </c>
      <c r="E20" s="100">
        <f>E19</f>
        <v>45.5</v>
      </c>
      <c r="F20" s="100">
        <v>45</v>
      </c>
      <c r="G20" s="101" t="s">
        <v>80</v>
      </c>
      <c r="H20" s="102">
        <v>0.17</v>
      </c>
      <c r="I20" s="102">
        <v>0.19</v>
      </c>
      <c r="J20" s="103"/>
      <c r="K20" s="104">
        <f>EBlackScholesForward("p",$G20,$E20,$F20,$C20/365,$C20/365,$I$2,H20)</f>
        <v>2.5106695439376927</v>
      </c>
      <c r="L20" s="105">
        <f>EBlackScholesForward("d",G20,E20,F20,C20/365,C20/365,$I$2,H20)</f>
        <v>-0.43636665308497413</v>
      </c>
      <c r="M20" s="104">
        <f>EBlackScholesForward("g",G20,E20,F20,C20/365,C20/365,$I$2,H20)</f>
        <v>5.5688872651060706E-2</v>
      </c>
      <c r="N20" s="104">
        <f>EBlackScholesForward("v",G20,E20,F20,C20/365,C20/365,$I$2,H20)</f>
        <v>0.16108801571335429</v>
      </c>
      <c r="O20" s="104">
        <f>EBlackScholesForward("t",G20,E20,F20,C20/365,C20/365,$I$2,H20)</f>
        <v>-4.4822028030671035E-3</v>
      </c>
      <c r="P20" s="103"/>
      <c r="Q20" s="104">
        <f>EBlackScholesForward("p",$G20,$E20,$F20,$C20/365,$C20/365,$I$2,$I20)</f>
        <v>2.8328197627081773</v>
      </c>
      <c r="R20" s="105">
        <f>EBlackScholesForward("d",$G20,$E20,$F20,$C20/365,$C20/365,$I$2,$I20)</f>
        <v>-0.43577349179333424</v>
      </c>
      <c r="S20" s="104">
        <f>EBlackScholesForward("g",$G20,$E20,$F20,$C20/365,$C20/365,$I$2,$I20)</f>
        <v>4.9815572173983469E-2</v>
      </c>
      <c r="T20" s="104">
        <f>EBlackScholesForward("v",$G20,$E20,$F20,$C20/365,$C20/365,$I$2,$I20)</f>
        <v>0.16105195050636234</v>
      </c>
      <c r="U20" s="104">
        <f>EBlackScholesForward("t",$G20,$E20,$F20,$C20/365,$C20/365,$I$2,$I20)</f>
        <v>-5.0074549245642253E-3</v>
      </c>
    </row>
    <row r="21" spans="2:21" ht="12.75">
      <c r="B21" s="96">
        <f>B20</f>
        <v>40521</v>
      </c>
      <c r="C21" s="97">
        <f>B21-Today</f>
        <v>300</v>
      </c>
      <c r="D21" s="98">
        <f>B21+30</f>
        <v>40551</v>
      </c>
      <c r="E21" s="100">
        <f>E20</f>
        <v>45.5</v>
      </c>
      <c r="F21" s="100">
        <v>51</v>
      </c>
      <c r="G21" s="101" t="s">
        <v>82</v>
      </c>
      <c r="H21" s="102">
        <v>0.1825</v>
      </c>
      <c r="I21" s="102">
        <v>0.1825</v>
      </c>
      <c r="J21" s="103"/>
      <c r="K21" s="106">
        <f>EBlackScholesForward("p",$G21,$E21,$F21,$C21/365,$C21/365,$I$2,H21)</f>
        <v>1.1447232532795686</v>
      </c>
      <c r="L21" s="120">
        <f>EBlackScholesForward("d",G21,E21,F21,C21/365,C21/365,$I$2,H21)</f>
        <v>0.26915542243309831</v>
      </c>
      <c r="M21" s="106">
        <f>EBlackScholesForward("g",G21,E21,F21,C21/365,C21/365,$I$2,H21)</f>
        <v>4.362741299113182E-2</v>
      </c>
      <c r="N21" s="106">
        <f>EBlackScholesForward("v",G21,E21,F21,C21/365,C21/365,$I$2,H21)</f>
        <v>0.13539704893878945</v>
      </c>
      <c r="O21" s="106">
        <f>EBlackScholesForward("t",G21,E21,F21,C21/365,C21/365,$I$2,H21)</f>
        <v>-4.0835970513246611E-3</v>
      </c>
      <c r="P21" s="103"/>
      <c r="Q21" s="123">
        <f>EBlackScholesForward("p",$G21,$E21,$F21,$C21/365,$C21/365,$I$2,$I21)</f>
        <v>1.1447232532795686</v>
      </c>
      <c r="R21" s="120">
        <f>EBlackScholesForward("d",$G21,$E21,$F21,$C21/365,$C21/365,$I$2,$I21)</f>
        <v>0.26915542243309831</v>
      </c>
      <c r="S21" s="106">
        <f>EBlackScholesForward("g",$G21,$E21,$F21,$C21/365,$C21/365,$I$2,$I21)</f>
        <v>4.362741299113182E-2</v>
      </c>
      <c r="T21" s="106">
        <f>EBlackScholesForward("v",$G21,$E21,$F21,$C21/365,$C21/365,$I$2,$I21)</f>
        <v>0.13539704893878945</v>
      </c>
      <c r="U21" s="106">
        <f>EBlackScholesForward("t",$G21,$E21,$F21,$C21/365,$C21/365,$I$2,$I21)</f>
        <v>-4.0835970513246611E-3</v>
      </c>
    </row>
    <row r="22" spans="2:21" ht="12.75">
      <c r="B22" s="128">
        <v>40885</v>
      </c>
      <c r="C22" s="97">
        <f>B22-Today</f>
        <v>664</v>
      </c>
      <c r="D22" s="129">
        <f>B22+30</f>
        <v>40915</v>
      </c>
      <c r="E22" s="130">
        <v>50.3</v>
      </c>
      <c r="F22" s="130">
        <v>55</v>
      </c>
      <c r="G22" s="131" t="s">
        <v>82</v>
      </c>
      <c r="H22" s="132">
        <v>0.17749999999999999</v>
      </c>
      <c r="I22" s="132">
        <v>0.1865</v>
      </c>
      <c r="J22" s="103"/>
      <c r="K22" s="104">
        <f>EBlackScholesForward("p",$G22,$E22,$F22,$C22/365,$C22/365,$N$2,H22)</f>
        <v>2.9288443606579091</v>
      </c>
      <c r="L22" s="118">
        <f>EBlackScholesForward("d",G22,E22,F22,C22/365,C22/365,$I$2,H22)</f>
        <v>0.39097926838671526</v>
      </c>
      <c r="M22" s="104">
        <f>EBlackScholesForward("g",G22,E22,F22,C22/365,C22/365,$I$2,H22)</f>
        <v>3.1360631700394492E-2</v>
      </c>
      <c r="N22" s="104">
        <f>EBlackScholesForward("v",G22,E22,F22,C22/365,C22/365,$I$2,H22)</f>
        <v>0.25615240753467527</v>
      </c>
      <c r="O22" s="104">
        <f>EBlackScholesForward("t",G22,E22,F22,C22/365,C22/365,$I$2,H22)</f>
        <v>-3.3249646661355214E-3</v>
      </c>
      <c r="P22" s="103"/>
      <c r="Q22" s="104">
        <f>EBlackScholesForward("p",$G22,$E22,$F22,$C22/365,$C22/365,$N$2,$I22)</f>
        <v>3.1590737710529919</v>
      </c>
      <c r="R22" s="118">
        <f>EBlackScholesForward("d",$G22,$E22,$F22,$C22/365,$C22/365,$I$2,$I22)</f>
        <v>0.40009823829205704</v>
      </c>
      <c r="S22" s="104">
        <f>EBlackScholesForward("g",$G22,$E22,$F22,$C22/365,$C22/365,$I$2,$I22)</f>
        <v>3.0021208803354682E-2</v>
      </c>
      <c r="T22" s="104">
        <f>EBlackScholesForward("v",$G22,$E22,$F22,$C22/365,$C22/365,$I$2,$I22)</f>
        <v>0.25765497127238612</v>
      </c>
      <c r="U22" s="104">
        <f>EBlackScholesForward("t",$G22,$E22,$F22,$C22/365,$C22/365,$I$2,$I22)</f>
        <v>-3.5117412553598015E-3</v>
      </c>
    </row>
    <row r="23" spans="2:21" ht="12.75">
      <c r="B23" s="92" t="s">
        <v>83</v>
      </c>
      <c r="C23" s="119"/>
      <c r="D23" s="119"/>
      <c r="E23" s="110"/>
      <c r="F23" s="110"/>
      <c r="G23" s="111"/>
      <c r="H23" s="110"/>
      <c r="I23" s="110"/>
      <c r="J23" s="103"/>
      <c r="K23" s="117">
        <f>K22-Q21</f>
        <v>1.7841211073783405</v>
      </c>
      <c r="L23" s="103"/>
      <c r="M23" s="103"/>
      <c r="N23" s="103"/>
      <c r="O23" s="103"/>
      <c r="P23" s="103"/>
      <c r="Q23" s="117">
        <f>Q22-K21</f>
        <v>2.0143505177734236</v>
      </c>
      <c r="R23" s="103"/>
      <c r="S23" s="103"/>
      <c r="T23" s="103"/>
      <c r="U23" s="103"/>
    </row>
    <row r="24" spans="2:21" ht="12.75">
      <c r="B24" s="96">
        <v>40263</v>
      </c>
      <c r="C24" s="97">
        <f>B24-Today</f>
        <v>42</v>
      </c>
      <c r="D24" s="98">
        <f>B24+30</f>
        <v>40293</v>
      </c>
      <c r="E24" s="100">
        <f>E21</f>
        <v>45.5</v>
      </c>
      <c r="F24" s="100">
        <v>53</v>
      </c>
      <c r="G24" s="101" t="s">
        <v>82</v>
      </c>
      <c r="H24" s="102">
        <v>0.1925</v>
      </c>
      <c r="I24" s="102">
        <v>0.19600000000000001</v>
      </c>
      <c r="J24" s="103"/>
      <c r="K24" s="104">
        <f>EBlackScholesForward("p",$G24,$E24,$F24,$C24/365,$C24/365,$I$2,H24)</f>
        <v>1.0521721846976723E-2</v>
      </c>
      <c r="L24" s="105">
        <f>EBlackScholesForward("d",G24,E24,F24,C24/365,C24/365,$I$2,H24)</f>
        <v>1.0597110739426346E-2</v>
      </c>
      <c r="M24" s="104">
        <f>EBlackScholesForward("g",G24,E24,F24,C24/365,C24/365,$I$2,H24)</f>
        <v>9.4339088824862971E-3</v>
      </c>
      <c r="N24" s="104">
        <f>EBlackScholesForward("v",G24,E24,F24,C24/365,C24/365,$I$2,H24)</f>
        <v>4.3522061922685431E-3</v>
      </c>
      <c r="O24" s="104">
        <f>EBlackScholesForward("t",G24,E24,F24,C24/365,C24/365,$I$2,H24)</f>
        <v>-9.6477150500618933E-4</v>
      </c>
      <c r="P24" s="103"/>
      <c r="Q24" s="104">
        <f>EBlackScholesForward("p",$G24,$E24,$F24,$C24/365,$C24/365,$I$2,$I24)</f>
        <v>1.2112111990650751E-2</v>
      </c>
      <c r="R24" s="105">
        <f>EBlackScholesForward("d",$G24,$E24,$F24,$C24/365,$C24/365,$I$2,$I24)</f>
        <v>1.1842652337125652E-2</v>
      </c>
      <c r="S24" s="104">
        <f>EBlackScholesForward("g",$G24,$E24,$F24,$C24/365,$C24/365,$I$2,$I24)</f>
        <v>1.0205203041877692E-2</v>
      </c>
      <c r="T24" s="104">
        <f>EBlackScholesForward("v",$G24,$E24,$F24,$C24/365,$C24/365,$I$2,$I24)</f>
        <v>4.7895425151486199E-3</v>
      </c>
      <c r="U24" s="104">
        <f>EBlackScholesForward("t",$G24,$E24,$F24,$C24/365,$C24/365,$I$2,$I24)</f>
        <v>-1.0831892496877809E-3</v>
      </c>
    </row>
    <row r="25" spans="2:21" ht="12.75">
      <c r="B25" s="96">
        <f>B24</f>
        <v>40263</v>
      </c>
      <c r="C25" s="97">
        <f>B25-Today</f>
        <v>42</v>
      </c>
      <c r="D25" s="98">
        <f>B25+30</f>
        <v>40293</v>
      </c>
      <c r="E25" s="100">
        <f>E24</f>
        <v>45.5</v>
      </c>
      <c r="F25" s="100">
        <v>50</v>
      </c>
      <c r="G25" s="101" t="s">
        <v>82</v>
      </c>
      <c r="H25" s="102">
        <v>0.17749999999999999</v>
      </c>
      <c r="I25" s="102">
        <v>0.20250000000000001</v>
      </c>
      <c r="J25" s="103"/>
      <c r="K25" s="106">
        <f>EBlackScholesForward("p",$G25,$E25,$F25,$C25/365,$C25/365,$I$2,H25)</f>
        <v>7.2102629614040917E-2</v>
      </c>
      <c r="L25" s="107">
        <f>EBlackScholesForward("d",G25,E25,F25,C25/365,C25/365,$I$2,H25)</f>
        <v>6.2152152676519384E-2</v>
      </c>
      <c r="M25" s="106">
        <f>EBlackScholesForward("g",G25,E25,F25,C25/365,C25/365,$I$2,H25)</f>
        <v>4.4681845765975892E-2</v>
      </c>
      <c r="N25" s="106">
        <f>EBlackScholesForward("v",G25,E25,F25,C25/365,C25/365,$I$2,H25)</f>
        <v>1.8879976743807252E-2</v>
      </c>
      <c r="O25" s="106">
        <f>EBlackScholesForward("t",G25,E25,F25,C25/365,C25/365,$I$2,H25)</f>
        <v>-3.9549430714042183E-3</v>
      </c>
      <c r="P25" s="103"/>
      <c r="Q25" s="106">
        <f>EBlackScholesForward("p",$G25,$E25,$F25,$C25/365,$C25/365,$I$2,$I25)</f>
        <v>0.12723898531066158</v>
      </c>
      <c r="R25" s="107">
        <f>EBlackScholesForward("d",$G25,$E25,$F25,$C25/365,$C25/365,$I$2,$I25)</f>
        <v>9.0218767614670681E-2</v>
      </c>
      <c r="S25" s="106">
        <f>EBlackScholesForward("g",$G25,$E25,$F25,$C25/365,$C25/365,$I$2,$I25)</f>
        <v>5.203168219086729E-2</v>
      </c>
      <c r="T25" s="106">
        <f>EBlackScholesForward("v",$G25,$E25,$F25,$C25/365,$C25/365,$I$2,$I25)</f>
        <v>2.507845368308044E-2</v>
      </c>
      <c r="U25" s="106">
        <f>EBlackScholesForward("t",$G25,$E25,$F25,$C25/365,$C25/365,$I$2,$I25)</f>
        <v>-6.0141928812835199E-3</v>
      </c>
    </row>
    <row r="26" spans="2:21" ht="12.75">
      <c r="B26" s="96">
        <f>B25</f>
        <v>40263</v>
      </c>
      <c r="C26" s="97">
        <f>B26-Today</f>
        <v>42</v>
      </c>
      <c r="D26" s="98">
        <f>B26+30</f>
        <v>40293</v>
      </c>
      <c r="E26" s="100">
        <f>E25</f>
        <v>45.5</v>
      </c>
      <c r="F26" s="100">
        <v>47</v>
      </c>
      <c r="G26" s="101" t="str">
        <f>IF(F26&gt;=E26,"c","p")</f>
        <v>c</v>
      </c>
      <c r="H26" s="102">
        <v>0.16</v>
      </c>
      <c r="I26" s="102">
        <v>0.19</v>
      </c>
      <c r="J26" s="103"/>
      <c r="K26" s="104">
        <f>EBlackScholesForward("p",$G26,$E26,$F26,$C26/365,$C26/365,$I$2,H26)</f>
        <v>0.4242993542999734</v>
      </c>
      <c r="L26" s="105">
        <f>EBlackScholesForward("d",G26,E26,F26,C26/365,C26/365,$I$2,H26)</f>
        <v>0.28376990237334587</v>
      </c>
      <c r="M26" s="104">
        <f>EBlackScholesForward("g",G26,E26,F26,C26/365,C26/365,$I$2,H26)</f>
        <v>0.13709027468944424</v>
      </c>
      <c r="N26" s="104">
        <f>EBlackScholesForward("v",G26,E26,F26,C26/365,C26/365,$I$2,H26)</f>
        <v>5.2220170592893606E-2</v>
      </c>
      <c r="O26" s="104">
        <f>EBlackScholesForward("t",G26,E26,F26,C26/365,C26/365,$I$2,H26)</f>
        <v>-9.977011413512038E-3</v>
      </c>
      <c r="P26" s="103"/>
      <c r="Q26" s="104">
        <f>EBlackScholesForward("p",$G26,$E26,$F26,$C26/365,$C26/365,$I$2,$I26)</f>
        <v>0.58554532982003649</v>
      </c>
      <c r="R26" s="105">
        <f>EBlackScholesForward("d",$G26,$E26,$F26,$C26/365,$C26/365,$I$2,$I26)</f>
        <v>0.3183528974232408</v>
      </c>
      <c r="S26" s="104">
        <f>EBlackScholesForward("g",$G26,$E26,$F26,$C26/365,$C26/365,$I$2,$I26)</f>
        <v>0.12158057951405787</v>
      </c>
      <c r="T26" s="104">
        <f>EBlackScholesForward("v",$G26,$E26,$F26,$C26/365,$C26/365,$I$2,$I26)</f>
        <v>5.501198018102671E-2</v>
      </c>
      <c r="U26" s="104">
        <f>EBlackScholesForward("t",$G26,$E26,$F26,$C26/365,$C26/365,$I$2,$I26)</f>
        <v>-1.2483437683247889E-2</v>
      </c>
    </row>
    <row r="27" spans="2:21" ht="12.75">
      <c r="B27" s="96">
        <f>B26</f>
        <v>40263</v>
      </c>
      <c r="C27" s="97">
        <f>B27-Today</f>
        <v>42</v>
      </c>
      <c r="D27" s="98">
        <f>B27+30</f>
        <v>40293</v>
      </c>
      <c r="E27" s="100">
        <f>E26</f>
        <v>45.5</v>
      </c>
      <c r="F27" s="100">
        <v>47</v>
      </c>
      <c r="G27" s="101" t="s">
        <v>82</v>
      </c>
      <c r="H27" s="102">
        <v>0.16500000000000001</v>
      </c>
      <c r="I27" s="102">
        <v>0.185</v>
      </c>
      <c r="J27" s="103"/>
      <c r="K27" s="106">
        <f>EBlackScholesForward("p",$G27,$E27,$F27,$C27/365,$C27/365,$I$2,H27)</f>
        <v>0.45056713384911734</v>
      </c>
      <c r="L27" s="107">
        <f>EBlackScholesForward("d",G27,E27,F27,C27/365,C27/365,$I$2,H27)</f>
        <v>0.29022227462081884</v>
      </c>
      <c r="M27" s="106">
        <f>EBlackScholesForward("g",G27,E27,F27,C27/365,C27/365,$I$2,H27)</f>
        <v>0.13435735899791634</v>
      </c>
      <c r="N27" s="106">
        <f>EBlackScholesForward("v",G27,E27,F27,C27/365,C27/365,$I$2,H27)</f>
        <v>5.2782039815123749E-2</v>
      </c>
      <c r="O27" s="106">
        <f>EBlackScholesForward("t",G27,E27,F27,C27/365,C27/365,$I$2,H27)</f>
        <v>-1.0399861322105075E-2</v>
      </c>
      <c r="P27" s="103"/>
      <c r="Q27" s="106">
        <f>EBlackScholesForward("p",$G27,$E27,$F27,$C27/365,$C27/365,$I$2,$I27)</f>
        <v>0.55812404611955835</v>
      </c>
      <c r="R27" s="107">
        <f>EBlackScholesForward("d",$G27,$E27,$F27,$C27/365,$C27/365,$I$2,$I27)</f>
        <v>0.31321878896668487</v>
      </c>
      <c r="S27" s="106">
        <f>EBlackScholesForward("g",$G27,$E27,$F27,$C27/365,$C27/365,$I$2,$I27)</f>
        <v>0.12400662494638226</v>
      </c>
      <c r="T27" s="106">
        <f>EBlackScholesForward("v",$G27,$E27,$F27,$C27/365,$C27/365,$I$2,$I27)</f>
        <v>5.4631248435145219E-2</v>
      </c>
      <c r="U27" s="106">
        <f>EBlackScholesForward("t",$G27,$E27,$F27,$C27/365,$C27/365,$I$2,$I27)</f>
        <v>-1.2070476308261524E-2</v>
      </c>
    </row>
    <row r="28" spans="2:21" ht="12.75">
      <c r="B28" s="96">
        <f>B27</f>
        <v>40263</v>
      </c>
      <c r="C28" s="97">
        <f>B28-Today</f>
        <v>42</v>
      </c>
      <c r="D28" s="98">
        <f>B28+30</f>
        <v>40293</v>
      </c>
      <c r="E28" s="100">
        <f>E27</f>
        <v>45.5</v>
      </c>
      <c r="F28" s="100">
        <v>45</v>
      </c>
      <c r="G28" s="101" t="s">
        <v>80</v>
      </c>
      <c r="H28" s="102">
        <v>0.18</v>
      </c>
      <c r="I28" s="102">
        <v>0.18</v>
      </c>
      <c r="J28" s="103"/>
      <c r="K28" s="104">
        <f>EBlackScholesForward("p",$G28,$E28,$F28,$C28/365,$C28/365,$I$2,H28)</f>
        <v>0.86881790597528397</v>
      </c>
      <c r="L28" s="105">
        <f>EBlackScholesForward("d",G28,E28,F28,C28/365,C28/365,$I$2,H28)</f>
        <v>-0.41565091639321761</v>
      </c>
      <c r="M28" s="104">
        <f>EBlackScholesForward("g",G28,E28,F28,C28/365,C28/365,$I$2,H28)</f>
        <v>0.14021983933742987</v>
      </c>
      <c r="N28" s="104">
        <f>EBlackScholesForward("v",G28,E28,F28,C28/365,C28/365,$I$2,H28)</f>
        <v>6.0122858259056666E-2</v>
      </c>
      <c r="O28" s="104">
        <f>EBlackScholesForward("t",G28,E28,F28,C28/365,C28/365,$I$2,H28)</f>
        <v>-1.2929929054852018E-2</v>
      </c>
      <c r="P28" s="103"/>
      <c r="Q28" s="104">
        <f>EBlackScholesForward("p",$G28,$E28,$F28,$C28/365,$C28/365,$I$2,$I28)</f>
        <v>0.86881790597528397</v>
      </c>
      <c r="R28" s="105">
        <f>EBlackScholesForward("d",$G28,$E28,$F28,$C28/365,$C28/365,$I$2,$I28)</f>
        <v>-0.41565091639321761</v>
      </c>
      <c r="S28" s="104">
        <f>EBlackScholesForward("g",$G28,$E28,$F28,$C28/365,$C28/365,$I$2,$I28)</f>
        <v>0.14021983933742987</v>
      </c>
      <c r="T28" s="104">
        <f>EBlackScholesForward("v",$G28,$E28,$F28,$C28/365,$C28/365,$I$2,$I28)</f>
        <v>6.0122858259056666E-2</v>
      </c>
      <c r="U28" s="104">
        <f>EBlackScholesForward("t",$G28,$E28,$F28,$C28/365,$C28/365,$I$2,$I28)</f>
        <v>-1.2929929054852018E-2</v>
      </c>
    </row>
    <row r="29" spans="2:21" ht="12.75">
      <c r="B29" s="92" t="s">
        <v>84</v>
      </c>
      <c r="C29" s="103"/>
      <c r="D29" s="103"/>
      <c r="E29" s="108"/>
      <c r="F29" s="108"/>
      <c r="G29" s="109"/>
      <c r="H29" s="108"/>
      <c r="I29" s="108"/>
      <c r="J29" s="103"/>
      <c r="K29" s="117">
        <f>K27-Q28</f>
        <v>-0.41825077212616663</v>
      </c>
      <c r="L29" s="103"/>
      <c r="M29" s="103"/>
      <c r="N29" s="103"/>
      <c r="O29" s="103"/>
      <c r="P29" s="103"/>
      <c r="Q29" s="117">
        <f>Q27-K28</f>
        <v>-0.31069385985572562</v>
      </c>
      <c r="R29" s="103"/>
      <c r="S29" s="103"/>
      <c r="T29" s="103"/>
      <c r="U29" s="103"/>
    </row>
    <row r="30" spans="2:21" ht="12.75">
      <c r="B30" s="96">
        <v>40354</v>
      </c>
      <c r="C30" s="97">
        <f>B30-Today</f>
        <v>133</v>
      </c>
      <c r="D30" s="98">
        <f>B30+30</f>
        <v>40384</v>
      </c>
      <c r="E30" s="100">
        <f>E28</f>
        <v>45.5</v>
      </c>
      <c r="F30" s="100">
        <v>54</v>
      </c>
      <c r="G30" s="101" t="str">
        <f>IF(F30&gt;=E30,"c","p")</f>
        <v>c</v>
      </c>
      <c r="H30" s="102">
        <v>0.19</v>
      </c>
      <c r="I30" s="102">
        <v>0.20200000000000001</v>
      </c>
      <c r="J30" s="103"/>
      <c r="K30" s="104">
        <f>EBlackScholesForward("p",$G30,$E30,$F30,$C30/365,$C30/365,$I$2,H30)</f>
        <v>0.16819634264988306</v>
      </c>
      <c r="L30" s="105">
        <f>EBlackScholesForward("d",G30,E30,F30,C30/365,C30/365,$I$2,H30)</f>
        <v>7.5161957052001516E-2</v>
      </c>
      <c r="M30" s="104">
        <f>EBlackScholesForward("g",G30,E30,F30,C30/365,C30/365,$I$2,H30)</f>
        <v>2.7140999299957169E-2</v>
      </c>
      <c r="N30" s="104">
        <f>EBlackScholesForward("v",G30,E30,F30,C30/365,C30/365,$I$2,H30)</f>
        <v>3.88700136411778E-2</v>
      </c>
      <c r="O30" s="104">
        <f>EBlackScholesForward("t",G30,E30,F30,C30/365,C30/365,$I$2,H30)</f>
        <v>-2.7665358510297611E-3</v>
      </c>
      <c r="P30" s="103"/>
      <c r="Q30" s="104">
        <f>EBlackScholesForward("p",$G30,$E30,$F30,$C30/365,$C30/365,$I$2,$I30)</f>
        <v>0.2181032001744572</v>
      </c>
      <c r="R30" s="105">
        <f>EBlackScholesForward("d",$G30,$E30,$F30,$C30/365,$C30/365,$I$2,$I30)</f>
        <v>8.9125741522382007E-2</v>
      </c>
      <c r="S30" s="104">
        <f>EBlackScholesForward("g",$G30,$E30,$F30,$C30/365,$C30/365,$I$2,$I30)</f>
        <v>2.9024142512434903E-2</v>
      </c>
      <c r="T30" s="104">
        <f>EBlackScholesForward("v",$G30,$E30,$F30,$C30/365,$C30/365,$I$2,$I30)</f>
        <v>4.4190664686838951E-2</v>
      </c>
      <c r="U30" s="104">
        <f>EBlackScholesForward("t",$G30,$E30,$F30,$C30/365,$C30/365,$I$2,$I30)</f>
        <v>-3.3451162188010697E-3</v>
      </c>
    </row>
    <row r="31" spans="2:21" ht="12.75">
      <c r="B31" s="96">
        <f>B30</f>
        <v>40354</v>
      </c>
      <c r="C31" s="97">
        <f>B31-Today</f>
        <v>133</v>
      </c>
      <c r="D31" s="98">
        <f>B31+30</f>
        <v>40384</v>
      </c>
      <c r="E31" s="100">
        <f>E30</f>
        <v>45.5</v>
      </c>
      <c r="F31" s="100">
        <v>54</v>
      </c>
      <c r="G31" s="101" t="s">
        <v>82</v>
      </c>
      <c r="H31" s="102">
        <v>0.193</v>
      </c>
      <c r="I31" s="102">
        <v>0.21</v>
      </c>
      <c r="J31" s="103"/>
      <c r="K31" s="106">
        <f>EBlackScholesForward("p",$G31,$E31,$F31,$C31/365,$C31/365,$I$2,H31)</f>
        <v>0.1800709487745133</v>
      </c>
      <c r="L31" s="107">
        <f>EBlackScholesForward("d",G31,E31,F31,C31/365,C31/365,$I$2,H31)</f>
        <v>7.8637358518086897E-2</v>
      </c>
      <c r="M31" s="106">
        <f>EBlackScholesForward("g",G31,E31,F31,C31/365,C31/365,$I$2,H31)</f>
        <v>2.7652630092134256E-2</v>
      </c>
      <c r="N31" s="106">
        <f>EBlackScholesForward("v",G31,E31,F31,C31/365,C31/365,$I$2,H31)</f>
        <v>4.0227304212457765E-2</v>
      </c>
      <c r="O31" s="106">
        <f>EBlackScholesForward("t",G31,E31,F31,C31/365,C31/365,$I$2,H31)</f>
        <v>-2.9086691257404207E-3</v>
      </c>
      <c r="P31" s="103"/>
      <c r="Q31" s="106">
        <f>EBlackScholesForward("p",$G31,$E31,$F31,$C31/365,$C31/365,$I$2,$I31)</f>
        <v>0.25484566938554726</v>
      </c>
      <c r="R31" s="107">
        <f>EBlackScholesForward("d",$G31,$E31,$F31,$C31/365,$C31/365,$I$2,$I31)</f>
        <v>9.8472976269223245E-2</v>
      </c>
      <c r="S31" s="106">
        <f>EBlackScholesForward("g",$G31,$E31,$F31,$C31/365,$C31/365,$I$2,$I31)</f>
        <v>3.0050079245502737E-2</v>
      </c>
      <c r="T31" s="106">
        <f>EBlackScholesForward("v",$G31,$E31,$F31,$C31/365,$C31/365,$I$2,$I31)</f>
        <v>4.7565506830155299E-2</v>
      </c>
      <c r="U31" s="106">
        <f>EBlackScholesForward("t",$G31,$E31,$F31,$C31/365,$C31/365,$I$2,$I31)</f>
        <v>-3.743793239987081E-3</v>
      </c>
    </row>
    <row r="32" spans="2:21" ht="12.75">
      <c r="B32" s="96">
        <f>B31</f>
        <v>40354</v>
      </c>
      <c r="C32" s="97">
        <f>B32-Today</f>
        <v>133</v>
      </c>
      <c r="D32" s="98">
        <f>B32+30</f>
        <v>40384</v>
      </c>
      <c r="E32" s="100">
        <f>E31</f>
        <v>45.5</v>
      </c>
      <c r="F32" s="100">
        <v>47</v>
      </c>
      <c r="G32" s="101" t="s">
        <v>80</v>
      </c>
      <c r="H32" s="102">
        <v>0.19</v>
      </c>
      <c r="I32" s="102">
        <v>0.19750000000000001</v>
      </c>
      <c r="J32" s="103"/>
      <c r="K32" s="104">
        <f>EBlackScholesForward("p",$G32,$E32,$F32,$C32/365,$C32/365,$I$2,H32)</f>
        <v>2.9355473069456339</v>
      </c>
      <c r="L32" s="105">
        <f>EBlackScholesForward("d",G32,E32,F32,C32/365,C32/365,$I$2,H32)</f>
        <v>-0.58651071528688092</v>
      </c>
      <c r="M32" s="104">
        <f>EBlackScholesForward("g",G32,E32,F32,C32/365,C32/365,$I$2,H32)</f>
        <v>7.4190723227118838E-2</v>
      </c>
      <c r="N32" s="104">
        <f>EBlackScholesForward("v",G32,E32,F32,C32/365,C32/365,$I$2,H32)</f>
        <v>0.10632544203192906</v>
      </c>
      <c r="O32" s="104">
        <f>EBlackScholesForward("t",G32,E32,F32,C32/365,C32/365,$I$2,H32)</f>
        <v>-7.5084631035760019E-3</v>
      </c>
      <c r="P32" s="103"/>
      <c r="Q32" s="104">
        <f>EBlackScholesForward("p",$G32,$E32,$F32,$C32/365,$C32/365,$I$2,$I32)</f>
        <v>3.0154161261031307</v>
      </c>
      <c r="R32" s="105">
        <f>EBlackScholesForward("d",$G32,$E32,$F32,$C32/365,$C32/365,$I$2,$I32)</f>
        <v>-0.581469182772687</v>
      </c>
      <c r="S32" s="104">
        <f>EBlackScholesForward("g",$G32,$E32,$F32,$C32/365,$C32/365,$I$2,$I32)</f>
        <v>7.1576851286003773E-2</v>
      </c>
      <c r="T32" s="104">
        <f>EBlackScholesForward("v",$G32,$E32,$F32,$C32/365,$C32/365,$I$2,$I32)</f>
        <v>0.10663022874917205</v>
      </c>
      <c r="U32" s="104">
        <f>EBlackScholesForward("t",$G32,$E32,$F32,$C32/365,$C32/365,$I$2,$I32)</f>
        <v>-7.8287269924084413E-3</v>
      </c>
    </row>
    <row r="33" spans="2:21" ht="12.75">
      <c r="B33" s="96">
        <f>B32</f>
        <v>40354</v>
      </c>
      <c r="C33" s="97">
        <f>B33-Today</f>
        <v>133</v>
      </c>
      <c r="D33" s="98">
        <f>B33+30</f>
        <v>40384</v>
      </c>
      <c r="E33" s="100">
        <f>E32</f>
        <v>45.5</v>
      </c>
      <c r="F33" s="100">
        <v>43</v>
      </c>
      <c r="G33" s="101" t="s">
        <v>80</v>
      </c>
      <c r="H33" s="102">
        <v>0.17249999999999999</v>
      </c>
      <c r="I33" s="102">
        <v>0.17499999999999999</v>
      </c>
      <c r="J33" s="103"/>
      <c r="K33" s="106">
        <f>EBlackScholesForward("p",$G33,$E33,$F33,$C33/365,$C33/365,$I$2,H33)</f>
        <v>0.84731155515589962</v>
      </c>
      <c r="L33" s="107">
        <f>EBlackScholesForward("d",G33,E33,F33,C33/365,C33/365,$I$2,H33)</f>
        <v>-0.27474066940870179</v>
      </c>
      <c r="M33" s="106">
        <f>EBlackScholesForward("g",G33,E33,F33,C33/365,C33/365,$I$2,H33)</f>
        <v>7.0231648838792182E-2</v>
      </c>
      <c r="N33" s="106">
        <f>EBlackScholesForward("v",G33,E33,F33,C33/365,C33/365,$I$2,H33)</f>
        <v>9.1349925622979999E-2</v>
      </c>
      <c r="O33" s="106">
        <f>EBlackScholesForward("t",G33,E33,F33,C33/365,C33/365,$I$2,H33)</f>
        <v>-5.9057673773115216E-3</v>
      </c>
      <c r="P33" s="103"/>
      <c r="Q33" s="106">
        <f>EBlackScholesForward("p",$G33,$E33,$F33,$C33/365,$C33/365,$I$2,$I33)</f>
        <v>0.870206998190732</v>
      </c>
      <c r="R33" s="107">
        <f>EBlackScholesForward("d",$G33,$E33,$F33,$C33/365,$C33/365,$I$2,$I33)</f>
        <v>-0.27707423921942698</v>
      </c>
      <c r="S33" s="106">
        <f>EBlackScholesForward("g",$G33,$E33,$F33,$C33/365,$C33/365,$I$2,$I33)</f>
        <v>6.9515408530618217E-2</v>
      </c>
      <c r="T33" s="106">
        <f>EBlackScholesForward("v",$G33,$E33,$F33,$C33/365,$C33/365,$I$2,$I33)</f>
        <v>9.1730906792387323E-2</v>
      </c>
      <c r="U33" s="106">
        <f>EBlackScholesForward("t",$G33,$E33,$F33,$C33/365,$C33/365,$I$2,$I33)</f>
        <v>-6.0160574397920552E-3</v>
      </c>
    </row>
    <row r="34" spans="2:21" ht="12.75">
      <c r="B34" s="96">
        <f>B33</f>
        <v>40354</v>
      </c>
      <c r="C34" s="97">
        <f>B34-Today</f>
        <v>133</v>
      </c>
      <c r="D34" s="98">
        <f>B34+30</f>
        <v>40384</v>
      </c>
      <c r="E34" s="100">
        <f>E33</f>
        <v>45.5</v>
      </c>
      <c r="F34" s="100">
        <v>40</v>
      </c>
      <c r="G34" s="101" t="s">
        <v>80</v>
      </c>
      <c r="H34" s="102">
        <v>0.18</v>
      </c>
      <c r="I34" s="102">
        <v>0.2225</v>
      </c>
      <c r="J34" s="103"/>
      <c r="K34" s="104">
        <f>EBlackScholesForward("p",$G34,$E34,$F34,$C34/365,$C34/365,$I$2,H34)</f>
        <v>0.26629689250980515</v>
      </c>
      <c r="L34" s="105">
        <f>EBlackScholesForward("d",G34,E34,F34,C34/365,C34/365,$I$2,H34)</f>
        <v>-0.1069942953250691</v>
      </c>
      <c r="M34" s="104">
        <f>EBlackScholesForward("g",G34,E34,F34,C34/365,C34/365,$I$2,H34)</f>
        <v>3.7236450833866286E-2</v>
      </c>
      <c r="N34" s="104">
        <f>EBlackScholesForward("v",G34,E34,F34,C34/365,C34/365,$I$2,H34)</f>
        <v>5.0503252695938486E-2</v>
      </c>
      <c r="O34" s="104">
        <f>EBlackScholesForward("t",G34,E34,F34,C34/365,C34/365,$I$2,H34)</f>
        <v>-3.4098504278340935E-3</v>
      </c>
      <c r="P34" s="103"/>
      <c r="Q34" s="104">
        <f>EBlackScholesForward("p",$G34,$E34,$F34,$C34/365,$C34/365,$I$2,$I34)</f>
        <v>0.51256241804315616</v>
      </c>
      <c r="R34" s="105">
        <f>EBlackScholesForward("d",$G34,$E34,$F34,$C34/365,$C34/365,$I$2,$I34)</f>
        <v>-0.15166562062609579</v>
      </c>
      <c r="S34" s="104">
        <f>EBlackScholesForward("g",$G34,$E34,$F34,$C34/365,$C34/365,$I$2,$I34)</f>
        <v>3.8375958151259937E-2</v>
      </c>
      <c r="T34" s="104">
        <f>EBlackScholesForward("v",$G34,$E34,$F34,$C34/365,$C34/365,$I$2,$I34)</f>
        <v>6.4370803667297666E-2</v>
      </c>
      <c r="U34" s="104">
        <f>EBlackScholesForward("t",$G34,$E34,$F34,$C34/365,$C34/365,$I$2,$I34)</f>
        <v>-5.3713594990615343E-3</v>
      </c>
    </row>
    <row r="35" spans="2:21" ht="12.75">
      <c r="B35" s="92" t="s">
        <v>37</v>
      </c>
      <c r="C35" s="103"/>
      <c r="D35" s="103"/>
      <c r="E35" s="108"/>
      <c r="F35" s="108"/>
      <c r="G35" s="109"/>
      <c r="H35" s="108"/>
      <c r="I35" s="108"/>
      <c r="J35" s="103"/>
      <c r="K35" s="117"/>
      <c r="L35" s="103"/>
      <c r="M35" s="103"/>
      <c r="N35" s="103"/>
      <c r="O35" s="103"/>
      <c r="P35" s="103"/>
      <c r="Q35" s="117"/>
      <c r="R35" s="103"/>
      <c r="S35" s="103"/>
      <c r="T35" s="103"/>
      <c r="U35" s="103"/>
    </row>
    <row r="36" spans="2:21" ht="12.75">
      <c r="B36" s="96">
        <v>40885</v>
      </c>
      <c r="C36" s="97">
        <f>B36-Today</f>
        <v>664</v>
      </c>
      <c r="D36" s="98">
        <f>B36+30</f>
        <v>40915</v>
      </c>
      <c r="E36" s="100">
        <v>50.3</v>
      </c>
      <c r="F36" s="100">
        <v>60</v>
      </c>
      <c r="G36" s="101" t="s">
        <v>82</v>
      </c>
      <c r="H36" s="102">
        <v>0.17899999999999999</v>
      </c>
      <c r="I36" s="102">
        <v>0.19</v>
      </c>
      <c r="J36" s="103"/>
      <c r="K36" s="104">
        <f>EBlackScholesForward("p",$G36,$E36,$F36,$C36/365,$C36/365,$I$2,H36)</f>
        <v>1.7516155760892294</v>
      </c>
      <c r="L36" s="105">
        <f>EBlackScholesForward("d",G36,E36,F36,C36/365,C36/365,$I$2,H36)</f>
        <v>0.26494248550782418</v>
      </c>
      <c r="M36" s="104">
        <f>EBlackScholesForward("g",G36,E36,F36,C36/365,C36/365,$I$2,H36)</f>
        <v>2.6666093246863198E-2</v>
      </c>
      <c r="N36" s="104">
        <f>EBlackScholesForward("v",G36,E36,F36,C36/365,C36/365,$I$2,H36)</f>
        <v>0.21954272059485125</v>
      </c>
      <c r="O36" s="104">
        <f>EBlackScholesForward("t",G36,E36,F36,C36/365,C36/365,$I$2,H36)</f>
        <v>-2.9019239599574753E-3</v>
      </c>
      <c r="P36" s="103"/>
      <c r="Q36" s="104">
        <f>EBlackScholesForward("p",$G36,$E36,$F36,$C36/365,$C36/365,$I$2,$I36)</f>
        <v>1.9969394946967003</v>
      </c>
      <c r="R36" s="105">
        <f>EBlackScholesForward("d",$G36,$E36,$F36,$C36/365,$C36/365,$I$2,$I36)</f>
        <v>0.2812778703520924</v>
      </c>
      <c r="S36" s="104">
        <f>EBlackScholesForward("g",$G36,$E36,$F36,$C36/365,$C36/365,$I$2,$I36)</f>
        <v>2.5863253692026689E-2</v>
      </c>
      <c r="T36" s="104">
        <f>EBlackScholesForward("v",$G36,$E36,$F36,$C36/365,$C36/365,$I$2,$I36)</f>
        <v>0.22604832893394144</v>
      </c>
      <c r="U36" s="104">
        <f>EBlackScholesForward("t",$G36,$E36,$F36,$C36/365,$C36/365,$I$2,$I36)</f>
        <v>-3.1683455208173505E-3</v>
      </c>
    </row>
    <row r="37" spans="2:21" ht="12.75">
      <c r="B37" s="96">
        <f>B36</f>
        <v>40885</v>
      </c>
      <c r="C37" s="97">
        <f>B37-Today</f>
        <v>664</v>
      </c>
      <c r="D37" s="98">
        <f>B37+30</f>
        <v>40915</v>
      </c>
      <c r="E37" s="100">
        <f>E36</f>
        <v>50.3</v>
      </c>
      <c r="F37" s="100">
        <v>53</v>
      </c>
      <c r="G37" s="101" t="s">
        <v>80</v>
      </c>
      <c r="H37" s="102">
        <v>0.16250000000000001</v>
      </c>
      <c r="I37" s="102">
        <v>0.185</v>
      </c>
      <c r="J37" s="103"/>
      <c r="K37" s="106">
        <f>EBlackScholesForward("p",$G37,$E37,$F37,$C37/365,$C37/365,$I$2,H37)</f>
        <v>5.8497173295915399</v>
      </c>
      <c r="L37" s="107">
        <f>EBlackScholesForward("d",G37,E37,F37,C37/365,C37/365,$I$2,H37)</f>
        <v>-0.53891592534065502</v>
      </c>
      <c r="M37" s="106">
        <f>EBlackScholesForward("g",G37,E37,F37,C37/365,C37/365,$I$2,H37)</f>
        <v>3.5080293541156493E-2</v>
      </c>
      <c r="N37" s="106">
        <f>EBlackScholesForward("v",G37,E37,F37,C37/365,C37/365,$I$2,H37)</f>
        <v>0.26234819988252589</v>
      </c>
      <c r="O37" s="106">
        <f>EBlackScholesForward("t",G37,E37,F37,C37/365,C37/365,$I$2,H37)</f>
        <v>-3.0115060985114184E-3</v>
      </c>
      <c r="P37" s="103"/>
      <c r="Q37" s="106">
        <f>EBlackScholesForward("p",$G37,$E37,$F37,$C37/365,$C37/365,$I$2,$I37)</f>
        <v>6.4416005139849917</v>
      </c>
      <c r="R37" s="107">
        <f>EBlackScholesForward("d",$G37,$E37,$F37,$C37/365,$C37/365,$I$2,$I37)</f>
        <v>-0.52178334765873302</v>
      </c>
      <c r="S37" s="106">
        <f>EBlackScholesForward("g",$G37,$E37,$F37,$C37/365,$C37/365,$I$2,$I37)</f>
        <v>3.0959644448103063E-2</v>
      </c>
      <c r="T37" s="106">
        <f>EBlackScholesForward("v",$G37,$E37,$F37,$C37/365,$C37/365,$I$2,$I37)</f>
        <v>0.26360147638471298</v>
      </c>
      <c r="U37" s="106">
        <f>EBlackScholesForward("t",$G37,$E37,$F37,$C37/365,$C37/365,$I$2,$I37)</f>
        <v>-3.4532855021272013E-3</v>
      </c>
    </row>
    <row r="38" spans="2:21" ht="12.75">
      <c r="B38" s="96">
        <f>B37</f>
        <v>40885</v>
      </c>
      <c r="C38" s="97">
        <f>B38-Today</f>
        <v>664</v>
      </c>
      <c r="D38" s="98">
        <f>B38+30</f>
        <v>40915</v>
      </c>
      <c r="E38" s="100">
        <f>E37</f>
        <v>50.3</v>
      </c>
      <c r="F38" s="100">
        <v>48</v>
      </c>
      <c r="G38" s="101" t="s">
        <v>80</v>
      </c>
      <c r="H38" s="102">
        <v>0.255</v>
      </c>
      <c r="I38" s="102">
        <v>0.27500000000000002</v>
      </c>
      <c r="J38" s="103"/>
      <c r="K38" s="104">
        <f>EBlackScholesForward("p",$G38,$E38,$F38,$C38/365,$C38/365,$I$2,H38)</f>
        <v>5.4958249599256339</v>
      </c>
      <c r="L38" s="105">
        <f>EBlackScholesForward("d",G38,E38,F38,C38/365,C38/365,$I$2,H38)</f>
        <v>-0.3704999354646521</v>
      </c>
      <c r="M38" s="104">
        <f>EBlackScholesForward("g",G38,E38,F38,C38/365,C38/365,$I$2,H38)</f>
        <v>2.1497214168775258E-2</v>
      </c>
      <c r="N38" s="104">
        <f>EBlackScholesForward("v",G38,E38,F38,C38/365,C38/365,$I$2,H38)</f>
        <v>0.25230396860330284</v>
      </c>
      <c r="O38" s="104">
        <f>EBlackScholesForward("t",G38,E38,F38,C38/365,C38/365,$I$2,H38)</f>
        <v>-4.6585930212934556E-3</v>
      </c>
      <c r="P38" s="103"/>
      <c r="Q38" s="104">
        <f>EBlackScholesForward("p",$G38,$E38,$F38,$C38/365,$C38/365,$I$2,$I38)</f>
        <v>6.0001832917056763</v>
      </c>
      <c r="R38" s="105">
        <f>EBlackScholesForward("d",$G38,$E38,$F38,$C38/365,$C38/365,$I$2,$I38)</f>
        <v>-0.36916528779200597</v>
      </c>
      <c r="S38" s="104">
        <f>EBlackScholesForward("g",$G38,$E38,$F38,$C38/365,$C38/365,$I$2,$I38)</f>
        <v>1.9911615050105524E-2</v>
      </c>
      <c r="T38" s="104">
        <f>EBlackScholesForward("v",$G38,$E38,$F38,$C38/365,$C38/365,$I$2,$I38)</f>
        <v>0.25202436790565219</v>
      </c>
      <c r="U38" s="104">
        <f>EBlackScholesForward("t",$G38,$E38,$F38,$C38/365,$C38/365,$I$2,$I38)</f>
        <v>-5.0156645760219831E-3</v>
      </c>
    </row>
    <row r="39" spans="2:21" ht="12.75">
      <c r="B39" s="96">
        <f>B38</f>
        <v>40885</v>
      </c>
      <c r="C39" s="97">
        <f>B39-Today</f>
        <v>664</v>
      </c>
      <c r="D39" s="98">
        <f>B39+30</f>
        <v>40915</v>
      </c>
      <c r="E39" s="100">
        <f>E38</f>
        <v>50.3</v>
      </c>
      <c r="F39" s="100">
        <v>60</v>
      </c>
      <c r="G39" s="101" t="str">
        <f>IF(F39&gt;=E39,"c","p")</f>
        <v>c</v>
      </c>
      <c r="H39" s="102">
        <v>0.189</v>
      </c>
      <c r="I39" s="102">
        <v>0.19700000000000001</v>
      </c>
      <c r="J39" s="103"/>
      <c r="K39" s="106">
        <f>EBlackScholesForward("p",$G39,$E39,$F39,$C39/365,$C39/365,$I$2,H39)</f>
        <v>1.9743491534824111</v>
      </c>
      <c r="L39" s="107">
        <f>EBlackScholesForward("d",G39,E39,F39,C39/365,C39/365,$I$2,H39)</f>
        <v>0.27984100695110925</v>
      </c>
      <c r="M39" s="106">
        <f>EBlackScholesForward("g",G39,E39,F39,C39/365,C39/365,$I$2,H39)</f>
        <v>2.5937103869111411E-2</v>
      </c>
      <c r="N39" s="106">
        <f>EBlackScholesForward("v",G39,E39,F39,C39/365,C39/365,$I$2,H39)</f>
        <v>0.22549823735201358</v>
      </c>
      <c r="O39" s="106">
        <f>EBlackScholesForward("t",G39,E39,F39,C39/365,C39/365,$I$2,H39)</f>
        <v>-3.1442768251344066E-3</v>
      </c>
      <c r="P39" s="103"/>
      <c r="Q39" s="106">
        <f>EBlackScholesForward("p",$G39,$E39,$F39,$C39/365,$C39/365,$I$2,$I39)</f>
        <v>2.1565535279487364</v>
      </c>
      <c r="R39" s="107">
        <f>EBlackScholesForward("d",$G39,$E39,$F39,$C39/365,$C39/365,$I$2,$I39)</f>
        <v>0.29108153967121186</v>
      </c>
      <c r="S39" s="106">
        <f>EBlackScholesForward("g",$G39,$E39,$F39,$C39/365,$C39/365,$I$2,$I39)</f>
        <v>2.5344287073458815E-2</v>
      </c>
      <c r="T39" s="106">
        <f>EBlackScholesForward("v",$G39,$E39,$F39,$C39/365,$C39/365,$I$2,$I39)</f>
        <v>0.2296892853882061</v>
      </c>
      <c r="U39" s="106">
        <f>EBlackScholesForward("t",$G39,$E39,$F39,$C39/365,$C39/365,$I$2,$I39)</f>
        <v>-3.3359914406929647E-3</v>
      </c>
    </row>
    <row r="40" spans="2:21" ht="12.75">
      <c r="B40" s="96">
        <f>B39</f>
        <v>40885</v>
      </c>
      <c r="C40" s="97">
        <f>B40-Today</f>
        <v>664</v>
      </c>
      <c r="D40" s="98">
        <f>B40+30</f>
        <v>40915</v>
      </c>
      <c r="E40" s="100">
        <f>E39</f>
        <v>50.3</v>
      </c>
      <c r="F40" s="100">
        <v>51</v>
      </c>
      <c r="G40" s="101" t="s">
        <v>80</v>
      </c>
      <c r="H40" s="102">
        <v>0.17100000000000001</v>
      </c>
      <c r="I40" s="102">
        <v>0.18</v>
      </c>
      <c r="J40" s="103"/>
      <c r="K40" s="118">
        <f>EBlackScholesForward("p",$G40,$E40,$F40,$C40/365,$C40/365,$I$2,H40)</f>
        <v>4.8957960235506413</v>
      </c>
      <c r="L40" s="118">
        <f>EBlackScholesForward("d",G40,E40,F40,C40/365,C40/365,$I$2,H40)</f>
        <v>-0.46716617038846664</v>
      </c>
      <c r="M40" s="104">
        <f>EBlackScholesForward("g",G40,E40,F40,C40/365,C40/365,$I$2,H40)</f>
        <v>3.3563420700488678E-2</v>
      </c>
      <c r="N40" s="104">
        <f>EBlackScholesForward("v",G40,E40,F40,C40/365,C40/365,$I$2,H40)</f>
        <v>0.26416032426259184</v>
      </c>
      <c r="O40" s="104">
        <f>EBlackScholesForward("t",G40,E40,F40,C40/365,C40/365,$I$2,H40)</f>
        <v>-3.2352520698299969E-3</v>
      </c>
      <c r="P40" s="103"/>
      <c r="Q40" s="104">
        <f>EBlackScholesForward("p",$G40,$E40,$F40,$C40/365,$C40/365,$I$2,$I40)</f>
        <v>5.133480260174804</v>
      </c>
      <c r="R40" s="105">
        <f>EBlackScholesForward("d",$G40,$E40,$F40,$C40/365,$C40/365,$I$2,$I40)</f>
        <v>-0.46363718799278253</v>
      </c>
      <c r="S40" s="104">
        <f>EBlackScholesForward("g",$G40,$E40,$F40,$C40/365,$C40/365,$I$2,$I40)</f>
        <v>3.1867931111762005E-2</v>
      </c>
      <c r="T40" s="104">
        <f>EBlackScholesForward("v",$G40,$E40,$F40,$C40/365,$C40/365,$I$2,$I40)</f>
        <v>0.26401715099517764</v>
      </c>
      <c r="U40" s="104">
        <f>EBlackScholesForward("t",$G40,$E40,$F40,$C40/365,$C40/365,$I$2,$I40)</f>
        <v>-3.4042698971665786E-3</v>
      </c>
    </row>
    <row r="41" spans="2:21" ht="12.75">
      <c r="B41" s="92" t="s">
        <v>86</v>
      </c>
      <c r="C41" s="103"/>
      <c r="D41" s="103"/>
      <c r="E41" s="108"/>
      <c r="F41" s="108"/>
      <c r="G41" s="109"/>
      <c r="H41" s="108"/>
      <c r="I41" s="108"/>
      <c r="J41" s="103"/>
      <c r="K41" s="116">
        <f>K40-Q39</f>
        <v>2.7392424956019048</v>
      </c>
      <c r="L41" s="103"/>
      <c r="M41" s="103"/>
      <c r="N41" s="103"/>
      <c r="O41" s="103"/>
      <c r="P41" s="103"/>
      <c r="Q41" s="116">
        <f>Q40-K39</f>
        <v>3.1591311066923931</v>
      </c>
      <c r="R41" s="103"/>
      <c r="S41" s="103"/>
      <c r="T41" s="103"/>
      <c r="U41" s="103"/>
    </row>
    <row r="42" spans="2:21" ht="12.75">
      <c r="B42" s="96">
        <v>40263</v>
      </c>
      <c r="C42" s="97">
        <f>B42-Today</f>
        <v>42</v>
      </c>
      <c r="D42" s="98">
        <f>B42+30</f>
        <v>40293</v>
      </c>
      <c r="E42" s="100">
        <v>36.6</v>
      </c>
      <c r="F42" s="100">
        <v>39</v>
      </c>
      <c r="G42" s="101" t="s">
        <v>82</v>
      </c>
      <c r="H42" s="102">
        <v>0.20250000000000001</v>
      </c>
      <c r="I42" s="102">
        <v>0.24</v>
      </c>
      <c r="J42" s="103"/>
      <c r="K42" s="104">
        <f>EBlackScholesForward("p",$G42,$E42,$F42,$C42/365,$C42/365,$I$2,H42)</f>
        <v>0.24864167642749632</v>
      </c>
      <c r="L42" s="105">
        <f>EBlackScholesForward("d",G42,E42,F42,C42/365,C42/365,$I$2,H42)</f>
        <v>0.18639225882551985</v>
      </c>
      <c r="M42" s="104">
        <f>EBlackScholesForward("g",G42,E42,F42,C42/365,C42/365,$I$2,H42)</f>
        <v>0.10660889284835884</v>
      </c>
      <c r="N42" s="104">
        <f>EBlackScholesForward("v",G42,E42,F42,C42/365,C42/365,$I$2,H42)</f>
        <v>3.3251613977453534E-2</v>
      </c>
      <c r="O42" s="104">
        <f>EBlackScholesForward("t",G42,E42,F42,C42/365,C42/365,$I$2,H42)</f>
        <v>-8.0204778239714447E-3</v>
      </c>
      <c r="P42" s="103"/>
      <c r="Q42" s="104">
        <f>EBlackScholesForward("p",$G42,$E42,$F42,$C42/365,$C42/365,$I$2,$I42)</f>
        <v>0.38211537367914072</v>
      </c>
      <c r="R42" s="105">
        <f>EBlackScholesForward("d",$G42,$E42,$F42,$C42/365,$C42/365,$I$2,$I42)</f>
        <v>0.22948997586116904</v>
      </c>
      <c r="S42" s="104">
        <f>EBlackScholesForward("g",$G42,$E42,$F42,$C42/365,$C42/365,$I$2,$I42)</f>
        <v>0.10171492270338867</v>
      </c>
      <c r="T42" s="104">
        <f>EBlackScholesForward("v",$G42,$E42,$F42,$C42/365,$C42/365,$I$2,$I42)</f>
        <v>3.76124157612924E-2</v>
      </c>
      <c r="U42" s="104">
        <f>EBlackScholesForward("t",$G42,$E42,$F42,$C42/365,$C42/365,$I$2,$I42)</f>
        <v>-1.0763304466538448E-2</v>
      </c>
    </row>
    <row r="43" spans="2:21" ht="12.75">
      <c r="B43" s="96">
        <f>B42</f>
        <v>40263</v>
      </c>
      <c r="C43" s="97">
        <f>B43-Today</f>
        <v>42</v>
      </c>
      <c r="D43" s="98">
        <f>B43+30</f>
        <v>40293</v>
      </c>
      <c r="E43" s="100">
        <v>36.6</v>
      </c>
      <c r="F43" s="100">
        <v>35</v>
      </c>
      <c r="G43" s="101" t="s">
        <v>80</v>
      </c>
      <c r="H43" s="102">
        <v>0.20250000000000001</v>
      </c>
      <c r="I43" s="102">
        <v>0.24</v>
      </c>
      <c r="J43" s="103"/>
      <c r="K43" s="104">
        <f>EBlackScholesForward("p",$G43,$E43,$F43,$C43/365,$C43/365,$I$2,H43)</f>
        <v>0.38084977032095396</v>
      </c>
      <c r="L43" s="105">
        <f>EBlackScholesForward("d",G43,E43,F43,C43/365,C43/365,$I$2,H43)</f>
        <v>-0.24629171750049916</v>
      </c>
      <c r="M43" s="104">
        <f>EBlackScholesForward("g",G43,E43,F43,C43/365,C43/365,$I$2,H43)</f>
        <v>0.12530981287561804</v>
      </c>
      <c r="N43" s="104">
        <f>EBlackScholesForward("v",G43,E43,F43,C43/365,C43/365,$I$2,H43)</f>
        <v>3.9096296562698779E-2</v>
      </c>
      <c r="O43" s="104">
        <f>EBlackScholesForward("t",G43,E43,F43,C43/365,C43/365,$I$2,H43)</f>
        <v>-9.4490437685757489E-3</v>
      </c>
      <c r="P43" s="103"/>
      <c r="Q43" s="104">
        <f>EBlackScholesForward("p",$G43,$E43,$F43,$C43/365,$C43/365,$I$2,$I43)</f>
        <v>0.53246532111933653</v>
      </c>
      <c r="R43" s="105">
        <f>EBlackScholesForward("d",$G43,$E43,$F43,$C43/365,$C43/365,$I$2,$I43)</f>
        <v>-0.27727505238807071</v>
      </c>
      <c r="S43" s="104">
        <f>EBlackScholesForward("g",$G43,$E43,$F43,$C43/365,$C43/365,$I$2,$I43)</f>
        <v>0.11235324516967182</v>
      </c>
      <c r="T43" s="104">
        <f>EBlackScholesForward("v",$G43,$E43,$F43,$C43/365,$C43/365,$I$2,$I43)</f>
        <v>4.1554011653206047E-2</v>
      </c>
      <c r="U43" s="104">
        <f>EBlackScholesForward("t",$G43,$E43,$F43,$C43/365,$C43/365,$I$2,$I43)</f>
        <v>-1.1907412538155859E-2</v>
      </c>
    </row>
    <row r="44" spans="2:21" ht="12.75">
      <c r="B44" s="96">
        <f>B43</f>
        <v>40263</v>
      </c>
      <c r="C44" s="97">
        <f>B44-Today</f>
        <v>42</v>
      </c>
      <c r="D44" s="98">
        <f>B44+30</f>
        <v>40293</v>
      </c>
      <c r="E44" s="100">
        <v>36.6</v>
      </c>
      <c r="F44" s="100">
        <v>36</v>
      </c>
      <c r="G44" s="101" t="s">
        <v>82</v>
      </c>
      <c r="H44" s="102">
        <v>0.35</v>
      </c>
      <c r="I44" s="102">
        <v>0.36</v>
      </c>
      <c r="J44" s="103"/>
      <c r="K44" s="104">
        <f>EBlackScholesForward("p",$G44,$E44,$F44,$C44/365,$C44/365,$I$2,H44)</f>
        <v>2.0320167576363839</v>
      </c>
      <c r="L44" s="105">
        <f>EBlackScholesForward("d",G44,E44,F44,C44/365,C44/365,$I$2,H44)</f>
        <v>0.57787448009167797</v>
      </c>
      <c r="M44" s="104">
        <f>EBlackScholesForward("g",G44,E44,F44,C44/365,C44/365,$I$2,H44)</f>
        <v>8.9886496299484975E-2</v>
      </c>
      <c r="N44" s="104">
        <f>EBlackScholesForward("v",G44,E44,F44,C44/365,C44/365,$I$2,H44)</f>
        <v>4.8492840875351328E-2</v>
      </c>
      <c r="O44" s="104">
        <f>EBlackScholesForward("t",G44,E44,F44,C44/365,C44/365,$I$2,H44)</f>
        <v>-2.0256388439979567E-2</v>
      </c>
      <c r="P44" s="103"/>
      <c r="Q44" s="104">
        <f>EBlackScholesForward("p",$G44,$E44,$F44,$C44/365,$C44/365,$I$2,$I44)</f>
        <v>2.0805205957153401</v>
      </c>
      <c r="R44" s="105">
        <f>EBlackScholesForward("d",$G44,$E44,$F44,$C44/365,$C44/365,$I$2,$I44)</f>
        <v>0.5770262552021066</v>
      </c>
      <c r="S44" s="104">
        <f>EBlackScholesForward("g",$G44,$E44,$F44,$C44/365,$C44/365,$I$2,$I44)</f>
        <v>8.7427132715589551E-2</v>
      </c>
      <c r="T44" s="104">
        <f>EBlackScholesForward("v",$G44,$E44,$F44,$C44/365,$C44/365,$I$2,$I44)</f>
        <v>4.8513680161344386E-2</v>
      </c>
      <c r="U44" s="104">
        <f>EBlackScholesForward("t",$G44,$E44,$F44,$C44/365,$C44/365,$I$2,$I44)</f>
        <v>-2.084459660063942E-2</v>
      </c>
    </row>
    <row r="45" spans="2:21" ht="12.75">
      <c r="B45" s="96">
        <f>B44</f>
        <v>40263</v>
      </c>
      <c r="C45" s="97">
        <f>B45-Today</f>
        <v>42</v>
      </c>
      <c r="D45" s="98">
        <f>B45+30</f>
        <v>40293</v>
      </c>
      <c r="E45" s="100">
        <v>36.6</v>
      </c>
      <c r="F45" s="100">
        <v>41</v>
      </c>
      <c r="G45" s="101" t="str">
        <f>IF(F45&gt;=E45,"c","p")</f>
        <v>c</v>
      </c>
      <c r="H45" s="102">
        <v>0.214</v>
      </c>
      <c r="I45" s="102">
        <v>0.245</v>
      </c>
      <c r="J45" s="103"/>
      <c r="K45" s="104">
        <f>EBlackScholesForward("p",$G45,$E45,$F45,$C45/365,$C45/365,$I$2,H45)</f>
        <v>7.0999765788613237E-2</v>
      </c>
      <c r="L45" s="105">
        <f>EBlackScholesForward("d",G45,E45,F45,C45/365,C45/365,$I$2,H45)</f>
        <v>6.3221142333328567E-2</v>
      </c>
      <c r="M45" s="104">
        <f>EBlackScholesForward("g",G45,E45,F45,C45/365,C45/365,$I$2,H45)</f>
        <v>4.6689280872730388E-2</v>
      </c>
      <c r="N45" s="104">
        <f>EBlackScholesForward("v",G45,E45,F45,C45/365,C45/365,$I$2,H45)</f>
        <v>1.5393407009540581E-2</v>
      </c>
      <c r="O45" s="104">
        <f>EBlackScholesForward("t",G45,E45,F45,C45/365,C45/365,$I$2,H45)</f>
        <v>-3.8870259294862125E-3</v>
      </c>
      <c r="P45" s="103"/>
      <c r="Q45" s="104">
        <f>EBlackScholesForward("p",$G45,$E45,$F45,$C45/365,$C45/365,$I$2,$I45)</f>
        <v>0.12691977288097436</v>
      </c>
      <c r="R45" s="105">
        <f>EBlackScholesForward("d",$G45,$E45,$F45,$C45/365,$C45/365,$I$2,$I45)</f>
        <v>9.2548826955711483E-2</v>
      </c>
      <c r="S45" s="104">
        <f>EBlackScholesForward("g",$G45,$E45,$F45,$C45/365,$C45/365,$I$2,$I45)</f>
        <v>5.4483412017802824E-2</v>
      </c>
      <c r="T45" s="104">
        <f>EBlackScholesForward("v",$G45,$E45,$F45,$C45/365,$C45/365,$I$2,$I45)</f>
        <v>2.056330968019178E-2</v>
      </c>
      <c r="U45" s="104">
        <f>EBlackScholesForward("t",$G45,$E45,$F45,$C45/365,$C45/365,$I$2,$I45)</f>
        <v>-5.965475905262918E-3</v>
      </c>
    </row>
    <row r="46" spans="2:21" ht="12.75">
      <c r="B46" s="96">
        <f>B45</f>
        <v>40263</v>
      </c>
      <c r="C46" s="97">
        <f>B46-Today</f>
        <v>42</v>
      </c>
      <c r="D46" s="98">
        <f>B46+30</f>
        <v>40293</v>
      </c>
      <c r="E46" s="100">
        <v>36.6</v>
      </c>
      <c r="F46" s="100">
        <v>36</v>
      </c>
      <c r="G46" s="101" t="str">
        <f>IF(F46&gt;=E46,"c","p")</f>
        <v>p</v>
      </c>
      <c r="H46" s="102">
        <v>0.22</v>
      </c>
      <c r="I46" s="102">
        <v>0.245</v>
      </c>
      <c r="J46" s="103"/>
      <c r="K46" s="104">
        <f>EBlackScholesForward("p",$G46,$E46,$F46,$C46/365,$C46/365,$I$2,H46)</f>
        <v>0.80570260486361056</v>
      </c>
      <c r="L46" s="105">
        <f>EBlackScholesForward("d",G46,E46,F46,C46/365,C46/365,$I$2,H46)</f>
        <v>-0.39732175094780997</v>
      </c>
      <c r="M46" s="104">
        <f>EBlackScholesForward("g",G46,E46,F46,C46/365,C46/365,$I$2,H46)</f>
        <v>0.14104530010383698</v>
      </c>
      <c r="N46" s="104">
        <f>EBlackScholesForward("v",G46,E46,F46,C46/365,C46/365,$I$2,H46)</f>
        <v>4.782757860733744E-2</v>
      </c>
      <c r="O46" s="104">
        <f>EBlackScholesForward("t",G46,E46,F46,C46/365,C46/365,$I$2,H46)</f>
        <v>-1.2571565629392323E-2</v>
      </c>
      <c r="P46" s="103"/>
      <c r="Q46" s="104">
        <f>EBlackScholesForward("p",$G46,$E46,$F46,$C46/365,$C46/365,$I$2,$I46)</f>
        <v>0.92556751388349967</v>
      </c>
      <c r="R46" s="105">
        <f>EBlackScholesForward("d",$G46,$E46,$F46,$C46/365,$C46/365,$I$2,$I46)</f>
        <v>-0.4044115856630226</v>
      </c>
      <c r="S46" s="104">
        <f>EBlackScholesForward("g",$G46,$E46,$F46,$C46/365,$C46/365,$I$2,$I46)</f>
        <v>0.12723476352283214</v>
      </c>
      <c r="T46" s="104">
        <f>EBlackScholesForward("v",$G46,$E46,$F46,$C46/365,$C46/365,$I$2,$I46)</f>
        <v>4.80481243708345E-2</v>
      </c>
      <c r="U46" s="104">
        <f>EBlackScholesForward("t",$G46,$E46,$F46,$C46/365,$C46/365,$I$2,$I46)</f>
        <v>-1.4064477909610185E-2</v>
      </c>
    </row>
    <row r="47" spans="2:21" ht="12.75">
      <c r="B47" s="92" t="s">
        <v>85</v>
      </c>
      <c r="C47" s="103"/>
      <c r="D47" s="103"/>
      <c r="E47" s="108"/>
      <c r="F47" s="108"/>
      <c r="G47" s="109"/>
      <c r="H47" s="108"/>
      <c r="I47" s="108"/>
      <c r="J47" s="103"/>
      <c r="K47" s="117">
        <f>K48+K49</f>
        <v>3.6868827178514172</v>
      </c>
      <c r="L47" s="103"/>
      <c r="M47" s="103"/>
      <c r="N47" s="103"/>
      <c r="O47" s="103"/>
      <c r="P47" s="103"/>
      <c r="Q47" s="117">
        <f>Q48+Q49</f>
        <v>4.2458514795097084</v>
      </c>
      <c r="R47" s="103"/>
      <c r="S47" s="103"/>
      <c r="T47" s="103"/>
      <c r="U47" s="103"/>
    </row>
    <row r="48" spans="2:21" ht="12.75">
      <c r="B48" s="96">
        <v>40354</v>
      </c>
      <c r="C48" s="97">
        <f>B48-Today</f>
        <v>133</v>
      </c>
      <c r="D48" s="98">
        <f>B48+30</f>
        <v>40384</v>
      </c>
      <c r="E48" s="99">
        <v>38.9</v>
      </c>
      <c r="F48" s="99">
        <v>39</v>
      </c>
      <c r="G48" s="114" t="s">
        <v>82</v>
      </c>
      <c r="H48" s="115">
        <v>0.19750000000000001</v>
      </c>
      <c r="I48" s="115">
        <v>0.22750000000000001</v>
      </c>
      <c r="J48" s="103"/>
      <c r="K48" s="104">
        <f>EBlackScholesForward("p",$G48,$E48,$F48,$C48/365,$C48/365,$I$2,H48)</f>
        <v>1.7936685807844661</v>
      </c>
      <c r="L48" s="118">
        <f>EBlackScholesForward("d",G48,E48,F48,C48/365,C48/365,$I$2,H48)</f>
        <v>0.51284460796933162</v>
      </c>
      <c r="M48" s="104">
        <f>EBlackScholesForward("g",G48,E48,F48,C48/365,C48/365,$I$2,H48)</f>
        <v>8.5569875605262524E-2</v>
      </c>
      <c r="N48" s="104">
        <f>EBlackScholesForward("v",G48,E48,F48,C48/365,C48/365,$I$2,H48)</f>
        <v>9.3184831530111034E-2</v>
      </c>
      <c r="O48" s="104">
        <f>EBlackScholesForward("t",G48,E48,F48,C48/365,C48/365,$I$2,H48)</f>
        <v>-6.8707171839907932E-3</v>
      </c>
      <c r="P48" s="103"/>
      <c r="Q48" s="104">
        <f>EBlackScholesForward("p",$G48,$E48,$F48,$C48/365,$C48/365,$I$2,$I48)</f>
        <v>2.0731529616136095</v>
      </c>
      <c r="R48" s="105">
        <f>EBlackScholesForward("d",$G48,$E48,$F48,$C48/365,$C48/365,$I$2,$I48)</f>
        <v>0.51756363252504212</v>
      </c>
      <c r="S48" s="104">
        <f>EBlackScholesForward("g",$G48,$E48,$F48,$C48/365,$C48/365,$I$2,$I48)</f>
        <v>7.4247056232046305E-2</v>
      </c>
      <c r="T48" s="104">
        <f>EBlackScholesForward("v",$G48,$E48,$F48,$C48/365,$C48/365,$I$2,$I48)</f>
        <v>9.3136075663967643E-2</v>
      </c>
      <c r="U48" s="104">
        <f>EBlackScholesForward("t",$G48,$E48,$F48,$C48/365,$C48/365,$I$2,$I48)</f>
        <v>-7.9099688568118331E-3</v>
      </c>
    </row>
    <row r="49" spans="2:21" ht="12.75">
      <c r="B49" s="96">
        <f>B48</f>
        <v>40354</v>
      </c>
      <c r="C49" s="97">
        <f>B49-Today</f>
        <v>133</v>
      </c>
      <c r="D49" s="98">
        <f>B49+30</f>
        <v>40384</v>
      </c>
      <c r="E49" s="99">
        <f>E48</f>
        <v>38.9</v>
      </c>
      <c r="F49" s="99">
        <v>39</v>
      </c>
      <c r="G49" s="114" t="s">
        <v>80</v>
      </c>
      <c r="H49" s="115">
        <v>0.19750000000000001</v>
      </c>
      <c r="I49" s="115">
        <v>0.22750000000000001</v>
      </c>
      <c r="J49" s="103"/>
      <c r="K49" s="106">
        <f>EBlackScholesForward("p",$G49,$E49,$F49,$C49/365,$C49/365,$I$2,H49)</f>
        <v>1.8932141370669509</v>
      </c>
      <c r="L49" s="120">
        <f>EBlackScholesForward("d",G49,E49,F49,C49/365,C49/365,$I$2,H49)</f>
        <v>-0.48261095485565564</v>
      </c>
      <c r="M49" s="106">
        <f>EBlackScholesForward("g",G49,E49,F49,C49/365,C49/365,$I$2,H49)</f>
        <v>8.5569875623026093E-2</v>
      </c>
      <c r="N49" s="106">
        <f>EBlackScholesForward("v",G49,E49,F49,C49/365,C49/365,$I$2,H49)</f>
        <v>9.3184831530107815E-2</v>
      </c>
      <c r="O49" s="106">
        <f>EBlackScholesForward("t",G49,E49,F49,C49/365,C49/365,$I$2,H49)</f>
        <v>-6.8673080312220414E-3</v>
      </c>
      <c r="P49" s="103"/>
      <c r="Q49" s="106">
        <f>EBlackScholesForward("p",$G49,$E49,$F49,$C49/365,$C49/365,$I$2,$I49)</f>
        <v>2.1726985178960985</v>
      </c>
      <c r="R49" s="107">
        <f>EBlackScholesForward("d",$G49,$E49,$F49,$C49/365,$C49/365,$I$2,$I49)</f>
        <v>-0.47789193029950106</v>
      </c>
      <c r="S49" s="106">
        <f>EBlackScholesForward("g",$G49,$E49,$F49,$C49/365,$C49/365,$I$2,$I49)</f>
        <v>7.4247056165432923E-2</v>
      </c>
      <c r="T49" s="106">
        <f>EBlackScholesForward("v",$G49,$E49,$F49,$C49/365,$C49/365,$I$2,$I49)</f>
        <v>9.3136075663964535E-2</v>
      </c>
      <c r="U49" s="106">
        <f>EBlackScholesForward("t",$G49,$E49,$F49,$C49/365,$C49/365,$I$2,$I49)</f>
        <v>-7.9065597040450797E-3</v>
      </c>
    </row>
    <row r="50" spans="2:21" ht="12.75">
      <c r="B50" s="96">
        <f>B49</f>
        <v>40354</v>
      </c>
      <c r="C50" s="97">
        <f>B50-Today</f>
        <v>133</v>
      </c>
      <c r="D50" s="98">
        <f>B50+30</f>
        <v>40384</v>
      </c>
      <c r="E50" s="100">
        <f>E49</f>
        <v>38.9</v>
      </c>
      <c r="F50" s="100">
        <v>49</v>
      </c>
      <c r="G50" s="101" t="s">
        <v>82</v>
      </c>
      <c r="H50" s="102">
        <v>0.245</v>
      </c>
      <c r="I50" s="102">
        <v>0.24349999999999999</v>
      </c>
      <c r="J50" s="103"/>
      <c r="K50" s="104">
        <f>EBlackScholesForward("p",$G50,$E50,$F50,$C50/365,$C50/365,$I$2,H50)</f>
        <v>0.16343694690222488</v>
      </c>
      <c r="L50" s="105">
        <f>EBlackScholesForward("d",G50,E50,F50,C50/365,C50/365,$I$2,H50)</f>
        <v>6.8219118701143278E-2</v>
      </c>
      <c r="M50" s="104">
        <f>EBlackScholesForward("g",G50,E50,F50,C50/365,C50/365,$I$2,H50)</f>
        <v>2.2856010188920806E-2</v>
      </c>
      <c r="N50" s="104">
        <f>EBlackScholesForward("v",G50,E50,F50,C50/365,C50/365,$I$2,H50)</f>
        <v>3.0864240203979723E-2</v>
      </c>
      <c r="O50" s="104">
        <f>EBlackScholesForward("t",G50,E50,F50,C50/365,C50/365,$I$2,H50)</f>
        <v>-2.8306787641682041E-3</v>
      </c>
      <c r="P50" s="103"/>
      <c r="Q50" s="104">
        <f>EBlackScholesForward("p",$G50,$E50,$F50,$C50/365,$C50/365,$I$2,$I50)</f>
        <v>0.1588400108922996</v>
      </c>
      <c r="R50" s="105">
        <f>EBlackScholesForward("d",$G50,$E50,$F50,$C50/365,$C50/365,$I$2,$I50)</f>
        <v>6.6905236475600649E-2</v>
      </c>
      <c r="S50" s="104">
        <f>EBlackScholesForward("g",$G50,$E50,$F50,$C50/365,$C50/365,$I$2,$I50)</f>
        <v>2.2653997682198224E-2</v>
      </c>
      <c r="T50" s="104">
        <f>EBlackScholesForward("v",$G50,$E50,$F50,$C50/365,$C50/365,$I$2,$I50)</f>
        <v>3.0404497835328642E-2</v>
      </c>
      <c r="U50" s="104">
        <f>EBlackScholesForward("t",$G50,$E50,$F50,$C50/365,$C50/365,$I$2,$I50)</f>
        <v>-2.7712920826864218E-3</v>
      </c>
    </row>
    <row r="51" spans="2:21" ht="12.75">
      <c r="B51" s="96">
        <v>40354</v>
      </c>
      <c r="C51" s="97">
        <f>B51-Today</f>
        <v>133</v>
      </c>
      <c r="D51" s="98">
        <f>B51+30</f>
        <v>40384</v>
      </c>
      <c r="E51" s="100">
        <f>E50</f>
        <v>38.9</v>
      </c>
      <c r="F51" s="100">
        <v>55</v>
      </c>
      <c r="G51" s="101" t="s">
        <v>82</v>
      </c>
      <c r="H51" s="102">
        <v>0.219</v>
      </c>
      <c r="I51" s="102">
        <v>0.22800000000000001</v>
      </c>
      <c r="J51" s="103"/>
      <c r="K51" s="106">
        <f>EBlackScholesForward("p",$G51,$E51,$F51,$C51/365,$C51/365,$I$2,H51)</f>
        <v>8.34784526116218E-3</v>
      </c>
      <c r="L51" s="107">
        <f>EBlackScholesForward("d",G51,E51,F51,C51/365,C51/365,$I$2,H51)</f>
        <v>5.3041495310030169E-3</v>
      </c>
      <c r="M51" s="106">
        <f>EBlackScholesForward("g",G51,E51,F51,C51/365,C51/365,$I$2,H51)</f>
        <v>2.9620535744838417E-3</v>
      </c>
      <c r="N51" s="106">
        <f>EBlackScholesForward("v",G51,E51,F51,C51/365,C51/365,$I$2,H51)</f>
        <v>3.6096173314480143E-3</v>
      </c>
      <c r="O51" s="106">
        <f>EBlackScholesForward("t",G51,E51,F51,C51/365,C51/365,$I$2,H51)</f>
        <v>-2.9096769309012484E-4</v>
      </c>
      <c r="P51" s="103"/>
      <c r="Q51" s="106">
        <f>EBlackScholesForward("p",$G51,$E51,$F51,$C51/365,$C51/365,$I$2,$I51)</f>
        <v>1.2044440672572418E-2</v>
      </c>
      <c r="R51" s="107">
        <f>EBlackScholesForward("d",$G51,$E51,$F51,$C51/365,$C51/365,$I$2,$I51)</f>
        <v>7.1573594625324796E-3</v>
      </c>
      <c r="S51" s="106">
        <f>EBlackScholesForward("g",$G51,$E51,$F51,$C51/365,$C51/365,$I$2,$I51)</f>
        <v>3.709925832651173E-3</v>
      </c>
      <c r="T51" s="106">
        <f>EBlackScholesForward("v",$G51,$E51,$F51,$C51/365,$C51/365,$I$2,$I51)</f>
        <v>4.6954001487009142E-3</v>
      </c>
      <c r="U51" s="106">
        <f>EBlackScholesForward("t",$G51,$E51,$F51,$C51/365,$C51/365,$I$2,$I51)</f>
        <v>-3.953728790027991E-4</v>
      </c>
    </row>
    <row r="52" spans="2:21" ht="12.75">
      <c r="B52" s="96">
        <f>B51</f>
        <v>40354</v>
      </c>
      <c r="C52" s="97">
        <f>B52-Today</f>
        <v>133</v>
      </c>
      <c r="D52" s="98">
        <f>B52+30</f>
        <v>40384</v>
      </c>
      <c r="E52" s="100">
        <f>E51</f>
        <v>38.9</v>
      </c>
      <c r="F52" s="100">
        <v>42</v>
      </c>
      <c r="G52" s="101" t="s">
        <v>80</v>
      </c>
      <c r="H52" s="102">
        <v>0.22</v>
      </c>
      <c r="I52" s="102">
        <v>0.22800000000000001</v>
      </c>
      <c r="J52" s="103"/>
      <c r="K52" s="104">
        <f>EBlackScholesForward("p",$G52,$E52,$F52,$C52/365,$C52/365,$I$2,H52)</f>
        <v>4.0197360472639048</v>
      </c>
      <c r="L52" s="105">
        <f>EBlackScholesForward("d",G52,E52,F52,C52/365,C52/365,$I$2,H52)</f>
        <v>-0.69215366947257273</v>
      </c>
      <c r="M52" s="104">
        <f>EBlackScholesForward("g",G52,E52,F52,C52/365,C52/365,$I$2,H52)</f>
        <v>6.7466061990373305E-2</v>
      </c>
      <c r="N52" s="104">
        <f>EBlackScholesForward("v",G52,E52,F52,C52/365,C52/365,$I$2,H52)</f>
        <v>8.1814804155624588E-2</v>
      </c>
      <c r="O52" s="104">
        <f>EBlackScholesForward("t",G52,E52,F52,C52/365,C52/365,$I$2,H52)</f>
        <v>-6.6398532842351088E-3</v>
      </c>
      <c r="P52" s="103"/>
      <c r="Q52" s="104">
        <f>EBlackScholesForward("p",$G52,$E52,$F52,$C52/365,$C52/365,$I$2,$I52)</f>
        <v>4.0855871600601468</v>
      </c>
      <c r="R52" s="105">
        <f>EBlackScholesForward("d",$G52,$E52,$F52,$C52/365,$C52/365,$I$2,$I52)</f>
        <v>-0.68420619453997134</v>
      </c>
      <c r="S52" s="104">
        <f>EBlackScholesForward("g",$G52,$E52,$F52,$C52/365,$C52/365,$I$2,$I52)</f>
        <v>6.5840480427681314E-2</v>
      </c>
      <c r="T52" s="104">
        <f>EBlackScholesForward("v",$G52,$E52,$F52,$C52/365,$C52/365,$I$2,$I52)</f>
        <v>8.2750086605003492E-2</v>
      </c>
      <c r="U52" s="104">
        <f>EBlackScholesForward("t",$G52,$E52,$F52,$C52/365,$C52/365,$I$2,$I52)</f>
        <v>-6.9643878231158141E-3</v>
      </c>
    </row>
    <row r="53" spans="2:21" ht="12.75">
      <c r="B53" s="92" t="s">
        <v>88</v>
      </c>
      <c r="C53" s="103"/>
      <c r="D53" s="103"/>
      <c r="E53" s="108"/>
      <c r="F53" s="108"/>
      <c r="G53" s="109"/>
      <c r="H53" s="108"/>
      <c r="I53" s="108"/>
      <c r="J53" s="103"/>
      <c r="K53" s="117">
        <f>K54+K55</f>
        <v>2.6644840533270937</v>
      </c>
      <c r="L53" s="103"/>
      <c r="M53" s="103"/>
      <c r="N53" s="103"/>
      <c r="O53" s="103"/>
      <c r="P53" s="103"/>
      <c r="Q53" s="117">
        <f>Q54+Q55</f>
        <v>2.938565154100349</v>
      </c>
      <c r="R53" s="103"/>
      <c r="S53" s="103"/>
      <c r="T53" s="103"/>
      <c r="U53" s="103"/>
    </row>
    <row r="54" spans="2:21" ht="12.75">
      <c r="B54" s="96">
        <v>41255</v>
      </c>
      <c r="C54" s="97">
        <f>B54-Today</f>
        <v>1034</v>
      </c>
      <c r="D54" s="98">
        <f>B54+30</f>
        <v>41285</v>
      </c>
      <c r="E54" s="100">
        <v>6.75</v>
      </c>
      <c r="F54" s="100">
        <v>10</v>
      </c>
      <c r="G54" s="101" t="s">
        <v>82</v>
      </c>
      <c r="H54" s="102">
        <v>0.55800000000000005</v>
      </c>
      <c r="I54" s="102">
        <v>0.57899999999999996</v>
      </c>
      <c r="J54" s="103"/>
      <c r="K54" s="104">
        <f>EBlackScholesForward("p",$G54,$E54,$F54,$C54/365,$C54/365,$I$2,H54)</f>
        <v>1.582992467291618</v>
      </c>
      <c r="L54" s="105">
        <f>EBlackScholesForward("d",G54,E54,F54,C54/365,C54/365,$I$2,H54)</f>
        <v>0.5022695777384123</v>
      </c>
      <c r="M54" s="104">
        <f>EBlackScholesForward("g",G54,E54,F54,C54/365,C54/365,$I$2,H54)</f>
        <v>6.0661437222275794E-2</v>
      </c>
      <c r="N54" s="104">
        <f>EBlackScholesForward("v",G54,E54,F54,C54/365,C54/365,$I$2,H54)</f>
        <v>4.3688258796064749E-2</v>
      </c>
      <c r="O54" s="104">
        <f>EBlackScholesForward("t",G54,E54,F54,C54/365,C54/365,$I$2,H54)</f>
        <v>-1.1249948598663906E-3</v>
      </c>
      <c r="P54" s="103"/>
      <c r="Q54" s="104">
        <f>EBlackScholesForward("p",$G54,$E54,$F54,$C54/365,$C54/365,$I$2,$I54)</f>
        <v>1.6746474512934932</v>
      </c>
      <c r="R54" s="105">
        <f>EBlackScholesForward("d",$G54,$E54,$F54,$C54/365,$C54/365,$I$2,$I54)</f>
        <v>0.51489003032736402</v>
      </c>
      <c r="S54" s="104">
        <f>EBlackScholesForward("g",$G54,$E54,$F54,$C54/365,$C54/365,$I$2,$I54)</f>
        <v>5.8331755661278351E-2</v>
      </c>
      <c r="T54" s="104">
        <f>EBlackScholesForward("v",$G54,$E54,$F54,$C54/365,$C54/365,$I$2,$I54)</f>
        <v>4.359163818878431E-2</v>
      </c>
      <c r="U54" s="104">
        <f>EBlackScholesForward("t",$G54,$E54,$F54,$C54/365,$C54/365,$I$2,$I54)</f>
        <v>-1.1635324059406926E-3</v>
      </c>
    </row>
    <row r="55" spans="2:21" ht="12.75">
      <c r="B55" s="96">
        <f>B54</f>
        <v>41255</v>
      </c>
      <c r="C55" s="97">
        <f>B55-Today</f>
        <v>1034</v>
      </c>
      <c r="D55" s="98">
        <f>B55+30</f>
        <v>41285</v>
      </c>
      <c r="E55" s="100">
        <v>6.6</v>
      </c>
      <c r="F55" s="100">
        <v>15</v>
      </c>
      <c r="G55" s="101" t="s">
        <v>82</v>
      </c>
      <c r="H55" s="102">
        <v>0.60599999999999998</v>
      </c>
      <c r="I55" s="102">
        <v>0.65</v>
      </c>
      <c r="J55" s="103"/>
      <c r="K55" s="104">
        <f>EBlackScholesForward("p",$G55,$E55,$F55,$C55/365,$C55/365,$I$2,H55)</f>
        <v>1.0814915860354759</v>
      </c>
      <c r="L55" s="105">
        <f>EBlackScholesForward("d",G55,E55,F55,C55/365,C55/365,$I$2,H55)</f>
        <v>0.37066494855764187</v>
      </c>
      <c r="M55" s="104">
        <f>EBlackScholesForward("g",G55,E55,F55,C55/365,C55/365,$I$2,H55)</f>
        <v>5.4766293722252612E-2</v>
      </c>
      <c r="N55" s="104">
        <f>EBlackScholesForward("v",G55,E55,F55,C55/365,C55/365,$I$2,H55)</f>
        <v>4.0950671032542907E-2</v>
      </c>
      <c r="O55" s="104">
        <f>EBlackScholesForward("t",G55,E55,F55,C55/365,C55/365,$I$2,H55)</f>
        <v>-1.1632977238802411E-3</v>
      </c>
      <c r="P55" s="103"/>
      <c r="Q55" s="104">
        <f>EBlackScholesForward("p",$G55,$E55,$F55,$C55/365,$C55/365,$I$2,$I55)</f>
        <v>1.263917702806856</v>
      </c>
      <c r="R55" s="105">
        <f>EBlackScholesForward("d",$G55,$E55,$F55,$C55/365,$C55/365,$I$2,$I55)</f>
        <v>0.40481553558622263</v>
      </c>
      <c r="S55" s="104">
        <f>EBlackScholesForward("g",$G55,$E55,$F55,$C55/365,$C55/365,$I$2,$I55)</f>
        <v>5.2236686722828551E-2</v>
      </c>
      <c r="T55" s="104">
        <f>EBlackScholesForward("v",$G55,$E55,$F55,$C55/365,$C55/365,$I$2,$I55)</f>
        <v>4.1895906450751474E-2</v>
      </c>
      <c r="U55" s="104">
        <f>EBlackScholesForward("t",$G55,$E55,$F55,$C55/365,$C55/365,$I$2,$I55)</f>
        <v>-1.2739378647328437E-3</v>
      </c>
    </row>
    <row r="56" spans="2:21" ht="12.75">
      <c r="B56" s="96">
        <f>B55</f>
        <v>41255</v>
      </c>
      <c r="C56" s="97">
        <f>B56-Today</f>
        <v>1034</v>
      </c>
      <c r="D56" s="98">
        <f>B56+30</f>
        <v>41285</v>
      </c>
      <c r="E56" s="100">
        <v>6.75</v>
      </c>
      <c r="F56" s="100">
        <v>6</v>
      </c>
      <c r="G56" s="101" t="s">
        <v>80</v>
      </c>
      <c r="H56" s="102">
        <v>0.63200000000000001</v>
      </c>
      <c r="I56" s="102">
        <v>0.63800000000000001</v>
      </c>
      <c r="J56" s="103"/>
      <c r="K56" s="104">
        <f>EBlackScholesForward("p",$G56,$E56,$F56,$C56/365,$C56/365,$I$2,H56)</f>
        <v>2.1450647573562942</v>
      </c>
      <c r="L56" s="105">
        <f>EBlackScholesForward("d",G56,E56,F56,C56/365,C56/365,$I$2,H56)</f>
        <v>-0.25119068636412223</v>
      </c>
      <c r="M56" s="104">
        <f>EBlackScholesForward("g",G56,E56,F56,C56/365,C56/365,$I$2,H56)</f>
        <v>4.3624627679150763E-2</v>
      </c>
      <c r="N56" s="104">
        <f>EBlackScholesForward("v",G56,E56,F56,C56/365,C56/365,$I$2,H56)</f>
        <v>3.5586010640314747E-2</v>
      </c>
      <c r="O56" s="104">
        <f>EBlackScholesForward("t",G56,E56,F56,C56/365,C56/365,$I$2,H56)</f>
        <v>-1.0144618428991059E-3</v>
      </c>
      <c r="P56" s="103"/>
      <c r="Q56" s="104">
        <f>EBlackScholesForward("p",$G56,$E56,$F56,$C56/365,$C56/365,$I$2,$I56)</f>
        <v>2.1663890763068956</v>
      </c>
      <c r="R56" s="105">
        <f>EBlackScholesForward("d",$G56,$E56,$F56,$C56/365,$C56/365,$I$2,$I56)</f>
        <v>-0.24993685944767474</v>
      </c>
      <c r="S56" s="104">
        <f>EBlackScholesForward("g",$G56,$E56,$F56,$C56/365,$C56/365,$I$2,$I56)</f>
        <v>4.3102862163912903E-2</v>
      </c>
      <c r="T56" s="104">
        <f>EBlackScholesForward("v",$G56,$E56,$F56,$C56/365,$C56/365,$I$2,$I56)</f>
        <v>3.5494195315625809E-2</v>
      </c>
      <c r="U56" s="104">
        <f>EBlackScholesForward("t",$G56,$E56,$F56,$C56/365,$C56/365,$I$2,$I56)</f>
        <v>-1.0212276953640576E-3</v>
      </c>
    </row>
    <row r="57" spans="2:21" ht="12.75">
      <c r="B57" s="96">
        <v>41255</v>
      </c>
      <c r="C57" s="97">
        <f>B57-Today</f>
        <v>1034</v>
      </c>
      <c r="D57" s="98">
        <f>B57+30</f>
        <v>41285</v>
      </c>
      <c r="E57" s="100">
        <v>6.75</v>
      </c>
      <c r="F57" s="100">
        <v>12</v>
      </c>
      <c r="G57" s="101" t="s">
        <v>82</v>
      </c>
      <c r="H57" s="102">
        <v>0.55300000000000005</v>
      </c>
      <c r="I57" s="102">
        <v>0.59650000000000003</v>
      </c>
      <c r="J57" s="103"/>
      <c r="K57" s="104">
        <f>EBlackScholesForward("p",$G57,$E57,$F57,$C57/365,$C57/365,$I$2,H57)</f>
        <v>1.2487619446299685</v>
      </c>
      <c r="L57" s="105">
        <f>EBlackScholesForward("d",G57,E57,F57,C57/365,C57/365,$I$2,H57)</f>
        <v>0.42400134890604457</v>
      </c>
      <c r="M57" s="104">
        <f>EBlackScholesForward("g",G57,E57,F57,C57/365,C57/365,$I$2,H57)</f>
        <v>6.0578678022782384E-2</v>
      </c>
      <c r="N57" s="104">
        <f>EBlackScholesForward("v",G57,E57,F57,C57/365,C57/365,$I$2,H57)</f>
        <v>4.3236297313863914E-2</v>
      </c>
      <c r="O57" s="104">
        <f>EBlackScholesForward("t",G57,E57,F57,C57/365,C57/365,$I$2,H57)</f>
        <v>-1.1137642772296452E-3</v>
      </c>
      <c r="P57" s="103"/>
      <c r="Q57" s="104">
        <f>EBlackScholesForward("p",$G57,$E57,$F57,$C57/365,$C57/365,$I$2,$I57)</f>
        <v>1.4378332548136226</v>
      </c>
      <c r="R57" s="105">
        <f>EBlackScholesForward("d",$G57,$E57,$F57,$C57/365,$C57/365,$I$2,$I57)</f>
        <v>0.45525115443846298</v>
      </c>
      <c r="S57" s="104">
        <f>EBlackScholesForward("g",$G57,$E57,$F57,$C57/365,$C57/365,$I$2,$I57)</f>
        <v>5.6676850774817211E-2</v>
      </c>
      <c r="T57" s="104">
        <f>EBlackScholesForward("v",$G57,$E57,$F57,$C57/365,$C57/365,$I$2,$I57)</f>
        <v>4.3634123823311444E-2</v>
      </c>
      <c r="U57" s="104">
        <f>EBlackScholesForward("t",$G57,$E57,$F57,$C57/365,$C57/365,$I$2,$I57)</f>
        <v>-1.2097506527095625E-3</v>
      </c>
    </row>
    <row r="58" spans="2:21" ht="12.75">
      <c r="B58" s="96">
        <v>41255</v>
      </c>
      <c r="C58" s="97">
        <f>B58-Today</f>
        <v>1034</v>
      </c>
      <c r="D58" s="98">
        <f>B58+30</f>
        <v>41285</v>
      </c>
      <c r="E58" s="100">
        <v>45.4</v>
      </c>
      <c r="F58" s="100">
        <v>40</v>
      </c>
      <c r="G58" s="101" t="s">
        <v>80</v>
      </c>
      <c r="H58" s="102">
        <v>0.19500000000000001</v>
      </c>
      <c r="I58" s="102">
        <v>0.24</v>
      </c>
      <c r="J58" s="103"/>
      <c r="K58" s="104">
        <f>EBlackScholesForward("p",$G58,$E58,$F58,$C58/365,$C58/365,$I$2,H58)</f>
        <v>3.157060488922514</v>
      </c>
      <c r="L58" s="105">
        <f>EBlackScholesForward("d",G58,E58,F58,C58/365,C58/365,$I$2,H58)</f>
        <v>-0.28105144378920421</v>
      </c>
      <c r="M58" s="104">
        <f>EBlackScholesForward("g",G58,E58,F58,C58/365,C58/365,$I$2,H58)</f>
        <v>2.2215469801523113E-2</v>
      </c>
      <c r="N58" s="104">
        <f>EBlackScholesForward("v",G58,E58,F58,C58/365,C58/365,$I$2,H58)</f>
        <v>0.25289601731676825</v>
      </c>
      <c r="O58" s="104">
        <f>EBlackScholesForward("t",G58,E58,F58,C58/365,C58/365,$I$2,H58)</f>
        <v>-2.277606223184403E-3</v>
      </c>
      <c r="P58" s="103"/>
      <c r="Q58" s="104">
        <f>EBlackScholesForward("p",$G58,$E58,$F58,$C58/365,$C58/365,$I$2,$I58)</f>
        <v>4.3074789339748634</v>
      </c>
      <c r="R58" s="105">
        <f>EBlackScholesForward("d",$G58,$E58,$F58,$C58/365,$C58/365,$I$2,$I58)</f>
        <v>-0.2925694807144108</v>
      </c>
      <c r="S58" s="104">
        <f>EBlackScholesForward("g",$G58,$E58,$F58,$C58/365,$C58/365,$I$2,$I58)</f>
        <v>1.8384600002363527E-2</v>
      </c>
      <c r="T58" s="104">
        <f>EBlackScholesForward("v",$G58,$E58,$F58,$C58/365,$C58/365,$I$2,$I58)</f>
        <v>0.25761015906250018</v>
      </c>
      <c r="U58" s="104">
        <f>EBlackScholesForward("t",$G58,$E58,$F58,$C58/365,$C58/365,$I$2,$I58)</f>
        <v>-2.8432260665383069E-3</v>
      </c>
    </row>
    <row r="59" spans="2:21" ht="12.75">
      <c r="B59" s="92" t="s">
        <v>88</v>
      </c>
      <c r="C59" s="103"/>
      <c r="D59" s="103"/>
      <c r="E59" s="108"/>
      <c r="F59" s="108"/>
      <c r="G59" s="109"/>
      <c r="H59" s="108"/>
      <c r="I59" s="108"/>
      <c r="J59" s="103"/>
      <c r="K59" s="124">
        <f>K57+K58</f>
        <v>4.4058224335524825</v>
      </c>
      <c r="L59" s="103"/>
      <c r="M59" s="103"/>
      <c r="N59" s="103"/>
      <c r="O59" s="103"/>
      <c r="P59" s="103"/>
      <c r="Q59" s="116">
        <f>Q57+Q58</f>
        <v>5.7453121887884855</v>
      </c>
      <c r="R59" s="103"/>
      <c r="S59" s="103"/>
      <c r="T59" s="103"/>
      <c r="U59" s="103"/>
    </row>
    <row r="60" spans="2:21" ht="12.75">
      <c r="B60" s="96">
        <v>41255</v>
      </c>
      <c r="C60" s="97">
        <f>B60-Today</f>
        <v>1034</v>
      </c>
      <c r="D60" s="98">
        <f>B60+30</f>
        <v>41285</v>
      </c>
      <c r="E60" s="100">
        <v>13</v>
      </c>
      <c r="F60" s="100">
        <v>19</v>
      </c>
      <c r="G60" s="114" t="s">
        <v>82</v>
      </c>
      <c r="H60" s="102">
        <v>0.34499999999999997</v>
      </c>
      <c r="I60" s="102">
        <v>0.37</v>
      </c>
      <c r="J60" s="103"/>
      <c r="K60" s="104">
        <f>EBlackScholesForward("p",$G60,$E60,$F60,$C60/365,$C60/365,$I$2,H60)</f>
        <v>1.3293248351993574</v>
      </c>
      <c r="L60" s="105">
        <f>EBlackScholesForward("d",G60,E60,F60,C60/365,C60/365,$I$2,H60)</f>
        <v>0.34576637628933593</v>
      </c>
      <c r="M60" s="104">
        <f>EBlackScholesForward("g",G60,E60,F60,C60/365,C60/365,$I$2,H60)</f>
        <v>4.7754131520250098E-2</v>
      </c>
      <c r="N60" s="104">
        <f>EBlackScholesForward("v",G60,E60,F60,C60/365,C60/365,$I$2,H60)</f>
        <v>7.8862135964868241E-2</v>
      </c>
      <c r="O60" s="104">
        <f>EBlackScholesForward("t",G60,E60,F60,C60/365,C60/365,$I$2,H60)</f>
        <v>-1.2705987520658102E-3</v>
      </c>
      <c r="P60" s="103"/>
      <c r="Q60" s="104">
        <f>EBlackScholesForward("p",$G60,$E60,$F60,$C60/365,$C60/365,$I$2,$I60)</f>
        <v>1.5287596362738074</v>
      </c>
      <c r="R60" s="104">
        <f>EBlackScholesForward("d",$G60,$E60,$F60,$C60/365,$C60/365,$I$2,$I60)</f>
        <v>0.36953226940692474</v>
      </c>
      <c r="S60" s="104">
        <f>EBlackScholesForward("g",$G60,$E60,$F60,$C60/365,$C60/365,$I$2,$I60)</f>
        <v>4.5497654506121421E-2</v>
      </c>
      <c r="T60" s="104">
        <f>EBlackScholesForward("v",$G60,$E60,$F60,$C60/365,$C60/365,$I$2,$I60)</f>
        <v>8.0583304608129236E-2</v>
      </c>
      <c r="U60" s="104">
        <f>EBlackScholesForward("t",$G60,$E60,$F60,$C60/365,$C60/365,$I$2,$I60)</f>
        <v>-1.3899171305260527E-3</v>
      </c>
    </row>
    <row r="61" spans="2:21" ht="12.75">
      <c r="B61" s="96">
        <f>B60</f>
        <v>41255</v>
      </c>
      <c r="C61" s="97">
        <f>B61-Today</f>
        <v>1034</v>
      </c>
      <c r="D61" s="98">
        <f>B61+30</f>
        <v>41285</v>
      </c>
      <c r="E61" s="100">
        <v>13.2</v>
      </c>
      <c r="F61" s="100">
        <v>14</v>
      </c>
      <c r="G61" s="101" t="s">
        <v>82</v>
      </c>
      <c r="H61" s="102">
        <v>0.39</v>
      </c>
      <c r="I61" s="102">
        <v>0.40500000000000003</v>
      </c>
      <c r="J61" s="103"/>
      <c r="K61" s="106">
        <f>EBlackScholesForward("p",$G61,$E61,$F61,$C61/365,$C61/365,$I$2,H61)</f>
        <v>3.0038055132482318</v>
      </c>
      <c r="L61" s="107">
        <f>EBlackScholesForward("d",G61,E61,F61,C61/365,C61/365,$I$2,H61)</f>
        <v>0.57360395798138342</v>
      </c>
      <c r="M61" s="106">
        <f>EBlackScholesForward("g",G61,E61,F61,C61/365,C61/365,$I$2,H61)</f>
        <v>4.3193662317975168E-2</v>
      </c>
      <c r="N61" s="106">
        <f>EBlackScholesForward("v",G61,E61,F61,C61/365,C61/365,$I$2,H61)</f>
        <v>8.314848727843005E-2</v>
      </c>
      <c r="O61" s="106">
        <f>EBlackScholesForward("t",G61,E61,F61,C61/365,C61/365,$I$2,H61)</f>
        <v>-1.4657007299319069E-3</v>
      </c>
      <c r="P61" s="103"/>
      <c r="Q61" s="106">
        <f>EBlackScholesForward("p",$G61,$E61,$F61,$C61/365,$C61/365,$I$2,$I61)</f>
        <v>3.1282871019539753</v>
      </c>
      <c r="R61" s="107">
        <f>EBlackScholesForward("d",$G61,$E61,$F61,$C61/365,$C61/365,$I$2,$I61)</f>
        <v>0.57955931293816043</v>
      </c>
      <c r="S61" s="106">
        <f>EBlackScholesForward("g",$G61,$E61,$F61,$C61/365,$C61/365,$I$2,$I61)</f>
        <v>4.1430726538393969E-2</v>
      </c>
      <c r="T61" s="106">
        <f>EBlackScholesForward("v",$G61,$E61,$F61,$C61/365,$C61/365,$I$2,$I61)</f>
        <v>8.2822339586274163E-2</v>
      </c>
      <c r="U61" s="106">
        <f>EBlackScholesForward("t",$G61,$E61,$F61,$C61/365,$C61/365,$I$2,$I61)</f>
        <v>-1.5153807368180061E-3</v>
      </c>
    </row>
    <row r="62" spans="2:21" ht="12.75">
      <c r="B62" s="96">
        <f>B61</f>
        <v>41255</v>
      </c>
      <c r="C62" s="97">
        <f>B62-Today</f>
        <v>1034</v>
      </c>
      <c r="D62" s="98">
        <f>B62+30</f>
        <v>41285</v>
      </c>
      <c r="E62" s="100">
        <v>13.2</v>
      </c>
      <c r="F62" s="100">
        <v>13</v>
      </c>
      <c r="G62" s="101" t="s">
        <v>82</v>
      </c>
      <c r="H62" s="102">
        <v>0.38400000000000001</v>
      </c>
      <c r="I62" s="102">
        <v>0.41</v>
      </c>
      <c r="J62" s="103"/>
      <c r="K62" s="104">
        <f>EBlackScholesForward("p",$G62,$E62,$F62,$C62/365,$C62/365,$I$2,H62)</f>
        <v>3.3017427358618061</v>
      </c>
      <c r="L62" s="105">
        <f>EBlackScholesForward("d",G62,E62,F62,C62/365,C62/365,$I$2,H62)</f>
        <v>0.61350764211647313</v>
      </c>
      <c r="M62" s="104">
        <f>EBlackScholesForward("g",G62,E62,F62,C62/365,C62/365,$I$2,H62)</f>
        <v>4.2500977621706681E-2</v>
      </c>
      <c r="N62" s="104">
        <f>EBlackScholesForward("v",G62,E62,F62,C62/365,C62/365,$I$2,H62)</f>
        <v>8.0556570904671387E-2</v>
      </c>
      <c r="O62" s="104">
        <f>EBlackScholesForward("t",G62,E62,F62,C62/365,C62/365,$I$2,H62)</f>
        <v>-1.3832194681397958E-3</v>
      </c>
      <c r="P62" s="103"/>
      <c r="Q62" s="104">
        <f>EBlackScholesForward("p",$G62,$E62,$F62,$C62/365,$C62/365,$I$2,$I62)</f>
        <v>3.510440390582183</v>
      </c>
      <c r="R62" s="105">
        <f>EBlackScholesForward("d",$G62,$E62,$F62,$C62/365,$C62/365,$I$2,$I62)</f>
        <v>0.62087160659212159</v>
      </c>
      <c r="S62" s="104">
        <f>EBlackScholesForward("g",$G62,$E62,$F62,$C62/365,$C62/365,$I$2,$I62)</f>
        <v>3.9517219372342538E-2</v>
      </c>
      <c r="T62" s="104">
        <f>EBlackScholesForward("v",$G62,$E62,$F62,$C62/365,$C62/365,$I$2,$I62)</f>
        <v>7.9972587958422325E-2</v>
      </c>
      <c r="U62" s="104">
        <f>EBlackScholesForward("t",$G62,$E62,$F62,$C62/365,$C62/365,$I$2,$I62)</f>
        <v>-1.465807468314928E-3</v>
      </c>
    </row>
    <row r="63" spans="2:21" ht="12.75">
      <c r="B63" s="96">
        <f>B62</f>
        <v>41255</v>
      </c>
      <c r="C63" s="97">
        <f>B63-Today</f>
        <v>1034</v>
      </c>
      <c r="D63" s="98">
        <f>B63+30</f>
        <v>41285</v>
      </c>
      <c r="E63" s="100">
        <v>13.2</v>
      </c>
      <c r="F63" s="100">
        <v>12</v>
      </c>
      <c r="G63" s="101" t="s">
        <v>82</v>
      </c>
      <c r="H63" s="102">
        <v>0.57499999999999996</v>
      </c>
      <c r="I63" s="102">
        <v>0.495</v>
      </c>
      <c r="J63" s="103"/>
      <c r="K63" s="106">
        <f>EBlackScholesForward("p",$G63,$E63,$F63,$C63/365,$C63/365,$I$2,H63)</f>
        <v>5.1178765884588424</v>
      </c>
      <c r="L63" s="107">
        <f>EBlackScholesForward("d",G63,E63,F63,C63/365,C63/365,$I$2,H63)</f>
        <v>0.69479950405160196</v>
      </c>
      <c r="M63" s="106">
        <f>EBlackScholesForward("g",G63,E63,F63,C63/365,C63/365,$I$2,H63)</f>
        <v>2.5440593098835507E-2</v>
      </c>
      <c r="N63" s="106">
        <f>EBlackScholesForward("v",G63,E63,F63,C63/365,C63/365,$I$2,H63)</f>
        <v>7.220476986979385E-2</v>
      </c>
      <c r="O63" s="106">
        <f>EBlackScholesForward("t",G63,E63,F63,C63/365,C63/365,$I$2,H63)</f>
        <v>-1.8330399948522924E-3</v>
      </c>
      <c r="P63" s="103"/>
      <c r="Q63" s="106">
        <f>EBlackScholesForward("p",$G63,$E63,$F63,$C63/365,$C63/365,$I$2,$I63)</f>
        <v>4.5316288821947053</v>
      </c>
      <c r="R63" s="107">
        <f>EBlackScholesForward("d",$G63,$E63,$F63,$C63/365,$C63/365,$I$2,$I63)</f>
        <v>0.67784672118378353</v>
      </c>
      <c r="S63" s="106">
        <f>EBlackScholesForward("g",$G63,$E63,$F63,$C63/365,$C63/365,$I$2,$I63)</f>
        <v>3.0410135636316227E-2</v>
      </c>
      <c r="T63" s="106">
        <f>EBlackScholesForward("v",$G63,$E63,$F63,$C63/365,$C63/365,$I$2,$I63)</f>
        <v>7.4300802972208757E-2</v>
      </c>
      <c r="U63" s="106">
        <f>EBlackScholesForward("t",$G63,$E63,$F63,$C63/365,$C63/365,$I$2,$I63)</f>
        <v>-1.6238640202512755E-3</v>
      </c>
    </row>
    <row r="64" spans="2:21" ht="12.75">
      <c r="B64" s="96">
        <v>41255</v>
      </c>
      <c r="C64" s="97">
        <f>B64-Today</f>
        <v>1034</v>
      </c>
      <c r="D64" s="98">
        <f>B64+30</f>
        <v>41285</v>
      </c>
      <c r="E64" s="100">
        <v>13</v>
      </c>
      <c r="F64" s="100">
        <v>12</v>
      </c>
      <c r="G64" s="101" t="s">
        <v>80</v>
      </c>
      <c r="H64" s="102">
        <v>0.34699999999999998</v>
      </c>
      <c r="I64" s="102">
        <v>0.36799999999999999</v>
      </c>
      <c r="J64" s="103"/>
      <c r="K64" s="104">
        <f>EBlackScholesForward("p",$G64,$E64,$F64,$C64/365,$C64/365,$I$2,H64)</f>
        <v>2.3143435033762949</v>
      </c>
      <c r="L64" s="105">
        <f>EBlackScholesForward("d",G64,E64,F64,C64/365,C64/365,$I$2,H64)</f>
        <v>-0.32231805778961675</v>
      </c>
      <c r="M64" s="104">
        <f>EBlackScholesForward("g",G64,E64,F64,C64/365,C64/365,$I$2,H64)</f>
        <v>4.6255945380657693E-2</v>
      </c>
      <c r="N64" s="104">
        <f>EBlackScholesForward("v",G64,E64,F64,C64/365,C64/365,$I$2,H64)</f>
        <v>7.6842790251594018E-2</v>
      </c>
      <c r="O64" s="104">
        <f>EBlackScholesForward("t",G64,E64,F64,C64/365,C64/365,$I$2,H64)</f>
        <v>-1.2105249812690566E-3</v>
      </c>
      <c r="P64" s="103"/>
      <c r="Q64" s="104">
        <f>EBlackScholesForward("p",$G64,$E64,$F64,$C64/365,$C64/365,$I$2,$I64)</f>
        <v>2.4753785821536765</v>
      </c>
      <c r="R64" s="105">
        <f>EBlackScholesForward("d",$G64,$E64,$F64,$C64/365,$C64/365,$I$2,$I64)</f>
        <v>-0.31886541265158108</v>
      </c>
      <c r="S64" s="104">
        <f>EBlackScholesForward("g",$G64,$E64,$F64,$C64/365,$C64/365,$I$2,$I64)</f>
        <v>4.3430247940179356E-2</v>
      </c>
      <c r="T64" s="104">
        <f>EBlackScholesForward("v",$G64,$E64,$F64,$C64/365,$C64/365,$I$2,$I64)</f>
        <v>7.651507221799414E-2</v>
      </c>
      <c r="U64" s="104">
        <f>EBlackScholesForward("t",$G64,$E64,$F64,$C64/365,$C64/365,$I$2,$I64)</f>
        <v>-1.2772343146898457E-3</v>
      </c>
    </row>
    <row r="65" spans="2:21" ht="12.75">
      <c r="B65" s="92" t="s">
        <v>88</v>
      </c>
      <c r="C65" s="103"/>
      <c r="D65" s="103"/>
      <c r="E65" s="110"/>
      <c r="F65" s="110"/>
      <c r="G65" s="111"/>
      <c r="H65" s="110"/>
      <c r="I65" s="110"/>
      <c r="J65" s="103"/>
      <c r="K65" s="117">
        <f>K66-Q67</f>
        <v>1.4003139809658143</v>
      </c>
      <c r="L65" s="103"/>
      <c r="M65" s="103"/>
      <c r="N65" s="103"/>
      <c r="O65" s="103"/>
      <c r="P65" s="103"/>
      <c r="Q65" s="117">
        <f>Q66-K67</f>
        <v>1.8911210677030161</v>
      </c>
      <c r="R65" s="103"/>
      <c r="S65" s="103"/>
      <c r="T65" s="103"/>
      <c r="U65" s="103"/>
    </row>
    <row r="66" spans="2:21" ht="12.75">
      <c r="B66" s="96">
        <v>41255</v>
      </c>
      <c r="C66" s="97">
        <f>B66-Today</f>
        <v>1034</v>
      </c>
      <c r="D66" s="98">
        <f>B66+30</f>
        <v>41285</v>
      </c>
      <c r="E66" s="100">
        <v>13.15</v>
      </c>
      <c r="F66" s="100">
        <v>13</v>
      </c>
      <c r="G66" s="101" t="s">
        <v>80</v>
      </c>
      <c r="H66" s="102">
        <v>0.33</v>
      </c>
      <c r="I66" s="102">
        <v>0.33</v>
      </c>
      <c r="J66" s="103"/>
      <c r="K66" s="104">
        <f>EBlackScholesForward("p",$G66,$E66,$F66,$C66/365,$C66/365,$K$2,H66)</f>
        <v>2.6814522114632977</v>
      </c>
      <c r="L66" s="118">
        <f>EBlackScholesForward("d",G66,E66,F66,C66/365,C66/365,$I$2,H66)</f>
        <v>-0.36939583068935633</v>
      </c>
      <c r="M66" s="104">
        <f>EBlackScholesForward("g",G66,E66,F66,C66/365,C66/365,$I$2,H66)</f>
        <v>5.0425060473813232E-2</v>
      </c>
      <c r="N66" s="104">
        <f>EBlackScholesForward("v",G66,E66,F66,C66/365,C66/365,$I$2,H66)</f>
        <v>8.1514470792617866E-2</v>
      </c>
      <c r="O66" s="104">
        <f>EBlackScholesForward("t",G66,E66,F66,C66/365,C66/365,$I$2,H66)</f>
        <v>-1.2090679666685311E-3</v>
      </c>
      <c r="P66" s="103"/>
      <c r="Q66" s="104">
        <f>EBlackScholesForward("p",$G66,$E66,$F66,$C66/365,$C66/365,$K$2,$I66)</f>
        <v>2.6814522114632977</v>
      </c>
      <c r="R66" s="105">
        <f>EBlackScholesForward("d",$G66,$E66,$F66,$C66/365,$C66/365,$I$2,$I66)</f>
        <v>-0.36939583068935633</v>
      </c>
      <c r="S66" s="104">
        <f>EBlackScholesForward("g",$G66,$E66,$F66,$C66/365,$C66/365,$I$2,$I66)</f>
        <v>5.0425060473813232E-2</v>
      </c>
      <c r="T66" s="104">
        <f>EBlackScholesForward("v",$G66,$E66,$F66,$C66/365,$C66/365,$I$2,$I66)</f>
        <v>8.1514470792617866E-2</v>
      </c>
      <c r="U66" s="104">
        <f>EBlackScholesForward("t",$G66,$E66,$F66,$C66/365,$C66/365,$I$2,$I66)</f>
        <v>-1.2090679666685311E-3</v>
      </c>
    </row>
    <row r="67" spans="2:21" ht="12.75">
      <c r="B67" s="96">
        <f>B66</f>
        <v>41255</v>
      </c>
      <c r="C67" s="97">
        <f>B67-Today</f>
        <v>1034</v>
      </c>
      <c r="D67" s="98">
        <f>B67+30</f>
        <v>41285</v>
      </c>
      <c r="E67" s="100">
        <v>13.15</v>
      </c>
      <c r="F67" s="99">
        <v>8</v>
      </c>
      <c r="G67" s="114" t="s">
        <v>80</v>
      </c>
      <c r="H67" s="115">
        <v>0.38500000000000001</v>
      </c>
      <c r="I67" s="115">
        <v>0.48499999999999999</v>
      </c>
      <c r="J67" s="103"/>
      <c r="K67" s="106">
        <f>EBlackScholesForward("p",$G67,$E67,$F67,$C67/365,$C67/365,$K$2,H67)</f>
        <v>0.79033114376028146</v>
      </c>
      <c r="L67" s="107">
        <f>EBlackScholesForward("d",G67,E67,F67,C67/365,C67/365,$I$2,H67)</f>
        <v>-0.13285960340889136</v>
      </c>
      <c r="M67" s="106">
        <f>EBlackScholesForward("g",G67,E67,F67,C67/365,C67/365,$I$2,H67)</f>
        <v>2.4922455880149741E-2</v>
      </c>
      <c r="N67" s="106">
        <f>EBlackScholesForward("v",G67,E67,F67,C67/365,C67/365,$I$2,H67)</f>
        <v>4.6994892856134451E-2</v>
      </c>
      <c r="O67" s="106">
        <f>EBlackScholesForward("t",G67,E67,F67,C67/365,C67/365,$I$2,H67)</f>
        <v>-8.4806186652564008E-4</v>
      </c>
      <c r="P67" s="103"/>
      <c r="Q67" s="106">
        <f>EBlackScholesForward("p",$G67,$E67,$F67,$C67/365,$C67/365,$K$2,$I67)</f>
        <v>1.2811382304974834</v>
      </c>
      <c r="R67" s="107">
        <f>EBlackScholesForward("d",$G67,$E67,$F67,$C67/365,$C67/365,$I$2,$I67)</f>
        <v>-0.14920622046523668</v>
      </c>
      <c r="S67" s="106">
        <f>EBlackScholesForward("g",$G67,$E67,$F67,$C67/365,$C67/365,$I$2,$I67)</f>
        <v>2.138805328844029E-2</v>
      </c>
      <c r="T67" s="106">
        <f>EBlackScholesForward("v",$G67,$E67,$F67,$C67/365,$C67/365,$I$2,$I67)</f>
        <v>5.0810560081694489E-2</v>
      </c>
      <c r="U67" s="106">
        <f>EBlackScholesForward("t",$G67,$E67,$F67,$C67/365,$C67/365,$I$2,$I67)</f>
        <v>-1.1480151796168236E-3</v>
      </c>
    </row>
    <row r="68" spans="2:21" ht="12.75">
      <c r="B68" s="96">
        <f>B67</f>
        <v>41255</v>
      </c>
      <c r="C68" s="97">
        <f>B68-Today</f>
        <v>1034</v>
      </c>
      <c r="D68" s="98">
        <f>B68+30</f>
        <v>41285</v>
      </c>
      <c r="E68" s="100">
        <v>13.15</v>
      </c>
      <c r="F68" s="100">
        <v>13</v>
      </c>
      <c r="G68" s="101" t="s">
        <v>80</v>
      </c>
      <c r="H68" s="102">
        <v>0.34599999999999997</v>
      </c>
      <c r="I68" s="102">
        <v>0.36199999999999999</v>
      </c>
      <c r="J68" s="103"/>
      <c r="K68" s="104">
        <f>EBlackScholesForward("p",$G68,$E68,$F68,$C68/365,$C68/365,$K$2,H68)</f>
        <v>2.8112623571954436</v>
      </c>
      <c r="L68" s="105">
        <f>EBlackScholesForward("d",G68,E68,F68,C68/365,C68/365,$I$2,H68)</f>
        <v>-0.36479720230602197</v>
      </c>
      <c r="M68" s="104">
        <f>EBlackScholesForward("g",G68,E68,F68,C68/365,C68/365,$I$2,H68)</f>
        <v>4.7910342448886922E-2</v>
      </c>
      <c r="N68" s="104">
        <f>EBlackScholesForward("v",G68,E68,F68,C68/365,C68/365,$I$2,H68)</f>
        <v>8.1204438625440911E-2</v>
      </c>
      <c r="O68" s="104">
        <f>EBlackScholesForward("t",G68,E68,F68,C68/365,C68/365,$I$2,H68)</f>
        <v>-1.2625098825820302E-3</v>
      </c>
      <c r="P68" s="103"/>
      <c r="Q68" s="104">
        <f>EBlackScholesForward("p",$G68,$E68,$F68,$C68/365,$C68/365,$K$2,$I68)</f>
        <v>2.9405668857298561</v>
      </c>
      <c r="R68" s="105">
        <f>EBlackScholesForward("d",$G68,$E68,$F68,$C68/365,$C68/365,$I$2,$I68)</f>
        <v>-0.36018556841261873</v>
      </c>
      <c r="S68" s="104">
        <f>EBlackScholesForward("g",$G68,$E68,$F68,$C68/365,$C68/365,$I$2,$I68)</f>
        <v>4.5610200847256976E-2</v>
      </c>
      <c r="T68" s="104">
        <f>EBlackScholesForward("v",$G68,$E68,$F68,$C68/365,$C68/365,$I$2,$I68)</f>
        <v>8.0880717948438097E-2</v>
      </c>
      <c r="U68" s="104">
        <f>EBlackScholesForward("t",$G68,$E68,$F68,$C68/365,$C68/365,$I$2,$I68)</f>
        <v>-1.3152499132247364E-3</v>
      </c>
    </row>
    <row r="69" spans="2:21" ht="12.75">
      <c r="B69" s="96">
        <f>B68</f>
        <v>41255</v>
      </c>
      <c r="C69" s="97">
        <f>B69-Today</f>
        <v>1034</v>
      </c>
      <c r="D69" s="98">
        <f>B69+30</f>
        <v>41285</v>
      </c>
      <c r="E69" s="100">
        <v>13.15</v>
      </c>
      <c r="F69" s="100">
        <v>18</v>
      </c>
      <c r="G69" s="101" t="s">
        <v>82</v>
      </c>
      <c r="H69" s="102">
        <v>0.35499999999999998</v>
      </c>
      <c r="I69" s="102">
        <v>0.35499999999999998</v>
      </c>
      <c r="J69" s="103"/>
      <c r="K69" s="106">
        <f>EBlackScholesForward("p",$G69,$E69,$F69,$C69/365,$C69/365,$K$2,H69)</f>
        <v>1.6433514171292605</v>
      </c>
      <c r="L69" s="120">
        <f>EBlackScholesForward("d",G69,E69,F69,C69/365,C69/365,$I$2,H69)</f>
        <v>0.3960596561253471</v>
      </c>
      <c r="M69" s="106">
        <f>EBlackScholesForward("g",G69,E69,F69,C69/365,C69/365,$I$2,H69)</f>
        <v>4.7764510040515518E-2</v>
      </c>
      <c r="N69" s="106">
        <f>EBlackScholesForward("v",G69,E69,F69,C69/365,C69/365,$I$2,H69)</f>
        <v>8.3054310352290828E-2</v>
      </c>
      <c r="O69" s="106">
        <f>EBlackScholesForward("t",G69,E69,F69,C69/365,C69/365,$I$2,H69)</f>
        <v>-1.3697949006510335E-3</v>
      </c>
      <c r="P69" s="103"/>
      <c r="Q69" s="106">
        <f>EBlackScholesForward("p",$G69,$E69,$F69,$C69/365,$C69/365,$K$2,$I69)</f>
        <v>1.6433514171292605</v>
      </c>
      <c r="R69" s="107">
        <f>EBlackScholesForward("d",$G69,$E69,$F69,$C69/365,$C69/365,$I$2,$I69)</f>
        <v>0.3960596561253471</v>
      </c>
      <c r="S69" s="106">
        <f>EBlackScholesForward("g",$G69,$E69,$F69,$C69/365,$C69/365,$I$2,$I69)</f>
        <v>4.7764510040515518E-2</v>
      </c>
      <c r="T69" s="106">
        <f>EBlackScholesForward("v",$G69,$E69,$F69,$C69/365,$C69/365,$I$2,$I69)</f>
        <v>8.3054310352290828E-2</v>
      </c>
      <c r="U69" s="106">
        <f>EBlackScholesForward("t",$G69,$E69,$F69,$C69/365,$C69/365,$I$2,$I69)</f>
        <v>-1.3697949006510335E-3</v>
      </c>
    </row>
    <row r="70" spans="2:21" ht="12.75">
      <c r="B70" s="96">
        <f>B69</f>
        <v>41255</v>
      </c>
      <c r="C70" s="97">
        <f>B70-Today</f>
        <v>1034</v>
      </c>
      <c r="D70" s="98">
        <f>B70+30</f>
        <v>41285</v>
      </c>
      <c r="E70" s="100">
        <v>13.15</v>
      </c>
      <c r="F70" s="100">
        <v>9</v>
      </c>
      <c r="G70" s="125" t="s">
        <v>80</v>
      </c>
      <c r="H70" s="102">
        <v>0.42</v>
      </c>
      <c r="I70" s="102">
        <v>0.45750000000000002</v>
      </c>
      <c r="J70" s="103"/>
      <c r="K70" s="104">
        <f>EBlackScholesForward("p",$G70,$E70,$F70,$C70/365,$C70/365,$K$2,H70)</f>
        <v>1.3385467606067487</v>
      </c>
      <c r="L70" s="105">
        <f>EBlackScholesForward("d",G70,E70,F70,C70/365,C70/365,$I$2,H70)</f>
        <v>-0.18026989721503517</v>
      </c>
      <c r="M70" s="104">
        <f>EBlackScholesForward("g",G70,E70,F70,C70/365,C70/365,$I$2,H70)</f>
        <v>2.7879837383171235E-2</v>
      </c>
      <c r="N70" s="104">
        <f>EBlackScholesForward("v",G70,E70,F70,C70/365,C70/365,$I$2,H70)</f>
        <v>5.7356034740068451E-2</v>
      </c>
      <c r="O70" s="104">
        <f>EBlackScholesForward("t",G70,E70,F70,C70/365,C70/365,$I$2,H70)</f>
        <v>-1.1192813078204633E-3</v>
      </c>
      <c r="P70" s="103"/>
      <c r="Q70" s="104">
        <f>EBlackScholesForward("p",$G70,$E70,$F70,$C70/365,$C70/365,$K$2,$I70)</f>
        <v>1.5543455501985517</v>
      </c>
      <c r="R70" s="118">
        <f>EBlackScholesForward("d",$G70,$E70,$F70,$C70/365,$C70/365,$I$2,$I70)</f>
        <v>-0.18350392296484497</v>
      </c>
      <c r="S70" s="104">
        <f>EBlackScholesForward("g",$G70,$E70,$F70,$C70/365,$C70/365,$I$2,$I70)</f>
        <v>2.5876830060944656E-2</v>
      </c>
      <c r="T70" s="104">
        <f>EBlackScholesForward("v",$G70,$E70,$F70,$C70/365,$C70/365,$I$2,$I70)</f>
        <v>5.7989752956219331E-2</v>
      </c>
      <c r="U70" s="104">
        <f>EBlackScholesForward("t",$G70,$E70,$F70,$C70/365,$C70/365,$I$2,$I70)</f>
        <v>-1.2299277461762514E-3</v>
      </c>
    </row>
    <row r="71" spans="2:21" ht="12.75">
      <c r="B71" s="135" t="s">
        <v>89</v>
      </c>
      <c r="C71" s="103"/>
      <c r="D71" s="103"/>
      <c r="E71" s="108"/>
      <c r="F71" s="108"/>
      <c r="G71" s="109"/>
      <c r="H71" s="108"/>
      <c r="I71" s="108"/>
      <c r="J71" s="103"/>
      <c r="K71" s="117">
        <f>K70-Q69</f>
        <v>-0.30480465652251176</v>
      </c>
      <c r="L71" s="103"/>
      <c r="M71" s="103"/>
      <c r="N71" s="103"/>
      <c r="O71" s="103"/>
      <c r="P71" s="103"/>
      <c r="Q71" s="117">
        <f>Q70-K69</f>
        <v>-8.9005866930708777E-2</v>
      </c>
      <c r="R71" s="103"/>
      <c r="S71" s="103"/>
      <c r="T71" s="103"/>
      <c r="U71" s="103"/>
    </row>
    <row r="72" spans="2:21" ht="12.75">
      <c r="B72" s="96">
        <v>41619</v>
      </c>
      <c r="C72" s="97">
        <f>B72-Today</f>
        <v>1398</v>
      </c>
      <c r="D72" s="98">
        <f>B72+30</f>
        <v>41649</v>
      </c>
      <c r="E72" s="100">
        <v>13</v>
      </c>
      <c r="F72" s="100">
        <v>16</v>
      </c>
      <c r="G72" s="101" t="s">
        <v>82</v>
      </c>
      <c r="H72" s="102">
        <v>0.35</v>
      </c>
      <c r="I72" s="102">
        <v>0.35499999999999998</v>
      </c>
      <c r="J72" s="103"/>
      <c r="K72" s="104">
        <f>EBlackScholesForward("p",$G72,$E72,$F72,$C72/365,$C72/365,$K$2,H72)</f>
        <v>2.4270556843329856</v>
      </c>
      <c r="L72" s="105">
        <f>EBlackScholesForward("d",G72,E72,F72,C72/365,C72/365,$I$2,H72)</f>
        <v>0.49158774751225653</v>
      </c>
      <c r="M72" s="104">
        <f>EBlackScholesForward("g",G72,E72,F72,C72/365,C72/365,$I$2,H72)</f>
        <v>4.2673928066783162E-2</v>
      </c>
      <c r="N72" s="104">
        <f>EBlackScholesForward("v",G72,E72,F72,C72/365,C72/365,$I$2,H72)</f>
        <v>9.6673731301271992E-2</v>
      </c>
      <c r="O72" s="104">
        <f>EBlackScholesForward("t",G72,E72,F72,C72/365,C72/365,$I$2,H72)</f>
        <v>-1.1270397621321315E-3</v>
      </c>
      <c r="P72" s="103"/>
      <c r="Q72" s="104">
        <f>EBlackScholesForward("p",$G72,$E72,$F72,$C72/365,$C72/365,$K$2,$I72)</f>
        <v>2.4752009636494585</v>
      </c>
      <c r="R72" s="105">
        <f>EBlackScholesForward("d",$G72,$E72,$F72,$C72/365,$C72/365,$I$2,$I72)</f>
        <v>0.49506867856723424</v>
      </c>
      <c r="S72" s="104">
        <f>EBlackScholesForward("g",$G72,$E72,$F72,$C72/365,$C72/365,$I$2,$I72)</f>
        <v>4.205595439898957E-2</v>
      </c>
      <c r="T72" s="104">
        <f>EBlackScholesForward("v",$G72,$E72,$F72,$C72/365,$C72/365,$I$2,$I72)</f>
        <v>9.6635028226382147E-2</v>
      </c>
      <c r="U72" s="104">
        <f>EBlackScholesForward("t",$G72,$E72,$F72,$C72/365,$C72/365,$I$2,$I72)</f>
        <v>-1.1421843222754191E-3</v>
      </c>
    </row>
    <row r="73" spans="2:21" ht="12.75">
      <c r="B73" s="96">
        <f>B72</f>
        <v>41619</v>
      </c>
      <c r="C73" s="97">
        <f>B73-Today</f>
        <v>1398</v>
      </c>
      <c r="D73" s="98">
        <f>B73+30</f>
        <v>41649</v>
      </c>
      <c r="E73" s="100">
        <v>13</v>
      </c>
      <c r="F73" s="99">
        <v>13</v>
      </c>
      <c r="G73" s="114" t="s">
        <v>82</v>
      </c>
      <c r="H73" s="115">
        <v>0.33500000000000002</v>
      </c>
      <c r="I73" s="115">
        <v>0.35249999999999998</v>
      </c>
      <c r="J73" s="103"/>
      <c r="K73" s="106">
        <f>EBlackScholesForward("p",$G73,$E73,$F73,$C73/365,$C73/365,$K$2,H73)</f>
        <v>3.171953035652435</v>
      </c>
      <c r="L73" s="107">
        <f>EBlackScholesForward("d",G73,E73,F73,C73/365,C73/365,$I$2,H73)</f>
        <v>0.59909193013572004</v>
      </c>
      <c r="M73" s="106">
        <f>EBlackScholesForward("g",G73,E73,F73,C73/365,C73/365,$I$2,H73)</f>
        <v>4.2285133443620282E-2</v>
      </c>
      <c r="N73" s="106">
        <f>EBlackScholesForward("v",G73,E73,F73,C73/365,C73/365,$I$2,H73)</f>
        <v>9.1691126250100785E-2</v>
      </c>
      <c r="O73" s="106">
        <f>EBlackScholesForward("t",G73,E73,F73,C73/365,C73/365,$I$2,H73)</f>
        <v>-9.8981191465963292E-4</v>
      </c>
      <c r="P73" s="103"/>
      <c r="Q73" s="106">
        <f>EBlackScholesForward("p",$G73,$E73,$F73,$C73/365,$C73/365,$K$2,$I73)</f>
        <v>3.3313457783088207</v>
      </c>
      <c r="R73" s="107">
        <f>EBlackScholesForward("d",$G73,$E73,$F73,$C73/365,$C73/365,$I$2,$I73)</f>
        <v>0.60524595036013373</v>
      </c>
      <c r="S73" s="106">
        <f>EBlackScholesForward("g",$G73,$E73,$F73,$C73/365,$C73/365,$I$2,$I73)</f>
        <v>3.9955059953911132E-2</v>
      </c>
      <c r="T73" s="106">
        <f>EBlackScholesForward("v",$G73,$E73,$F73,$C73/365,$C73/365,$I$2,$I73)</f>
        <v>9.1164505032887755E-2</v>
      </c>
      <c r="U73" s="106">
        <f>EBlackScholesForward("t",$G73,$E73,$F73,$C73/365,$C73/365,$I$2,$I73)</f>
        <v>-1.035096558984705E-3</v>
      </c>
    </row>
    <row r="74" spans="2:21" ht="12.75">
      <c r="B74" s="96">
        <f>B73</f>
        <v>41619</v>
      </c>
      <c r="C74" s="97">
        <f>B74-Today</f>
        <v>1398</v>
      </c>
      <c r="D74" s="98">
        <f>B74+30</f>
        <v>41649</v>
      </c>
      <c r="E74" s="100">
        <v>13</v>
      </c>
      <c r="F74" s="100">
        <v>17</v>
      </c>
      <c r="G74" s="101" t="s">
        <v>82</v>
      </c>
      <c r="H74" s="102">
        <v>0.42249999999999999</v>
      </c>
      <c r="I74" s="102">
        <v>0.435</v>
      </c>
      <c r="J74" s="103"/>
      <c r="K74" s="104">
        <f>EBlackScholesForward("p",$G74,$E74,$F74,$C74/365,$C74/365,$K$2,H74)</f>
        <v>2.8923992016232969</v>
      </c>
      <c r="L74" s="105">
        <f>EBlackScholesForward("d",G74,E74,F74,C74/365,C74/365,$I$2,H74)</f>
        <v>0.51042553948004166</v>
      </c>
      <c r="M74" s="104">
        <f>EBlackScholesForward("g",G74,E74,F74,C74/365,C74/365,$I$2,H74)</f>
        <v>3.5238742097654097E-2</v>
      </c>
      <c r="N74" s="104">
        <f>EBlackScholesForward("v",G74,E74,F74,C74/365,C74/365,$I$2,H74)</f>
        <v>9.636704368118032E-2</v>
      </c>
      <c r="O74" s="104">
        <f>EBlackScholesForward("t",G74,E74,F74,C74/365,C74/365,$I$2,H74)</f>
        <v>-1.3571466331474547E-3</v>
      </c>
      <c r="P74" s="103"/>
      <c r="Q74" s="104">
        <f>EBlackScholesForward("p",$G74,$E74,$F74,$C74/365,$C74/365,$K$2,$I74)</f>
        <v>3.0122780751132647</v>
      </c>
      <c r="R74" s="105">
        <f>EBlackScholesForward("d",$G74,$E74,$F74,$C74/365,$C74/365,$I$2,$I74)</f>
        <v>0.51858172206076247</v>
      </c>
      <c r="S74" s="104">
        <f>EBlackScholesForward("g",$G74,$E74,$F74,$C74/365,$C74/365,$I$2,$I74)</f>
        <v>3.415260802164255E-2</v>
      </c>
      <c r="T74" s="104">
        <f>EBlackScholesForward("v",$G74,$E74,$F74,$C74/365,$C74/365,$I$2,$I74)</f>
        <v>9.6160352275926231E-2</v>
      </c>
      <c r="U74" s="104">
        <f>EBlackScholesForward("t",$G74,$E74,$F74,$C74/365,$C74/365,$I$2,$I74)</f>
        <v>-1.3929021860152879E-3</v>
      </c>
    </row>
    <row r="75" spans="2:21" ht="12.75">
      <c r="B75" s="96">
        <f>B74</f>
        <v>41619</v>
      </c>
      <c r="C75" s="97">
        <f>B75-Today</f>
        <v>1398</v>
      </c>
      <c r="D75" s="98">
        <f>B75+30</f>
        <v>41649</v>
      </c>
      <c r="E75" s="100">
        <v>13</v>
      </c>
      <c r="F75" s="99">
        <v>18</v>
      </c>
      <c r="G75" s="114" t="s">
        <v>82</v>
      </c>
      <c r="H75" s="115">
        <v>0.38400000000000001</v>
      </c>
      <c r="I75" s="115">
        <v>0.35499999999999998</v>
      </c>
      <c r="J75" s="103"/>
      <c r="K75" s="106">
        <f>EBlackScholesForward("p",$G75,$E75,$F75,$C75/365,$C75/365,$K$2,H75)</f>
        <v>2.3126760666143547</v>
      </c>
      <c r="L75" s="107">
        <f>EBlackScholesForward("d",G75,E75,F75,C75/365,C75/365,$I$2,H75)</f>
        <v>0.45486083352614948</v>
      </c>
      <c r="M75" s="106">
        <f>EBlackScholesForward("g",G75,E75,F75,C75/365,C75/365,$I$2,H75)</f>
        <v>3.8861871134443504E-2</v>
      </c>
      <c r="N75" s="106">
        <f>EBlackScholesForward("v",G75,E75,F75,C75/365,C75/365,$I$2,H75)</f>
        <v>9.6587625132789956E-2</v>
      </c>
      <c r="O75" s="106">
        <f>EBlackScholesForward("t",G75,E75,F75,C75/365,C75/365,$I$2,H75)</f>
        <v>-1.2473957918217593E-3</v>
      </c>
      <c r="P75" s="103"/>
      <c r="Q75" s="106">
        <f>EBlackScholesForward("p",$G75,$E75,$F75,$C75/365,$C75/365,$K$2,$I75)</f>
        <v>2.034306250407472</v>
      </c>
      <c r="R75" s="107">
        <f>EBlackScholesForward("d",$G75,$E75,$F75,$C75/365,$C75/365,$I$2,$I75)</f>
        <v>0.43071696052303654</v>
      </c>
      <c r="S75" s="106">
        <f>EBlackScholesForward("g",$G75,$E75,$F75,$C75/365,$C75/365,$I$2,$I75)</f>
        <v>4.1798299084128132E-2</v>
      </c>
      <c r="T75" s="106">
        <f>EBlackScholesForward("v",$G75,$E75,$F75,$C75/365,$C75/365,$I$2,$I75)</f>
        <v>9.6038150134837741E-2</v>
      </c>
      <c r="U75" s="106">
        <f>EBlackScholesForward("t",$G75,$E75,$F75,$C75/365,$C75/365,$I$2,$I75)</f>
        <v>-1.1497944077398792E-3</v>
      </c>
    </row>
    <row r="76" spans="2:21" ht="12.75">
      <c r="B76" s="96">
        <v>41619</v>
      </c>
      <c r="C76" s="97">
        <f>B76-Today</f>
        <v>1398</v>
      </c>
      <c r="D76" s="98">
        <f>B76+30</f>
        <v>41649</v>
      </c>
      <c r="E76" s="100">
        <v>13</v>
      </c>
      <c r="F76" s="99">
        <v>10</v>
      </c>
      <c r="G76" s="114" t="s">
        <v>80</v>
      </c>
      <c r="H76" s="115">
        <v>0.4</v>
      </c>
      <c r="I76" s="115">
        <v>0.42699999999999999</v>
      </c>
      <c r="J76" s="103"/>
      <c r="K76" s="104">
        <f>EBlackScholesForward("p",$G76,$E76,$F76,$C76/365,$C76/365,$K$2,H76)</f>
        <v>2.0755024706789174</v>
      </c>
      <c r="L76" s="105">
        <f>EBlackScholesForward("d",G76,E76,F76,C76/365,C76/365,$I$2,H76)</f>
        <v>-0.22281944026938394</v>
      </c>
      <c r="M76" s="104">
        <f>EBlackScholesForward("g",G76,E76,F76,C76/365,C76/365,$I$2,H76)</f>
        <v>2.8699626937189748E-2</v>
      </c>
      <c r="N76" s="104">
        <f>EBlackScholesForward("v",G76,E76,F76,C76/365,C76/365,$I$2,H76)</f>
        <v>7.4304490313057858E-2</v>
      </c>
      <c r="O76" s="104">
        <f>EBlackScholesForward("t",G76,E76,F76,C76/365,C76/365,$I$2,H76)</f>
        <v>-9.9194693590209937E-4</v>
      </c>
      <c r="P76" s="103"/>
      <c r="Q76" s="104">
        <f>EBlackScholesForward("p",$G76,$E76,$F76,$C76/365,$C76/365,$K$2,$I76)</f>
        <v>2.2750213293278394</v>
      </c>
      <c r="R76" s="105">
        <f>EBlackScholesForward("d",$G76,$E76,$F76,$C76/365,$C76/365,$I$2,$I76)</f>
        <v>-0.22129527356273826</v>
      </c>
      <c r="S76" s="104">
        <f>EBlackScholesForward("g",$G76,$E76,$F76,$C76/365,$C76/365,$I$2,$I76)</f>
        <v>2.6782594249041836E-2</v>
      </c>
      <c r="T76" s="104">
        <f>EBlackScholesForward("v",$G76,$E76,$F76,$C76/365,$C76/365,$I$2,$I76)</f>
        <v>7.4022371782435759E-2</v>
      </c>
      <c r="U76" s="104">
        <f>EBlackScholesForward("t",$G76,$E76,$F76,$C76/365,$C76/365,$I$2,$I76)</f>
        <v>-1.0525484354046988E-3</v>
      </c>
    </row>
    <row r="77" spans="2:21" ht="12.75">
      <c r="B77" s="92" t="s">
        <v>89</v>
      </c>
      <c r="C77" s="103"/>
      <c r="D77" s="103"/>
      <c r="E77" s="103"/>
      <c r="F77" s="108"/>
      <c r="G77" s="109"/>
      <c r="H77" s="108"/>
      <c r="I77" s="108"/>
      <c r="J77" s="103"/>
      <c r="K77" s="117">
        <f>K78-K79</f>
        <v>-3.5160368608950776E-2</v>
      </c>
      <c r="L77" s="103"/>
      <c r="M77" s="103"/>
      <c r="N77" s="103"/>
      <c r="O77" s="103"/>
      <c r="P77" s="103"/>
      <c r="Q77" s="117">
        <f>Q76-K75</f>
        <v>-3.765473728651525E-2</v>
      </c>
      <c r="R77" s="103"/>
      <c r="S77" s="103"/>
      <c r="T77" s="103"/>
      <c r="U77" s="103"/>
    </row>
    <row r="78" spans="2:21" ht="12.75">
      <c r="B78" s="96">
        <v>41619</v>
      </c>
      <c r="C78" s="97">
        <f>B78-Today</f>
        <v>1398</v>
      </c>
      <c r="D78" s="98">
        <f>B78+30</f>
        <v>41649</v>
      </c>
      <c r="E78" s="100">
        <v>41.4</v>
      </c>
      <c r="F78" s="100">
        <v>37</v>
      </c>
      <c r="G78" s="101" t="s">
        <v>80</v>
      </c>
      <c r="H78" s="102">
        <v>0.3085</v>
      </c>
      <c r="I78" s="102">
        <v>0.3175</v>
      </c>
      <c r="J78" s="103"/>
      <c r="K78" s="104">
        <f>EBlackScholesForward("p",$G78,$E78,$F78,$C78/365,$C78/365,$I$2,H78)</f>
        <v>6.916778392608494</v>
      </c>
      <c r="L78" s="105">
        <f>EBlackScholesForward("d",G78,E78,F78,C78/365,C78/365,$I$2,H78)</f>
        <v>-0.29815823677008524</v>
      </c>
      <c r="M78" s="104">
        <f>EBlackScholesForward("g",G78,E78,F78,C78/365,C78/365,$I$2,H78)</f>
        <v>1.3506590157419396E-2</v>
      </c>
      <c r="N78" s="104">
        <f>EBlackScholesForward("v",G78,E78,F78,C78/365,C78/365,$I$2,H78)</f>
        <v>0.2735276754549516</v>
      </c>
      <c r="O78" s="104">
        <f>EBlackScholesForward("t",G78,E78,F78,C78/365,C78/365,$I$2,H78)</f>
        <v>-2.7818954891580816E-3</v>
      </c>
      <c r="P78" s="103"/>
      <c r="Q78" s="104">
        <f>EBlackScholesForward("p",$G78,$E78,$F78,$C78/365,$C78/365,$I$2,$I78)</f>
        <v>7.1627521136107957</v>
      </c>
      <c r="R78" s="105">
        <f>EBlackScholesForward("d",$G78,$E78,$F78,$C78/365,$C78/365,$I$2,$I78)</f>
        <v>-0.29696705555868341</v>
      </c>
      <c r="S78" s="104">
        <f>EBlackScholesForward("g",$G78,$E78,$F78,$C78/365,$C78/365,$I$2,$I78)</f>
        <v>1.3101048308428176E-2</v>
      </c>
      <c r="T78" s="104">
        <f>EBlackScholesForward("v",$G78,$E78,$F78,$C78/365,$C78/365,$I$2,$I78)</f>
        <v>0.27305559158722348</v>
      </c>
      <c r="U78" s="104">
        <f>EBlackScholesForward("t",$G78,$E78,$F78,$C78/365,$C78/365,$I$2,$I78)</f>
        <v>-2.856175033356223E-3</v>
      </c>
    </row>
    <row r="79" spans="2:21" ht="12.75">
      <c r="B79" s="96">
        <f>B78</f>
        <v>41619</v>
      </c>
      <c r="C79" s="97">
        <f>B79-Today</f>
        <v>1398</v>
      </c>
      <c r="D79" s="98">
        <f>B79+30</f>
        <v>41649</v>
      </c>
      <c r="E79" s="100">
        <v>41.4</v>
      </c>
      <c r="F79" s="100">
        <v>50</v>
      </c>
      <c r="G79" s="101" t="s">
        <v>82</v>
      </c>
      <c r="H79" s="102">
        <v>0.316</v>
      </c>
      <c r="I79" s="102">
        <v>0.35</v>
      </c>
      <c r="J79" s="103"/>
      <c r="K79" s="106">
        <f>EBlackScholesForward("p",$G79,$E79,$F79,$C79/365,$C79/365,$I$2,H79)</f>
        <v>6.9519387612174448</v>
      </c>
      <c r="L79" s="107">
        <f>EBlackScholesForward("d",G79,E79,F79,C79/365,C79/365,$I$2,H79)</f>
        <v>0.47815616623143598</v>
      </c>
      <c r="M79" s="106">
        <f>EBlackScholesForward("g",G79,E79,F79,C79/365,C79/365,$I$2,H79)</f>
        <v>1.485317776328543E-2</v>
      </c>
      <c r="N79" s="106">
        <f>EBlackScholesForward("v",G79,E79,F79,C79/365,C79/365,$I$2,H79)</f>
        <v>0.30810180759222838</v>
      </c>
      <c r="O79" s="106">
        <f>EBlackScholesForward("t",G79,E79,F79,C79/365,C79/365,$I$2,H79)</f>
        <v>-3.2450011485227748E-3</v>
      </c>
      <c r="P79" s="103"/>
      <c r="Q79" s="106">
        <f>EBlackScholesForward("p",$G79,$E79,$F79,$C79/365,$C79/365,$I$2,$I79)</f>
        <v>7.9987085248066165</v>
      </c>
      <c r="R79" s="107">
        <f>EBlackScholesForward("d",$G79,$E79,$F79,$C79/365,$C79/365,$I$2,$I79)</f>
        <v>0.50206423500052111</v>
      </c>
      <c r="S79" s="106">
        <f>EBlackScholesForward("g",$G79,$E79,$F79,$C79/365,$C79/365,$I$2,$I79)</f>
        <v>1.3380392172024358E-2</v>
      </c>
      <c r="T79" s="106">
        <f>EBlackScholesForward("v",$G79,$E79,$F79,$C79/365,$C79/365,$I$2,$I79)</f>
        <v>0.30741961680436303</v>
      </c>
      <c r="U79" s="106">
        <f>EBlackScholesForward("t",$G79,$E79,$F79,$C79/365,$C79/365,$I$2,$I79)</f>
        <v>-3.5753382352865515E-3</v>
      </c>
    </row>
    <row r="80" spans="2:21" ht="12.75">
      <c r="B80" s="96">
        <f>B79</f>
        <v>41619</v>
      </c>
      <c r="C80" s="97">
        <f>B80-Today</f>
        <v>1398</v>
      </c>
      <c r="D80" s="98">
        <f>B80+30</f>
        <v>41649</v>
      </c>
      <c r="E80" s="100">
        <v>41.4</v>
      </c>
      <c r="F80" s="100">
        <v>42</v>
      </c>
      <c r="G80" s="101" t="s">
        <v>82</v>
      </c>
      <c r="H80" s="102">
        <v>0.31900000000000001</v>
      </c>
      <c r="I80" s="102">
        <v>0.3175</v>
      </c>
      <c r="J80" s="103"/>
      <c r="K80" s="104">
        <f>EBlackScholesForward("p",$G80,$E80,$F80,$C80/365,$C80/365,$I$2,H80)</f>
        <v>9.4584390948100872</v>
      </c>
      <c r="L80" s="105">
        <f>EBlackScholesForward("d",G80,E80,F80,C80/365,C80/365,$I$2,H80)</f>
        <v>0.58505773816266426</v>
      </c>
      <c r="M80" s="104">
        <f>EBlackScholesForward("g",G80,E80,F80,C80/365,C80/365,$I$2,H80)</f>
        <v>1.411138624618502E-2</v>
      </c>
      <c r="N80" s="104">
        <f>EBlackScholesForward("v",G80,E80,F80,C80/365,C80/365,$I$2,H80)</f>
        <v>0.29550781509908663</v>
      </c>
      <c r="O80" s="104">
        <f>EBlackScholesForward("t",G80,E80,F80,C80/365,C80/365,$I$2,H80)</f>
        <v>-3.0483966197003554E-3</v>
      </c>
      <c r="P80" s="103"/>
      <c r="Q80" s="104">
        <f>EBlackScholesForward("p",$G80,$E80,$F80,$C80/365,$C80/365,$I$2,$I80)</f>
        <v>9.4141021869181891</v>
      </c>
      <c r="R80" s="105">
        <f>EBlackScholesForward("d",$G80,$E80,$F80,$C80/365,$C80/365,$I$2,$I80)</f>
        <v>0.58448254548135736</v>
      </c>
      <c r="S80" s="104">
        <f>EBlackScholesForward("g",$G80,$E80,$F80,$C80/365,$C80/365,$I$2,$I80)</f>
        <v>1.4184500791714072E-2</v>
      </c>
      <c r="T80" s="104">
        <f>EBlackScholesForward("v",$G80,$E80,$F80,$C80/365,$C80/365,$I$2,$I80)</f>
        <v>0.29564217394254033</v>
      </c>
      <c r="U80" s="104">
        <f>EBlackScholesForward("t",$G80,$E80,$F80,$C80/365,$C80/365,$I$2,$I80)</f>
        <v>-3.03558332386622E-3</v>
      </c>
    </row>
    <row r="81" spans="2:21" ht="12.75">
      <c r="B81" s="96">
        <f>B80</f>
        <v>41619</v>
      </c>
      <c r="C81" s="97">
        <f>B81-Today</f>
        <v>1398</v>
      </c>
      <c r="D81" s="98">
        <f>B81+30</f>
        <v>41649</v>
      </c>
      <c r="E81" s="100">
        <v>41.4</v>
      </c>
      <c r="F81" s="100">
        <v>35</v>
      </c>
      <c r="G81" s="101" t="s">
        <v>80</v>
      </c>
      <c r="H81" s="102">
        <v>0.3145</v>
      </c>
      <c r="I81" s="102">
        <v>0.34499999999999997</v>
      </c>
      <c r="J81" s="103"/>
      <c r="K81" s="106">
        <f>EBlackScholesForward("p",$G81,$E81,$F81,$C81/365,$C81/365,$I$2,H81)</f>
        <v>6.0664394129005963</v>
      </c>
      <c r="L81" s="107">
        <f>EBlackScholesForward("d",G81,E81,F81,C81/365,C81/365,$I$2,H81)</f>
        <v>-0.26763343853377641</v>
      </c>
      <c r="M81" s="106">
        <f>EBlackScholesForward("g",G81,E81,F81,C81/365,C81/365,$I$2,H81)</f>
        <v>1.2609341366598414E-2</v>
      </c>
      <c r="N81" s="106">
        <f>EBlackScholesForward("v",G81,E81,F81,C81/365,C81/365,$I$2,H81)</f>
        <v>0.26031834395486886</v>
      </c>
      <c r="O81" s="106">
        <f>EBlackScholesForward("t",G81,E81,F81,C81/365,C81/365,$I$2,H81)</f>
        <v>-2.7211490890888257E-3</v>
      </c>
      <c r="P81" s="103"/>
      <c r="Q81" s="106">
        <f>EBlackScholesForward("p",$G81,$E81,$F81,$C81/365,$C81/365,$I$2,$I81)</f>
        <v>6.859302476263994</v>
      </c>
      <c r="R81" s="107">
        <f>EBlackScholesForward("d",$G81,$E81,$F81,$C81/365,$C81/365,$I$2,$I81)</f>
        <v>-0.26579709732441614</v>
      </c>
      <c r="S81" s="106">
        <f>EBlackScholesForward("g",$G81,$E81,$F81,$C81/365,$C81/365,$I$2,$I81)</f>
        <v>1.1456273227850033E-2</v>
      </c>
      <c r="T81" s="106">
        <f>EBlackScholesForward("v",$G81,$E81,$F81,$C81/365,$C81/365,$I$2,$I81)</f>
        <v>0.25945340667682792</v>
      </c>
      <c r="U81" s="106">
        <f>EBlackScholesForward("t",$G81,$E81,$F81,$C81/365,$C81/365,$I$2,$I81)</f>
        <v>-2.9673437759489829E-3</v>
      </c>
    </row>
    <row r="82" spans="2:21" ht="12.75">
      <c r="B82" s="96">
        <f>B81</f>
        <v>41619</v>
      </c>
      <c r="C82" s="97">
        <f>B82-Today</f>
        <v>1398</v>
      </c>
      <c r="D82" s="98">
        <f>B82+30</f>
        <v>41649</v>
      </c>
      <c r="E82" s="100">
        <v>41.4</v>
      </c>
      <c r="F82" s="100">
        <v>42</v>
      </c>
      <c r="G82" s="101" t="s">
        <v>82</v>
      </c>
      <c r="H82" s="102">
        <v>0.32</v>
      </c>
      <c r="I82" s="102">
        <v>0.33500000000000002</v>
      </c>
      <c r="J82" s="103"/>
      <c r="K82" s="104">
        <f>EBlackScholesForward("p",$G82,$E82,$F82,$C82/365,$C82/365,$I$2,H82)</f>
        <v>9.4879858171935716</v>
      </c>
      <c r="L82" s="105">
        <f>EBlackScholesForward("d",G82,E82,F82,C82/365,C82/365,$I$2,H82)</f>
        <v>0.58544084762450765</v>
      </c>
      <c r="M82" s="104">
        <f>EBlackScholesForward("g",G82,E82,F82,C82/365,C82/365,$I$2,H82)</f>
        <v>1.4063008340059469E-2</v>
      </c>
      <c r="N82" s="104">
        <f>EBlackScholesForward("v",G82,E82,F82,C82/365,C82/365,$I$2,H82)</f>
        <v>0.29541791706711429</v>
      </c>
      <c r="O82" s="104">
        <f>EBlackScholesForward("t",G82,E82,F82,C82/365,C82/365,$I$2,H82)</f>
        <v>-3.0569274680480873E-3</v>
      </c>
      <c r="P82" s="103"/>
      <c r="Q82" s="104">
        <f>EBlackScholesForward("p",$G82,$E82,$F82,$C82/365,$C82/365,$I$2,$I82)</f>
        <v>9.9300917587345623</v>
      </c>
      <c r="R82" s="105">
        <f>EBlackScholesForward("d",$G82,$E82,$F82,$C82/365,$C82/365,$I$2,$I82)</f>
        <v>0.5911545359926329</v>
      </c>
      <c r="S82" s="104">
        <f>EBlackScholesForward("g",$G82,$E82,$F82,$C82/365,$C82/365,$I$2,$I82)</f>
        <v>1.3370589950767453E-2</v>
      </c>
      <c r="T82" s="104">
        <f>EBlackScholesForward("v",$G82,$E82,$F82,$C82/365,$C82/365,$I$2,$I82)</f>
        <v>0.29403841930088959</v>
      </c>
      <c r="U82" s="104">
        <f>EBlackScholesForward("t",$G82,$E82,$F82,$C82/365,$C82/365,$I$2,$I82)</f>
        <v>-3.1837843722026804E-3</v>
      </c>
    </row>
    <row r="83" spans="2:21" ht="12.75">
      <c r="B83" s="92" t="s">
        <v>89</v>
      </c>
      <c r="C83" s="103"/>
      <c r="D83" s="103"/>
      <c r="E83" s="108"/>
      <c r="F83" s="108"/>
      <c r="G83" s="109"/>
      <c r="H83" s="108"/>
      <c r="I83" s="108"/>
      <c r="J83" s="103"/>
      <c r="K83" s="117"/>
      <c r="L83" s="103"/>
      <c r="M83" s="103"/>
      <c r="N83" s="103"/>
      <c r="O83" s="103"/>
      <c r="P83" s="103"/>
      <c r="Q83" s="117"/>
      <c r="R83" s="103"/>
      <c r="S83" s="103"/>
      <c r="T83" s="103"/>
      <c r="U83" s="103"/>
    </row>
    <row r="84" spans="2:21" ht="12.75">
      <c r="B84" s="96">
        <v>41619</v>
      </c>
      <c r="C84" s="97">
        <f>B84-Today</f>
        <v>1398</v>
      </c>
      <c r="D84" s="98">
        <f>B84+30</f>
        <v>41649</v>
      </c>
      <c r="E84" s="100">
        <v>43.55</v>
      </c>
      <c r="F84" s="100">
        <v>47</v>
      </c>
      <c r="G84" s="101" t="s">
        <v>82</v>
      </c>
      <c r="H84" s="102">
        <v>0.4975</v>
      </c>
      <c r="I84" s="102">
        <v>0.52500000000000002</v>
      </c>
      <c r="J84" s="103"/>
      <c r="K84" s="104">
        <f>EBlackScholesForward("p",$G84,$E84,$F84,$C84/365,$C84/365,$I$2,H84)</f>
        <v>14.525908334285315</v>
      </c>
      <c r="L84" s="105">
        <f>EBlackScholesForward("d",G84,E84,F84,C84/365,C84/365,$I$2,H84)</f>
        <v>0.62776763408107783</v>
      </c>
      <c r="M84" s="104">
        <f>EBlackScholesForward("g",G84,E84,F84,C84/365,C84/365,$I$2,H84)</f>
        <v>8.2506773502188935E-3</v>
      </c>
      <c r="N84" s="104">
        <f>EBlackScholesForward("v",G84,E84,F84,C84/365,C84/365,$I$2,H84)</f>
        <v>0.29817237218177084</v>
      </c>
      <c r="O84" s="104">
        <f>EBlackScholesForward("t",G84,E84,F84,C84/365,C84/365,$I$2,H84)</f>
        <v>-4.8094143611159268E-3</v>
      </c>
      <c r="P84" s="103"/>
      <c r="Q84" s="104">
        <f>EBlackScholesForward("p",$G84,$E84,$F84,$C84/365,$C84/365,$I$2,$I84)</f>
        <v>15.340578421853639</v>
      </c>
      <c r="R84" s="105">
        <f>EBlackScholesForward("d",$G84,$E84,$F84,$C84/365,$C84/365,$I$2,$I84)</f>
        <v>0.6385466759879499</v>
      </c>
      <c r="S84" s="104">
        <f>EBlackScholesForward("g",$G84,$E84,$F84,$C84/365,$C84/365,$I$2,$I84)</f>
        <v>7.7163620026965418E-3</v>
      </c>
      <c r="T84" s="104">
        <f>EBlackScholesForward("v",$G84,$E84,$F84,$C84/365,$C84/365,$I$2,$I84)</f>
        <v>0.29427739683171961</v>
      </c>
      <c r="U84" s="104">
        <f>EBlackScholesForward("t",$G84,$E84,$F84,$C84/365,$C84/365,$I$2,$I84)</f>
        <v>-5.0017282061300961E-3</v>
      </c>
    </row>
    <row r="85" spans="2:21" ht="12.75">
      <c r="B85" s="96">
        <f>B84</f>
        <v>41619</v>
      </c>
      <c r="C85" s="97">
        <f>B85-Today</f>
        <v>1398</v>
      </c>
      <c r="D85" s="98">
        <f>B85+30</f>
        <v>41649</v>
      </c>
      <c r="E85" s="100">
        <v>43.55</v>
      </c>
      <c r="F85" s="100">
        <v>36</v>
      </c>
      <c r="G85" s="101" t="s">
        <v>80</v>
      </c>
      <c r="H85" s="102">
        <v>0.49</v>
      </c>
      <c r="I85" s="102">
        <v>0.505</v>
      </c>
      <c r="J85" s="103"/>
      <c r="K85" s="106">
        <f>EBlackScholesForward("p",$G85,$E85,$F85,$C85/365,$C85/365,$I$2,H85)</f>
        <v>10.622809003760542</v>
      </c>
      <c r="L85" s="107">
        <f>EBlackScholesForward("d",G85,E85,F85,C85/365,C85/365,$I$2,H85)</f>
        <v>-0.23724454617708446</v>
      </c>
      <c r="M85" s="106">
        <f>EBlackScholesForward("g",G85,E85,F85,C85/365,C85/365,$I$2,H85)</f>
        <v>7.2360393055248551E-3</v>
      </c>
      <c r="N85" s="106">
        <f>EBlackScholesForward("v",G85,E85,F85,C85/365,C85/365,$I$2,H85)</f>
        <v>0.25755987982366779</v>
      </c>
      <c r="O85" s="106">
        <f>EBlackScholesForward("t",G85,E85,F85,C85/365,C85/365,$I$2,H85)</f>
        <v>-4.1511586718385729E-3</v>
      </c>
      <c r="P85" s="103"/>
      <c r="Q85" s="106">
        <f>EBlackScholesForward("p",$G85,$E85,$F85,$C85/365,$C85/365,$I$2,$I85)</f>
        <v>11.008012228022778</v>
      </c>
      <c r="R85" s="107">
        <f>EBlackScholesForward("d",$G85,$E85,$F85,$C85/365,$C85/365,$I$2,$I85)</f>
        <v>-0.23459888954864283</v>
      </c>
      <c r="S85" s="106">
        <f>EBlackScholesForward("g",$G85,$E85,$F85,$C85/365,$C85/365,$I$2,$I85)</f>
        <v>6.9791614976111305E-3</v>
      </c>
      <c r="T85" s="106">
        <f>EBlackScholesForward("v",$G85,$E85,$F85,$C85/365,$C85/365,$I$2,$I85)</f>
        <v>0.25602146081613952</v>
      </c>
      <c r="U85" s="106">
        <f>EBlackScholesForward("t",$G85,$E85,$F85,$C85/365,$C85/365,$I$2,$I85)</f>
        <v>-4.2483940577273671E-3</v>
      </c>
    </row>
    <row r="86" spans="2:21" ht="12.75">
      <c r="B86" s="96">
        <f>B85</f>
        <v>41619</v>
      </c>
      <c r="C86" s="97">
        <f>B86-Today</f>
        <v>1398</v>
      </c>
      <c r="D86" s="98">
        <f>B86+30</f>
        <v>41649</v>
      </c>
      <c r="E86" s="100">
        <v>43.55</v>
      </c>
      <c r="F86" s="100">
        <v>41</v>
      </c>
      <c r="G86" s="101" t="s">
        <v>80</v>
      </c>
      <c r="H86" s="102">
        <v>0.30499999999999999</v>
      </c>
      <c r="I86" s="102">
        <v>0.4325</v>
      </c>
      <c r="J86" s="103"/>
      <c r="K86" s="104">
        <f>EBlackScholesForward("p",$G86,$E86,$F86,$C86/365,$C86/365,$I$2,H86)</f>
        <v>8.287250809436145</v>
      </c>
      <c r="L86" s="105">
        <f>EBlackScholesForward("d",G86,E86,F86,C86/365,C86/365,$I$2,H86)</f>
        <v>-0.32863207409450368</v>
      </c>
      <c r="M86" s="104">
        <f>EBlackScholesForward("g",G86,E86,F86,C86/365,C86/365,$I$2,H86)</f>
        <v>1.3507005167667785E-2</v>
      </c>
      <c r="N86" s="104">
        <f>EBlackScholesForward("v",G86,E86,F86,C86/365,C86/365,$I$2,H86)</f>
        <v>0.29925450577791413</v>
      </c>
      <c r="O86" s="104">
        <f>EBlackScholesForward("t",G86,E86,F86,C86/365,C86/365,$I$2,H86)</f>
        <v>-2.9813934451876634E-3</v>
      </c>
      <c r="P86" s="103"/>
      <c r="Q86" s="104">
        <f>EBlackScholesForward("p",$G86,$E86,$F86,$C86/365,$C86/365,$I$2,$I86)</f>
        <v>12.02865113010796</v>
      </c>
      <c r="R86" s="105">
        <f>EBlackScholesForward("d",$G86,$E86,$F86,$C86/365,$C86/365,$I$2,$I86)</f>
        <v>-0.29596163002434395</v>
      </c>
      <c r="S86" s="104">
        <f>EBlackScholesForward("g",$G86,$E86,$F86,$C86/365,$C86/365,$I$2,$I86)</f>
        <v>9.1292821124966395E-3</v>
      </c>
      <c r="T86" s="104">
        <f>EBlackScholesForward("v",$G86,$E86,$F86,$C86/365,$C86/365,$I$2,$I86)</f>
        <v>0.28681840374568424</v>
      </c>
      <c r="U86" s="104">
        <f>EBlackScholesForward("t",$G86,$E86,$F86,$C86/365,$C86/365,$I$2,$I86)</f>
        <v>-4.0258595475641812E-3</v>
      </c>
    </row>
    <row r="87" spans="2:21" ht="12.75">
      <c r="B87" s="96">
        <v>41619</v>
      </c>
      <c r="C87" s="97">
        <f>B87-Today</f>
        <v>1398</v>
      </c>
      <c r="D87" s="98">
        <f>B87+30</f>
        <v>41649</v>
      </c>
      <c r="E87" s="100">
        <v>43.55</v>
      </c>
      <c r="F87" s="100">
        <v>38</v>
      </c>
      <c r="G87" s="101" t="s">
        <v>80</v>
      </c>
      <c r="H87" s="102">
        <v>0.44500000000000001</v>
      </c>
      <c r="I87" s="102">
        <v>0.44500000000000001</v>
      </c>
      <c r="J87" s="103"/>
      <c r="K87" s="106">
        <f>EBlackScholesForward("p",$G87,$E87,$F87,$C87/365,$C87/365,$I$2,H87)</f>
        <v>10.594206888840546</v>
      </c>
      <c r="L87" s="107">
        <f>EBlackScholesForward("d",G87,E87,F87,C87/365,C87/365,$I$2,H87)</f>
        <v>-0.26398544324823803</v>
      </c>
      <c r="M87" s="106">
        <f>EBlackScholesForward("g",G87,E87,F87,C87/365,C87/365,$I$2,H87)</f>
        <v>8.4152056345487836E-3</v>
      </c>
      <c r="N87" s="106">
        <f>EBlackScholesForward("v",G87,E87,F87,C87/365,C87/365,$I$2,H87)</f>
        <v>0.27202369704852458</v>
      </c>
      <c r="O87" s="106">
        <f>EBlackScholesForward("t",G87,E87,F87,C87/365,C87/365,$I$2,H87)</f>
        <v>-3.967733755429137E-3</v>
      </c>
      <c r="P87" s="103"/>
      <c r="Q87" s="106">
        <f>EBlackScholesForward("p",$G87,$E87,$F87,$C87/365,$C87/365,$I$2,$I87)</f>
        <v>10.594206888840546</v>
      </c>
      <c r="R87" s="107">
        <f>EBlackScholesForward("d",$G87,$E87,$F87,$C87/365,$C87/365,$I$2,$I87)</f>
        <v>-0.26398544324823803</v>
      </c>
      <c r="S87" s="106">
        <f>EBlackScholesForward("g",$G87,$E87,$F87,$C87/365,$C87/365,$I$2,$I87)</f>
        <v>8.4152056345487836E-3</v>
      </c>
      <c r="T87" s="106">
        <f>EBlackScholesForward("v",$G87,$E87,$F87,$C87/365,$C87/365,$I$2,$I87)</f>
        <v>0.27202369704852458</v>
      </c>
      <c r="U87" s="106">
        <f>EBlackScholesForward("t",$G87,$E87,$F87,$C87/365,$C87/365,$I$2,$I87)</f>
        <v>-3.967733755429137E-3</v>
      </c>
    </row>
    <row r="88" spans="2:21" ht="12.75">
      <c r="B88" s="96">
        <v>41619</v>
      </c>
      <c r="C88" s="97">
        <f>B88-Today</f>
        <v>1398</v>
      </c>
      <c r="D88" s="98">
        <f>B88+30</f>
        <v>41649</v>
      </c>
      <c r="E88" s="100">
        <v>45.5</v>
      </c>
      <c r="F88" s="99">
        <v>48</v>
      </c>
      <c r="G88" s="114" t="s">
        <v>82</v>
      </c>
      <c r="H88" s="115">
        <v>0.7</v>
      </c>
      <c r="I88" s="115">
        <v>0.34</v>
      </c>
      <c r="J88" s="103"/>
      <c r="K88" s="104">
        <f>EBlackScholesForward("p",$G88,$E88,$F88,$C88/365,$C88/365,$I$2,H88)</f>
        <v>21.401304425815557</v>
      </c>
      <c r="L88" s="105">
        <f>EBlackScholesForward("d",G88,E88,F88,C88/365,C88/365,$I$2,H88)</f>
        <v>0.7062049315994301</v>
      </c>
      <c r="M88" s="104">
        <f>EBlackScholesForward("g",G88,E88,F88,C88/365,C88/365,$I$2,H88)</f>
        <v>4.9522331835305522E-3</v>
      </c>
      <c r="N88" s="104">
        <f>EBlackScholesForward("v",G88,E88,F88,C88/365,C88/365,$I$2,H88)</f>
        <v>0.27487322993189345</v>
      </c>
      <c r="O88" s="104">
        <f>EBlackScholesForward("t",G88,E88,F88,C88/365,C88/365,$I$2,H88)</f>
        <v>-6.1508299753434414E-3</v>
      </c>
      <c r="P88" s="103"/>
      <c r="Q88" s="104">
        <f>EBlackScholesForward("p",$G88,$E88,$F88,$C88/365,$C88/365,$I$2,$I88)</f>
        <v>10.459911011155436</v>
      </c>
      <c r="R88" s="105">
        <f>EBlackScholesForward("d",$G88,$E88,$F88,$C88/365,$C88/365,$I$2,$I88)</f>
        <v>0.57157148914921407</v>
      </c>
      <c r="S88" s="104">
        <f>EBlackScholesForward("g",$G88,$E88,$F88,$C88/365,$C88/365,$I$2,$I88)</f>
        <v>1.2167336826962583E-2</v>
      </c>
      <c r="T88" s="104">
        <f>EBlackScholesForward("v",$G88,$E88,$F88,$C88/365,$C88/365,$I$2,$I88)</f>
        <v>0.32802284144518801</v>
      </c>
      <c r="U88" s="104">
        <f>EBlackScholesForward("t",$G88,$E88,$F88,$C88/365,$C88/365,$I$2,$I88)</f>
        <v>-3.6316037192882789E-3</v>
      </c>
    </row>
    <row r="89" spans="2:21" ht="12.75">
      <c r="B89" s="92" t="s">
        <v>87</v>
      </c>
      <c r="C89" s="103"/>
      <c r="D89" s="103"/>
      <c r="E89" s="108"/>
      <c r="F89" s="108"/>
      <c r="G89" s="109"/>
      <c r="H89" s="108"/>
      <c r="I89" s="108"/>
      <c r="J89" s="103"/>
      <c r="K89" s="117"/>
      <c r="L89" s="103"/>
      <c r="M89" s="103"/>
      <c r="N89" s="103"/>
      <c r="O89" s="103"/>
      <c r="P89" s="103"/>
      <c r="Q89" s="117"/>
      <c r="R89" s="103"/>
      <c r="S89" s="103"/>
      <c r="T89" s="103"/>
      <c r="U89" s="103"/>
    </row>
    <row r="90" spans="2:21" ht="12.75">
      <c r="B90" s="96">
        <v>40346</v>
      </c>
      <c r="C90" s="97">
        <f>B90-Today</f>
        <v>125</v>
      </c>
      <c r="D90" s="98">
        <f>B90+30</f>
        <v>40376</v>
      </c>
      <c r="E90" s="99">
        <v>43.6</v>
      </c>
      <c r="F90" s="99">
        <v>47</v>
      </c>
      <c r="G90" s="114" t="s">
        <v>82</v>
      </c>
      <c r="H90" s="115">
        <v>0.51149999999999995</v>
      </c>
      <c r="I90" s="115">
        <v>0.51500000000000001</v>
      </c>
      <c r="J90" s="103"/>
      <c r="K90" s="104">
        <f>EBlackScholesForward("p",$G90,$E90,$F90,$C90/365,$C90/365,$I$2,H90)</f>
        <v>3.8403058883210086</v>
      </c>
      <c r="L90" s="105">
        <f>EBlackScholesForward("d",G90,E90,F90,C90/365,C90/365,$I$2,H90)</f>
        <v>0.45773489596550032</v>
      </c>
      <c r="M90" s="104">
        <f>EBlackScholesForward("g",G90,E90,F90,C90/365,C90/365,$I$2,H90)</f>
        <v>3.0282143295146113E-2</v>
      </c>
      <c r="N90" s="104">
        <f>EBlackScholesForward("v",G90,E90,F90,C90/365,C90/365,$I$2,H90)</f>
        <v>0.10083622889737587</v>
      </c>
      <c r="O90" s="104">
        <f>EBlackScholesForward("t",G90,E90,F90,C90/365,C90/365,$I$2,H90)</f>
        <v>-2.0540294131945025E-2</v>
      </c>
      <c r="P90" s="103"/>
      <c r="Q90" s="104">
        <f>EBlackScholesForward("p",$G90,$E90,$F90,$C90/365,$C90/365,$I$2,$I90)</f>
        <v>3.8756038763408949</v>
      </c>
      <c r="R90" s="105">
        <f>EBlackScholesForward("d",$G90,$E90,$F90,$C90/365,$C90/365,$I$2,$I90)</f>
        <v>0.45881356228076875</v>
      </c>
      <c r="S90" s="104">
        <f>EBlackScholesForward("g",$G90,$E90,$F90,$C90/365,$C90/365,$I$2,$I90)</f>
        <v>3.0084537163688196E-2</v>
      </c>
      <c r="T90" s="104">
        <f>EBlackScholesForward("v",$G90,$E90,$F90,$C90/365,$C90/365,$I$2,$I90)</f>
        <v>0.10086373541315052</v>
      </c>
      <c r="U90" s="104">
        <f>EBlackScholesForward("t",$G90,$E90,$F90,$C90/365,$C90/365,$I$2,$I90)</f>
        <v>-2.0686254096977219E-2</v>
      </c>
    </row>
    <row r="91" spans="2:21" ht="12.75">
      <c r="B91" s="96">
        <v>40346</v>
      </c>
      <c r="C91" s="97">
        <f>B91-Today</f>
        <v>125</v>
      </c>
      <c r="D91" s="98">
        <f>B91+30</f>
        <v>40376</v>
      </c>
      <c r="E91" s="100">
        <v>43.35</v>
      </c>
      <c r="F91" s="100">
        <v>36</v>
      </c>
      <c r="G91" s="101" t="s">
        <v>80</v>
      </c>
      <c r="H91" s="102">
        <v>0.49399999999999999</v>
      </c>
      <c r="I91" s="102">
        <v>0.496</v>
      </c>
      <c r="J91" s="103"/>
      <c r="K91" s="104">
        <f>EBlackScholesForward("p",$G91,$E91,$F91,$C91/365,$C91/365,$I$2,H91)</f>
        <v>1.7782124433521671</v>
      </c>
      <c r="L91" s="105">
        <f>EBlackScholesForward("d",G91,E91,F91,C91/365,C91/365,$I$2,H91)</f>
        <v>-0.21465970292944281</v>
      </c>
      <c r="M91" s="104">
        <f>EBlackScholesForward("g",G91,E91,F91,C91/365,C91/365,$I$2,H91)</f>
        <v>2.3252065011192258E-2</v>
      </c>
      <c r="N91" s="104">
        <f>EBlackScholesForward("v",G91,E91,F91,C91/365,C91/365,$I$2,H91)</f>
        <v>7.3918134934148005E-2</v>
      </c>
      <c r="O91" s="104">
        <f>EBlackScholesForward("t",G91,E91,F91,C91/365,C91/365,$I$2,H91)</f>
        <v>-1.4564716357405416E-2</v>
      </c>
      <c r="P91" s="103"/>
      <c r="Q91" s="104">
        <f>EBlackScholesForward("p",$G91,$E91,$F91,$C91/365,$C91/365,$I$2,$I91)</f>
        <v>1.7930088786124065</v>
      </c>
      <c r="R91" s="105">
        <f>EBlackScholesForward("d",$G91,$E91,$F91,$C91/365,$C91/365,$I$2,$I91)</f>
        <v>-0.21524475666978571</v>
      </c>
      <c r="S91" s="104">
        <f>EBlackScholesForward("g",$G91,$E91,$F91,$C91/365,$C91/365,$I$2,$I91)</f>
        <v>2.3194862066588939E-2</v>
      </c>
      <c r="T91" s="104">
        <f>EBlackScholesForward("v",$G91,$E91,$F91,$C91/365,$C91/365,$I$2,$I91)</f>
        <v>7.4034895206644191E-2</v>
      </c>
      <c r="U91" s="104">
        <f>EBlackScholesForward("t",$G91,$E91,$F91,$C91/365,$C91/365,$I$2,$I91)</f>
        <v>-1.4646705965883688E-2</v>
      </c>
    </row>
    <row r="92" spans="2:21" ht="12.75">
      <c r="B92" s="96">
        <v>40346</v>
      </c>
      <c r="C92" s="97">
        <f>B92-Today</f>
        <v>125</v>
      </c>
      <c r="D92" s="98">
        <f>B92+30</f>
        <v>40376</v>
      </c>
      <c r="E92" s="100">
        <v>43.35</v>
      </c>
      <c r="F92" s="100">
        <v>44</v>
      </c>
      <c r="G92" s="101" t="s">
        <v>80</v>
      </c>
      <c r="H92" s="102">
        <v>0.495</v>
      </c>
      <c r="I92" s="102">
        <v>0.4325</v>
      </c>
      <c r="J92" s="103"/>
      <c r="K92" s="104">
        <f>EBlackScholesForward("p",$G92,$E92,$F92,$C92/365,$C92/365,$I$2,H92)</f>
        <v>5.3383696622191188</v>
      </c>
      <c r="L92" s="118">
        <f>EBlackScholesForward("d",G92,E92,F92,C92/365,C92/365,$I$2,H92)</f>
        <v>-0.46079199787589786</v>
      </c>
      <c r="M92" s="104">
        <f>EBlackScholesForward("g",G92,E92,F92,C92/365,C92/365,$I$2,H92)</f>
        <v>3.1495700714145869E-2</v>
      </c>
      <c r="N92" s="104">
        <f>EBlackScholesForward("v",G92,E92,F92,C92/365,C92/365,$I$2,H92)</f>
        <v>0.10033466388084022</v>
      </c>
      <c r="O92" s="104">
        <f>EBlackScholesForward("t",G92,E92,F92,C92/365,C92/365,$I$2,H92)</f>
        <v>-1.9724782168884403E-2</v>
      </c>
      <c r="P92" s="103"/>
      <c r="Q92" s="104">
        <f>EBlackScholesForward("p",$G92,$E92,$F92,$C92/365,$C92/365,$I$2,$I92)</f>
        <v>4.710600366619385</v>
      </c>
      <c r="R92" s="105">
        <f>EBlackScholesForward("d",$G92,$E92,$F92,$C92/365,$C92/365,$I$2,$I92)</f>
        <v>-0.47097246177427721</v>
      </c>
      <c r="S92" s="104">
        <f>EBlackScholesForward("g",$G92,$E92,$F92,$C92/365,$C92/365,$I$2,$I92)</f>
        <v>3.6121887809770215E-2</v>
      </c>
      <c r="T92" s="104">
        <f>EBlackScholesForward("v",$G92,$E92,$F92,$C92/365,$C92/365,$I$2,$I92)</f>
        <v>0.10054278565214281</v>
      </c>
      <c r="U92" s="104">
        <f>EBlackScholesForward("t",$G92,$E92,$F92,$C92/365,$C92/365,$I$2,$I92)</f>
        <v>-1.7268579901425163E-2</v>
      </c>
    </row>
    <row r="93" spans="2:21" ht="12.75">
      <c r="B93" s="96">
        <v>40346</v>
      </c>
      <c r="C93" s="97">
        <f>B93-Today</f>
        <v>125</v>
      </c>
      <c r="D93" s="98">
        <f>B93+30</f>
        <v>40376</v>
      </c>
      <c r="E93" s="100">
        <v>43.8</v>
      </c>
      <c r="F93" s="100">
        <v>50</v>
      </c>
      <c r="G93" s="101" t="s">
        <v>82</v>
      </c>
      <c r="H93" s="102">
        <v>0.52</v>
      </c>
      <c r="I93" s="102">
        <v>0.46</v>
      </c>
      <c r="J93" s="103"/>
      <c r="K93" s="104">
        <f>EBlackScholesForward("p",$G93,$E93,$F93,$C93/365,$C93/365,$I$2,H93)</f>
        <v>3.0820121243767411</v>
      </c>
      <c r="L93" s="105">
        <f>EBlackScholesForward("d",G93,E93,F93,C93/365,C93/365,$I$2,H93)</f>
        <v>0.38696744708333064</v>
      </c>
      <c r="M93" s="104">
        <f>EBlackScholesForward("g",G93,E93,F93,C93/365,C93/365,$I$2,H93)</f>
        <v>2.8634283140149819E-2</v>
      </c>
      <c r="N93" s="104">
        <f>EBlackScholesForward("v",G93,E93,F93,C93/365,C93/365,$I$2,H93)</f>
        <v>9.7822771790645691E-2</v>
      </c>
      <c r="O93" s="104">
        <f>EBlackScholesForward("t",G93,E93,F93,C93/365,C93/365,$I$2,H93)</f>
        <v>-2.027703207333742E-2</v>
      </c>
      <c r="P93" s="103"/>
      <c r="Q93" s="104">
        <f>EBlackScholesForward("p",$G93,$E93,$F93,$C93/365,$C93/365,$I$2,$I93)</f>
        <v>2.5014971309537732</v>
      </c>
      <c r="R93" s="105">
        <f>EBlackScholesForward("d",$G93,$E93,$F93,$C93/365,$C93/365,$I$2,$I93)</f>
        <v>0.35893125149411009</v>
      </c>
      <c r="S93" s="104">
        <f>EBlackScholesForward("g",$G93,$E93,$F93,$C93/365,$C93/365,$I$2,$I93)</f>
        <v>3.1608521156023528E-2</v>
      </c>
      <c r="T93" s="104">
        <f>EBlackScholesForward("v",$G93,$E93,$F93,$C93/365,$C93/365,$I$2,$I93)</f>
        <v>9.5522057464604959E-2</v>
      </c>
      <c r="U93" s="104">
        <f>EBlackScholesForward("t",$G93,$E93,$F93,$C93/365,$C93/365,$I$2,$I93)</f>
        <v>-1.7519318228968572E-2</v>
      </c>
    </row>
    <row r="94" spans="2:21" ht="12.75">
      <c r="B94" s="133">
        <v>40437</v>
      </c>
      <c r="C94" s="97">
        <f>B94-Today</f>
        <v>216</v>
      </c>
      <c r="D94" s="134">
        <f>B94+30</f>
        <v>40467</v>
      </c>
      <c r="E94" s="99">
        <v>47</v>
      </c>
      <c r="F94" s="99">
        <v>55</v>
      </c>
      <c r="G94" s="114" t="s">
        <v>82</v>
      </c>
      <c r="H94" s="115">
        <v>0.4</v>
      </c>
      <c r="I94" s="115">
        <v>0.44</v>
      </c>
      <c r="J94" s="103"/>
      <c r="K94" s="104">
        <f>EBlackScholesForward("p",$G94,$E94,$F94,$C94/365,$C94/365,$I$2,H94)</f>
        <v>3.0018649699381981</v>
      </c>
      <c r="L94" s="105">
        <f>EBlackScholesForward("d",G94,E94,F94,C94/365,C94/365,$I$2,H94)</f>
        <v>0.3578996262929568</v>
      </c>
      <c r="M94" s="104">
        <f>EBlackScholesForward("g",G94,E94,F94,C94/365,C94/365,$I$2,H94)</f>
        <v>2.569144479380725E-2</v>
      </c>
      <c r="N94" s="104">
        <f>EBlackScholesForward("v",G94,E94,F94,C94/365,C94/365,$I$2,H94)</f>
        <v>0.13432943438146228</v>
      </c>
      <c r="O94" s="104">
        <f>EBlackScholesForward("t",G94,E94,F94,C94/365,C94/365,$I$2,H94)</f>
        <v>-1.2347502112903364E-2</v>
      </c>
      <c r="P94" s="103"/>
      <c r="Q94" s="104">
        <f>EBlackScholesForward("p",$G94,$E94,$F94,$C94/365,$C94/365,$I$2,$I94)</f>
        <v>3.5449808400769189</v>
      </c>
      <c r="R94" s="105">
        <f>EBlackScholesForward("d",$G94,$E94,$F94,$C94/365,$C94/365,$I$2,$I94)</f>
        <v>0.38111136430922787</v>
      </c>
      <c r="S94" s="104">
        <f>EBlackScholesForward("g",$G94,$E94,$F94,$C94/365,$C94/365,$I$2,$I94)</f>
        <v>2.3831450461919701E-2</v>
      </c>
      <c r="T94" s="104">
        <f>EBlackScholesForward("v",$G94,$E94,$F94,$C94/365,$C94/365,$I$2,$I94)</f>
        <v>0.13706791547907882</v>
      </c>
      <c r="U94" s="104">
        <f>EBlackScholesForward("t",$G94,$E94,$F94,$C94/365,$C94/365,$I$2,$I94)</f>
        <v>-1.3853623908212764E-2</v>
      </c>
    </row>
    <row r="95" spans="2:21" ht="12.75">
      <c r="B95" s="92" t="s">
        <v>81</v>
      </c>
      <c r="C95" s="103"/>
      <c r="D95" s="103"/>
      <c r="E95" s="108"/>
      <c r="F95" s="108"/>
      <c r="G95" s="109"/>
      <c r="H95" s="108"/>
      <c r="I95" s="108"/>
      <c r="J95" s="103"/>
      <c r="K95" s="116">
        <f>K96+K97</f>
        <v>4.48082013386726</v>
      </c>
      <c r="L95" s="103"/>
      <c r="M95" s="103"/>
      <c r="N95" s="103"/>
      <c r="O95" s="103"/>
      <c r="P95" s="103"/>
      <c r="Q95" s="116">
        <f>+Q96+Q97</f>
        <v>5.3018017452169719</v>
      </c>
      <c r="R95" s="103"/>
      <c r="S95" s="103"/>
      <c r="T95" s="103"/>
      <c r="U95" s="103"/>
    </row>
    <row r="96" spans="2:21" ht="12.75">
      <c r="B96" s="126">
        <v>41080</v>
      </c>
      <c r="C96" s="97">
        <f>B96-Today</f>
        <v>859</v>
      </c>
      <c r="D96" s="98">
        <f>B96+30</f>
        <v>41110</v>
      </c>
      <c r="E96" s="100">
        <v>6.45</v>
      </c>
      <c r="F96" s="100">
        <v>6</v>
      </c>
      <c r="G96" s="101" t="s">
        <v>80</v>
      </c>
      <c r="H96" s="102">
        <v>0.7</v>
      </c>
      <c r="I96" s="102">
        <v>0.82899999999999996</v>
      </c>
      <c r="J96" s="119"/>
      <c r="K96" s="104">
        <f>EBlackScholesForward("p",$G96,$E96,$F96,$C96/365,$C96/365,$I$2,H96)</f>
        <v>2.2569123514391327</v>
      </c>
      <c r="L96" s="105">
        <f>EBlackScholesForward("d",G96,E96,F96,C96/365,C96/365,$I$2,H96)</f>
        <v>-0.26492078163173893</v>
      </c>
      <c r="M96" s="104">
        <f>EBlackScholesForward("g",G96,E96,F96,C96/365,C96/365,$I$2,H96)</f>
        <v>4.6594533946731076E-2</v>
      </c>
      <c r="N96" s="104">
        <f>EBlackScholesForward("v",G96,E96,F96,C96/365,C96/365,$I$2,H96)</f>
        <v>3.1933696808384093E-2</v>
      </c>
      <c r="O96" s="104">
        <f>EBlackScholesForward("t",G96,E96,F96,C96/365,C96/365,$I$2,H96)</f>
        <v>-1.2243880848510358E-3</v>
      </c>
      <c r="P96" s="103"/>
      <c r="Q96" s="104">
        <f>EBlackScholesForward("p",$G96,$E96,$F96,$C96/365,$C96/365,$I$2,$I96)</f>
        <v>2.6576033730511859</v>
      </c>
      <c r="R96" s="105">
        <f>EBlackScholesForward("d",$G96,$E96,$F96,$C96/365,$C96/365,$I$2,$I96)</f>
        <v>-0.23715445437495486</v>
      </c>
      <c r="S96" s="104">
        <f>EBlackScholesForward("g",$G96,$E96,$F96,$C96/365,$C96/365,$I$2,$I96)</f>
        <v>3.7150243712424924E-2</v>
      </c>
      <c r="T96" s="104">
        <f>EBlackScholesForward("v",$G96,$E96,$F96,$C96/365,$C96/365,$I$2,$I96)</f>
        <v>3.0153169695701587E-2</v>
      </c>
      <c r="U96" s="104">
        <f>EBlackScholesForward("t",$G96,$E96,$F96,$C96/365,$C96/365,$I$2,$I96)</f>
        <v>-1.3646415724206662E-3</v>
      </c>
    </row>
    <row r="97" spans="2:21" ht="12.75">
      <c r="B97" s="126">
        <v>41080</v>
      </c>
      <c r="C97" s="97">
        <f>B97-Today</f>
        <v>859</v>
      </c>
      <c r="D97" s="98">
        <f>B97+30</f>
        <v>41110</v>
      </c>
      <c r="E97" s="100">
        <v>6.45</v>
      </c>
      <c r="F97" s="100">
        <v>5</v>
      </c>
      <c r="G97" s="101" t="s">
        <v>80</v>
      </c>
      <c r="H97" s="102">
        <v>0.92</v>
      </c>
      <c r="I97" s="102">
        <v>1.0900000000000001</v>
      </c>
      <c r="J97" s="103"/>
      <c r="K97" s="106">
        <f>EBlackScholesForward("p",$G97,$E97,$F97,$C97/365,$C97/365,$I$2,H97)</f>
        <v>2.2239077824281277</v>
      </c>
      <c r="L97" s="107">
        <f>EBlackScholesForward("d",G97,E97,F97,C97/365,C97/365,$I$2,H97)</f>
        <v>-0.18233735985653254</v>
      </c>
      <c r="M97" s="106">
        <f>EBlackScholesForward("g",G97,E97,F97,C97/365,C97/365,$I$2,H97)</f>
        <v>2.8736718071797895E-2</v>
      </c>
      <c r="N97" s="106">
        <f>EBlackScholesForward("v",G97,E97,F97,C97/365,C97/365,$I$2,H97)</f>
        <v>2.5884581839802134E-2</v>
      </c>
      <c r="O97" s="106">
        <f>EBlackScholesForward("t",G97,E97,F97,C97/365,C97/365,$I$2,H97)</f>
        <v>-1.3106227359398481E-3</v>
      </c>
      <c r="P97" s="103"/>
      <c r="Q97" s="106">
        <f>EBlackScholesForward("p",$G97,$E97,$F97,$C97/365,$C97/365,$I$2,$I97)</f>
        <v>2.644198372165786</v>
      </c>
      <c r="R97" s="107">
        <f>EBlackScholesForward("d",$G97,$E97,$F97,$C97/365,$C97/365,$I$2,$I97)</f>
        <v>-0.15680647686782123</v>
      </c>
      <c r="S97" s="106">
        <f>EBlackScholesForward("g",$G97,$E97,$F97,$C97/365,$C97/365,$I$2,$I97)</f>
        <v>2.2038188980388895E-2</v>
      </c>
      <c r="T97" s="106">
        <f>EBlackScholesForward("v",$G97,$E97,$F97,$C97/365,$C97/365,$I$2,$I97)</f>
        <v>2.3519056851953879E-2</v>
      </c>
      <c r="U97" s="106">
        <f>EBlackScholesForward("t",$G97,$E97,$F97,$C97/365,$C97/365,$I$2,$I97)</f>
        <v>-1.4024165096686581E-3</v>
      </c>
    </row>
    <row r="98" spans="2:21" ht="12.75">
      <c r="B98" s="126">
        <v>41080</v>
      </c>
      <c r="C98" s="97">
        <f>B98-Today</f>
        <v>859</v>
      </c>
      <c r="D98" s="98">
        <f>B98+30</f>
        <v>41110</v>
      </c>
      <c r="E98" s="100">
        <v>12.9</v>
      </c>
      <c r="F98" s="100">
        <v>14</v>
      </c>
      <c r="G98" s="101" t="s">
        <v>82</v>
      </c>
      <c r="H98" s="102">
        <v>0.37</v>
      </c>
      <c r="I98" s="102">
        <v>0.40250000000000002</v>
      </c>
      <c r="J98" s="103"/>
      <c r="K98" s="104">
        <f>EBlackScholesForward("p",$G98,$E98,$F98,$C98/365,$C98/365,$I$2,H98)</f>
        <v>2.4135537559950944</v>
      </c>
      <c r="L98" s="105">
        <f>EBlackScholesForward("d",G98,E98,F98,C98/365,C98/365,$I$2,H98)</f>
        <v>0.53942366824755172</v>
      </c>
      <c r="M98" s="104">
        <f>EBlackScholesForward("g",G98,E98,F98,C98/365,C98/365,$I$2,H98)</f>
        <v>5.239118284539046E-2</v>
      </c>
      <c r="N98" s="104">
        <f>EBlackScholesForward("v",G98,E98,F98,C98/365,C98/365,$I$2,H98)</f>
        <v>7.5915819684696517E-2</v>
      </c>
      <c r="O98" s="104">
        <f>EBlackScholesForward("t",G98,E98,F98,C98/365,C98/365,$I$2,H98)</f>
        <v>-1.5529049482347901E-3</v>
      </c>
      <c r="P98" s="103"/>
      <c r="Q98" s="104">
        <f>EBlackScholesForward("p",$G98,$E98,$F98,$C98/365,$C98/365,$I$2,$I98)</f>
        <v>2.6595943332391032</v>
      </c>
      <c r="R98" s="105">
        <f>EBlackScholesForward("d",$G98,$E98,$F98,$C98/365,$C98/365,$I$2,$I98)</f>
        <v>0.55341358322500422</v>
      </c>
      <c r="S98" s="104">
        <f>EBlackScholesForward("g",$G98,$E98,$F98,$C98/365,$C98/365,$I$2,$I98)</f>
        <v>4.7883499747491953E-2</v>
      </c>
      <c r="T98" s="104">
        <f>EBlackScholesForward("v",$G98,$E98,$F98,$C98/365,$C98/365,$I$2,$I98)</f>
        <v>7.5478826346515149E-2</v>
      </c>
      <c r="U98" s="104">
        <f>EBlackScholesForward("t",$G98,$E98,$F98,$C98/365,$C98/365,$I$2,$I98)</f>
        <v>-1.6779063640903757E-3</v>
      </c>
    </row>
    <row r="99" spans="2:21" ht="12.75">
      <c r="B99" s="42">
        <v>41255</v>
      </c>
      <c r="C99" s="97">
        <f>B99-Today</f>
        <v>1034</v>
      </c>
      <c r="D99" s="98">
        <f>B99+30</f>
        <v>41285</v>
      </c>
      <c r="E99" s="100">
        <v>14.8</v>
      </c>
      <c r="F99" s="100">
        <v>30</v>
      </c>
      <c r="G99" s="101" t="s">
        <v>82</v>
      </c>
      <c r="H99" s="102">
        <v>0.41</v>
      </c>
      <c r="I99" s="102">
        <v>0.41</v>
      </c>
      <c r="J99" s="103"/>
      <c r="K99" s="106">
        <f>EBlackScholesForward("p",$G99,$E99,$F99,$C99/365,$C99/365,$L$2,H99)</f>
        <v>1.0350768980049478</v>
      </c>
      <c r="L99" s="107">
        <f>EBlackScholesForward("d",G99,E99,F99,C99/365,C99/365,$I$2,H99)</f>
        <v>0.23996321717474345</v>
      </c>
      <c r="M99" s="106">
        <f>EBlackScholesForward("g",G99,E99,F99,C99/365,C99/365,$I$2,H99)</f>
        <v>2.9943245540842156E-2</v>
      </c>
      <c r="N99" s="106">
        <f>EBlackScholesForward("v",G99,E99,F99,C99/365,C99/365,$I$2,H99)</f>
        <v>7.6160623408822792E-2</v>
      </c>
      <c r="O99" s="106">
        <f>EBlackScholesForward("t",G99,E99,F99,C99/365,C99/365,$I$2,H99)</f>
        <v>-1.4735608163114478E-3</v>
      </c>
      <c r="P99" s="103"/>
      <c r="Q99" s="106">
        <f>EBlackScholesForward("p",$G99,$E99,$F99,$C99/365,$C99/365,$L$2,$I99)</f>
        <v>1.0350768980049478</v>
      </c>
      <c r="R99" s="107">
        <f>EBlackScholesForward("d",$G99,$E99,$F99,$C99/365,$C99/365,$I$2,$I99)</f>
        <v>0.23996321717474345</v>
      </c>
      <c r="S99" s="106">
        <f>EBlackScholesForward("g",$G99,$E99,$F99,$C99/365,$C99/365,$I$2,$I99)</f>
        <v>2.9943245540842156E-2</v>
      </c>
      <c r="T99" s="106">
        <f>EBlackScholesForward("v",$G99,$E99,$F99,$C99/365,$C99/365,$I$2,$I99)</f>
        <v>7.6160623408822792E-2</v>
      </c>
      <c r="U99" s="106">
        <f>EBlackScholesForward("t",$G99,$E99,$F99,$C99/365,$C99/365,$I$2,$I99)</f>
        <v>-1.4735608163114478E-3</v>
      </c>
    </row>
    <row r="100" spans="2:21" ht="13.5" thickBot="1">
      <c r="B100" s="55">
        <v>41255</v>
      </c>
      <c r="C100" s="97">
        <f>B100-Today</f>
        <v>1034</v>
      </c>
      <c r="D100" s="98">
        <f>B100+30</f>
        <v>41285</v>
      </c>
      <c r="E100" s="100">
        <v>14.35</v>
      </c>
      <c r="F100" s="100">
        <v>26</v>
      </c>
      <c r="G100" s="101" t="s">
        <v>82</v>
      </c>
      <c r="H100" s="102">
        <v>0.36249999999999999</v>
      </c>
      <c r="I100" s="102">
        <v>0.377</v>
      </c>
      <c r="J100" s="103"/>
      <c r="K100" s="104">
        <f>EBlackScholesForward("p",$G100,$E100,$F100,$C100/365,$C100/365,$L$2,H100)</f>
        <v>0.93039510208405729</v>
      </c>
      <c r="L100" s="105">
        <f>EBlackScholesForward("d",G100,E100,F100,C100/365,C100/365,$I$2,H100)</f>
        <v>0.24296828058983921</v>
      </c>
      <c r="M100" s="104">
        <f>EBlackScholesForward("g",G100,E100,F100,C100/365,C100/365,$I$2,H100)</f>
        <v>3.5160188316396557E-2</v>
      </c>
      <c r="N100" s="104">
        <f>EBlackScholesForward("v",G100,E100,F100,C100/365,C100/365,$I$2,H100)</f>
        <v>7.433085269963402E-2</v>
      </c>
      <c r="O100" s="104">
        <f>EBlackScholesForward("t",G100,E100,F100,C100/365,C100/365,$I$2,H100)</f>
        <v>-1.2702958255975672E-3</v>
      </c>
      <c r="P100" s="103"/>
      <c r="Q100" s="104">
        <f>EBlackScholesForward("p",$G100,$E100,$F100,$C100/365,$C100/365,$L$2,$I100)</f>
        <v>1.03587613102725</v>
      </c>
      <c r="R100" s="105">
        <f>EBlackScholesForward("d",$G100,$E100,$F100,$C100/365,$C100/365,$I$2,$I100)</f>
        <v>0.25850889994175619</v>
      </c>
      <c r="S100" s="104">
        <f>EBlackScholesForward("g",$G100,$E100,$F100,$C100/365,$C100/365,$I$2,$I100)</f>
        <v>3.4907170805009713E-2</v>
      </c>
      <c r="T100" s="104">
        <f>EBlackScholesForward("v",$G100,$E100,$F100,$C100/365,$C100/365,$I$2,$I100)</f>
        <v>7.6750117282922803E-2</v>
      </c>
      <c r="U100" s="104">
        <f>EBlackScholesForward("t",$G100,$E100,$F100,$C100/365,$C100/365,$I$2,$I100)</f>
        <v>-1.3627821015942398E-3</v>
      </c>
    </row>
    <row r="101" spans="2:21" ht="12.75">
      <c r="B101" s="103"/>
      <c r="C101" s="103"/>
      <c r="D101" s="103"/>
      <c r="E101" s="103"/>
      <c r="F101" s="103"/>
      <c r="G101" s="103"/>
      <c r="H101" s="103"/>
      <c r="I101" s="103"/>
      <c r="J101" s="103"/>
      <c r="K101" s="116">
        <f>K100-Q99</f>
        <v>-0.10468179592089055</v>
      </c>
      <c r="L101" s="103"/>
      <c r="M101" s="103"/>
      <c r="N101" s="103"/>
      <c r="O101" s="103"/>
      <c r="P101" s="103"/>
      <c r="Q101" s="116">
        <f>Q100-K99</f>
        <v>7.992330223021149E-4</v>
      </c>
      <c r="R101" s="103"/>
      <c r="S101" s="103"/>
      <c r="T101" s="103"/>
      <c r="U101" s="103"/>
    </row>
    <row r="102" spans="2:21" ht="12.75"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</row>
  </sheetData>
  <mergeCells count="3">
    <mergeCell ref="C2:D2"/>
    <mergeCell ref="K3:O3"/>
    <mergeCell ref="Q3:U3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A85"/>
  <sheetViews>
    <sheetView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C7" sqref="C7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6.28515625" style="19" bestFit="1" customWidth="1"/>
    <col min="9" max="10" width="6.85546875" style="19" bestFit="1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43" width="6.28515625" style="19" bestFit="1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>C13</f>
        <v>46</v>
      </c>
      <c r="G3" s="62">
        <f>F3-C15</f>
        <v>41</v>
      </c>
      <c r="H3" s="62">
        <f>F3-2*C15</f>
        <v>36</v>
      </c>
      <c r="I3" s="62">
        <f>F3-3*C15</f>
        <v>31</v>
      </c>
      <c r="J3" s="62">
        <f>F3-4*C15</f>
        <v>26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4</v>
      </c>
      <c r="FA3" s="89" t="str">
        <f>IF(EZ3=1,"d",IF(EZ3=2,"g",IF(EZ3=3,"t","v")))</f>
        <v>v</v>
      </c>
    </row>
    <row r="4" spans="1:157" ht="10.15" customHeight="1">
      <c r="A4" s="21" t="s">
        <v>51</v>
      </c>
      <c r="B4" s="21"/>
      <c r="C4" s="68">
        <f>Today</f>
        <v>40221</v>
      </c>
      <c r="D4" s="21"/>
      <c r="E4" s="25" t="s">
        <v>69</v>
      </c>
      <c r="F4" s="63">
        <f>C14+F5</f>
        <v>0.17799999999999999</v>
      </c>
      <c r="G4" s="64">
        <f>$F$4+G5</f>
        <v>0.183</v>
      </c>
      <c r="H4" s="64">
        <f>$F$4+H5</f>
        <v>0.188</v>
      </c>
      <c r="I4" s="64">
        <f>$F$4+I5</f>
        <v>0.193</v>
      </c>
      <c r="J4" s="64">
        <f>$F$4+J5</f>
        <v>0.19799999999999998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40521</v>
      </c>
      <c r="D5" s="21"/>
      <c r="E5" s="21" t="s">
        <v>68</v>
      </c>
      <c r="F5" s="65">
        <v>0</v>
      </c>
      <c r="G5" s="66">
        <v>5.0000000000000001E-3</v>
      </c>
      <c r="H5" s="66">
        <v>0.01</v>
      </c>
      <c r="I5" s="66">
        <v>1.4999999999999999E-2</v>
      </c>
      <c r="J5" s="66">
        <v>0.02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>(C5-Today)/365</f>
        <v>0.82191780821917804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0.01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>C13</f>
        <v>46</v>
      </c>
      <c r="G8" s="62">
        <f>F8+C15</f>
        <v>51</v>
      </c>
      <c r="H8" s="62">
        <f>F8+2*C15</f>
        <v>56</v>
      </c>
      <c r="I8" s="62">
        <f>F8+3*C15</f>
        <v>61</v>
      </c>
      <c r="J8" s="62">
        <f>F8+4*C15</f>
        <v>66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>C14+F10</f>
        <v>0.17799999999999999</v>
      </c>
      <c r="G9" s="64">
        <f>$F$9+G10</f>
        <v>0.1855</v>
      </c>
      <c r="H9" s="64">
        <f>$F$9+H10</f>
        <v>0.193</v>
      </c>
      <c r="I9" s="64">
        <f>$F$9+I10</f>
        <v>0.20049999999999998</v>
      </c>
      <c r="J9" s="64">
        <f>$F$9+J10</f>
        <v>0.19799999999999998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7.4999999999999997E-3</v>
      </c>
      <c r="H10" s="66">
        <v>1.4999999999999999E-2</v>
      </c>
      <c r="I10" s="66">
        <v>2.2499999999999999E-2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45.65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46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71">
        <v>0.17799999999999999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38" t="s">
        <v>66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22" t="s">
        <v>49</v>
      </c>
      <c r="X19" s="138" t="s">
        <v>53</v>
      </c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</row>
    <row r="20" spans="1:43" ht="10.15" customHeight="1">
      <c r="A20" s="26" t="s">
        <v>14</v>
      </c>
      <c r="B20" s="26"/>
      <c r="C20" s="38" t="str">
        <f t="shared" ref="C20:AQ20" si="0">IF(C22&lt;$C$11,"p","c")</f>
        <v>p</v>
      </c>
      <c r="D20" s="38" t="str">
        <f t="shared" si="0"/>
        <v>p</v>
      </c>
      <c r="E20" s="38" t="str">
        <f t="shared" si="0"/>
        <v>p</v>
      </c>
      <c r="F20" s="38" t="str">
        <f t="shared" si="0"/>
        <v>p</v>
      </c>
      <c r="G20" s="38" t="str">
        <f t="shared" si="0"/>
        <v>p</v>
      </c>
      <c r="H20" s="38" t="str">
        <f t="shared" si="0"/>
        <v>p</v>
      </c>
      <c r="I20" s="38" t="str">
        <f t="shared" si="0"/>
        <v>p</v>
      </c>
      <c r="J20" s="38" t="str">
        <f t="shared" si="0"/>
        <v>p</v>
      </c>
      <c r="K20" s="38" t="str">
        <f t="shared" si="0"/>
        <v>p</v>
      </c>
      <c r="L20" s="38" t="str">
        <f t="shared" si="0"/>
        <v>p</v>
      </c>
      <c r="M20" s="38" t="str">
        <f t="shared" si="0"/>
        <v>p</v>
      </c>
      <c r="N20" s="38" t="str">
        <f t="shared" si="0"/>
        <v>p</v>
      </c>
      <c r="O20" s="38" t="str">
        <f t="shared" si="0"/>
        <v>p</v>
      </c>
      <c r="P20" s="38" t="str">
        <f t="shared" si="0"/>
        <v>p</v>
      </c>
      <c r="Q20" s="38" t="str">
        <f t="shared" si="0"/>
        <v>p</v>
      </c>
      <c r="R20" s="38" t="str">
        <f t="shared" si="0"/>
        <v>p</v>
      </c>
      <c r="S20" s="38" t="str">
        <f t="shared" si="0"/>
        <v>p</v>
      </c>
      <c r="T20" s="38" t="str">
        <f t="shared" si="0"/>
        <v>p</v>
      </c>
      <c r="U20" s="38" t="str">
        <f t="shared" si="0"/>
        <v>p</v>
      </c>
      <c r="V20" s="38" t="str">
        <f t="shared" si="0"/>
        <v>p</v>
      </c>
      <c r="W20" s="73" t="str">
        <f t="shared" si="0"/>
        <v>c</v>
      </c>
      <c r="X20" s="38" t="str">
        <f t="shared" si="0"/>
        <v>c</v>
      </c>
      <c r="Y20" s="38" t="str">
        <f t="shared" si="0"/>
        <v>c</v>
      </c>
      <c r="Z20" s="38" t="str">
        <f t="shared" si="0"/>
        <v>c</v>
      </c>
      <c r="AA20" s="38" t="str">
        <f t="shared" si="0"/>
        <v>c</v>
      </c>
      <c r="AB20" s="38" t="str">
        <f t="shared" si="0"/>
        <v>c</v>
      </c>
      <c r="AC20" s="38" t="str">
        <f t="shared" si="0"/>
        <v>c</v>
      </c>
      <c r="AD20" s="38" t="str">
        <f t="shared" si="0"/>
        <v>c</v>
      </c>
      <c r="AE20" s="38" t="str">
        <f t="shared" si="0"/>
        <v>c</v>
      </c>
      <c r="AF20" s="38" t="str">
        <f t="shared" si="0"/>
        <v>c</v>
      </c>
      <c r="AG20" s="38" t="str">
        <f t="shared" si="0"/>
        <v>c</v>
      </c>
      <c r="AH20" s="38" t="str">
        <f t="shared" si="0"/>
        <v>c</v>
      </c>
      <c r="AI20" s="38" t="str">
        <f t="shared" si="0"/>
        <v>c</v>
      </c>
      <c r="AJ20" s="38" t="str">
        <f t="shared" si="0"/>
        <v>c</v>
      </c>
      <c r="AK20" s="38" t="str">
        <f t="shared" si="0"/>
        <v>c</v>
      </c>
      <c r="AL20" s="38" t="str">
        <f t="shared" si="0"/>
        <v>c</v>
      </c>
      <c r="AM20" s="38" t="str">
        <f t="shared" si="0"/>
        <v>c</v>
      </c>
      <c r="AN20" s="38" t="str">
        <f t="shared" si="0"/>
        <v>c</v>
      </c>
      <c r="AO20" s="38" t="str">
        <f t="shared" si="0"/>
        <v>c</v>
      </c>
      <c r="AP20" s="38" t="str">
        <f t="shared" si="0"/>
        <v>c</v>
      </c>
      <c r="AQ20" s="38" t="str">
        <f t="shared" si="0"/>
        <v>c</v>
      </c>
    </row>
    <row r="21" spans="1:43" ht="10.15" customHeight="1">
      <c r="A21" s="26" t="s">
        <v>54</v>
      </c>
      <c r="B21" s="26"/>
      <c r="C21" s="27">
        <f>F4+J5</f>
        <v>0.19799999999999998</v>
      </c>
      <c r="D21" s="28">
        <f>$H$21+($C$21-$H$21)*0.7</f>
        <v>0.19649999999999998</v>
      </c>
      <c r="E21" s="28">
        <f>$H$21+($C$21-$H$21)*0.45</f>
        <v>0.19525000000000001</v>
      </c>
      <c r="F21" s="28">
        <f>$H$21+($C$21-$H$21)*0.25</f>
        <v>0.19425000000000001</v>
      </c>
      <c r="G21" s="28">
        <f>$H$21+($C$21-$H$21)*0.1</f>
        <v>0.19350000000000001</v>
      </c>
      <c r="H21" s="27">
        <f>F4+I5</f>
        <v>0.193</v>
      </c>
      <c r="I21" s="28">
        <f>$M$21+($H$21-$M$21)*0.7</f>
        <v>0.1915</v>
      </c>
      <c r="J21" s="28">
        <f>$M$21+($H$21-$M$21)*0.45</f>
        <v>0.19025</v>
      </c>
      <c r="K21" s="28">
        <f>$M$21+($H$21-$M$21)*0.25</f>
        <v>0.18925</v>
      </c>
      <c r="L21" s="28">
        <f>$M$21+($H$21-$M$21)*0.1</f>
        <v>0.1885</v>
      </c>
      <c r="M21" s="27">
        <f>F4+H5</f>
        <v>0.188</v>
      </c>
      <c r="N21" s="28">
        <f>$R$21+($M$21-$R$21)*0.7</f>
        <v>0.1865</v>
      </c>
      <c r="O21" s="28">
        <f>$R$21+($M$21-$R$21)*0.45</f>
        <v>0.18525</v>
      </c>
      <c r="P21" s="28">
        <f>$R$21+($M$21-$R$21)*0.25</f>
        <v>0.18425</v>
      </c>
      <c r="Q21" s="28">
        <f>$R$21+($M$21-$R$21)*0.1</f>
        <v>0.1835</v>
      </c>
      <c r="R21" s="27">
        <f>F4+G5</f>
        <v>0.183</v>
      </c>
      <c r="S21" s="28">
        <f>$W$21+($R$21-$W$21)*0.7</f>
        <v>0.18149999999999999</v>
      </c>
      <c r="T21" s="28">
        <f>$W$21+($R$21-$W$21)*0.45</f>
        <v>0.18024999999999999</v>
      </c>
      <c r="U21" s="28">
        <f>$W$21+($R$21-$W$21)*0.25</f>
        <v>0.17924999999999999</v>
      </c>
      <c r="V21" s="28">
        <f>$W$21+($R$21-$W$21)*0.1</f>
        <v>0.17849999999999999</v>
      </c>
      <c r="W21" s="74">
        <f>C14</f>
        <v>0.17799999999999999</v>
      </c>
      <c r="X21" s="28">
        <f>$W$21+($AB$21-$W$21)*0.1</f>
        <v>0.17874999999999999</v>
      </c>
      <c r="Y21" s="28">
        <f>$W$21+($AB$21-$W$21)*0.25</f>
        <v>0.17987500000000001</v>
      </c>
      <c r="Z21" s="28">
        <f>$W$21+($AB$21-$W$21)*0.45</f>
        <v>0.18137500000000001</v>
      </c>
      <c r="AA21" s="28">
        <f>$W$21+($AB$21-$W$21)*0.7</f>
        <v>0.18325</v>
      </c>
      <c r="AB21" s="27">
        <f>F9+G10</f>
        <v>0.1855</v>
      </c>
      <c r="AC21" s="28">
        <f>$AB$21+($AG$21-$AB$21)*0.1</f>
        <v>0.18625</v>
      </c>
      <c r="AD21" s="28">
        <f>$AB$21+($AG$21-$AB$21)*0.25</f>
        <v>0.18737500000000001</v>
      </c>
      <c r="AE21" s="28">
        <f>$AB$21+($AG$21-$AB$21)*0.45</f>
        <v>0.18887500000000002</v>
      </c>
      <c r="AF21" s="28">
        <f>$AB$21+($AG$21-$AB$21)*0.7</f>
        <v>0.19075</v>
      </c>
      <c r="AG21" s="27">
        <f>F9+H10</f>
        <v>0.193</v>
      </c>
      <c r="AH21" s="28">
        <f>$AG$21+($AL$21-$AG$21)*0.1</f>
        <v>0.19375000000000001</v>
      </c>
      <c r="AI21" s="28">
        <f>$AG$21+($AL$21-$AG$21)*0.25</f>
        <v>0.19487499999999999</v>
      </c>
      <c r="AJ21" s="28">
        <f>$AG$21+($AL$21-$AG$21)*0.45</f>
        <v>0.19637499999999999</v>
      </c>
      <c r="AK21" s="28">
        <f>$AG$21+($AL$21-$AG$21)*0.7</f>
        <v>0.19824999999999998</v>
      </c>
      <c r="AL21" s="27">
        <f>I10+F9</f>
        <v>0.20049999999999998</v>
      </c>
      <c r="AM21" s="28">
        <f>$AL$21+($AQ$21-$AL$21)*0.1</f>
        <v>0.20024999999999998</v>
      </c>
      <c r="AN21" s="28">
        <f>$AL$21+($AQ$21-$AL$21)*0.25</f>
        <v>0.19987499999999997</v>
      </c>
      <c r="AO21" s="28">
        <f>$AL$21+($AQ$21-$AL$21)*0.45</f>
        <v>0.19937499999999997</v>
      </c>
      <c r="AP21" s="28">
        <f>$AL$21+($AQ$21-$AL$21)*0.7</f>
        <v>0.19874999999999998</v>
      </c>
      <c r="AQ21" s="27">
        <f>F9+J10</f>
        <v>0.19799999999999998</v>
      </c>
    </row>
    <row r="22" spans="1:43" s="90" customFormat="1" ht="10.15" customHeight="1">
      <c r="A22" s="29" t="s">
        <v>55</v>
      </c>
      <c r="B22" s="29"/>
      <c r="C22" s="30">
        <f>J3</f>
        <v>26</v>
      </c>
      <c r="D22" s="30">
        <f>E22-$C$16</f>
        <v>27</v>
      </c>
      <c r="E22" s="30">
        <f>F22-$C$16</f>
        <v>28</v>
      </c>
      <c r="F22" s="30">
        <f>G22-$C$16</f>
        <v>29</v>
      </c>
      <c r="G22" s="30">
        <f>H22-$C$16</f>
        <v>30</v>
      </c>
      <c r="H22" s="30">
        <f>I3</f>
        <v>31</v>
      </c>
      <c r="I22" s="30">
        <f>J22-$C$16</f>
        <v>32</v>
      </c>
      <c r="J22" s="30">
        <f>K22-$C$16</f>
        <v>33</v>
      </c>
      <c r="K22" s="30">
        <f>L22-$C$16</f>
        <v>34</v>
      </c>
      <c r="L22" s="30">
        <f>M22-$C$16</f>
        <v>35</v>
      </c>
      <c r="M22" s="30">
        <f>H3</f>
        <v>36</v>
      </c>
      <c r="N22" s="30">
        <f>O22-($R$22-$M$22)/5</f>
        <v>37</v>
      </c>
      <c r="O22" s="30">
        <f>P22-($R$22-$M$22)/5</f>
        <v>38</v>
      </c>
      <c r="P22" s="30">
        <f>Q22-($R$22-$M$22)/5</f>
        <v>39</v>
      </c>
      <c r="Q22" s="30">
        <f>R22-($R$22-$M$22)/5</f>
        <v>40</v>
      </c>
      <c r="R22" s="30">
        <f>G3</f>
        <v>41</v>
      </c>
      <c r="S22" s="30">
        <f>T22-($W$22-$R$22)/5</f>
        <v>42</v>
      </c>
      <c r="T22" s="30">
        <f>U22-($W$22-$R$22)/5</f>
        <v>43</v>
      </c>
      <c r="U22" s="30">
        <f>V22-($W$22-$R$22)/5</f>
        <v>44</v>
      </c>
      <c r="V22" s="30">
        <f>W22-($W$22-$R$22)/5</f>
        <v>45</v>
      </c>
      <c r="W22" s="75">
        <f>C13</f>
        <v>46</v>
      </c>
      <c r="X22" s="30">
        <f t="shared" ref="X22:AQ22" si="1">W22+$C$16</f>
        <v>47</v>
      </c>
      <c r="Y22" s="30">
        <f t="shared" si="1"/>
        <v>48</v>
      </c>
      <c r="Z22" s="30">
        <f t="shared" si="1"/>
        <v>49</v>
      </c>
      <c r="AA22" s="30">
        <f t="shared" si="1"/>
        <v>50</v>
      </c>
      <c r="AB22" s="30">
        <f t="shared" si="1"/>
        <v>51</v>
      </c>
      <c r="AC22" s="30">
        <f t="shared" si="1"/>
        <v>52</v>
      </c>
      <c r="AD22" s="30">
        <f t="shared" si="1"/>
        <v>53</v>
      </c>
      <c r="AE22" s="30">
        <f t="shared" si="1"/>
        <v>54</v>
      </c>
      <c r="AF22" s="30">
        <f t="shared" si="1"/>
        <v>55</v>
      </c>
      <c r="AG22" s="30">
        <f t="shared" si="1"/>
        <v>56</v>
      </c>
      <c r="AH22" s="30">
        <f t="shared" si="1"/>
        <v>57</v>
      </c>
      <c r="AI22" s="30">
        <f t="shared" si="1"/>
        <v>58</v>
      </c>
      <c r="AJ22" s="30">
        <f t="shared" si="1"/>
        <v>59</v>
      </c>
      <c r="AK22" s="30">
        <f t="shared" si="1"/>
        <v>60</v>
      </c>
      <c r="AL22" s="30">
        <f t="shared" si="1"/>
        <v>61</v>
      </c>
      <c r="AM22" s="30">
        <f t="shared" si="1"/>
        <v>62</v>
      </c>
      <c r="AN22" s="30">
        <f t="shared" si="1"/>
        <v>63</v>
      </c>
      <c r="AO22" s="30">
        <f t="shared" si="1"/>
        <v>64</v>
      </c>
      <c r="AP22" s="30">
        <f t="shared" si="1"/>
        <v>65</v>
      </c>
      <c r="AQ22" s="30">
        <f t="shared" si="1"/>
        <v>66</v>
      </c>
    </row>
    <row r="23" spans="1:43" ht="10.15" customHeight="1">
      <c r="A23" s="31">
        <f>A25-$C$12</f>
        <v>44.900000000000041</v>
      </c>
      <c r="B23" s="31" t="s">
        <v>71</v>
      </c>
      <c r="C23" s="32">
        <f t="shared" ref="C23:AQ23" si="2">EBlackScholesForward("p",C$20,$A$23,C$22,$C$6,$C$6,$C$7,C$21)</f>
        <v>1.9843703139361866E-3</v>
      </c>
      <c r="D23" s="32">
        <f t="shared" si="2"/>
        <v>3.8749135806256871E-3</v>
      </c>
      <c r="E23" s="32">
        <f t="shared" si="2"/>
        <v>7.3047724650947918E-3</v>
      </c>
      <c r="F23" s="32">
        <f t="shared" si="2"/>
        <v>1.3300559630366426E-2</v>
      </c>
      <c r="G23" s="32">
        <f t="shared" si="2"/>
        <v>2.340237700201132E-2</v>
      </c>
      <c r="H23" s="32">
        <f t="shared" si="2"/>
        <v>3.9811145618825108E-2</v>
      </c>
      <c r="I23" s="32">
        <f t="shared" si="2"/>
        <v>6.2963077993154162E-2</v>
      </c>
      <c r="J23" s="32">
        <f t="shared" si="2"/>
        <v>9.7259875884494487E-2</v>
      </c>
      <c r="K23" s="32">
        <f t="shared" si="2"/>
        <v>0.14672850840000629</v>
      </c>
      <c r="L23" s="32">
        <f t="shared" si="2"/>
        <v>0.21619483565505621</v>
      </c>
      <c r="M23" s="32">
        <f t="shared" si="2"/>
        <v>0.31117417271509129</v>
      </c>
      <c r="N23" s="32">
        <f t="shared" si="2"/>
        <v>0.42815539475672704</v>
      </c>
      <c r="O23" s="32">
        <f t="shared" si="2"/>
        <v>0.5791102591855567</v>
      </c>
      <c r="P23" s="32">
        <f t="shared" si="2"/>
        <v>0.76993111886516463</v>
      </c>
      <c r="Q23" s="32">
        <f t="shared" si="2"/>
        <v>1.0062472845118664</v>
      </c>
      <c r="R23" s="32">
        <f t="shared" si="2"/>
        <v>1.2930515879168327</v>
      </c>
      <c r="S23" s="32">
        <f t="shared" si="2"/>
        <v>1.6164665776572074</v>
      </c>
      <c r="T23" s="32">
        <f t="shared" si="2"/>
        <v>1.9949349072709637</v>
      </c>
      <c r="U23" s="32">
        <f t="shared" si="2"/>
        <v>2.4307791543874822</v>
      </c>
      <c r="V23" s="32">
        <f t="shared" si="2"/>
        <v>2.9249352968416558</v>
      </c>
      <c r="W23" s="76">
        <f t="shared" si="2"/>
        <v>2.3859035684593106</v>
      </c>
      <c r="X23" s="32">
        <f t="shared" si="2"/>
        <v>2.0177666418629787</v>
      </c>
      <c r="Y23" s="32">
        <f t="shared" si="2"/>
        <v>1.7033323000446916</v>
      </c>
      <c r="Z23" s="32">
        <f t="shared" si="2"/>
        <v>1.4377344885423748</v>
      </c>
      <c r="AA23" s="32">
        <f t="shared" si="2"/>
        <v>1.2155892678293292</v>
      </c>
      <c r="AB23" s="32">
        <f t="shared" si="2"/>
        <v>1.0313640191527702</v>
      </c>
      <c r="AC23" s="32">
        <f t="shared" si="2"/>
        <v>0.85740559800236682</v>
      </c>
      <c r="AD23" s="32">
        <f t="shared" si="2"/>
        <v>0.71455779091584348</v>
      </c>
      <c r="AE23" s="32">
        <f t="shared" si="2"/>
        <v>0.59810896512721268</v>
      </c>
      <c r="AF23" s="32">
        <f t="shared" si="2"/>
        <v>0.50375020477133814</v>
      </c>
      <c r="AG23" s="32">
        <f t="shared" si="2"/>
        <v>0.42766350816932952</v>
      </c>
      <c r="AH23" s="32">
        <f t="shared" si="2"/>
        <v>0.35296350094300183</v>
      </c>
      <c r="AI23" s="32">
        <f t="shared" si="2"/>
        <v>0.29323365033150023</v>
      </c>
      <c r="AJ23" s="32">
        <f t="shared" si="2"/>
        <v>0.24567234086284853</v>
      </c>
      <c r="AK23" s="32">
        <f t="shared" si="2"/>
        <v>0.20792454020897194</v>
      </c>
      <c r="AL23" s="32">
        <f t="shared" si="2"/>
        <v>0.17804789510313901</v>
      </c>
      <c r="AM23" s="32">
        <f t="shared" si="2"/>
        <v>0.14304861630121787</v>
      </c>
      <c r="AN23" s="32">
        <f t="shared" si="2"/>
        <v>0.11408225545019229</v>
      </c>
      <c r="AO23" s="32">
        <f t="shared" si="2"/>
        <v>9.0253912667782876E-2</v>
      </c>
      <c r="AP23" s="32">
        <f t="shared" si="2"/>
        <v>7.0782354622731899E-2</v>
      </c>
      <c r="AQ23" s="32">
        <f t="shared" si="2"/>
        <v>5.4987169723035495E-2</v>
      </c>
    </row>
    <row r="24" spans="1:43" ht="10.15" customHeight="1" outlineLevel="1">
      <c r="A24" s="33"/>
      <c r="B24" s="31" t="s">
        <v>74</v>
      </c>
      <c r="C24" s="32">
        <f t="shared" ref="C24:AQ24" si="3">EBlackScholesForward($FA$3,C$20,$A$23,C$22,$C$6,$C$6,$C$7,C$21)</f>
        <v>1.2179472608308916E-3</v>
      </c>
      <c r="D24" s="32">
        <f t="shared" si="3"/>
        <v>2.151123325598781E-3</v>
      </c>
      <c r="E24" s="32">
        <f t="shared" si="3"/>
        <v>3.6541867224889023E-3</v>
      </c>
      <c r="F24" s="32">
        <f t="shared" si="3"/>
        <v>5.9718588538530577E-3</v>
      </c>
      <c r="G24" s="32">
        <f t="shared" si="3"/>
        <v>9.3914952806486082E-3</v>
      </c>
      <c r="H24" s="32">
        <f t="shared" si="3"/>
        <v>1.4217245175983634E-2</v>
      </c>
      <c r="I24" s="32">
        <f t="shared" si="3"/>
        <v>2.0227747724867521E-2</v>
      </c>
      <c r="J24" s="32">
        <f t="shared" si="3"/>
        <v>2.7958318246271728E-2</v>
      </c>
      <c r="K24" s="32">
        <f t="shared" si="3"/>
        <v>3.753243669835532E-2</v>
      </c>
      <c r="L24" s="32">
        <f t="shared" si="3"/>
        <v>4.8933687999543174E-2</v>
      </c>
      <c r="M24" s="32">
        <f t="shared" si="3"/>
        <v>6.1969017562080703E-2</v>
      </c>
      <c r="N24" s="32">
        <f t="shared" si="3"/>
        <v>7.5596552885966478E-2</v>
      </c>
      <c r="O24" s="32">
        <f t="shared" si="3"/>
        <v>9.0051487661600677E-2</v>
      </c>
      <c r="P24" s="32">
        <f t="shared" si="3"/>
        <v>0.10473576428060988</v>
      </c>
      <c r="Q24" s="32">
        <f t="shared" si="3"/>
        <v>0.11895048652645335</v>
      </c>
      <c r="R24" s="32">
        <f t="shared" si="3"/>
        <v>0.13196576776862678</v>
      </c>
      <c r="S24" s="32">
        <f t="shared" si="3"/>
        <v>0.14294695776204591</v>
      </c>
      <c r="T24" s="32">
        <f t="shared" si="3"/>
        <v>0.15167462662491049</v>
      </c>
      <c r="U24" s="32">
        <f t="shared" si="3"/>
        <v>0.15768392940544995</v>
      </c>
      <c r="V24" s="32">
        <f t="shared" si="3"/>
        <v>0.16070146197376101</v>
      </c>
      <c r="W24" s="76">
        <f t="shared" si="3"/>
        <v>0.1606724446363248</v>
      </c>
      <c r="X24" s="32">
        <f t="shared" si="3"/>
        <v>0.15782299423322976</v>
      </c>
      <c r="Y24" s="32">
        <f t="shared" si="3"/>
        <v>0.15259838650202417</v>
      </c>
      <c r="Z24" s="32">
        <f t="shared" si="3"/>
        <v>0.14555059026022965</v>
      </c>
      <c r="AA24" s="32">
        <f t="shared" si="3"/>
        <v>0.13726658174222994</v>
      </c>
      <c r="AB24" s="32">
        <f t="shared" si="3"/>
        <v>0.12830334769894763</v>
      </c>
      <c r="AC24" s="32">
        <f t="shared" si="3"/>
        <v>0.11825821700543143</v>
      </c>
      <c r="AD24" s="32">
        <f t="shared" si="3"/>
        <v>0.1081557613027086</v>
      </c>
      <c r="AE24" s="32">
        <f t="shared" si="3"/>
        <v>9.8360368816947708E-2</v>
      </c>
      <c r="AF24" s="32">
        <f t="shared" si="3"/>
        <v>8.9140547470207748E-2</v>
      </c>
      <c r="AG24" s="32">
        <f t="shared" si="3"/>
        <v>8.0672260819539293E-2</v>
      </c>
      <c r="AH24" s="32">
        <f t="shared" si="3"/>
        <v>7.1781310116639852E-2</v>
      </c>
      <c r="AI24" s="32">
        <f t="shared" si="3"/>
        <v>6.3765666398582457E-2</v>
      </c>
      <c r="AJ24" s="32">
        <f t="shared" si="3"/>
        <v>5.6665689542830092E-2</v>
      </c>
      <c r="AK24" s="32">
        <f t="shared" si="3"/>
        <v>5.0471189461826466E-2</v>
      </c>
      <c r="AL24" s="32">
        <f t="shared" si="3"/>
        <v>4.5136707253336017E-2</v>
      </c>
      <c r="AM24" s="32">
        <f t="shared" si="3"/>
        <v>3.8841386948796984E-2</v>
      </c>
      <c r="AN24" s="32">
        <f t="shared" si="3"/>
        <v>3.3146334307510628E-2</v>
      </c>
      <c r="AO24" s="32">
        <f t="shared" si="3"/>
        <v>2.8040212061540559E-2</v>
      </c>
      <c r="AP24" s="32">
        <f t="shared" si="3"/>
        <v>2.3503221061838303E-2</v>
      </c>
      <c r="AQ24" s="32">
        <f t="shared" si="3"/>
        <v>1.9508946513861362E-2</v>
      </c>
    </row>
    <row r="25" spans="1:43" ht="10.15" customHeight="1">
      <c r="A25" s="34">
        <f>A27-$C$12</f>
        <v>44.950000000000038</v>
      </c>
      <c r="B25" s="34" t="s">
        <v>71</v>
      </c>
      <c r="C25" s="35">
        <f t="shared" ref="C25:AQ25" si="4">EBlackScholesForward("p",C$20,$A$25,C$22,$C$6,$C$6,$C$7,C$21)</f>
        <v>1.9419654199829704E-3</v>
      </c>
      <c r="D25" s="35">
        <f t="shared" si="4"/>
        <v>3.7953918050700891E-3</v>
      </c>
      <c r="E25" s="35">
        <f t="shared" si="4"/>
        <v>7.1612036358384094E-3</v>
      </c>
      <c r="F25" s="35">
        <f t="shared" si="4"/>
        <v>1.3050908704389894E-2</v>
      </c>
      <c r="G25" s="35">
        <f t="shared" si="4"/>
        <v>2.2984058960940846E-2</v>
      </c>
      <c r="H25" s="35">
        <f t="shared" si="4"/>
        <v>3.9135352507421034E-2</v>
      </c>
      <c r="I25" s="35">
        <f t="shared" si="4"/>
        <v>6.1940020613750792E-2</v>
      </c>
      <c r="J25" s="35">
        <f t="shared" si="4"/>
        <v>9.5751723908612377E-2</v>
      </c>
      <c r="K25" s="35">
        <f t="shared" si="4"/>
        <v>0.14456368949130166</v>
      </c>
      <c r="L25" s="35">
        <f t="shared" si="4"/>
        <v>0.21316884794095398</v>
      </c>
      <c r="M25" s="35">
        <f t="shared" si="4"/>
        <v>0.30705418402937412</v>
      </c>
      <c r="N25" s="35">
        <f t="shared" si="4"/>
        <v>0.42275473101652239</v>
      </c>
      <c r="O25" s="35">
        <f t="shared" si="4"/>
        <v>0.57217245517403736</v>
      </c>
      <c r="P25" s="35">
        <f t="shared" si="4"/>
        <v>0.76119672218972367</v>
      </c>
      <c r="Q25" s="35">
        <f t="shared" si="4"/>
        <v>0.99546839309589219</v>
      </c>
      <c r="R25" s="35">
        <f t="shared" si="4"/>
        <v>1.2800071785335467</v>
      </c>
      <c r="S25" s="35">
        <f t="shared" si="4"/>
        <v>1.601015929423238</v>
      </c>
      <c r="T25" s="35">
        <f t="shared" si="4"/>
        <v>1.9769195308497716</v>
      </c>
      <c r="U25" s="35">
        <f t="shared" si="4"/>
        <v>2.4100940624939389</v>
      </c>
      <c r="V25" s="35">
        <f t="shared" si="4"/>
        <v>2.9015356258415532</v>
      </c>
      <c r="W25" s="77">
        <f t="shared" si="4"/>
        <v>2.4093971456271381</v>
      </c>
      <c r="X25" s="35">
        <f t="shared" si="4"/>
        <v>2.038677953686189</v>
      </c>
      <c r="Y25" s="35">
        <f t="shared" si="4"/>
        <v>1.721819593700977</v>
      </c>
      <c r="Z25" s="35">
        <f t="shared" si="4"/>
        <v>1.4539936430114986</v>
      </c>
      <c r="AA25" s="35">
        <f t="shared" si="4"/>
        <v>1.2298388221896857</v>
      </c>
      <c r="AB25" s="35">
        <f t="shared" si="4"/>
        <v>1.0438312953219093</v>
      </c>
      <c r="AC25" s="35">
        <f t="shared" si="4"/>
        <v>0.86817644220778933</v>
      </c>
      <c r="AD25" s="35">
        <f t="shared" si="4"/>
        <v>0.72384301544882079</v>
      </c>
      <c r="AE25" s="35">
        <f t="shared" si="4"/>
        <v>0.60611100205728552</v>
      </c>
      <c r="AF25" s="35">
        <f t="shared" si="4"/>
        <v>0.51065708140531441</v>
      </c>
      <c r="AG25" s="35">
        <f t="shared" si="4"/>
        <v>0.43364518162879251</v>
      </c>
      <c r="AH25" s="35">
        <f t="shared" si="4"/>
        <v>0.35804651633364665</v>
      </c>
      <c r="AI25" s="35">
        <f t="shared" si="4"/>
        <v>0.29756312503606652</v>
      </c>
      <c r="AJ25" s="35">
        <f t="shared" si="4"/>
        <v>0.24937547661333773</v>
      </c>
      <c r="AK25" s="35">
        <f t="shared" si="4"/>
        <v>0.21111088078316537</v>
      </c>
      <c r="AL25" s="35">
        <f t="shared" si="4"/>
        <v>0.18081044574759078</v>
      </c>
      <c r="AM25" s="35">
        <f t="shared" si="4"/>
        <v>0.14533596924963513</v>
      </c>
      <c r="AN25" s="35">
        <f t="shared" si="4"/>
        <v>0.11596233489687391</v>
      </c>
      <c r="AO25" s="35">
        <f t="shared" si="4"/>
        <v>9.178711869891687E-2</v>
      </c>
      <c r="AP25" s="35">
        <f t="shared" si="4"/>
        <v>7.2022114652768504E-2</v>
      </c>
      <c r="AQ25" s="35">
        <f t="shared" si="4"/>
        <v>5.5980484212678844E-2</v>
      </c>
    </row>
    <row r="26" spans="1:43" ht="10.15" customHeight="1" outlineLevel="1">
      <c r="A26" s="36"/>
      <c r="B26" s="34" t="s">
        <v>74</v>
      </c>
      <c r="C26" s="35">
        <f t="shared" ref="C26:AQ26" si="5">EBlackScholesForward($FA$3,C$20,$A$25,C$22,$C$6,$C$6,$C$7,C$21)</f>
        <v>1.1961127617277645E-3</v>
      </c>
      <c r="D26" s="35">
        <f t="shared" si="5"/>
        <v>2.1146556804516312E-3</v>
      </c>
      <c r="E26" s="35">
        <f t="shared" si="5"/>
        <v>3.5959175718507739E-3</v>
      </c>
      <c r="F26" s="35">
        <f t="shared" si="5"/>
        <v>5.8828143205087221E-3</v>
      </c>
      <c r="G26" s="35">
        <f t="shared" si="5"/>
        <v>9.2614006720313259E-3</v>
      </c>
      <c r="H26" s="35">
        <f t="shared" si="5"/>
        <v>1.4035596591027327E-2</v>
      </c>
      <c r="I26" s="35">
        <f t="shared" si="5"/>
        <v>1.9988103719522761E-2</v>
      </c>
      <c r="J26" s="35">
        <f t="shared" si="5"/>
        <v>2.7653886113387968E-2</v>
      </c>
      <c r="K26" s="35">
        <f t="shared" si="5"/>
        <v>3.7160623629945641E-2</v>
      </c>
      <c r="L26" s="35">
        <f t="shared" si="5"/>
        <v>4.8497874989464812E-2</v>
      </c>
      <c r="M26" s="35">
        <f t="shared" si="5"/>
        <v>6.1479806706301932E-2</v>
      </c>
      <c r="N26" s="35">
        <f t="shared" si="5"/>
        <v>7.5069089460982924E-2</v>
      </c>
      <c r="O26" s="35">
        <f t="shared" si="5"/>
        <v>8.9507811078568839E-2</v>
      </c>
      <c r="P26" s="35">
        <f t="shared" si="5"/>
        <v>0.10420363060750248</v>
      </c>
      <c r="Q26" s="35">
        <f t="shared" si="5"/>
        <v>0.11846113012919574</v>
      </c>
      <c r="R26" s="35">
        <f t="shared" si="5"/>
        <v>0.13155086234724722</v>
      </c>
      <c r="S26" s="35">
        <f t="shared" si="5"/>
        <v>0.14263018835183339</v>
      </c>
      <c r="T26" s="35">
        <f t="shared" si="5"/>
        <v>0.151481494585474</v>
      </c>
      <c r="U26" s="35">
        <f t="shared" si="5"/>
        <v>0.15763300160891625</v>
      </c>
      <c r="V26" s="35">
        <f t="shared" si="5"/>
        <v>0.16080235056358716</v>
      </c>
      <c r="W26" s="77">
        <f t="shared" si="5"/>
        <v>0.16092494352006348</v>
      </c>
      <c r="X26" s="35">
        <f t="shared" si="5"/>
        <v>0.15821421720798734</v>
      </c>
      <c r="Y26" s="35">
        <f t="shared" si="5"/>
        <v>0.15310815459692062</v>
      </c>
      <c r="Z26" s="35">
        <f t="shared" si="5"/>
        <v>0.14615432283962637</v>
      </c>
      <c r="AA26" s="35">
        <f t="shared" si="5"/>
        <v>0.13793831343548024</v>
      </c>
      <c r="AB26" s="35">
        <f t="shared" si="5"/>
        <v>0.12901826395301647</v>
      </c>
      <c r="AC26" s="35">
        <f t="shared" si="5"/>
        <v>0.11900246720557472</v>
      </c>
      <c r="AD26" s="35">
        <f t="shared" si="5"/>
        <v>0.10890880804654191</v>
      </c>
      <c r="AE26" s="35">
        <f t="shared" si="5"/>
        <v>9.9105299862213281E-2</v>
      </c>
      <c r="AF26" s="35">
        <f t="shared" si="5"/>
        <v>8.9864484448692078E-2</v>
      </c>
      <c r="AG26" s="35">
        <f t="shared" si="5"/>
        <v>8.1366261972815601E-2</v>
      </c>
      <c r="AH26" s="35">
        <f t="shared" si="5"/>
        <v>7.2440296684210703E-2</v>
      </c>
      <c r="AI26" s="35">
        <f t="shared" si="5"/>
        <v>6.4384341747490595E-2</v>
      </c>
      <c r="AJ26" s="35">
        <f t="shared" si="5"/>
        <v>5.7241639894924229E-2</v>
      </c>
      <c r="AK26" s="35">
        <f t="shared" si="5"/>
        <v>5.1004291062423823E-2</v>
      </c>
      <c r="AL26" s="35">
        <f t="shared" si="5"/>
        <v>4.5628519120115743E-2</v>
      </c>
      <c r="AM26" s="35">
        <f t="shared" si="5"/>
        <v>3.9286905870168878E-2</v>
      </c>
      <c r="AN26" s="35">
        <f t="shared" si="5"/>
        <v>3.3545818164129063E-2</v>
      </c>
      <c r="AO26" s="35">
        <f t="shared" si="5"/>
        <v>2.8394758136007704E-2</v>
      </c>
      <c r="AP26" s="35">
        <f t="shared" si="5"/>
        <v>2.3814612421516085E-2</v>
      </c>
      <c r="AQ26" s="35">
        <f t="shared" si="5"/>
        <v>1.9779509976657905E-2</v>
      </c>
    </row>
    <row r="27" spans="1:43" ht="10.15" customHeight="1">
      <c r="A27" s="31">
        <f>A29-$C$12</f>
        <v>45.000000000000036</v>
      </c>
      <c r="B27" s="31" t="s">
        <v>71</v>
      </c>
      <c r="C27" s="32">
        <f t="shared" ref="C27:AQ27" si="6">EBlackScholesForward("p",C$20,$A$27,C$22,$C$6,$C$6,$C$7,C$21)</f>
        <v>1.9004479655637941E-3</v>
      </c>
      <c r="D27" s="32">
        <f t="shared" si="6"/>
        <v>3.7174611414592215E-3</v>
      </c>
      <c r="E27" s="32">
        <f t="shared" si="6"/>
        <v>7.0203720899826572E-3</v>
      </c>
      <c r="F27" s="32">
        <f t="shared" si="6"/>
        <v>1.2805777763278296E-2</v>
      </c>
      <c r="G27" s="32">
        <f t="shared" si="6"/>
        <v>2.2572907426988129E-2</v>
      </c>
      <c r="H27" s="32">
        <f t="shared" si="6"/>
        <v>3.847047447721251E-2</v>
      </c>
      <c r="I27" s="32">
        <f t="shared" si="6"/>
        <v>6.0932654006894779E-2</v>
      </c>
      <c r="J27" s="32">
        <f t="shared" si="6"/>
        <v>9.4265447660987267E-2</v>
      </c>
      <c r="K27" s="32">
        <f t="shared" si="6"/>
        <v>0.14242844384273784</v>
      </c>
      <c r="L27" s="32">
        <f t="shared" si="6"/>
        <v>0.21018162589834885</v>
      </c>
      <c r="M27" s="32">
        <f t="shared" si="6"/>
        <v>0.30298347731589481</v>
      </c>
      <c r="N27" s="32">
        <f t="shared" si="6"/>
        <v>0.41741472743782188</v>
      </c>
      <c r="O27" s="32">
        <f t="shared" si="6"/>
        <v>0.56530745978017138</v>
      </c>
      <c r="P27" s="32">
        <f t="shared" si="6"/>
        <v>0.75254753406593256</v>
      </c>
      <c r="Q27" s="32">
        <f t="shared" si="6"/>
        <v>0.98478674522116494</v>
      </c>
      <c r="R27" s="32">
        <f t="shared" si="6"/>
        <v>1.2670710311803486</v>
      </c>
      <c r="S27" s="32">
        <f t="shared" si="6"/>
        <v>1.5856836110582302</v>
      </c>
      <c r="T27" s="32">
        <f t="shared" si="6"/>
        <v>1.9590306820386971</v>
      </c>
      <c r="U27" s="32">
        <f t="shared" si="6"/>
        <v>2.389541359639038</v>
      </c>
      <c r="V27" s="32">
        <f t="shared" si="6"/>
        <v>2.8782715694139114</v>
      </c>
      <c r="W27" s="76">
        <f t="shared" si="6"/>
        <v>2.433026826338518</v>
      </c>
      <c r="X27" s="32">
        <f t="shared" si="6"/>
        <v>2.0597225261797156</v>
      </c>
      <c r="Y27" s="32">
        <f t="shared" si="6"/>
        <v>1.7404350564163242</v>
      </c>
      <c r="Z27" s="32">
        <f t="shared" si="6"/>
        <v>1.4703741510590189</v>
      </c>
      <c r="AA27" s="32">
        <f t="shared" si="6"/>
        <v>1.2442017533242902</v>
      </c>
      <c r="AB27" s="32">
        <f t="shared" si="6"/>
        <v>1.0564033448237573</v>
      </c>
      <c r="AC27" s="32">
        <f t="shared" si="6"/>
        <v>0.87904355072008677</v>
      </c>
      <c r="AD27" s="32">
        <f t="shared" si="6"/>
        <v>0.73321582030647148</v>
      </c>
      <c r="AE27" s="32">
        <f t="shared" si="6"/>
        <v>0.61419210870855268</v>
      </c>
      <c r="AF27" s="32">
        <f t="shared" si="6"/>
        <v>0.51763495248639801</v>
      </c>
      <c r="AG27" s="32">
        <f t="shared" si="6"/>
        <v>0.43969038536070199</v>
      </c>
      <c r="AH27" s="32">
        <f t="shared" si="6"/>
        <v>0.36318587081448944</v>
      </c>
      <c r="AI27" s="32">
        <f t="shared" si="6"/>
        <v>0.3019423788837769</v>
      </c>
      <c r="AJ27" s="32">
        <f t="shared" si="6"/>
        <v>0.2531225237566449</v>
      </c>
      <c r="AK27" s="32">
        <f t="shared" si="6"/>
        <v>0.21433596965980117</v>
      </c>
      <c r="AL27" s="32">
        <f t="shared" si="6"/>
        <v>0.18360726321699028</v>
      </c>
      <c r="AM27" s="32">
        <f t="shared" si="6"/>
        <v>0.14765285193689567</v>
      </c>
      <c r="AN27" s="32">
        <f t="shared" si="6"/>
        <v>0.11786766354981931</v>
      </c>
      <c r="AO27" s="32">
        <f t="shared" si="6"/>
        <v>9.3341736960053406E-2</v>
      </c>
      <c r="AP27" s="32">
        <f t="shared" si="6"/>
        <v>7.3279875453604759E-2</v>
      </c>
      <c r="AQ27" s="32">
        <f t="shared" si="6"/>
        <v>5.6988791680234067E-2</v>
      </c>
    </row>
    <row r="28" spans="1:43" ht="10.15" customHeight="1" outlineLevel="1">
      <c r="A28" s="33"/>
      <c r="B28" s="31" t="s">
        <v>74</v>
      </c>
      <c r="C28" s="32">
        <f>EBlackScholesForward($FA$3,C$20,$A$27,C$22,$C$6,$C$6,$C$7,C$21)</f>
        <v>1.1746501590033458E-3</v>
      </c>
      <c r="D28" s="32">
        <f t="shared" ref="D28:AQ28" si="7">EBlackScholesForward("d",D$20,$A$27,D$22,$C$6,$C$6,$C$7,D$21)</f>
        <v>-1.5429124590735045E-3</v>
      </c>
      <c r="E28" s="32">
        <f t="shared" si="7"/>
        <v>-2.7896003322770355E-3</v>
      </c>
      <c r="F28" s="32">
        <f t="shared" si="7"/>
        <v>-4.8579510941068951E-3</v>
      </c>
      <c r="G28" s="32">
        <f t="shared" si="7"/>
        <v>-8.1521560254121939E-3</v>
      </c>
      <c r="H28" s="32">
        <f t="shared" si="7"/>
        <v>-1.3189531572142116E-2</v>
      </c>
      <c r="I28" s="32">
        <f t="shared" si="7"/>
        <v>-1.9991935488792439E-2</v>
      </c>
      <c r="J28" s="32">
        <f t="shared" si="7"/>
        <v>-2.9508728947809371E-2</v>
      </c>
      <c r="K28" s="32">
        <f t="shared" si="7"/>
        <v>-4.2411630990067672E-2</v>
      </c>
      <c r="L28" s="32">
        <f t="shared" si="7"/>
        <v>-5.9359729394641014E-2</v>
      </c>
      <c r="M28" s="32">
        <f t="shared" si="7"/>
        <v>-8.0924716380553763E-2</v>
      </c>
      <c r="N28" s="32">
        <f t="shared" si="7"/>
        <v>-0.10619727625326425</v>
      </c>
      <c r="O28" s="32">
        <f t="shared" si="7"/>
        <v>-0.13657592275697072</v>
      </c>
      <c r="P28" s="32">
        <f t="shared" si="7"/>
        <v>-0.17213592077899298</v>
      </c>
      <c r="Q28" s="32">
        <f t="shared" si="7"/>
        <v>-0.21266472566884853</v>
      </c>
      <c r="R28" s="32">
        <f t="shared" si="7"/>
        <v>-0.25764429340841</v>
      </c>
      <c r="S28" s="32">
        <f t="shared" si="7"/>
        <v>-0.30546665951358687</v>
      </c>
      <c r="T28" s="32">
        <f t="shared" si="7"/>
        <v>-0.35651473197968464</v>
      </c>
      <c r="U28" s="32">
        <f t="shared" si="7"/>
        <v>-0.40973248765150405</v>
      </c>
      <c r="V28" s="32">
        <f t="shared" si="7"/>
        <v>-0.46392648837687567</v>
      </c>
      <c r="W28" s="76">
        <f t="shared" si="7"/>
        <v>0.47395400694529854</v>
      </c>
      <c r="X28" s="32">
        <f t="shared" si="7"/>
        <v>0.42222424499884781</v>
      </c>
      <c r="Y28" s="32">
        <f t="shared" si="7"/>
        <v>0.37359187326958532</v>
      </c>
      <c r="Z28" s="32">
        <f t="shared" si="7"/>
        <v>0.32882523888718707</v>
      </c>
      <c r="AA28" s="32">
        <f t="shared" si="7"/>
        <v>0.28839440393039206</v>
      </c>
      <c r="AB28" s="32">
        <f t="shared" si="7"/>
        <v>0.25249106605564897</v>
      </c>
      <c r="AC28" s="32">
        <f t="shared" si="7"/>
        <v>0.2183074363515225</v>
      </c>
      <c r="AD28" s="32">
        <f t="shared" si="7"/>
        <v>0.18833468443972823</v>
      </c>
      <c r="AE28" s="32">
        <f t="shared" si="7"/>
        <v>0.16241567185965033</v>
      </c>
      <c r="AF28" s="32">
        <f t="shared" si="7"/>
        <v>0.14027018206823616</v>
      </c>
      <c r="AG28" s="32">
        <f t="shared" si="7"/>
        <v>0.12154210564824797</v>
      </c>
      <c r="AH28" s="32">
        <f t="shared" si="7"/>
        <v>0.10335312153964549</v>
      </c>
      <c r="AI28" s="32">
        <f t="shared" si="7"/>
        <v>8.8085378980010121E-2</v>
      </c>
      <c r="AJ28" s="32">
        <f t="shared" si="7"/>
        <v>7.5382409871996292E-2</v>
      </c>
      <c r="AK28" s="32">
        <f t="shared" si="7"/>
        <v>6.4891442570801094E-2</v>
      </c>
      <c r="AL28" s="32">
        <f t="shared" si="7"/>
        <v>5.6281025615850799E-2</v>
      </c>
      <c r="AM28" s="32">
        <f t="shared" si="7"/>
        <v>4.6634797384075E-2</v>
      </c>
      <c r="AN28" s="32">
        <f t="shared" si="7"/>
        <v>3.8360744273674419E-2</v>
      </c>
      <c r="AO28" s="32">
        <f t="shared" si="7"/>
        <v>3.1307998361868733E-2</v>
      </c>
      <c r="AP28" s="32">
        <f t="shared" si="7"/>
        <v>2.5336568537317333E-2</v>
      </c>
      <c r="AQ28" s="32">
        <f t="shared" si="7"/>
        <v>2.0317263099227725E-2</v>
      </c>
    </row>
    <row r="29" spans="1:43" ht="10.15" customHeight="1">
      <c r="A29" s="34">
        <f>A31-$C$12</f>
        <v>45.050000000000033</v>
      </c>
      <c r="B29" s="34" t="s">
        <v>71</v>
      </c>
      <c r="C29" s="35">
        <f t="shared" ref="C29:AQ29" si="8">EBlackScholesForward("p",C$20,$A$29,C$22,$C$6,$C$6,$C$7,C$21)</f>
        <v>1.8597998783457135E-3</v>
      </c>
      <c r="D29" s="35">
        <f t="shared" si="8"/>
        <v>3.6410907973553636E-3</v>
      </c>
      <c r="E29" s="35">
        <f t="shared" si="8"/>
        <v>6.8822277023391151E-3</v>
      </c>
      <c r="F29" s="35">
        <f t="shared" si="8"/>
        <v>1.256508885104796E-2</v>
      </c>
      <c r="G29" s="35">
        <f t="shared" si="8"/>
        <v>2.2168806568961235E-2</v>
      </c>
      <c r="H29" s="35">
        <f t="shared" si="8"/>
        <v>3.7816347087408983E-2</v>
      </c>
      <c r="I29" s="35">
        <f t="shared" si="8"/>
        <v>5.9940756603777769E-2</v>
      </c>
      <c r="J29" s="35">
        <f t="shared" si="8"/>
        <v>9.280075947657436E-2</v>
      </c>
      <c r="K29" s="35">
        <f t="shared" si="8"/>
        <v>0.14032241190703013</v>
      </c>
      <c r="L29" s="35">
        <f t="shared" si="8"/>
        <v>0.20723273727053559</v>
      </c>
      <c r="M29" s="35">
        <f t="shared" si="8"/>
        <v>0.29896155314184053</v>
      </c>
      <c r="N29" s="35">
        <f t="shared" si="8"/>
        <v>0.41213482502152954</v>
      </c>
      <c r="O29" s="35">
        <f t="shared" si="8"/>
        <v>0.55851467049627024</v>
      </c>
      <c r="P29" s="35">
        <f t="shared" si="8"/>
        <v>0.74398293076038258</v>
      </c>
      <c r="Q29" s="35">
        <f t="shared" si="8"/>
        <v>0.974201722785068</v>
      </c>
      <c r="R29" s="35">
        <f t="shared" si="8"/>
        <v>1.2542425622827356</v>
      </c>
      <c r="S29" s="35">
        <f t="shared" si="8"/>
        <v>1.5704690939170791</v>
      </c>
      <c r="T29" s="35">
        <f t="shared" si="8"/>
        <v>1.9412679140909661</v>
      </c>
      <c r="U29" s="35">
        <f t="shared" si="8"/>
        <v>2.3691207033519626</v>
      </c>
      <c r="V29" s="35">
        <f t="shared" si="8"/>
        <v>2.8551429047954922</v>
      </c>
      <c r="W29" s="77">
        <f t="shared" si="8"/>
        <v>2.4567925145986744</v>
      </c>
      <c r="X29" s="35">
        <f t="shared" si="8"/>
        <v>2.0809003855721144</v>
      </c>
      <c r="Y29" s="35">
        <f t="shared" si="8"/>
        <v>1.7591788233118946</v>
      </c>
      <c r="Z29" s="35">
        <f t="shared" si="8"/>
        <v>1.4868762382049794</v>
      </c>
      <c r="AA29" s="35">
        <f t="shared" si="8"/>
        <v>1.2586783562420052</v>
      </c>
      <c r="AB29" s="35">
        <f t="shared" si="8"/>
        <v>1.0690805112668429</v>
      </c>
      <c r="AC29" s="35">
        <f t="shared" si="8"/>
        <v>0.89000730855623034</v>
      </c>
      <c r="AD29" s="35">
        <f t="shared" si="8"/>
        <v>0.74267661436199051</v>
      </c>
      <c r="AE29" s="35">
        <f t="shared" si="8"/>
        <v>0.62235270258761111</v>
      </c>
      <c r="AF29" s="35">
        <f t="shared" si="8"/>
        <v>0.52468423189323565</v>
      </c>
      <c r="AG29" s="35">
        <f t="shared" si="8"/>
        <v>0.44579952046646704</v>
      </c>
      <c r="AH29" s="35">
        <f t="shared" si="8"/>
        <v>0.36838195276358554</v>
      </c>
      <c r="AI29" s="35">
        <f t="shared" si="8"/>
        <v>0.30637178115918767</v>
      </c>
      <c r="AJ29" s="35">
        <f t="shared" si="8"/>
        <v>0.25691382847770872</v>
      </c>
      <c r="AK29" s="35">
        <f t="shared" si="8"/>
        <v>0.21760012791195477</v>
      </c>
      <c r="AL29" s="35">
        <f t="shared" si="8"/>
        <v>0.18643864301876986</v>
      </c>
      <c r="AM29" s="35">
        <f t="shared" si="8"/>
        <v>0.14999953612307129</v>
      </c>
      <c r="AN29" s="35">
        <f t="shared" si="8"/>
        <v>0.11979848862031314</v>
      </c>
      <c r="AO29" s="35">
        <f t="shared" si="8"/>
        <v>9.4917989924567417E-2</v>
      </c>
      <c r="AP29" s="35">
        <f t="shared" si="8"/>
        <v>7.4555835087757524E-2</v>
      </c>
      <c r="AQ29" s="35">
        <f t="shared" si="8"/>
        <v>5.8012266531648607E-2</v>
      </c>
    </row>
    <row r="30" spans="1:43" ht="10.15" customHeight="1" outlineLevel="1">
      <c r="A30" s="36"/>
      <c r="B30" s="34" t="s">
        <v>74</v>
      </c>
      <c r="C30" s="35">
        <f t="shared" ref="C30:AQ30" si="9">EBlackScholesForward($FA$3,C$20,$A$29,C$22,$C$6,$C$6,$C$7,C$21)</f>
        <v>1.153553584056865E-3</v>
      </c>
      <c r="D30" s="35">
        <f t="shared" si="9"/>
        <v>2.0434515426910951E-3</v>
      </c>
      <c r="E30" s="35">
        <f t="shared" si="9"/>
        <v>3.4819405376621993E-3</v>
      </c>
      <c r="F30" s="35">
        <f t="shared" si="9"/>
        <v>5.7083123812503621E-3</v>
      </c>
      <c r="G30" s="35">
        <f t="shared" si="9"/>
        <v>9.0059544049017493E-3</v>
      </c>
      <c r="H30" s="35">
        <f t="shared" si="9"/>
        <v>1.3678198040709253E-2</v>
      </c>
      <c r="I30" s="35">
        <f t="shared" si="9"/>
        <v>1.9515718412341933E-2</v>
      </c>
      <c r="J30" s="35">
        <f t="shared" si="9"/>
        <v>2.7052597841270065E-2</v>
      </c>
      <c r="K30" s="35">
        <f t="shared" si="9"/>
        <v>3.6424689035711721E-2</v>
      </c>
      <c r="L30" s="35">
        <f t="shared" si="9"/>
        <v>4.7633290510726997E-2</v>
      </c>
      <c r="M30" s="35">
        <f t="shared" si="9"/>
        <v>6.050687252927818E-2</v>
      </c>
      <c r="N30" s="35">
        <f t="shared" si="9"/>
        <v>7.4017355913310684E-2</v>
      </c>
      <c r="O30" s="35">
        <f t="shared" si="9"/>
        <v>8.8420486702089407E-2</v>
      </c>
      <c r="P30" s="35">
        <f t="shared" si="9"/>
        <v>0.10313553129886477</v>
      </c>
      <c r="Q30" s="35">
        <f t="shared" si="9"/>
        <v>0.11747433154887665</v>
      </c>
      <c r="R30" s="35">
        <f t="shared" si="9"/>
        <v>0.13070871390991134</v>
      </c>
      <c r="S30" s="35">
        <f t="shared" si="9"/>
        <v>0.14198033110162533</v>
      </c>
      <c r="T30" s="35">
        <f t="shared" si="9"/>
        <v>0.15107558790892295</v>
      </c>
      <c r="U30" s="35">
        <f t="shared" si="9"/>
        <v>0.15750919427069543</v>
      </c>
      <c r="V30" s="35">
        <f t="shared" si="9"/>
        <v>0.16098112767198924</v>
      </c>
      <c r="W30" s="77">
        <f t="shared" si="9"/>
        <v>0.16140724722561983</v>
      </c>
      <c r="X30" s="35">
        <f t="shared" si="9"/>
        <v>0.15897576817518888</v>
      </c>
      <c r="Y30" s="35">
        <f t="shared" si="9"/>
        <v>0.15410956998038128</v>
      </c>
      <c r="Z30" s="35">
        <f t="shared" si="9"/>
        <v>0.1473470540029389</v>
      </c>
      <c r="AA30" s="35">
        <f t="shared" si="9"/>
        <v>0.13927067764308831</v>
      </c>
      <c r="AB30" s="35">
        <f t="shared" si="9"/>
        <v>0.13044056706804064</v>
      </c>
      <c r="AC30" s="35">
        <f t="shared" si="9"/>
        <v>0.12048688980270367</v>
      </c>
      <c r="AD30" s="35">
        <f t="shared" si="9"/>
        <v>0.11041396927012775</v>
      </c>
      <c r="AE30" s="35">
        <f t="shared" si="9"/>
        <v>0.10059693101828121</v>
      </c>
      <c r="AF30" s="35">
        <f t="shared" si="9"/>
        <v>9.1316319430652659E-2</v>
      </c>
      <c r="AG30" s="35">
        <f t="shared" si="9"/>
        <v>8.2759903331490442E-2</v>
      </c>
      <c r="AH30" s="35">
        <f t="shared" si="9"/>
        <v>7.3765430026556639E-2</v>
      </c>
      <c r="AI30" s="35">
        <f t="shared" si="9"/>
        <v>6.5629918514041138E-2</v>
      </c>
      <c r="AJ30" s="35">
        <f t="shared" si="9"/>
        <v>5.8402429324097727E-2</v>
      </c>
      <c r="AK30" s="35">
        <f t="shared" si="9"/>
        <v>5.2079710606980259E-2</v>
      </c>
      <c r="AL30" s="35">
        <f t="shared" si="9"/>
        <v>4.6621424396339109E-2</v>
      </c>
      <c r="AM30" s="35">
        <f t="shared" si="9"/>
        <v>4.0187345378484327E-2</v>
      </c>
      <c r="AN30" s="35">
        <f t="shared" si="9"/>
        <v>3.4354095682543669E-2</v>
      </c>
      <c r="AO30" s="35">
        <f t="shared" si="9"/>
        <v>2.9112888735943469E-2</v>
      </c>
      <c r="AP30" s="35">
        <f t="shared" si="9"/>
        <v>2.4446015068957973E-2</v>
      </c>
      <c r="AQ30" s="35">
        <f t="shared" si="9"/>
        <v>2.0328722532799673E-2</v>
      </c>
    </row>
    <row r="31" spans="1:43" ht="10.15" customHeight="1">
      <c r="A31" s="31">
        <f>A33-$C$12</f>
        <v>45.10000000000003</v>
      </c>
      <c r="B31" s="31" t="s">
        <v>71</v>
      </c>
      <c r="C31" s="32">
        <f t="shared" ref="C31:AQ31" si="10">EBlackScholesForward("p",C$20,$A$31,C$22,$C$6,$C$6,$C$7,C$21)</f>
        <v>1.8200034408776538E-3</v>
      </c>
      <c r="D31" s="32">
        <f t="shared" si="10"/>
        <v>3.5662505499557667E-3</v>
      </c>
      <c r="E31" s="32">
        <f t="shared" si="10"/>
        <v>6.7467212158743659E-3</v>
      </c>
      <c r="F31" s="32">
        <f t="shared" si="10"/>
        <v>1.2328765266877663E-2</v>
      </c>
      <c r="G31" s="32">
        <f t="shared" si="10"/>
        <v>2.1771642275230429E-2</v>
      </c>
      <c r="H31" s="32">
        <f t="shared" si="10"/>
        <v>3.7172808126347094E-2</v>
      </c>
      <c r="I31" s="32">
        <f t="shared" si="10"/>
        <v>5.8964109580903708E-2</v>
      </c>
      <c r="J31" s="32">
        <f t="shared" si="10"/>
        <v>9.1357374902676439E-2</v>
      </c>
      <c r="K31" s="32">
        <f t="shared" si="10"/>
        <v>0.13824523769061889</v>
      </c>
      <c r="L31" s="32">
        <f t="shared" si="10"/>
        <v>0.20432175349120124</v>
      </c>
      <c r="M31" s="32">
        <f t="shared" si="10"/>
        <v>0.29498791563095317</v>
      </c>
      <c r="N31" s="32">
        <f t="shared" si="10"/>
        <v>0.40691446796200026</v>
      </c>
      <c r="O31" s="32">
        <f t="shared" si="10"/>
        <v>0.55179348732884659</v>
      </c>
      <c r="P31" s="32">
        <f t="shared" si="10"/>
        <v>0.73550229007750911</v>
      </c>
      <c r="Q31" s="32">
        <f t="shared" si="10"/>
        <v>0.96371270801321751</v>
      </c>
      <c r="R31" s="32">
        <f t="shared" si="10"/>
        <v>1.2415211872538996</v>
      </c>
      <c r="S31" s="32">
        <f t="shared" si="10"/>
        <v>1.5553718469552809</v>
      </c>
      <c r="T31" s="32">
        <f t="shared" si="10"/>
        <v>1.9236307765257481</v>
      </c>
      <c r="U31" s="32">
        <f t="shared" si="10"/>
        <v>2.348831746273182</v>
      </c>
      <c r="V31" s="32">
        <f t="shared" si="10"/>
        <v>2.8321494034672767</v>
      </c>
      <c r="W31" s="76">
        <f t="shared" si="10"/>
        <v>2.4806941081475764</v>
      </c>
      <c r="X31" s="32">
        <f t="shared" si="10"/>
        <v>2.1022115518045452</v>
      </c>
      <c r="Y31" s="32">
        <f t="shared" si="10"/>
        <v>1.7780510235417963</v>
      </c>
      <c r="Z31" s="32">
        <f t="shared" si="10"/>
        <v>1.5035001245791324</v>
      </c>
      <c r="AA31" s="32">
        <f t="shared" si="10"/>
        <v>1.2732689212956692</v>
      </c>
      <c r="AB31" s="32">
        <f t="shared" si="10"/>
        <v>1.0818631344022958</v>
      </c>
      <c r="AC31" s="32">
        <f t="shared" si="10"/>
        <v>0.90106809764374107</v>
      </c>
      <c r="AD31" s="32">
        <f t="shared" si="10"/>
        <v>0.75222580416045504</v>
      </c>
      <c r="AE31" s="32">
        <f t="shared" si="10"/>
        <v>0.63059319957575444</v>
      </c>
      <c r="AF31" s="32">
        <f t="shared" si="10"/>
        <v>0.53180533249033779</v>
      </c>
      <c r="AG31" s="32">
        <f t="shared" si="10"/>
        <v>0.45197298753747406</v>
      </c>
      <c r="AH31" s="32">
        <f t="shared" si="10"/>
        <v>0.37363515051640822</v>
      </c>
      <c r="AI31" s="32">
        <f t="shared" si="10"/>
        <v>0.31085170147469277</v>
      </c>
      <c r="AJ31" s="32">
        <f t="shared" si="10"/>
        <v>0.26074973756528913</v>
      </c>
      <c r="AK31" s="32">
        <f t="shared" si="10"/>
        <v>0.22090367740756128</v>
      </c>
      <c r="AL31" s="32">
        <f t="shared" si="10"/>
        <v>0.18930488157455741</v>
      </c>
      <c r="AM31" s="32">
        <f t="shared" si="10"/>
        <v>0.15237629463735772</v>
      </c>
      <c r="AN31" s="32">
        <f t="shared" si="10"/>
        <v>0.12175505849405237</v>
      </c>
      <c r="AO31" s="32">
        <f t="shared" si="10"/>
        <v>9.6516101300902032E-2</v>
      </c>
      <c r="AP31" s="32">
        <f t="shared" si="10"/>
        <v>7.5850192874227035E-2</v>
      </c>
      <c r="AQ31" s="32">
        <f t="shared" si="10"/>
        <v>5.9051084417055685E-2</v>
      </c>
    </row>
    <row r="32" spans="1:43" ht="10.15" customHeight="1">
      <c r="A32" s="31"/>
      <c r="B32" s="31" t="s">
        <v>74</v>
      </c>
      <c r="C32" s="32">
        <f>EBlackScholesForward($FA$3,C$20,$A$31,C$22,$C$6,$C$6,$C$7,C$21)</f>
        <v>1.1328172498726692E-3</v>
      </c>
      <c r="D32" s="32">
        <f t="shared" ref="D32:AQ32" si="11">EBlackScholesForward($FA$3,D$20,$A$29,D$22,$C$6,$C$6,$C$7,D$21)</f>
        <v>2.0434515426910951E-3</v>
      </c>
      <c r="E32" s="32">
        <f t="shared" si="11"/>
        <v>3.4819405376621993E-3</v>
      </c>
      <c r="F32" s="32">
        <f t="shared" si="11"/>
        <v>5.7083123812503621E-3</v>
      </c>
      <c r="G32" s="32">
        <f t="shared" si="11"/>
        <v>9.0059544049017493E-3</v>
      </c>
      <c r="H32" s="32">
        <f t="shared" si="11"/>
        <v>1.3678198040709253E-2</v>
      </c>
      <c r="I32" s="32">
        <f t="shared" si="11"/>
        <v>1.9515718412341933E-2</v>
      </c>
      <c r="J32" s="32">
        <f t="shared" si="11"/>
        <v>2.7052597841270065E-2</v>
      </c>
      <c r="K32" s="32">
        <f t="shared" si="11"/>
        <v>3.6424689035711721E-2</v>
      </c>
      <c r="L32" s="32">
        <f t="shared" si="11"/>
        <v>4.7633290510726997E-2</v>
      </c>
      <c r="M32" s="32">
        <f t="shared" si="11"/>
        <v>6.050687252927818E-2</v>
      </c>
      <c r="N32" s="32">
        <f t="shared" si="11"/>
        <v>7.4017355913310684E-2</v>
      </c>
      <c r="O32" s="32">
        <f t="shared" si="11"/>
        <v>8.8420486702089407E-2</v>
      </c>
      <c r="P32" s="32">
        <f t="shared" si="11"/>
        <v>0.10313553129886477</v>
      </c>
      <c r="Q32" s="32">
        <f t="shared" si="11"/>
        <v>0.11747433154887665</v>
      </c>
      <c r="R32" s="32">
        <f t="shared" si="11"/>
        <v>0.13070871390991134</v>
      </c>
      <c r="S32" s="32">
        <f t="shared" si="11"/>
        <v>0.14198033110162533</v>
      </c>
      <c r="T32" s="32">
        <f t="shared" si="11"/>
        <v>0.15107558790892295</v>
      </c>
      <c r="U32" s="32">
        <f t="shared" si="11"/>
        <v>0.15750919427069543</v>
      </c>
      <c r="V32" s="32">
        <f t="shared" si="11"/>
        <v>0.16098112767198924</v>
      </c>
      <c r="W32" s="76">
        <f t="shared" si="11"/>
        <v>0.16140724722561983</v>
      </c>
      <c r="X32" s="32">
        <f t="shared" si="11"/>
        <v>0.15897576817518888</v>
      </c>
      <c r="Y32" s="32">
        <f t="shared" si="11"/>
        <v>0.15410956998038128</v>
      </c>
      <c r="Z32" s="32">
        <f t="shared" si="11"/>
        <v>0.1473470540029389</v>
      </c>
      <c r="AA32" s="32">
        <f t="shared" si="11"/>
        <v>0.13927067764308831</v>
      </c>
      <c r="AB32" s="32">
        <f t="shared" si="11"/>
        <v>0.13044056706804064</v>
      </c>
      <c r="AC32" s="32">
        <f t="shared" si="11"/>
        <v>0.12048688980270367</v>
      </c>
      <c r="AD32" s="32">
        <f t="shared" si="11"/>
        <v>0.11041396927012775</v>
      </c>
      <c r="AE32" s="32">
        <f t="shared" si="11"/>
        <v>0.10059693101828121</v>
      </c>
      <c r="AF32" s="32">
        <f t="shared" si="11"/>
        <v>9.1316319430652659E-2</v>
      </c>
      <c r="AG32" s="32">
        <f t="shared" si="11"/>
        <v>8.2759903331490442E-2</v>
      </c>
      <c r="AH32" s="32">
        <f t="shared" si="11"/>
        <v>7.3765430026556639E-2</v>
      </c>
      <c r="AI32" s="32">
        <f t="shared" si="11"/>
        <v>6.5629918514041138E-2</v>
      </c>
      <c r="AJ32" s="32">
        <f t="shared" si="11"/>
        <v>5.8402429324097727E-2</v>
      </c>
      <c r="AK32" s="32">
        <f t="shared" si="11"/>
        <v>5.2079710606980259E-2</v>
      </c>
      <c r="AL32" s="32">
        <f t="shared" si="11"/>
        <v>4.6621424396339109E-2</v>
      </c>
      <c r="AM32" s="32">
        <f t="shared" si="11"/>
        <v>4.0187345378484327E-2</v>
      </c>
      <c r="AN32" s="32">
        <f t="shared" si="11"/>
        <v>3.4354095682543669E-2</v>
      </c>
      <c r="AO32" s="32">
        <f t="shared" si="11"/>
        <v>2.9112888735943469E-2</v>
      </c>
      <c r="AP32" s="32">
        <f t="shared" si="11"/>
        <v>2.4446015068957973E-2</v>
      </c>
      <c r="AQ32" s="32">
        <f t="shared" si="11"/>
        <v>2.0328722532799673E-2</v>
      </c>
    </row>
    <row r="33" spans="1:43" ht="10.15" customHeight="1">
      <c r="A33" s="34">
        <f>A35-$C$12</f>
        <v>45.150000000000027</v>
      </c>
      <c r="B33" s="34" t="s">
        <v>71</v>
      </c>
      <c r="C33" s="35">
        <f t="shared" ref="C33:AQ33" si="12">EBlackScholesForward("p",C$20,$A$33,C$22,$C$6,$C$6,$C$7,C$21)</f>
        <v>1.7810412839638309E-3</v>
      </c>
      <c r="D33" s="35">
        <f t="shared" si="12"/>
        <v>3.4929107362098328E-3</v>
      </c>
      <c r="E33" s="35">
        <f t="shared" si="12"/>
        <v>6.6138042278578238E-3</v>
      </c>
      <c r="F33" s="35">
        <f t="shared" si="12"/>
        <v>1.2096731546932072E-2</v>
      </c>
      <c r="G33" s="35">
        <f t="shared" si="12"/>
        <v>2.1381302131514721E-2</v>
      </c>
      <c r="H33" s="35">
        <f t="shared" si="12"/>
        <v>3.6539697586414815E-2</v>
      </c>
      <c r="I33" s="35">
        <f t="shared" si="12"/>
        <v>5.800249683370437E-2</v>
      </c>
      <c r="J33" s="35">
        <f t="shared" si="12"/>
        <v>8.9935012673966766E-2</v>
      </c>
      <c r="K33" s="35">
        <f t="shared" si="12"/>
        <v>0.13619656873353606</v>
      </c>
      <c r="L33" s="35">
        <f t="shared" si="12"/>
        <v>0.20144824967279604</v>
      </c>
      <c r="M33" s="35">
        <f t="shared" si="12"/>
        <v>0.29106207246367688</v>
      </c>
      <c r="N33" s="35">
        <f t="shared" si="12"/>
        <v>0.40175310366102224</v>
      </c>
      <c r="O33" s="35">
        <f t="shared" si="12"/>
        <v>0.54514331282784068</v>
      </c>
      <c r="P33" s="35">
        <f t="shared" si="12"/>
        <v>0.72710499140372553</v>
      </c>
      <c r="Q33" s="35">
        <f t="shared" si="12"/>
        <v>0.95331908351620998</v>
      </c>
      <c r="R33" s="35">
        <f t="shared" si="12"/>
        <v>1.2289063205599338</v>
      </c>
      <c r="S33" s="35">
        <f t="shared" si="12"/>
        <v>1.5403913367992152</v>
      </c>
      <c r="T33" s="35">
        <f t="shared" si="12"/>
        <v>1.9061188151976463</v>
      </c>
      <c r="U33" s="35">
        <f t="shared" si="12"/>
        <v>2.3286741362173347</v>
      </c>
      <c r="V33" s="35">
        <f t="shared" si="12"/>
        <v>2.8092908312054461</v>
      </c>
      <c r="W33" s="77">
        <f t="shared" si="12"/>
        <v>2.5047314984953188</v>
      </c>
      <c r="X33" s="35">
        <f t="shared" si="12"/>
        <v>2.1236560385488152</v>
      </c>
      <c r="Y33" s="35">
        <f t="shared" si="12"/>
        <v>1.7970517802949857</v>
      </c>
      <c r="Z33" s="35">
        <f t="shared" si="12"/>
        <v>1.5202460249091796</v>
      </c>
      <c r="AA33" s="35">
        <f t="shared" si="12"/>
        <v>1.2879737341602533</v>
      </c>
      <c r="AB33" s="35">
        <f t="shared" si="12"/>
        <v>1.0947515500953735</v>
      </c>
      <c r="AC33" s="35">
        <f t="shared" si="12"/>
        <v>0.91222629678695588</v>
      </c>
      <c r="AD33" s="35">
        <f t="shared" si="12"/>
        <v>0.76186379388268133</v>
      </c>
      <c r="AE33" s="35">
        <f t="shared" si="12"/>
        <v>0.63891401389278946</v>
      </c>
      <c r="AF33" s="35">
        <f t="shared" si="12"/>
        <v>0.53899866609369285</v>
      </c>
      <c r="AG33" s="35">
        <f t="shared" si="12"/>
        <v>0.45821118662355975</v>
      </c>
      <c r="AH33" s="35">
        <f t="shared" si="12"/>
        <v>0.37894585233707018</v>
      </c>
      <c r="AI33" s="35">
        <f t="shared" si="12"/>
        <v>0.31538250974514959</v>
      </c>
      <c r="AJ33" s="35">
        <f t="shared" si="12"/>
        <v>0.26463059839021147</v>
      </c>
      <c r="AK33" s="35">
        <f t="shared" si="12"/>
        <v>0.22424694079120663</v>
      </c>
      <c r="AL33" s="35">
        <f t="shared" si="12"/>
        <v>0.19220627620522759</v>
      </c>
      <c r="AM33" s="35">
        <f t="shared" si="12"/>
        <v>0.15478340136624064</v>
      </c>
      <c r="AN33" s="35">
        <f t="shared" si="12"/>
        <v>0.12373762272229719</v>
      </c>
      <c r="AO33" s="35">
        <f t="shared" si="12"/>
        <v>9.8136296026537423E-2</v>
      </c>
      <c r="AP33" s="35">
        <f t="shared" si="12"/>
        <v>7.7163149385017407E-2</v>
      </c>
      <c r="AQ33" s="35">
        <f t="shared" si="12"/>
        <v>6.0105422229539462E-2</v>
      </c>
    </row>
    <row r="34" spans="1:43" ht="10.15" customHeight="1" outlineLevel="1">
      <c r="A34" s="36"/>
      <c r="B34" s="34" t="s">
        <v>74</v>
      </c>
      <c r="C34" s="35">
        <f t="shared" ref="C34:AQ34" si="13">EBlackScholesForward($FA$3,C$20,$A$33,C$22,$C$6,$C$6,$C$7,C$21)</f>
        <v>1.1124354501489883E-3</v>
      </c>
      <c r="D34" s="35">
        <f t="shared" si="13"/>
        <v>1.9745004827996324E-3</v>
      </c>
      <c r="E34" s="35">
        <f t="shared" si="13"/>
        <v>3.371305367070236E-3</v>
      </c>
      <c r="F34" s="35">
        <f t="shared" si="13"/>
        <v>5.5385035881736003E-3</v>
      </c>
      <c r="G34" s="35">
        <f t="shared" si="13"/>
        <v>8.7567320267340782E-3</v>
      </c>
      <c r="H34" s="35">
        <f t="shared" si="13"/>
        <v>1.3328565702081116E-2</v>
      </c>
      <c r="I34" s="35">
        <f t="shared" si="13"/>
        <v>1.9052453032192836E-2</v>
      </c>
      <c r="J34" s="35">
        <f t="shared" si="13"/>
        <v>2.6461361535107586E-2</v>
      </c>
      <c r="K34" s="35">
        <f t="shared" si="13"/>
        <v>3.5699015963212344E-2</v>
      </c>
      <c r="L34" s="35">
        <f t="shared" si="13"/>
        <v>4.6778175505576863E-2</v>
      </c>
      <c r="M34" s="35">
        <f t="shared" si="13"/>
        <v>5.9541423037656666E-2</v>
      </c>
      <c r="N34" s="35">
        <f t="shared" si="13"/>
        <v>7.2970138531298467E-2</v>
      </c>
      <c r="O34" s="35">
        <f t="shared" si="13"/>
        <v>8.7333544369175314E-2</v>
      </c>
      <c r="P34" s="35">
        <f t="shared" si="13"/>
        <v>0.10206273331420224</v>
      </c>
      <c r="Q34" s="35">
        <f t="shared" si="13"/>
        <v>0.11647719909259158</v>
      </c>
      <c r="R34" s="35">
        <f t="shared" si="13"/>
        <v>0.1298505602124177</v>
      </c>
      <c r="S34" s="35">
        <f t="shared" si="13"/>
        <v>0.14130912621514835</v>
      </c>
      <c r="T34" s="35">
        <f t="shared" si="13"/>
        <v>0.15064382535824794</v>
      </c>
      <c r="U34" s="35">
        <f t="shared" si="13"/>
        <v>0.15735634057855719</v>
      </c>
      <c r="V34" s="35">
        <f t="shared" si="13"/>
        <v>0.16112932484213638</v>
      </c>
      <c r="W34" s="77">
        <f t="shared" si="13"/>
        <v>0.16185923394297586</v>
      </c>
      <c r="X34" s="35">
        <f t="shared" si="13"/>
        <v>0.1597092675170213</v>
      </c>
      <c r="Y34" s="35">
        <f t="shared" si="13"/>
        <v>0.15508652457898653</v>
      </c>
      <c r="Z34" s="35">
        <f t="shared" si="13"/>
        <v>0.14851976449227422</v>
      </c>
      <c r="AA34" s="35">
        <f t="shared" si="13"/>
        <v>0.14058782563453487</v>
      </c>
      <c r="AB34" s="35">
        <f t="shared" si="13"/>
        <v>0.13185240200307513</v>
      </c>
      <c r="AC34" s="35">
        <f t="shared" si="13"/>
        <v>0.12196544650154278</v>
      </c>
      <c r="AD34" s="35">
        <f t="shared" si="13"/>
        <v>0.11191748066658774</v>
      </c>
      <c r="AE34" s="35">
        <f t="shared" si="13"/>
        <v>0.10209055158426428</v>
      </c>
      <c r="AF34" s="35">
        <f t="shared" si="13"/>
        <v>9.2773112861724794E-2</v>
      </c>
      <c r="AG34" s="35">
        <f t="shared" si="13"/>
        <v>8.4160790256932599E-2</v>
      </c>
      <c r="AH34" s="35">
        <f t="shared" si="13"/>
        <v>7.5099886242235736E-2</v>
      </c>
      <c r="AI34" s="35">
        <f t="shared" si="13"/>
        <v>6.6886287881784939E-2</v>
      </c>
      <c r="AJ34" s="35">
        <f t="shared" si="13"/>
        <v>5.9574939891800835E-2</v>
      </c>
      <c r="AK34" s="35">
        <f t="shared" si="13"/>
        <v>5.3167327639667611E-2</v>
      </c>
      <c r="AL34" s="35">
        <f t="shared" si="13"/>
        <v>4.7626647284024423E-2</v>
      </c>
      <c r="AM34" s="35">
        <f t="shared" si="13"/>
        <v>4.1100297955267394E-2</v>
      </c>
      <c r="AN34" s="35">
        <f t="shared" si="13"/>
        <v>3.5174794898591981E-2</v>
      </c>
      <c r="AO34" s="35">
        <f t="shared" si="13"/>
        <v>2.9843105760276038E-2</v>
      </c>
      <c r="AP34" s="35">
        <f t="shared" si="13"/>
        <v>2.508896787717374E-2</v>
      </c>
      <c r="AQ34" s="35">
        <f t="shared" si="13"/>
        <v>2.0888789843742827E-2</v>
      </c>
    </row>
    <row r="35" spans="1:43" ht="10.15" customHeight="1">
      <c r="A35" s="31">
        <f>A37-$C$12</f>
        <v>45.200000000000024</v>
      </c>
      <c r="B35" s="31" t="s">
        <v>71</v>
      </c>
      <c r="C35" s="32">
        <f t="shared" ref="C35:AQ35" si="14">EBlackScholesForward("p",C$20,$A$35,C$22,$C$6,$C$6,$C$7,C$21)</f>
        <v>1.7428963801520013E-3</v>
      </c>
      <c r="D35" s="32">
        <f t="shared" si="14"/>
        <v>3.4210422430900824E-3</v>
      </c>
      <c r="E35" s="32">
        <f t="shared" si="14"/>
        <v>6.4834291762033017E-3</v>
      </c>
      <c r="F35" s="32">
        <f t="shared" si="14"/>
        <v>1.1868913446402642E-2</v>
      </c>
      <c r="G35" s="32">
        <f t="shared" si="14"/>
        <v>2.0997675398882202E-2</v>
      </c>
      <c r="H35" s="32">
        <f t="shared" si="14"/>
        <v>3.5916857639148266E-2</v>
      </c>
      <c r="I35" s="32">
        <f t="shared" si="14"/>
        <v>5.7055704950249531E-2</v>
      </c>
      <c r="J35" s="32">
        <f t="shared" si="14"/>
        <v>8.8533394687483086E-2</v>
      </c>
      <c r="K35" s="32">
        <f t="shared" si="14"/>
        <v>0.13417605608907579</v>
      </c>
      <c r="L35" s="32">
        <f t="shared" si="14"/>
        <v>0.19861180459454514</v>
      </c>
      <c r="M35" s="32">
        <f t="shared" si="14"/>
        <v>0.287183534876782</v>
      </c>
      <c r="N35" s="32">
        <f t="shared" si="14"/>
        <v>0.39665018274111197</v>
      </c>
      <c r="O35" s="32">
        <f t="shared" si="14"/>
        <v>0.53856355211512208</v>
      </c>
      <c r="P35" s="32">
        <f t="shared" si="14"/>
        <v>0.71879041575081426</v>
      </c>
      <c r="Q35" s="32">
        <f t="shared" si="14"/>
        <v>0.94302023234564847</v>
      </c>
      <c r="R35" s="32">
        <f t="shared" si="14"/>
        <v>1.2163973757845641</v>
      </c>
      <c r="S35" s="32">
        <f t="shared" si="14"/>
        <v>1.5255270278160218</v>
      </c>
      <c r="T35" s="32">
        <f t="shared" si="14"/>
        <v>1.8887315723661648</v>
      </c>
      <c r="U35" s="32">
        <f t="shared" si="14"/>
        <v>2.3086475162363627</v>
      </c>
      <c r="V35" s="32">
        <f t="shared" si="14"/>
        <v>2.786566948132875</v>
      </c>
      <c r="W35" s="76">
        <f t="shared" si="14"/>
        <v>2.5289045709582703</v>
      </c>
      <c r="X35" s="32">
        <f t="shared" si="14"/>
        <v>2.1452338532263027</v>
      </c>
      <c r="Y35" s="32">
        <f t="shared" si="14"/>
        <v>1.8161812107979347</v>
      </c>
      <c r="Z35" s="32">
        <f t="shared" si="14"/>
        <v>1.5371141485098949</v>
      </c>
      <c r="AA35" s="32">
        <f t="shared" si="14"/>
        <v>1.3027930758116828</v>
      </c>
      <c r="AB35" s="32">
        <f t="shared" si="14"/>
        <v>1.107746090297631</v>
      </c>
      <c r="AC35" s="32">
        <f t="shared" si="14"/>
        <v>0.92348228163370283</v>
      </c>
      <c r="AD35" s="32">
        <f t="shared" si="14"/>
        <v>0.77159098530936154</v>
      </c>
      <c r="AE35" s="32">
        <f t="shared" si="14"/>
        <v>0.64731555806103314</v>
      </c>
      <c r="AF35" s="32">
        <f t="shared" si="14"/>
        <v>0.54626464343640979</v>
      </c>
      <c r="AG35" s="32">
        <f t="shared" si="14"/>
        <v>0.46451451720151238</v>
      </c>
      <c r="AH35" s="32">
        <f t="shared" si="14"/>
        <v>0.38431444638951129</v>
      </c>
      <c r="AI35" s="32">
        <f t="shared" si="14"/>
        <v>0.31996457616239193</v>
      </c>
      <c r="AJ35" s="32">
        <f t="shared" si="14"/>
        <v>0.26855675888348718</v>
      </c>
      <c r="AK35" s="32">
        <f t="shared" si="14"/>
        <v>0.22763024146577454</v>
      </c>
      <c r="AL35" s="32">
        <f t="shared" si="14"/>
        <v>0.19514312511579274</v>
      </c>
      <c r="AM35" s="32">
        <f t="shared" si="14"/>
        <v>0.15722113124148554</v>
      </c>
      <c r="AN35" s="32">
        <f t="shared" si="14"/>
        <v>0.12574643201287827</v>
      </c>
      <c r="AO35" s="32">
        <f t="shared" si="14"/>
        <v>9.9778800261797043E-2</v>
      </c>
      <c r="AP35" s="32">
        <f t="shared" si="14"/>
        <v>7.8494906441494358E-2</v>
      </c>
      <c r="AQ35" s="32">
        <f t="shared" si="14"/>
        <v>6.1175458103758802E-2</v>
      </c>
    </row>
    <row r="36" spans="1:43" ht="10.15" customHeight="1" outlineLevel="1">
      <c r="A36" s="33"/>
      <c r="B36" s="31" t="s">
        <v>74</v>
      </c>
      <c r="C36" s="32">
        <f t="shared" ref="C36:AQ36" si="15">EBlackScholesForward($FA$3,C$20,$A$35,C$22,$C$6,$C$6,$C$7,C$21)</f>
        <v>1.0924025584294168E-3</v>
      </c>
      <c r="D36" s="32">
        <f t="shared" si="15"/>
        <v>1.9408495579300773E-3</v>
      </c>
      <c r="E36" s="32">
        <f t="shared" si="15"/>
        <v>3.3172139516520994E-3</v>
      </c>
      <c r="F36" s="32">
        <f t="shared" si="15"/>
        <v>5.4553258528379171E-3</v>
      </c>
      <c r="G36" s="32">
        <f t="shared" si="15"/>
        <v>8.634417496036724E-3</v>
      </c>
      <c r="H36" s="32">
        <f t="shared" si="15"/>
        <v>1.3156624820769881E-2</v>
      </c>
      <c r="I36" s="32">
        <f t="shared" si="15"/>
        <v>1.8824208493572119E-2</v>
      </c>
      <c r="J36" s="32">
        <f t="shared" si="15"/>
        <v>2.6169493435732896E-2</v>
      </c>
      <c r="K36" s="32">
        <f t="shared" si="15"/>
        <v>3.5340028350178992E-2</v>
      </c>
      <c r="L36" s="32">
        <f t="shared" si="15"/>
        <v>4.6354197417642212E-2</v>
      </c>
      <c r="M36" s="32">
        <f t="shared" si="15"/>
        <v>5.9061565800758498E-2</v>
      </c>
      <c r="N36" s="32">
        <f t="shared" si="15"/>
        <v>7.2448317942530871E-2</v>
      </c>
      <c r="O36" s="32">
        <f t="shared" si="15"/>
        <v>8.6790343129135555E-2</v>
      </c>
      <c r="P36" s="32">
        <f t="shared" si="15"/>
        <v>0.10152472457231904</v>
      </c>
      <c r="Q36" s="32">
        <f t="shared" si="15"/>
        <v>0.11597492441820356</v>
      </c>
      <c r="R36" s="32">
        <f t="shared" si="15"/>
        <v>0.12941564829184926</v>
      </c>
      <c r="S36" s="32">
        <f t="shared" si="15"/>
        <v>0.14096567344303645</v>
      </c>
      <c r="T36" s="32">
        <f t="shared" si="15"/>
        <v>0.1504183757691947</v>
      </c>
      <c r="U36" s="32">
        <f t="shared" si="15"/>
        <v>0.15726910808636418</v>
      </c>
      <c r="V36" s="32">
        <f t="shared" si="15"/>
        <v>0.16119199241607252</v>
      </c>
      <c r="W36" s="76">
        <f t="shared" si="15"/>
        <v>0.16207384077726994</v>
      </c>
      <c r="X36" s="32">
        <f t="shared" si="15"/>
        <v>0.16006542993777018</v>
      </c>
      <c r="Y36" s="32">
        <f t="shared" si="15"/>
        <v>0.1555657201366103</v>
      </c>
      <c r="Z36" s="32">
        <f t="shared" si="15"/>
        <v>0.14909847393454101</v>
      </c>
      <c r="AA36" s="32">
        <f t="shared" si="15"/>
        <v>0.14124053894722111</v>
      </c>
      <c r="AB36" s="32">
        <f t="shared" si="15"/>
        <v>0.13255423413619405</v>
      </c>
      <c r="AC36" s="32">
        <f t="shared" si="15"/>
        <v>0.12270236470310769</v>
      </c>
      <c r="AD36" s="32">
        <f t="shared" si="15"/>
        <v>0.11266846486978599</v>
      </c>
      <c r="AE36" s="32">
        <f t="shared" si="15"/>
        <v>0.10283796864115452</v>
      </c>
      <c r="AF36" s="32">
        <f t="shared" si="15"/>
        <v>9.3503246804614137E-2</v>
      </c>
      <c r="AG36" s="32">
        <f t="shared" si="15"/>
        <v>8.4863847063245262E-2</v>
      </c>
      <c r="AH36" s="32">
        <f t="shared" si="15"/>
        <v>7.5770524922282617E-2</v>
      </c>
      <c r="AI36" s="32">
        <f t="shared" si="15"/>
        <v>6.7518452437496906E-2</v>
      </c>
      <c r="AJ36" s="32">
        <f t="shared" si="15"/>
        <v>6.0165540142349969E-2</v>
      </c>
      <c r="AK36" s="32">
        <f t="shared" si="15"/>
        <v>5.3715674656130225E-2</v>
      </c>
      <c r="AL36" s="32">
        <f t="shared" si="15"/>
        <v>4.813385483836935E-2</v>
      </c>
      <c r="AM36" s="32">
        <f t="shared" si="15"/>
        <v>4.156145698494413E-2</v>
      </c>
      <c r="AN36" s="32">
        <f t="shared" si="15"/>
        <v>3.5589804780672481E-2</v>
      </c>
      <c r="AO36" s="32">
        <f t="shared" si="15"/>
        <v>3.0212758920947026E-2</v>
      </c>
      <c r="AP36" s="32">
        <f t="shared" si="15"/>
        <v>2.5414796158449358E-2</v>
      </c>
      <c r="AQ36" s="32">
        <f t="shared" si="15"/>
        <v>2.1172921140114681E-2</v>
      </c>
    </row>
    <row r="37" spans="1:43" ht="10.15" customHeight="1">
      <c r="A37" s="34">
        <f>A39-$C$12</f>
        <v>45.250000000000021</v>
      </c>
      <c r="B37" s="34" t="s">
        <v>71</v>
      </c>
      <c r="C37" s="35">
        <f t="shared" ref="C37:AQ37" si="16">EBlackScholesForward("p",C$20,$A$37,C$22,$C$6,$C$6,$C$7,C$21)</f>
        <v>1.7055520373348006E-3</v>
      </c>
      <c r="D37" s="35">
        <f t="shared" si="16"/>
        <v>3.350616498018147E-3</v>
      </c>
      <c r="E37" s="35">
        <f t="shared" si="16"/>
        <v>6.3555493260003953E-3</v>
      </c>
      <c r="F37" s="35">
        <f t="shared" si="16"/>
        <v>1.1645237921763269E-2</v>
      </c>
      <c r="G37" s="35">
        <f t="shared" si="16"/>
        <v>2.0620652991966471E-2</v>
      </c>
      <c r="H37" s="35">
        <f t="shared" si="16"/>
        <v>3.530413261050247E-2</v>
      </c>
      <c r="I37" s="35">
        <f t="shared" si="16"/>
        <v>5.6123523185060573E-2</v>
      </c>
      <c r="J37" s="35">
        <f t="shared" si="16"/>
        <v>8.7152245977615492E-2</v>
      </c>
      <c r="K37" s="35">
        <f t="shared" si="16"/>
        <v>0.13218335430330944</v>
      </c>
      <c r="L37" s="35">
        <f t="shared" si="16"/>
        <v>0.19581200069012603</v>
      </c>
      <c r="M37" s="35">
        <f t="shared" si="16"/>
        <v>0.28335181766248074</v>
      </c>
      <c r="N37" s="35">
        <f t="shared" si="16"/>
        <v>0.39160515905815096</v>
      </c>
      <c r="O37" s="35">
        <f t="shared" si="16"/>
        <v>0.53205361291216402</v>
      </c>
      <c r="P37" s="35">
        <f t="shared" si="16"/>
        <v>0.71055794579850518</v>
      </c>
      <c r="Q37" s="35">
        <f t="shared" si="16"/>
        <v>0.93281553804947148</v>
      </c>
      <c r="R37" s="35">
        <f t="shared" si="16"/>
        <v>1.2039937656932516</v>
      </c>
      <c r="S37" s="35">
        <f t="shared" si="16"/>
        <v>1.510778382183229</v>
      </c>
      <c r="T37" s="35">
        <f t="shared" si="16"/>
        <v>1.8714685867651084</v>
      </c>
      <c r="U37" s="35">
        <f t="shared" si="16"/>
        <v>2.2887515246827159</v>
      </c>
      <c r="V37" s="35">
        <f t="shared" si="16"/>
        <v>2.7639775087711436</v>
      </c>
      <c r="W37" s="77">
        <f t="shared" si="16"/>
        <v>2.5532132046958567</v>
      </c>
      <c r="X37" s="35">
        <f t="shared" si="16"/>
        <v>2.1669449970276293</v>
      </c>
      <c r="Y37" s="35">
        <f t="shared" si="16"/>
        <v>1.8354394263182219</v>
      </c>
      <c r="Z37" s="35">
        <f t="shared" si="16"/>
        <v>1.5541046992729515</v>
      </c>
      <c r="AA37" s="35">
        <f t="shared" si="16"/>
        <v>1.3177272225063588</v>
      </c>
      <c r="AB37" s="35">
        <f t="shared" si="16"/>
        <v>1.1208470830195845</v>
      </c>
      <c r="AC37" s="35">
        <f t="shared" si="16"/>
        <v>0.93483642464243644</v>
      </c>
      <c r="AD37" s="35">
        <f t="shared" si="16"/>
        <v>0.7814077777855255</v>
      </c>
      <c r="AE37" s="35">
        <f t="shared" si="16"/>
        <v>0.6557982428695307</v>
      </c>
      <c r="AF37" s="35">
        <f t="shared" si="16"/>
        <v>0.55360367413450107</v>
      </c>
      <c r="AG37" s="35">
        <f t="shared" si="16"/>
        <v>0.47088337814361536</v>
      </c>
      <c r="AH37" s="35">
        <f t="shared" si="16"/>
        <v>0.38974132070862477</v>
      </c>
      <c r="AI37" s="35">
        <f t="shared" si="16"/>
        <v>0.32459827116967593</v>
      </c>
      <c r="AJ37" s="35">
        <f t="shared" si="16"/>
        <v>0.27252856751431703</v>
      </c>
      <c r="AK37" s="35">
        <f t="shared" si="16"/>
        <v>0.23105390357396702</v>
      </c>
      <c r="AL37" s="35">
        <f t="shared" si="16"/>
        <v>0.19811572738015884</v>
      </c>
      <c r="AM37" s="35">
        <f t="shared" si="16"/>
        <v>0.15968976022799614</v>
      </c>
      <c r="AN37" s="35">
        <f t="shared" si="16"/>
        <v>0.12778173822102656</v>
      </c>
      <c r="AO37" s="35">
        <f t="shared" si="16"/>
        <v>0.10144384138349524</v>
      </c>
      <c r="AP37" s="35">
        <f t="shared" si="16"/>
        <v>7.984566711060917E-2</v>
      </c>
      <c r="AQ37" s="35">
        <f t="shared" si="16"/>
        <v>6.2261371414446355E-2</v>
      </c>
    </row>
    <row r="38" spans="1:43" ht="10.15" customHeight="1" outlineLevel="1">
      <c r="A38" s="36"/>
      <c r="B38" s="34" t="s">
        <v>74</v>
      </c>
      <c r="C38" s="35">
        <f t="shared" ref="C38:AQ38" si="17">EBlackScholesForward($FA$3,C$20,$A$37,C$22,$C$6,$C$6,$C$7,C$21)</f>
        <v>1.0727130272369443E-3</v>
      </c>
      <c r="D38" s="35">
        <f t="shared" si="17"/>
        <v>1.9077377403792424E-3</v>
      </c>
      <c r="E38" s="35">
        <f t="shared" si="17"/>
        <v>3.2639257828691245E-3</v>
      </c>
      <c r="F38" s="35">
        <f t="shared" si="17"/>
        <v>5.3732816779782262E-3</v>
      </c>
      <c r="G38" s="35">
        <f t="shared" si="17"/>
        <v>8.5136142980819125E-3</v>
      </c>
      <c r="H38" s="35">
        <f t="shared" si="17"/>
        <v>1.2986581019222072E-2</v>
      </c>
      <c r="I38" s="35">
        <f t="shared" si="17"/>
        <v>1.8598205528690067E-2</v>
      </c>
      <c r="J38" s="35">
        <f t="shared" si="17"/>
        <v>2.5880114531362894E-2</v>
      </c>
      <c r="K38" s="35">
        <f t="shared" si="17"/>
        <v>3.4983606386959881E-2</v>
      </c>
      <c r="L38" s="35">
        <f t="shared" si="17"/>
        <v>4.5932619725038357E-2</v>
      </c>
      <c r="M38" s="35">
        <f t="shared" si="17"/>
        <v>5.8583651455394598E-2</v>
      </c>
      <c r="N38" s="35">
        <f t="shared" si="17"/>
        <v>7.1927738582740625E-2</v>
      </c>
      <c r="O38" s="35">
        <f t="shared" si="17"/>
        <v>8.6247388206267622E-2</v>
      </c>
      <c r="P38" s="35">
        <f t="shared" si="17"/>
        <v>0.10098572292899333</v>
      </c>
      <c r="Q38" s="35">
        <f t="shared" si="17"/>
        <v>0.11547026585775289</v>
      </c>
      <c r="R38" s="35">
        <f t="shared" si="17"/>
        <v>0.12897693534106081</v>
      </c>
      <c r="S38" s="35">
        <f t="shared" si="17"/>
        <v>0.14061707039308247</v>
      </c>
      <c r="T38" s="35">
        <f t="shared" si="17"/>
        <v>0.15018661655987797</v>
      </c>
      <c r="U38" s="35">
        <f t="shared" si="17"/>
        <v>0.15717471978511077</v>
      </c>
      <c r="V38" s="35">
        <f t="shared" si="17"/>
        <v>0.16124706082215634</v>
      </c>
      <c r="W38" s="77">
        <f t="shared" si="17"/>
        <v>0.16228084939997012</v>
      </c>
      <c r="X38" s="35">
        <f t="shared" si="17"/>
        <v>0.16041450010657976</v>
      </c>
      <c r="Y38" s="35">
        <f t="shared" si="17"/>
        <v>0.1560386716117772</v>
      </c>
      <c r="Z38" s="35">
        <f t="shared" si="17"/>
        <v>0.14967201401427188</v>
      </c>
      <c r="AA38" s="35">
        <f t="shared" si="17"/>
        <v>0.14188926371907651</v>
      </c>
      <c r="AB38" s="35">
        <f t="shared" si="17"/>
        <v>0.13325325812220845</v>
      </c>
      <c r="AC38" s="35">
        <f t="shared" si="17"/>
        <v>0.123437624136291</v>
      </c>
      <c r="AD38" s="35">
        <f t="shared" si="17"/>
        <v>0.11341885313524136</v>
      </c>
      <c r="AE38" s="35">
        <f t="shared" si="17"/>
        <v>0.1035857155685721</v>
      </c>
      <c r="AF38" s="35">
        <f t="shared" si="17"/>
        <v>9.4234473165348304E-2</v>
      </c>
      <c r="AG38" s="35">
        <f t="shared" si="17"/>
        <v>8.5568590087736152E-2</v>
      </c>
      <c r="AH38" s="35">
        <f t="shared" si="17"/>
        <v>7.6443390936658279E-2</v>
      </c>
      <c r="AI38" s="35">
        <f t="shared" si="17"/>
        <v>6.8153233502645988E-2</v>
      </c>
      <c r="AJ38" s="35">
        <f t="shared" si="17"/>
        <v>6.0759009315956569E-2</v>
      </c>
      <c r="AK38" s="35">
        <f t="shared" si="17"/>
        <v>5.4267027605997387E-2</v>
      </c>
      <c r="AL38" s="35">
        <f t="shared" si="17"/>
        <v>4.8644113494581184E-2</v>
      </c>
      <c r="AM38" s="35">
        <f t="shared" si="17"/>
        <v>4.2025732032875907E-2</v>
      </c>
      <c r="AN38" s="35">
        <f t="shared" si="17"/>
        <v>3.6007922062458196E-2</v>
      </c>
      <c r="AO38" s="35">
        <f t="shared" si="17"/>
        <v>3.0585447865252045E-2</v>
      </c>
      <c r="AP38" s="35">
        <f t="shared" si="17"/>
        <v>2.5743536237616178E-2</v>
      </c>
      <c r="AQ38" s="35">
        <f t="shared" si="17"/>
        <v>2.1459798322026179E-2</v>
      </c>
    </row>
    <row r="39" spans="1:43" ht="10.15" customHeight="1">
      <c r="A39" s="31">
        <f>A41-$C$12</f>
        <v>45.300000000000018</v>
      </c>
      <c r="B39" s="31" t="s">
        <v>71</v>
      </c>
      <c r="C39" s="32">
        <f t="shared" ref="C39:AQ39" si="18">EBlackScholesForward("p",C$20,$A$39,C$22,$C$6,$C$6,$C$7,C$21)</f>
        <v>1.668991892462453E-3</v>
      </c>
      <c r="D39" s="32">
        <f t="shared" si="18"/>
        <v>3.2816054594406088E-3</v>
      </c>
      <c r="E39" s="32">
        <f t="shared" si="18"/>
        <v>6.2301187562362852E-3</v>
      </c>
      <c r="F39" s="32">
        <f t="shared" si="18"/>
        <v>1.1425633113240904E-2</v>
      </c>
      <c r="G39" s="32">
        <f t="shared" si="18"/>
        <v>2.0250127457395947E-2</v>
      </c>
      <c r="H39" s="32">
        <f t="shared" si="18"/>
        <v>3.4701368956306773E-2</v>
      </c>
      <c r="I39" s="32">
        <f t="shared" si="18"/>
        <v>5.5205743433028268E-2</v>
      </c>
      <c r="J39" s="32">
        <f t="shared" si="18"/>
        <v>8.5791294691074105E-2</v>
      </c>
      <c r="K39" s="32">
        <f t="shared" si="18"/>
        <v>0.13021812139442304</v>
      </c>
      <c r="L39" s="32">
        <f t="shared" si="18"/>
        <v>0.19304842403498104</v>
      </c>
      <c r="M39" s="32">
        <f t="shared" si="18"/>
        <v>0.27956643916701474</v>
      </c>
      <c r="N39" s="32">
        <f t="shared" si="18"/>
        <v>0.38661748971336518</v>
      </c>
      <c r="O39" s="32">
        <f t="shared" si="18"/>
        <v>0.525612905567028</v>
      </c>
      <c r="P39" s="32">
        <f t="shared" si="18"/>
        <v>0.70240696593630458</v>
      </c>
      <c r="Q39" s="32">
        <f t="shared" si="18"/>
        <v>0.92270438472658278</v>
      </c>
      <c r="R39" s="32">
        <f t="shared" si="18"/>
        <v>1.1916949022967764</v>
      </c>
      <c r="S39" s="32">
        <f t="shared" si="18"/>
        <v>1.4961448599579583</v>
      </c>
      <c r="T39" s="32">
        <f t="shared" si="18"/>
        <v>1.8543293936718488</v>
      </c>
      <c r="U39" s="32">
        <f t="shared" si="18"/>
        <v>2.2689857952729531</v>
      </c>
      <c r="V39" s="32">
        <f t="shared" si="18"/>
        <v>2.7415222620929436</v>
      </c>
      <c r="W39" s="76">
        <f t="shared" si="18"/>
        <v>2.577657272748052</v>
      </c>
      <c r="X39" s="32">
        <f t="shared" si="18"/>
        <v>2.1887894649331709</v>
      </c>
      <c r="Y39" s="32">
        <f t="shared" si="18"/>
        <v>1.854826532168834</v>
      </c>
      <c r="Z39" s="32">
        <f t="shared" si="18"/>
        <v>1.5712178756575572</v>
      </c>
      <c r="AA39" s="32">
        <f t="shared" si="18"/>
        <v>1.3327764457613558</v>
      </c>
      <c r="AB39" s="32">
        <f t="shared" si="18"/>
        <v>1.1340548523039296</v>
      </c>
      <c r="AC39" s="32">
        <f t="shared" si="18"/>
        <v>0.94628909504979231</v>
      </c>
      <c r="AD39" s="32">
        <f t="shared" si="18"/>
        <v>0.79131456818527246</v>
      </c>
      <c r="AE39" s="32">
        <f t="shared" si="18"/>
        <v>0.66436247733844978</v>
      </c>
      <c r="AF39" s="32">
        <f t="shared" si="18"/>
        <v>0.56101616665276188</v>
      </c>
      <c r="AG39" s="32">
        <f t="shared" si="18"/>
        <v>0.47731816768619095</v>
      </c>
      <c r="AH39" s="32">
        <f t="shared" si="18"/>
        <v>0.39522686317136374</v>
      </c>
      <c r="AI39" s="32">
        <f t="shared" si="18"/>
        <v>0.32928396543601812</v>
      </c>
      <c r="AJ39" s="32">
        <f t="shared" si="18"/>
        <v>0.27654637326796627</v>
      </c>
      <c r="AK39" s="32">
        <f t="shared" si="18"/>
        <v>0.23451825197967091</v>
      </c>
      <c r="AL39" s="32">
        <f t="shared" si="18"/>
        <v>0.20112438292573803</v>
      </c>
      <c r="AM39" s="32">
        <f t="shared" si="18"/>
        <v>0.16218956531149115</v>
      </c>
      <c r="AN39" s="32">
        <f t="shared" si="18"/>
        <v>0.12984379434006163</v>
      </c>
      <c r="AO39" s="32">
        <f t="shared" si="18"/>
        <v>0.10313164797844332</v>
      </c>
      <c r="AP39" s="32">
        <f t="shared" si="18"/>
        <v>8.1215635700970762E-2</v>
      </c>
      <c r="AQ39" s="32">
        <f t="shared" si="18"/>
        <v>6.336334277476989E-2</v>
      </c>
    </row>
    <row r="40" spans="1:43" ht="10.15" customHeight="1" outlineLevel="1">
      <c r="A40" s="33"/>
      <c r="B40" s="31" t="s">
        <v>74</v>
      </c>
      <c r="C40" s="32">
        <f t="shared" ref="C40:AQ40" si="19">EBlackScholesForward($FA$3,C$20,$A$39,C$22,$C$6,$C$6,$C$7,C$21)</f>
        <v>1.0533613872115966E-3</v>
      </c>
      <c r="D40" s="32">
        <f t="shared" si="19"/>
        <v>1.8751571797726992E-3</v>
      </c>
      <c r="E40" s="32">
        <f t="shared" si="19"/>
        <v>3.2114303448489067E-3</v>
      </c>
      <c r="F40" s="32">
        <f t="shared" si="19"/>
        <v>5.292358026839401E-3</v>
      </c>
      <c r="G40" s="32">
        <f t="shared" si="19"/>
        <v>8.3943076814573612E-3</v>
      </c>
      <c r="H40" s="32">
        <f t="shared" si="19"/>
        <v>1.2818419454051591E-2</v>
      </c>
      <c r="I40" s="32">
        <f t="shared" si="19"/>
        <v>1.8374431111068144E-2</v>
      </c>
      <c r="J40" s="32">
        <f t="shared" si="19"/>
        <v>2.559321640393487E-2</v>
      </c>
      <c r="K40" s="32">
        <f t="shared" si="19"/>
        <v>3.4629749389386615E-2</v>
      </c>
      <c r="L40" s="32">
        <f t="shared" si="19"/>
        <v>4.5513452397538456E-2</v>
      </c>
      <c r="M40" s="32">
        <f t="shared" si="19"/>
        <v>5.81077026842933E-2</v>
      </c>
      <c r="N40" s="32">
        <f t="shared" si="19"/>
        <v>7.1408436537401199E-2</v>
      </c>
      <c r="O40" s="32">
        <f t="shared" si="19"/>
        <v>8.5704728630544069E-2</v>
      </c>
      <c r="P40" s="32">
        <f t="shared" si="19"/>
        <v>0.10044578798650344</v>
      </c>
      <c r="Q40" s="32">
        <f t="shared" si="19"/>
        <v>0.11496328937378053</v>
      </c>
      <c r="R40" s="32">
        <f t="shared" si="19"/>
        <v>0.12853448810324053</v>
      </c>
      <c r="S40" s="32">
        <f t="shared" si="19"/>
        <v>0.1402633798640085</v>
      </c>
      <c r="T40" s="32">
        <f t="shared" si="19"/>
        <v>0.14994860038432467</v>
      </c>
      <c r="U40" s="32">
        <f t="shared" si="19"/>
        <v>0.1570732126779657</v>
      </c>
      <c r="V40" s="32">
        <f t="shared" si="19"/>
        <v>0.16129454745967009</v>
      </c>
      <c r="W40" s="76">
        <f t="shared" si="19"/>
        <v>0.16248025579381009</v>
      </c>
      <c r="X40" s="32">
        <f t="shared" si="19"/>
        <v>0.16075645378704073</v>
      </c>
      <c r="Y40" s="32">
        <f t="shared" si="19"/>
        <v>0.15650533797820954</v>
      </c>
      <c r="Z40" s="32">
        <f t="shared" si="19"/>
        <v>0.15024033154045513</v>
      </c>
      <c r="AA40" s="32">
        <f t="shared" si="19"/>
        <v>0.14253393955021887</v>
      </c>
      <c r="AB40" s="32">
        <f t="shared" si="19"/>
        <v>0.13394941092248269</v>
      </c>
      <c r="AC40" s="32">
        <f t="shared" si="19"/>
        <v>0.12417116096060837</v>
      </c>
      <c r="AD40" s="32">
        <f t="shared" si="19"/>
        <v>0.11416858420633236</v>
      </c>
      <c r="AE40" s="32">
        <f t="shared" si="19"/>
        <v>0.10433373616259112</v>
      </c>
      <c r="AF40" s="32">
        <f t="shared" si="19"/>
        <v>9.4966742302976775E-2</v>
      </c>
      <c r="AG40" s="32">
        <f t="shared" si="19"/>
        <v>8.6274976906554973E-2</v>
      </c>
      <c r="AH40" s="32">
        <f t="shared" si="19"/>
        <v>7.7118449021184976E-2</v>
      </c>
      <c r="AI40" s="32">
        <f t="shared" si="19"/>
        <v>6.8790603017808538E-2</v>
      </c>
      <c r="AJ40" s="32">
        <f t="shared" si="19"/>
        <v>6.1355326118380835E-2</v>
      </c>
      <c r="AK40" s="32">
        <f t="shared" si="19"/>
        <v>5.4821371209464051E-2</v>
      </c>
      <c r="AL40" s="32">
        <f t="shared" si="19"/>
        <v>4.9157413080640727E-2</v>
      </c>
      <c r="AM40" s="32">
        <f t="shared" si="19"/>
        <v>4.249311832933416E-2</v>
      </c>
      <c r="AN40" s="32">
        <f t="shared" si="19"/>
        <v>3.6429146785281676E-2</v>
      </c>
      <c r="AO40" s="32">
        <f t="shared" si="19"/>
        <v>3.0961176784384814E-2</v>
      </c>
      <c r="AP40" s="32">
        <f t="shared" si="19"/>
        <v>2.607519575615375E-2</v>
      </c>
      <c r="AQ40" s="32">
        <f t="shared" si="19"/>
        <v>2.1749431770798883E-2</v>
      </c>
    </row>
    <row r="41" spans="1:43" ht="10.15" customHeight="1">
      <c r="A41" s="34">
        <f>A43-$C$12</f>
        <v>45.350000000000016</v>
      </c>
      <c r="B41" s="34" t="s">
        <v>71</v>
      </c>
      <c r="C41" s="35">
        <f t="shared" ref="C41:AQ41" si="20">EBlackScholesForward("p",C$20,$A$41,C$22,$C$6,$C$6,$C$7,C$21)</f>
        <v>1.6331999053655665E-3</v>
      </c>
      <c r="D41" s="35">
        <f t="shared" si="20"/>
        <v>3.2139816075546375E-3</v>
      </c>
      <c r="E41" s="35">
        <f t="shared" si="20"/>
        <v>6.1070923467029135E-3</v>
      </c>
      <c r="F41" s="35">
        <f t="shared" si="20"/>
        <v>1.1210028327498147E-2</v>
      </c>
      <c r="G41" s="35">
        <f t="shared" si="20"/>
        <v>1.9885992952436871E-2</v>
      </c>
      <c r="H41" s="35">
        <f t="shared" si="20"/>
        <v>3.4108415237889246E-2</v>
      </c>
      <c r="I41" s="35">
        <f t="shared" si="20"/>
        <v>5.43021602034401E-2</v>
      </c>
      <c r="J41" s="35">
        <f t="shared" si="20"/>
        <v>8.4450272061853293E-2</v>
      </c>
      <c r="K41" s="35">
        <f t="shared" si="20"/>
        <v>0.12828001883189802</v>
      </c>
      <c r="L41" s="35">
        <f t="shared" si="20"/>
        <v>0.19032066433332501</v>
      </c>
      <c r="M41" s="35">
        <f t="shared" si="20"/>
        <v>0.27582692128877223</v>
      </c>
      <c r="N41" s="35">
        <f t="shared" si="20"/>
        <v>0.38168663506465944</v>
      </c>
      <c r="O41" s="35">
        <f t="shared" si="20"/>
        <v>0.51924084308057239</v>
      </c>
      <c r="P41" s="35">
        <f t="shared" si="20"/>
        <v>0.69433686230453784</v>
      </c>
      <c r="Q41" s="35">
        <f t="shared" si="20"/>
        <v>0.91268615708076462</v>
      </c>
      <c r="R41" s="35">
        <f t="shared" si="20"/>
        <v>1.1795001969143049</v>
      </c>
      <c r="S41" s="35">
        <f t="shared" si="20"/>
        <v>1.4816259191458374</v>
      </c>
      <c r="T41" s="35">
        <f t="shared" si="20"/>
        <v>1.8373135249765842</v>
      </c>
      <c r="U41" s="35">
        <f t="shared" si="20"/>
        <v>2.2493499571513769</v>
      </c>
      <c r="V41" s="35">
        <f t="shared" si="20"/>
        <v>2.7192009515749751</v>
      </c>
      <c r="W41" s="77">
        <f t="shared" si="20"/>
        <v>2.6022366420735255</v>
      </c>
      <c r="X41" s="35">
        <f t="shared" si="20"/>
        <v>2.2107672457342957</v>
      </c>
      <c r="Y41" s="35">
        <f t="shared" si="20"/>
        <v>1.8743426277133262</v>
      </c>
      <c r="Z41" s="35">
        <f t="shared" si="20"/>
        <v>1.588453870681884</v>
      </c>
      <c r="AA41" s="35">
        <f t="shared" si="20"/>
        <v>1.3479410123352511</v>
      </c>
      <c r="AB41" s="35">
        <f t="shared" si="20"/>
        <v>1.1473697181993356</v>
      </c>
      <c r="AC41" s="35">
        <f t="shared" si="20"/>
        <v>0.9578406588386208</v>
      </c>
      <c r="AD41" s="35">
        <f t="shared" si="20"/>
        <v>0.80131175087690032</v>
      </c>
      <c r="AE41" s="35">
        <f t="shared" si="20"/>
        <v>0.67300866868370524</v>
      </c>
      <c r="AF41" s="35">
        <f t="shared" si="20"/>
        <v>0.56850252827076053</v>
      </c>
      <c r="AG41" s="35">
        <f t="shared" si="20"/>
        <v>0.48381928339819946</v>
      </c>
      <c r="AH41" s="35">
        <f t="shared" si="20"/>
        <v>0.40077146146779929</v>
      </c>
      <c r="AI41" s="35">
        <f t="shared" si="20"/>
        <v>0.33402202983046086</v>
      </c>
      <c r="AJ41" s="35">
        <f t="shared" si="20"/>
        <v>0.28061052562353855</v>
      </c>
      <c r="AK41" s="35">
        <f t="shared" si="20"/>
        <v>0.2380236122492094</v>
      </c>
      <c r="AL41" s="35">
        <f t="shared" si="20"/>
        <v>0.20416939251792127</v>
      </c>
      <c r="AM41" s="35">
        <f t="shared" si="20"/>
        <v>0.16472082448605621</v>
      </c>
      <c r="AN41" s="35">
        <f t="shared" si="20"/>
        <v>0.13193285449190914</v>
      </c>
      <c r="AO41" s="35">
        <f t="shared" si="20"/>
        <v>0.10484244983677901</v>
      </c>
      <c r="AP41" s="35">
        <f t="shared" si="20"/>
        <v>8.2605017758773477E-2</v>
      </c>
      <c r="AQ41" s="35">
        <f t="shared" si="20"/>
        <v>6.4481554034562821E-2</v>
      </c>
    </row>
    <row r="42" spans="1:43" ht="10.15" customHeight="1" outlineLevel="1">
      <c r="A42" s="36"/>
      <c r="B42" s="34" t="s">
        <v>74</v>
      </c>
      <c r="C42" s="35">
        <f t="shared" ref="C42:AQ42" si="21">EBlackScholesForward($FA$3,C$20,$A$41,C$22,$C$6,$C$6,$C$7,C$21)</f>
        <v>1.0343422462509354E-3</v>
      </c>
      <c r="D42" s="35">
        <f t="shared" si="21"/>
        <v>1.8431001221579269E-3</v>
      </c>
      <c r="E42" s="35">
        <f t="shared" si="21"/>
        <v>3.1597172285505364E-3</v>
      </c>
      <c r="F42" s="35">
        <f t="shared" si="21"/>
        <v>5.2125419619638803E-3</v>
      </c>
      <c r="G42" s="35">
        <f t="shared" si="21"/>
        <v>8.2764829592525437E-3</v>
      </c>
      <c r="H42" s="35">
        <f t="shared" si="21"/>
        <v>1.2652125278158736E-2</v>
      </c>
      <c r="I42" s="35">
        <f t="shared" si="21"/>
        <v>1.8152872114810377E-2</v>
      </c>
      <c r="J42" s="35">
        <f t="shared" si="21"/>
        <v>2.5308790412313167E-2</v>
      </c>
      <c r="K42" s="35">
        <f t="shared" si="21"/>
        <v>3.4278456312954474E-2</v>
      </c>
      <c r="L42" s="35">
        <f t="shared" si="21"/>
        <v>4.5096704916485889E-2</v>
      </c>
      <c r="M42" s="35">
        <f t="shared" si="21"/>
        <v>5.7633741590164628E-2</v>
      </c>
      <c r="N42" s="35">
        <f t="shared" si="21"/>
        <v>7.0890447265971018E-2</v>
      </c>
      <c r="O42" s="35">
        <f t="shared" si="21"/>
        <v>8.5162412834023093E-2</v>
      </c>
      <c r="P42" s="35">
        <f t="shared" si="21"/>
        <v>9.9904978862980331E-2</v>
      </c>
      <c r="Q42" s="35">
        <f t="shared" si="21"/>
        <v>0.11445406064036695</v>
      </c>
      <c r="R42" s="35">
        <f t="shared" si="21"/>
        <v>0.12808837329033107</v>
      </c>
      <c r="S42" s="35">
        <f t="shared" si="21"/>
        <v>0.13990466491111475</v>
      </c>
      <c r="T42" s="35">
        <f t="shared" si="21"/>
        <v>0.14970438044864409</v>
      </c>
      <c r="U42" s="35">
        <f t="shared" si="21"/>
        <v>0.15696462458185256</v>
      </c>
      <c r="V42" s="35">
        <f t="shared" si="21"/>
        <v>0.16133447073193374</v>
      </c>
      <c r="W42" s="77">
        <f t="shared" si="21"/>
        <v>0.16267205703881582</v>
      </c>
      <c r="X42" s="35">
        <f t="shared" si="21"/>
        <v>0.16109126780466299</v>
      </c>
      <c r="Y42" s="35">
        <f t="shared" si="21"/>
        <v>0.1569656791466012</v>
      </c>
      <c r="Z42" s="35">
        <f t="shared" si="21"/>
        <v>0.15080337407491617</v>
      </c>
      <c r="AA42" s="35">
        <f t="shared" si="21"/>
        <v>0.14317450658356867</v>
      </c>
      <c r="AB42" s="35">
        <f t="shared" si="21"/>
        <v>0.13464262983423825</v>
      </c>
      <c r="AC42" s="35">
        <f t="shared" si="21"/>
        <v>0.12490291147766741</v>
      </c>
      <c r="AD42" s="35">
        <f t="shared" si="21"/>
        <v>0.11491759679766667</v>
      </c>
      <c r="AE42" s="35">
        <f t="shared" si="21"/>
        <v>0.10508197405384934</v>
      </c>
      <c r="AF42" s="35">
        <f t="shared" si="21"/>
        <v>9.5700004312717329E-2</v>
      </c>
      <c r="AG42" s="35">
        <f t="shared" si="21"/>
        <v>8.6982964770131455E-2</v>
      </c>
      <c r="AH42" s="35">
        <f t="shared" si="21"/>
        <v>7.7795663533685055E-2</v>
      </c>
      <c r="AI42" s="35">
        <f t="shared" si="21"/>
        <v>6.9430532522473332E-2</v>
      </c>
      <c r="AJ42" s="35">
        <f t="shared" si="21"/>
        <v>6.1954468854743053E-2</v>
      </c>
      <c r="AK42" s="35">
        <f t="shared" si="21"/>
        <v>5.5378689803604164E-2</v>
      </c>
      <c r="AL42" s="35">
        <f t="shared" si="21"/>
        <v>4.9673743069825749E-2</v>
      </c>
      <c r="AM42" s="35">
        <f t="shared" si="21"/>
        <v>4.2963610773225185E-2</v>
      </c>
      <c r="AN42" s="35">
        <f t="shared" si="21"/>
        <v>3.6853478691426696E-2</v>
      </c>
      <c r="AO42" s="35">
        <f t="shared" si="21"/>
        <v>3.1339949609223872E-2</v>
      </c>
      <c r="AP42" s="35">
        <f t="shared" si="21"/>
        <v>2.6409782137978885E-2</v>
      </c>
      <c r="AQ42" s="35">
        <f t="shared" si="21"/>
        <v>2.2041831694762905E-2</v>
      </c>
    </row>
    <row r="43" spans="1:43" ht="10.15" customHeight="1">
      <c r="A43" s="31">
        <f>A45-$C$12</f>
        <v>45.400000000000013</v>
      </c>
      <c r="B43" s="31" t="s">
        <v>71</v>
      </c>
      <c r="C43" s="32">
        <f t="shared" ref="C43:AQ43" si="22">EBlackScholesForward("p",C$20,$A$43,C$22,$C$6,$C$6,$C$7,C$21)</f>
        <v>1.598160352685365E-3</v>
      </c>
      <c r="D43" s="32">
        <f t="shared" si="22"/>
        <v>3.1477179351811083E-3</v>
      </c>
      <c r="E43" s="32">
        <f t="shared" si="22"/>
        <v>5.9864257650907374E-3</v>
      </c>
      <c r="F43" s="32">
        <f t="shared" si="22"/>
        <v>1.0998354020527132E-2</v>
      </c>
      <c r="G43" s="32">
        <f t="shared" si="22"/>
        <v>1.9528145223849672E-2</v>
      </c>
      <c r="H43" s="32">
        <f t="shared" si="22"/>
        <v>3.3525122097886495E-2</v>
      </c>
      <c r="I43" s="32">
        <f t="shared" si="22"/>
        <v>5.341257059411645E-2</v>
      </c>
      <c r="J43" s="32">
        <f t="shared" si="22"/>
        <v>8.3128912386196657E-2</v>
      </c>
      <c r="K43" s="32">
        <f t="shared" si="22"/>
        <v>0.12636871151554976</v>
      </c>
      <c r="L43" s="32">
        <f t="shared" si="22"/>
        <v>0.1876283149048095</v>
      </c>
      <c r="M43" s="32">
        <f t="shared" si="22"/>
        <v>0.27213278947588443</v>
      </c>
      <c r="N43" s="32">
        <f t="shared" si="22"/>
        <v>0.37681205873730639</v>
      </c>
      <c r="O43" s="32">
        <f t="shared" si="22"/>
        <v>0.51293684113190996</v>
      </c>
      <c r="P43" s="32">
        <f t="shared" si="22"/>
        <v>0.68634702283462623</v>
      </c>
      <c r="Q43" s="32">
        <f t="shared" si="22"/>
        <v>0.90276024047386938</v>
      </c>
      <c r="R43" s="32">
        <f t="shared" si="22"/>
        <v>1.1674090602357887</v>
      </c>
      <c r="S43" s="32">
        <f t="shared" si="22"/>
        <v>1.4672210157694756</v>
      </c>
      <c r="T43" s="32">
        <f t="shared" si="22"/>
        <v>1.8204205092513799</v>
      </c>
      <c r="U43" s="32">
        <f t="shared" si="22"/>
        <v>2.229843634953903</v>
      </c>
      <c r="V43" s="32">
        <f t="shared" si="22"/>
        <v>2.6970133152512936</v>
      </c>
      <c r="W43" s="76">
        <f t="shared" si="22"/>
        <v>2.6269511735884552</v>
      </c>
      <c r="X43" s="32">
        <f t="shared" si="22"/>
        <v>2.2328783220554307</v>
      </c>
      <c r="Y43" s="32">
        <f t="shared" si="22"/>
        <v>1.8939878063718201</v>
      </c>
      <c r="Z43" s="32">
        <f t="shared" si="22"/>
        <v>1.6058128719151408</v>
      </c>
      <c r="AA43" s="32">
        <f t="shared" si="22"/>
        <v>1.3632211842097011</v>
      </c>
      <c r="AB43" s="32">
        <f t="shared" si="22"/>
        <v>1.160791996734809</v>
      </c>
      <c r="AC43" s="32">
        <f t="shared" si="22"/>
        <v>0.96949147870638952</v>
      </c>
      <c r="AD43" s="32">
        <f t="shared" si="22"/>
        <v>0.8113997176883071</v>
      </c>
      <c r="AE43" s="32">
        <f t="shared" si="22"/>
        <v>0.68173722228178013</v>
      </c>
      <c r="AF43" s="32">
        <f t="shared" si="22"/>
        <v>0.57606316504894683</v>
      </c>
      <c r="AG43" s="32">
        <f t="shared" si="22"/>
        <v>0.49038712214988134</v>
      </c>
      <c r="AH43" s="32">
        <f t="shared" si="22"/>
        <v>0.4063755030721688</v>
      </c>
      <c r="AI43" s="32">
        <f t="shared" si="22"/>
        <v>0.33881283539627222</v>
      </c>
      <c r="AJ43" s="32">
        <f t="shared" si="22"/>
        <v>0.2847213745316326</v>
      </c>
      <c r="AK43" s="32">
        <f t="shared" si="22"/>
        <v>0.24157031063245224</v>
      </c>
      <c r="AL43" s="32">
        <f t="shared" si="22"/>
        <v>0.2072510577444171</v>
      </c>
      <c r="AM43" s="32">
        <f t="shared" si="22"/>
        <v>0.16728381674152523</v>
      </c>
      <c r="AN43" s="32">
        <f t="shared" si="22"/>
        <v>0.13404917391747664</v>
      </c>
      <c r="AO43" s="32">
        <f t="shared" si="22"/>
        <v>0.10657647794516766</v>
      </c>
      <c r="AP43" s="32">
        <f t="shared" si="22"/>
        <v>8.4014020063576847E-2</v>
      </c>
      <c r="AQ43" s="32">
        <f t="shared" si="22"/>
        <v>6.5616188278415893E-2</v>
      </c>
    </row>
    <row r="44" spans="1:43" ht="10.15" customHeight="1" outlineLevel="1">
      <c r="A44" s="33"/>
      <c r="B44" s="31" t="s">
        <v>74</v>
      </c>
      <c r="C44" s="32">
        <f t="shared" ref="C44:AQ44" si="23">EBlackScholesForward($FA$3,C$20,$A$43,C$22,$C$6,$C$6,$C$7,C$21)</f>
        <v>1.0156502886542057E-3</v>
      </c>
      <c r="D44" s="32">
        <f t="shared" si="23"/>
        <v>1.8115589092341767E-3</v>
      </c>
      <c r="E44" s="32">
        <f t="shared" si="23"/>
        <v>3.10877613137739E-3</v>
      </c>
      <c r="F44" s="32">
        <f t="shared" si="23"/>
        <v>5.133820645572754E-3</v>
      </c>
      <c r="G44" s="32">
        <f t="shared" si="23"/>
        <v>8.1601255106004515E-3</v>
      </c>
      <c r="H44" s="32">
        <f t="shared" si="23"/>
        <v>1.2487683643701258E-2</v>
      </c>
      <c r="I44" s="32">
        <f t="shared" si="23"/>
        <v>1.7933515319042467E-2</v>
      </c>
      <c r="J44" s="32">
        <f t="shared" si="23"/>
        <v>2.5026827697971672E-2</v>
      </c>
      <c r="K44" s="32">
        <f t="shared" si="23"/>
        <v>3.3929725759119497E-2</v>
      </c>
      <c r="L44" s="32">
        <f t="shared" si="23"/>
        <v>4.468238628072696E-2</v>
      </c>
      <c r="M44" s="32">
        <f t="shared" si="23"/>
        <v>5.7161789700070825E-2</v>
      </c>
      <c r="N44" s="32">
        <f t="shared" si="23"/>
        <v>7.037380560376727E-2</v>
      </c>
      <c r="O44" s="32">
        <f t="shared" si="23"/>
        <v>8.4620488649241127E-2</v>
      </c>
      <c r="P44" s="32">
        <f t="shared" si="23"/>
        <v>9.9363354186806585E-2</v>
      </c>
      <c r="Q44" s="32">
        <f t="shared" si="23"/>
        <v>0.11394264503365326</v>
      </c>
      <c r="R44" s="32">
        <f t="shared" si="23"/>
        <v>0.12763865757054338</v>
      </c>
      <c r="S44" s="32">
        <f t="shared" si="23"/>
        <v>0.13954098883178689</v>
      </c>
      <c r="T44" s="32">
        <f t="shared" si="23"/>
        <v>0.14945401049620211</v>
      </c>
      <c r="U44" s="32">
        <f t="shared" si="23"/>
        <v>0.15684899411423192</v>
      </c>
      <c r="V44" s="32">
        <f t="shared" si="23"/>
        <v>0.16136685003643536</v>
      </c>
      <c r="W44" s="76">
        <f t="shared" si="23"/>
        <v>0.16285625130700376</v>
      </c>
      <c r="X44" s="32">
        <f t="shared" si="23"/>
        <v>0.1614189200465237</v>
      </c>
      <c r="Y44" s="32">
        <f t="shared" si="23"/>
        <v>0.15741965596864882</v>
      </c>
      <c r="Z44" s="32">
        <f t="shared" si="23"/>
        <v>0.15136108993966035</v>
      </c>
      <c r="AA44" s="32">
        <f t="shared" si="23"/>
        <v>0.14381090551418252</v>
      </c>
      <c r="AB44" s="32">
        <f t="shared" si="23"/>
        <v>0.13533285250067084</v>
      </c>
      <c r="AC44" s="32">
        <f t="shared" si="23"/>
        <v>0.12563281214161987</v>
      </c>
      <c r="AD44" s="32">
        <f t="shared" si="23"/>
        <v>0.11566582960499194</v>
      </c>
      <c r="AE44" s="32">
        <f t="shared" si="23"/>
        <v>0.10583037271635382</v>
      </c>
      <c r="AF44" s="32">
        <f t="shared" si="23"/>
        <v>9.643420903326852E-2</v>
      </c>
      <c r="AG44" s="32">
        <f t="shared" si="23"/>
        <v>8.7692510608933599E-2</v>
      </c>
      <c r="AH44" s="32">
        <f t="shared" si="23"/>
        <v>7.8474998458289119E-2</v>
      </c>
      <c r="AI44" s="32">
        <f t="shared" si="23"/>
        <v>7.0072993157945573E-2</v>
      </c>
      <c r="AJ44" s="32">
        <f t="shared" si="23"/>
        <v>6.2556415431205034E-2</v>
      </c>
      <c r="AK44" s="32">
        <f t="shared" si="23"/>
        <v>5.5938967343055479E-2</v>
      </c>
      <c r="AL44" s="32">
        <f t="shared" si="23"/>
        <v>5.019309258063373E-2</v>
      </c>
      <c r="AM44" s="32">
        <f t="shared" si="23"/>
        <v>4.3437203931206578E-2</v>
      </c>
      <c r="AN44" s="32">
        <f t="shared" si="23"/>
        <v>3.7280917222574879E-2</v>
      </c>
      <c r="AO44" s="32">
        <f t="shared" si="23"/>
        <v>3.1721770008284994E-2</v>
      </c>
      <c r="AP44" s="32">
        <f t="shared" si="23"/>
        <v>2.6747302587070709E-2</v>
      </c>
      <c r="AQ44" s="32">
        <f t="shared" si="23"/>
        <v>2.2337008126710137E-2</v>
      </c>
    </row>
    <row r="45" spans="1:43" ht="10.15" customHeight="1">
      <c r="A45" s="34">
        <f>A47-$C$12</f>
        <v>45.45000000000001</v>
      </c>
      <c r="B45" s="34" t="s">
        <v>71</v>
      </c>
      <c r="C45" s="35">
        <f t="shared" ref="C45:AQ45" si="24">EBlackScholesForward("p",C$20,$A$45,C$22,$C$6,$C$6,$C$7,C$21)</f>
        <v>1.5638578219105126E-3</v>
      </c>
      <c r="D45" s="35">
        <f t="shared" si="24"/>
        <v>3.0827879387827118E-3</v>
      </c>
      <c r="E45" s="35">
        <f t="shared" si="24"/>
        <v>5.8680754542639879E-3</v>
      </c>
      <c r="F45" s="35">
        <f t="shared" si="24"/>
        <v>1.0790541780752293E-2</v>
      </c>
      <c r="G45" s="35">
        <f t="shared" si="24"/>
        <v>1.9176481586956194E-2</v>
      </c>
      <c r="H45" s="35">
        <f t="shared" si="24"/>
        <v>3.2951342236231453E-2</v>
      </c>
      <c r="I45" s="35">
        <f t="shared" si="24"/>
        <v>5.2536774265663243E-2</v>
      </c>
      <c r="J45" s="35">
        <f t="shared" si="24"/>
        <v>8.1826952997566843E-2</v>
      </c>
      <c r="K45" s="35">
        <f t="shared" si="24"/>
        <v>0.12448386775440837</v>
      </c>
      <c r="L45" s="35">
        <f t="shared" si="24"/>
        <v>0.18497097267088863</v>
      </c>
      <c r="M45" s="35">
        <f t="shared" si="24"/>
        <v>0.26848357272337436</v>
      </c>
      <c r="N45" s="35">
        <f t="shared" si="24"/>
        <v>0.37199322763399606</v>
      </c>
      <c r="O45" s="35">
        <f t="shared" si="24"/>
        <v>0.50670031810315164</v>
      </c>
      <c r="P45" s="35">
        <f t="shared" si="24"/>
        <v>0.67843683728860626</v>
      </c>
      <c r="Q45" s="35">
        <f t="shared" si="24"/>
        <v>0.89292602097833151</v>
      </c>
      <c r="R45" s="35">
        <f t="shared" si="24"/>
        <v>1.1554209023839015</v>
      </c>
      <c r="S45" s="35">
        <f t="shared" si="24"/>
        <v>1.452929603936634</v>
      </c>
      <c r="T45" s="35">
        <f t="shared" si="24"/>
        <v>1.8036498718191836</v>
      </c>
      <c r="U45" s="35">
        <f t="shared" si="24"/>
        <v>2.2104664488720869</v>
      </c>
      <c r="V45" s="35">
        <f t="shared" si="24"/>
        <v>2.674959085767056</v>
      </c>
      <c r="W45" s="77">
        <f t="shared" si="24"/>
        <v>2.6518007222059912</v>
      </c>
      <c r="X45" s="35">
        <f t="shared" si="24"/>
        <v>2.2551226703768625</v>
      </c>
      <c r="Y45" s="35">
        <f t="shared" si="24"/>
        <v>1.9137621556277531</v>
      </c>
      <c r="Z45" s="35">
        <f t="shared" si="24"/>
        <v>1.6232950614706205</v>
      </c>
      <c r="AA45" s="35">
        <f t="shared" si="24"/>
        <v>1.3786172185716066</v>
      </c>
      <c r="AB45" s="35">
        <f t="shared" si="24"/>
        <v>1.1743219998945789</v>
      </c>
      <c r="AC45" s="35">
        <f t="shared" si="24"/>
        <v>0.9812419140341303</v>
      </c>
      <c r="AD45" s="35">
        <f t="shared" si="24"/>
        <v>0.82157885787272744</v>
      </c>
      <c r="AE45" s="35">
        <f t="shared" si="24"/>
        <v>0.69054854163477242</v>
      </c>
      <c r="AF45" s="35">
        <f t="shared" si="24"/>
        <v>0.58369848179487505</v>
      </c>
      <c r="AG45" s="35">
        <f t="shared" si="24"/>
        <v>0.49702208008144139</v>
      </c>
      <c r="AH45" s="35">
        <f t="shared" si="24"/>
        <v>0.41203937521388823</v>
      </c>
      <c r="AI45" s="35">
        <f t="shared" si="24"/>
        <v>0.34365675332504003</v>
      </c>
      <c r="AJ45" s="35">
        <f t="shared" si="24"/>
        <v>0.28887927039187794</v>
      </c>
      <c r="AK45" s="35">
        <f t="shared" si="24"/>
        <v>0.24515867404380193</v>
      </c>
      <c r="AL45" s="35">
        <f t="shared" si="24"/>
        <v>0.21036968099944631</v>
      </c>
      <c r="AM45" s="35">
        <f t="shared" si="24"/>
        <v>0.16987882205072238</v>
      </c>
      <c r="AN45" s="35">
        <f t="shared" si="24"/>
        <v>0.13619300896686173</v>
      </c>
      <c r="AO45" s="35">
        <f t="shared" si="24"/>
        <v>0.10833396447982788</v>
      </c>
      <c r="AP45" s="35">
        <f t="shared" si="24"/>
        <v>8.5442850623942676E-2</v>
      </c>
      <c r="AQ45" s="35">
        <f t="shared" si="24"/>
        <v>6.6767429823643754E-2</v>
      </c>
    </row>
    <row r="46" spans="1:43" ht="10.15" customHeight="1" outlineLevel="1">
      <c r="A46" s="36"/>
      <c r="B46" s="34" t="s">
        <v>74</v>
      </c>
      <c r="C46" s="35">
        <f t="shared" ref="C46:AQ46" si="25">EBlackScholesForward($FA$3,C$20,$A$45,C$22,$C$6,$C$6,$C$7,C$21)</f>
        <v>9.9728027427011868E-4</v>
      </c>
      <c r="D46" s="35">
        <f t="shared" si="25"/>
        <v>1.7805259775778028E-3</v>
      </c>
      <c r="E46" s="35">
        <f t="shared" si="25"/>
        <v>3.058596856772274E-3</v>
      </c>
      <c r="F46" s="35">
        <f t="shared" si="25"/>
        <v>5.0561813399124418E-3</v>
      </c>
      <c r="G46" s="35">
        <f t="shared" si="25"/>
        <v>8.0452207821688423E-3</v>
      </c>
      <c r="H46" s="35">
        <f t="shared" si="25"/>
        <v>1.2325079704999803E-2</v>
      </c>
      <c r="I46" s="35">
        <f t="shared" si="25"/>
        <v>1.7716347412286247E-2</v>
      </c>
      <c r="J46" s="35">
        <f t="shared" si="25"/>
        <v>2.4747319190618903E-2</v>
      </c>
      <c r="K46" s="35">
        <f t="shared" si="25"/>
        <v>3.358355598156678E-2</v>
      </c>
      <c r="L46" s="35">
        <f t="shared" si="25"/>
        <v>4.4270505012543065E-2</v>
      </c>
      <c r="M46" s="35">
        <f t="shared" si="25"/>
        <v>5.6691867969868234E-2</v>
      </c>
      <c r="N46" s="35">
        <f t="shared" si="25"/>
        <v>6.9858545763963997E-2</v>
      </c>
      <c r="O46" s="35">
        <f t="shared" si="25"/>
        <v>8.4079003307791639E-2</v>
      </c>
      <c r="P46" s="35">
        <f t="shared" si="25"/>
        <v>9.8820972091205772E-2</v>
      </c>
      <c r="Q46" s="35">
        <f t="shared" si="25"/>
        <v>0.11342910762256164</v>
      </c>
      <c r="R46" s="35">
        <f t="shared" si="25"/>
        <v>0.12718540755604124</v>
      </c>
      <c r="S46" s="35">
        <f t="shared" si="25"/>
        <v>0.13917241515103729</v>
      </c>
      <c r="T46" s="35">
        <f t="shared" si="25"/>
        <v>0.14919754479279146</v>
      </c>
      <c r="U46" s="35">
        <f t="shared" si="25"/>
        <v>0.15672636067978307</v>
      </c>
      <c r="V46" s="35">
        <f t="shared" si="25"/>
        <v>0.1613917057547416</v>
      </c>
      <c r="W46" s="77">
        <f t="shared" si="25"/>
        <v>0.16303283785680889</v>
      </c>
      <c r="X46" s="35">
        <f t="shared" si="25"/>
        <v>0.16173938946061739</v>
      </c>
      <c r="Y46" s="35">
        <f t="shared" si="25"/>
        <v>0.15786723024084726</v>
      </c>
      <c r="Z46" s="35">
        <f t="shared" si="25"/>
        <v>0.15191342822397946</v>
      </c>
      <c r="AA46" s="35">
        <f t="shared" si="25"/>
        <v>0.14444307759843378</v>
      </c>
      <c r="AB46" s="35">
        <f t="shared" si="25"/>
        <v>0.13602001692095655</v>
      </c>
      <c r="AC46" s="35">
        <f t="shared" si="25"/>
        <v>0.12636079956956242</v>
      </c>
      <c r="AD46" s="35">
        <f t="shared" si="25"/>
        <v>0.11641322131509796</v>
      </c>
      <c r="AE46" s="35">
        <f t="shared" si="25"/>
        <v>0.10657887547623857</v>
      </c>
      <c r="AF46" s="35">
        <f t="shared" si="25"/>
        <v>9.7169306054154386E-2</v>
      </c>
      <c r="AG46" s="35">
        <f t="shared" si="25"/>
        <v>8.8403571039296136E-2</v>
      </c>
      <c r="AH46" s="35">
        <f t="shared" si="25"/>
        <v>7.9156417409813856E-2</v>
      </c>
      <c r="AI46" s="35">
        <f t="shared" si="25"/>
        <v>7.0717955670325988E-2</v>
      </c>
      <c r="AJ46" s="35">
        <f t="shared" si="25"/>
        <v>6.3161143356719601E-2</v>
      </c>
      <c r="AK46" s="35">
        <f t="shared" si="25"/>
        <v>5.6502187400765458E-2</v>
      </c>
      <c r="AL46" s="35">
        <f t="shared" si="25"/>
        <v>5.0715450376764601E-2</v>
      </c>
      <c r="AM46" s="35">
        <f t="shared" si="25"/>
        <v>4.391389203684376E-2</v>
      </c>
      <c r="AN46" s="35">
        <f t="shared" si="25"/>
        <v>3.7711461518310022E-2</v>
      </c>
      <c r="AO46" s="35">
        <f t="shared" si="25"/>
        <v>3.210664138572155E-2</v>
      </c>
      <c r="AP46" s="35">
        <f t="shared" si="25"/>
        <v>2.7087764085123929E-2</v>
      </c>
      <c r="AQ46" s="35">
        <f t="shared" si="25"/>
        <v>2.2634970921356287E-2</v>
      </c>
    </row>
    <row r="47" spans="1:43" ht="10.15" customHeight="1">
      <c r="A47" s="31">
        <f>A49-$C$12</f>
        <v>45.500000000000007</v>
      </c>
      <c r="B47" s="31" t="s">
        <v>71</v>
      </c>
      <c r="C47" s="32">
        <f t="shared" ref="C47:AQ47" si="26">EBlackScholesForward("p",C$20,$A$47,C$22,$C$6,$C$6,$C$7,C$21)</f>
        <v>1.5302772055185924E-3</v>
      </c>
      <c r="D47" s="32">
        <f t="shared" si="26"/>
        <v>3.0191656096253254E-3</v>
      </c>
      <c r="E47" s="32">
        <f t="shared" si="26"/>
        <v>5.751998619717833E-3</v>
      </c>
      <c r="F47" s="32">
        <f t="shared" si="26"/>
        <v>1.0586524312341266E-2</v>
      </c>
      <c r="G47" s="32">
        <f t="shared" si="26"/>
        <v>1.883090090492132E-2</v>
      </c>
      <c r="H47" s="32">
        <f t="shared" si="26"/>
        <v>3.2386930386322114E-2</v>
      </c>
      <c r="I47" s="32">
        <f t="shared" si="26"/>
        <v>5.167457341584239E-2</v>
      </c>
      <c r="J47" s="32">
        <f t="shared" si="26"/>
        <v>8.0544134241620949E-2</v>
      </c>
      <c r="K47" s="32">
        <f t="shared" si="26"/>
        <v>0.12262515924547604</v>
      </c>
      <c r="L47" s="32">
        <f t="shared" si="26"/>
        <v>0.18234823814087131</v>
      </c>
      <c r="M47" s="32">
        <f t="shared" si="26"/>
        <v>0.26487880356979243</v>
      </c>
      <c r="N47" s="32">
        <f t="shared" si="26"/>
        <v>0.36722961194428788</v>
      </c>
      <c r="O47" s="32">
        <f t="shared" si="26"/>
        <v>0.50053069510341019</v>
      </c>
      <c r="P47" s="32">
        <f t="shared" si="26"/>
        <v>0.67060569729787667</v>
      </c>
      <c r="Q47" s="32">
        <f t="shared" si="26"/>
        <v>0.88318288542892653</v>
      </c>
      <c r="R47" s="32">
        <f t="shared" si="26"/>
        <v>1.1435351329753209</v>
      </c>
      <c r="S47" s="32">
        <f t="shared" si="26"/>
        <v>1.438751135907969</v>
      </c>
      <c r="T47" s="32">
        <f t="shared" si="26"/>
        <v>1.7870011348226198</v>
      </c>
      <c r="U47" s="32">
        <f t="shared" si="26"/>
        <v>2.1912180147172671</v>
      </c>
      <c r="V47" s="32">
        <f t="shared" si="26"/>
        <v>2.6530379904326953</v>
      </c>
      <c r="W47" s="76">
        <f t="shared" si="26"/>
        <v>2.6767851368763047</v>
      </c>
      <c r="X47" s="32">
        <f t="shared" si="26"/>
        <v>2.2775002610582962</v>
      </c>
      <c r="Y47" s="32">
        <f t="shared" si="26"/>
        <v>1.9336657570354379</v>
      </c>
      <c r="Z47" s="32">
        <f t="shared" si="26"/>
        <v>1.6409006159992952</v>
      </c>
      <c r="AA47" s="32">
        <f t="shared" si="26"/>
        <v>1.3941293677960658</v>
      </c>
      <c r="AB47" s="32">
        <f t="shared" si="26"/>
        <v>1.1879600355935795</v>
      </c>
      <c r="AC47" s="32">
        <f t="shared" si="26"/>
        <v>0.99309232085577526</v>
      </c>
      <c r="AD47" s="32">
        <f t="shared" si="26"/>
        <v>0.83184955807483385</v>
      </c>
      <c r="AE47" s="32">
        <f t="shared" si="26"/>
        <v>0.69944302833567906</v>
      </c>
      <c r="AF47" s="32">
        <f t="shared" si="26"/>
        <v>0.59140888202957598</v>
      </c>
      <c r="AG47" s="32">
        <f t="shared" si="26"/>
        <v>0.50372455257176441</v>
      </c>
      <c r="AH47" s="32">
        <f t="shared" si="26"/>
        <v>0.41776346484854282</v>
      </c>
      <c r="AI47" s="32">
        <f t="shared" si="26"/>
        <v>0.34855415493072484</v>
      </c>
      <c r="AJ47" s="32">
        <f t="shared" si="26"/>
        <v>0.29308456403038224</v>
      </c>
      <c r="AK47" s="32">
        <f t="shared" si="26"/>
        <v>0.24878903004304809</v>
      </c>
      <c r="AL47" s="32">
        <f t="shared" si="26"/>
        <v>0.21352556546781468</v>
      </c>
      <c r="AM47" s="32">
        <f t="shared" si="26"/>
        <v>0.1725061213565553</v>
      </c>
      <c r="AN47" s="32">
        <f t="shared" si="26"/>
        <v>0.1383646170894153</v>
      </c>
      <c r="AO47" s="32">
        <f t="shared" si="26"/>
        <v>0.1101151427994197</v>
      </c>
      <c r="AP47" s="32">
        <f t="shared" si="26"/>
        <v>8.6891718672916521E-2</v>
      </c>
      <c r="AQ47" s="32">
        <f t="shared" si="26"/>
        <v>6.793546421810702E-2</v>
      </c>
    </row>
    <row r="48" spans="1:43" ht="10.15" customHeight="1" outlineLevel="1">
      <c r="A48" s="33"/>
      <c r="B48" s="31" t="s">
        <v>74</v>
      </c>
      <c r="C48" s="32">
        <f t="shared" ref="C48:AQ48" si="27">EBlackScholesForward($FA$3,C$20,$A$47,C$22,$C$6,$C$6,$C$7,C$21)</f>
        <v>9.792270376482047E-4</v>
      </c>
      <c r="D48" s="32">
        <f t="shared" si="27"/>
        <v>1.7499938578642198E-3</v>
      </c>
      <c r="E48" s="32">
        <f t="shared" si="27"/>
        <v>3.0091693137960542E-3</v>
      </c>
      <c r="F48" s="32">
        <f t="shared" si="27"/>
        <v>4.9796114075687219E-3</v>
      </c>
      <c r="G48" s="32">
        <f t="shared" si="27"/>
        <v>7.9317542895996802E-3</v>
      </c>
      <c r="H48" s="32">
        <f t="shared" si="27"/>
        <v>1.2164298621380583E-2</v>
      </c>
      <c r="I48" s="32">
        <f t="shared" si="27"/>
        <v>1.7501354996762464E-2</v>
      </c>
      <c r="J48" s="32">
        <f t="shared" si="27"/>
        <v>2.4470255613764695E-2</v>
      </c>
      <c r="K48" s="32">
        <f t="shared" si="27"/>
        <v>3.3239944892448435E-2</v>
      </c>
      <c r="L48" s="32">
        <f t="shared" si="27"/>
        <v>4.3861069163618621E-2</v>
      </c>
      <c r="M48" s="32">
        <f t="shared" si="27"/>
        <v>5.6223996788717062E-2</v>
      </c>
      <c r="N48" s="32">
        <f t="shared" si="27"/>
        <v>6.9344701339739995E-2</v>
      </c>
      <c r="O48" s="32">
        <f t="shared" si="27"/>
        <v>8.3538003439064007E-2</v>
      </c>
      <c r="P48" s="32">
        <f t="shared" si="27"/>
        <v>9.8277890209028662E-2</v>
      </c>
      <c r="Q48" s="32">
        <f t="shared" si="27"/>
        <v>0.11291351315971276</v>
      </c>
      <c r="R48" s="32">
        <f t="shared" si="27"/>
        <v>0.1267286897907719</v>
      </c>
      <c r="S48" s="32">
        <f t="shared" si="27"/>
        <v>0.13879900760725017</v>
      </c>
      <c r="T48" s="32">
        <f t="shared" si="27"/>
        <v>0.14893503811184861</v>
      </c>
      <c r="U48" s="32">
        <f t="shared" si="27"/>
        <v>0.1565967644570061</v>
      </c>
      <c r="V48" s="32">
        <f t="shared" si="27"/>
        <v>0.16140905924230742</v>
      </c>
      <c r="W48" s="76">
        <f t="shared" si="27"/>
        <v>0.1632018170273084</v>
      </c>
      <c r="X48" s="32">
        <f t="shared" si="27"/>
        <v>0.16205265605504082</v>
      </c>
      <c r="Y48" s="32">
        <f t="shared" si="27"/>
        <v>0.15830836470804133</v>
      </c>
      <c r="Z48" s="32">
        <f t="shared" si="27"/>
        <v>0.15246033879139853</v>
      </c>
      <c r="AA48" s="32">
        <f t="shared" si="27"/>
        <v>0.14507096466301472</v>
      </c>
      <c r="AB48" s="32">
        <f t="shared" si="27"/>
        <v>0.13670406146015845</v>
      </c>
      <c r="AC48" s="32">
        <f t="shared" si="27"/>
        <v>0.12708681055184401</v>
      </c>
      <c r="AD48" s="32">
        <f t="shared" si="27"/>
        <v>0.11715971061569258</v>
      </c>
      <c r="AE48" s="32">
        <f t="shared" si="27"/>
        <v>0.10732742552059393</v>
      </c>
      <c r="AF48" s="32">
        <f t="shared" si="27"/>
        <v>9.79052447231335E-2</v>
      </c>
      <c r="AG48" s="32">
        <f t="shared" si="27"/>
        <v>8.9116102369297179E-2</v>
      </c>
      <c r="AH48" s="32">
        <f t="shared" si="27"/>
        <v>7.9839883638204739E-2</v>
      </c>
      <c r="AI48" s="32">
        <f t="shared" si="27"/>
        <v>7.1365390413579644E-2</v>
      </c>
      <c r="AJ48" s="32">
        <f t="shared" si="27"/>
        <v>6.3768629744858238E-2</v>
      </c>
      <c r="AK48" s="32">
        <f t="shared" si="27"/>
        <v>5.7068333168806745E-2</v>
      </c>
      <c r="AL48" s="32">
        <f t="shared" si="27"/>
        <v>5.1240804867171891E-2</v>
      </c>
      <c r="AM48" s="32">
        <f t="shared" si="27"/>
        <v>4.4393668989830631E-2</v>
      </c>
      <c r="AN48" s="32">
        <f t="shared" si="27"/>
        <v>3.81451104146543E-2</v>
      </c>
      <c r="AO48" s="32">
        <f t="shared" si="27"/>
        <v>3.249456687934639E-2</v>
      </c>
      <c r="AP48" s="32">
        <f t="shared" si="27"/>
        <v>2.7431173389222595E-2</v>
      </c>
      <c r="AQ48" s="32">
        <f t="shared" si="27"/>
        <v>2.2935729752822199E-2</v>
      </c>
    </row>
    <row r="49" spans="1:43" ht="10.15" customHeight="1">
      <c r="A49" s="34">
        <f>A51-$C$12</f>
        <v>45.550000000000004</v>
      </c>
      <c r="B49" s="34" t="s">
        <v>71</v>
      </c>
      <c r="C49" s="35">
        <f t="shared" ref="C49:AQ49" si="28">EBlackScholesForward("p",C$20,$A$49,C$22,$C$6,$C$6,$C$7,C$21)</f>
        <v>1.497403695220645E-3</v>
      </c>
      <c r="D49" s="35">
        <f t="shared" si="28"/>
        <v>2.9568254250810864E-3</v>
      </c>
      <c r="E49" s="35">
        <f t="shared" si="28"/>
        <v>5.6381532172139395E-3</v>
      </c>
      <c r="F49" s="35">
        <f t="shared" si="28"/>
        <v>1.0386235418722019E-2</v>
      </c>
      <c r="G49" s="35">
        <f t="shared" si="28"/>
        <v>1.8491303568242901E-2</v>
      </c>
      <c r="H49" s="35">
        <f t="shared" si="28"/>
        <v>3.1831743291371194E-2</v>
      </c>
      <c r="I49" s="35">
        <f t="shared" si="28"/>
        <v>5.0825772754055039E-2</v>
      </c>
      <c r="J49" s="35">
        <f t="shared" si="28"/>
        <v>7.9280199451201086E-2</v>
      </c>
      <c r="K49" s="35">
        <f t="shared" si="28"/>
        <v>0.12079226105234832</v>
      </c>
      <c r="L49" s="35">
        <f t="shared" si="28"/>
        <v>0.17975971539767494</v>
      </c>
      <c r="M49" s="35">
        <f t="shared" si="28"/>
        <v>0.26131801809342742</v>
      </c>
      <c r="N49" s="35">
        <f t="shared" si="28"/>
        <v>0.36252068515341046</v>
      </c>
      <c r="O49" s="35">
        <f t="shared" si="28"/>
        <v>0.49442739599208446</v>
      </c>
      <c r="P49" s="35">
        <f t="shared" si="28"/>
        <v>0.66285299640118323</v>
      </c>
      <c r="Q49" s="35">
        <f t="shared" si="28"/>
        <v>0.87353022147384896</v>
      </c>
      <c r="R49" s="35">
        <f t="shared" si="28"/>
        <v>1.1317511611814648</v>
      </c>
      <c r="S49" s="35">
        <f t="shared" si="28"/>
        <v>1.4246850621643929</v>
      </c>
      <c r="T49" s="35">
        <f t="shared" si="28"/>
        <v>1.7704738172927401</v>
      </c>
      <c r="U49" s="35">
        <f t="shared" si="28"/>
        <v>2.172097943984864</v>
      </c>
      <c r="V49" s="35">
        <f t="shared" si="28"/>
        <v>2.6312497512784705</v>
      </c>
      <c r="W49" s="77">
        <f t="shared" si="28"/>
        <v>2.7019042606273391</v>
      </c>
      <c r="X49" s="35">
        <f t="shared" si="28"/>
        <v>2.3000110583631579</v>
      </c>
      <c r="Y49" s="35">
        <f t="shared" si="28"/>
        <v>1.9536986862284313</v>
      </c>
      <c r="Z49" s="35">
        <f t="shared" si="28"/>
        <v>1.6586297066843079</v>
      </c>
      <c r="AA49" s="35">
        <f t="shared" si="28"/>
        <v>1.4097578794298977</v>
      </c>
      <c r="AB49" s="35">
        <f t="shared" si="28"/>
        <v>1.2017064076535142</v>
      </c>
      <c r="AC49" s="35">
        <f t="shared" si="28"/>
        <v>1.0050430518279674</v>
      </c>
      <c r="AD49" s="35">
        <f t="shared" si="28"/>
        <v>0.84221220229715388</v>
      </c>
      <c r="AE49" s="35">
        <f t="shared" si="28"/>
        <v>0.70842108203388388</v>
      </c>
      <c r="AF49" s="35">
        <f t="shared" si="28"/>
        <v>0.59919476795403448</v>
      </c>
      <c r="AG49" s="35">
        <f t="shared" si="28"/>
        <v>0.51049493420722314</v>
      </c>
      <c r="AH49" s="35">
        <f t="shared" si="28"/>
        <v>0.42354815862887535</v>
      </c>
      <c r="AI49" s="35">
        <f t="shared" si="28"/>
        <v>0.35350541162362659</v>
      </c>
      <c r="AJ49" s="35">
        <f t="shared" si="28"/>
        <v>0.29733760667707149</v>
      </c>
      <c r="AK49" s="35">
        <f t="shared" si="28"/>
        <v>0.2524617068161108</v>
      </c>
      <c r="AL49" s="35">
        <f t="shared" si="28"/>
        <v>0.21671901510884403</v>
      </c>
      <c r="AM49" s="35">
        <f t="shared" si="28"/>
        <v>0.17516599655895213</v>
      </c>
      <c r="AN49" s="35">
        <f t="shared" si="28"/>
        <v>0.14056425682364218</v>
      </c>
      <c r="AO49" s="35">
        <f t="shared" si="28"/>
        <v>0.11192024743776918</v>
      </c>
      <c r="AP49" s="35">
        <f t="shared" si="28"/>
        <v>8.8360834663379698E-2</v>
      </c>
      <c r="AQ49" s="35">
        <f t="shared" si="28"/>
        <v>6.9120478237904195E-2</v>
      </c>
    </row>
    <row r="50" spans="1:43" ht="10.15" customHeight="1" outlineLevel="1">
      <c r="A50" s="36"/>
      <c r="B50" s="34" t="s">
        <v>74</v>
      </c>
      <c r="C50" s="35">
        <f t="shared" ref="C50:AQ50" si="29">EBlackScholesForward($FA$3,C$20,$A$49,C$22,$C$6,$C$6,$C$7,C$21)</f>
        <v>9.614854871944201E-4</v>
      </c>
      <c r="D50" s="35">
        <f t="shared" si="29"/>
        <v>1.7199551740854874E-3</v>
      </c>
      <c r="E50" s="35">
        <f t="shared" si="29"/>
        <v>2.9604835166900335E-3</v>
      </c>
      <c r="F50" s="35">
        <f t="shared" si="29"/>
        <v>4.9040983117477777E-3</v>
      </c>
      <c r="G50" s="35">
        <f t="shared" si="29"/>
        <v>7.8197116188995826E-3</v>
      </c>
      <c r="H50" s="35">
        <f t="shared" si="29"/>
        <v>1.2005325559956148E-2</v>
      </c>
      <c r="I50" s="35">
        <f t="shared" si="29"/>
        <v>1.7288524592634868E-2</v>
      </c>
      <c r="J50" s="35">
        <f t="shared" si="29"/>
        <v>2.4195627490227196E-2</v>
      </c>
      <c r="K50" s="35">
        <f t="shared" si="29"/>
        <v>3.2898890068588406E-2</v>
      </c>
      <c r="L50" s="35">
        <f t="shared" si="29"/>
        <v>4.3454086320996371E-2</v>
      </c>
      <c r="M50" s="35">
        <f t="shared" si="29"/>
        <v>5.575819598365013E-2</v>
      </c>
      <c r="N50" s="35">
        <f t="shared" si="29"/>
        <v>6.8832305306497005E-2</v>
      </c>
      <c r="O50" s="35">
        <f t="shared" si="29"/>
        <v>8.2997535069144313E-2</v>
      </c>
      <c r="P50" s="35">
        <f t="shared" si="29"/>
        <v>9.77341656677293E-2</v>
      </c>
      <c r="Q50" s="35">
        <f t="shared" si="29"/>
        <v>0.11239592607251847</v>
      </c>
      <c r="R50" s="35">
        <f t="shared" si="29"/>
        <v>0.12626857073846021</v>
      </c>
      <c r="S50" s="35">
        <f t="shared" si="29"/>
        <v>0.13842083013791906</v>
      </c>
      <c r="T50" s="35">
        <f t="shared" si="29"/>
        <v>0.14866654571967142</v>
      </c>
      <c r="U50" s="35">
        <f t="shared" si="29"/>
        <v>0.15646024638478573</v>
      </c>
      <c r="V50" s="35">
        <f t="shared" si="29"/>
        <v>0.16141893281808195</v>
      </c>
      <c r="W50" s="77">
        <f t="shared" si="29"/>
        <v>0.16336319023223922</v>
      </c>
      <c r="X50" s="35">
        <f t="shared" si="29"/>
        <v>0.16235870089688942</v>
      </c>
      <c r="Y50" s="35">
        <f t="shared" si="29"/>
        <v>0.15874302306674293</v>
      </c>
      <c r="Z50" s="35">
        <f t="shared" si="29"/>
        <v>0.15300177228637724</v>
      </c>
      <c r="AA50" s="35">
        <f t="shared" si="29"/>
        <v>0.14569450911383353</v>
      </c>
      <c r="AB50" s="35">
        <f t="shared" si="29"/>
        <v>0.13738492485900822</v>
      </c>
      <c r="AC50" s="35">
        <f t="shared" si="29"/>
        <v>0.12781078206236263</v>
      </c>
      <c r="AD50" s="35">
        <f t="shared" si="29"/>
        <v>0.11790523620526794</v>
      </c>
      <c r="AE50" s="35">
        <f t="shared" si="29"/>
        <v>0.10807596590629664</v>
      </c>
      <c r="AF50" s="35">
        <f t="shared" si="29"/>
        <v>9.8641974153629741E-2</v>
      </c>
      <c r="AG50" s="35">
        <f t="shared" si="29"/>
        <v>8.9830060604694645E-2</v>
      </c>
      <c r="AH50" s="35">
        <f t="shared" si="29"/>
        <v>8.052536003305949E-2</v>
      </c>
      <c r="AI50" s="35">
        <f t="shared" si="29"/>
        <v>7.2015267352648071E-2</v>
      </c>
      <c r="AJ50" s="35">
        <f t="shared" si="29"/>
        <v>6.4378851315701521E-2</v>
      </c>
      <c r="AK50" s="35">
        <f t="shared" si="29"/>
        <v>5.7637387459255687E-2</v>
      </c>
      <c r="AL50" s="35">
        <f t="shared" si="29"/>
        <v>5.1769144106155018E-2</v>
      </c>
      <c r="AM50" s="35">
        <f t="shared" si="29"/>
        <v>4.4876528355256767E-2</v>
      </c>
      <c r="AN50" s="35">
        <f t="shared" si="29"/>
        <v>3.8581862442656205E-2</v>
      </c>
      <c r="AO50" s="35">
        <f t="shared" si="29"/>
        <v>3.2885549358698529E-2</v>
      </c>
      <c r="AP50" s="35">
        <f t="shared" si="29"/>
        <v>2.7777537029544636E-2</v>
      </c>
      <c r="AQ50" s="35">
        <f t="shared" si="29"/>
        <v>2.3239294112127211E-2</v>
      </c>
    </row>
    <row r="51" spans="1:43" ht="10.15" customHeight="1">
      <c r="A51" s="31">
        <f>A53-$C$12</f>
        <v>45.6</v>
      </c>
      <c r="B51" s="31" t="s">
        <v>71</v>
      </c>
      <c r="C51" s="32">
        <f t="shared" ref="C51:AQ51" si="30">EBlackScholesForward("p",C$20,$A$51,C$22,$C$6,$C$6,$C$7,C$21)</f>
        <v>1.4652227763067502E-3</v>
      </c>
      <c r="D51" s="32">
        <f t="shared" si="30"/>
        <v>2.8957423400706632E-3</v>
      </c>
      <c r="E51" s="32">
        <f t="shared" si="30"/>
        <v>5.5264979405933706E-3</v>
      </c>
      <c r="F51" s="32">
        <f t="shared" si="30"/>
        <v>1.01896099863044E-2</v>
      </c>
      <c r="G51" s="32">
        <f t="shared" si="30"/>
        <v>1.8157591474451475E-2</v>
      </c>
      <c r="H51" s="32">
        <f t="shared" si="30"/>
        <v>3.1285639680941828E-2</v>
      </c>
      <c r="I51" s="32">
        <f t="shared" si="30"/>
        <v>4.9990179475955056E-2</v>
      </c>
      <c r="J51" s="32">
        <f t="shared" si="30"/>
        <v>7.8034894921345813E-2</v>
      </c>
      <c r="K51" s="32">
        <f t="shared" si="30"/>
        <v>0.11898485158370382</v>
      </c>
      <c r="L51" s="32">
        <f t="shared" si="30"/>
        <v>0.17720501208329439</v>
      </c>
      <c r="M51" s="32">
        <f t="shared" si="30"/>
        <v>0.25780075590803414</v>
      </c>
      <c r="N51" s="32">
        <f t="shared" si="30"/>
        <v>0.35786592405048701</v>
      </c>
      <c r="O51" s="32">
        <f t="shared" si="30"/>
        <v>0.48838984740142749</v>
      </c>
      <c r="P51" s="32">
        <f t="shared" si="30"/>
        <v>0.65517813008185144</v>
      </c>
      <c r="Q51" s="32">
        <f t="shared" si="30"/>
        <v>0.86396741762506946</v>
      </c>
      <c r="R51" s="32">
        <f t="shared" si="30"/>
        <v>1.1200683957886377</v>
      </c>
      <c r="S51" s="32">
        <f t="shared" si="30"/>
        <v>1.410730831474023</v>
      </c>
      <c r="T51" s="32">
        <f t="shared" si="30"/>
        <v>1.754067435217515</v>
      </c>
      <c r="U51" s="32">
        <f t="shared" si="30"/>
        <v>2.1531058439187869</v>
      </c>
      <c r="V51" s="32">
        <f t="shared" si="30"/>
        <v>2.6095940851094057</v>
      </c>
      <c r="W51" s="76">
        <f t="shared" si="30"/>
        <v>2.7271579306060287</v>
      </c>
      <c r="X51" s="32">
        <f t="shared" si="30"/>
        <v>2.3226550204836487</v>
      </c>
      <c r="Y51" s="32">
        <f t="shared" si="30"/>
        <v>1.9738610129286431</v>
      </c>
      <c r="Z51" s="32">
        <f t="shared" si="30"/>
        <v>1.6764824992361611</v>
      </c>
      <c r="AA51" s="32">
        <f t="shared" si="30"/>
        <v>1.4255029961759138</v>
      </c>
      <c r="AB51" s="32">
        <f t="shared" si="30"/>
        <v>1.2155614157794286</v>
      </c>
      <c r="AC51" s="32">
        <f t="shared" si="30"/>
        <v>1.0170944562003614</v>
      </c>
      <c r="AD51" s="32">
        <f t="shared" si="30"/>
        <v>0.8526671718668305</v>
      </c>
      <c r="AE51" s="32">
        <f t="shared" si="30"/>
        <v>0.71748310040089691</v>
      </c>
      <c r="AF51" s="32">
        <f t="shared" si="30"/>
        <v>0.60705654041582158</v>
      </c>
      <c r="AG51" s="32">
        <f t="shared" si="30"/>
        <v>0.51733361875050987</v>
      </c>
      <c r="AH51" s="32">
        <f t="shared" si="30"/>
        <v>0.42939384287575505</v>
      </c>
      <c r="AI51" s="32">
        <f t="shared" si="30"/>
        <v>0.35851089488429799</v>
      </c>
      <c r="AJ51" s="32">
        <f t="shared" si="30"/>
        <v>0.30163874994291873</v>
      </c>
      <c r="AK51" s="32">
        <f t="shared" si="30"/>
        <v>0.2561770331556551</v>
      </c>
      <c r="AL51" s="32">
        <f t="shared" si="30"/>
        <v>0.21995033464017075</v>
      </c>
      <c r="AM51" s="32">
        <f t="shared" si="30"/>
        <v>0.17785873050167086</v>
      </c>
      <c r="AN51" s="32">
        <f t="shared" si="30"/>
        <v>0.14279218778696026</v>
      </c>
      <c r="AO51" s="32">
        <f t="shared" si="30"/>
        <v>0.11374951409644524</v>
      </c>
      <c r="AP51" s="32">
        <f t="shared" si="30"/>
        <v>8.9850410263235064E-2</v>
      </c>
      <c r="AQ51" s="32">
        <f t="shared" si="30"/>
        <v>7.0322659884927891E-2</v>
      </c>
    </row>
    <row r="52" spans="1:43" ht="10.15" customHeight="1" outlineLevel="1">
      <c r="A52" s="33"/>
      <c r="B52" s="31" t="s">
        <v>74</v>
      </c>
      <c r="C52" s="32">
        <f t="shared" ref="C52:AQ52" si="31">EBlackScholesForward($FA$3,C$20,$A$51,C$22,$C$6,$C$6,$C$7,C$21)</f>
        <v>9.4405060433047053E-4</v>
      </c>
      <c r="D52" s="32">
        <f t="shared" si="31"/>
        <v>1.6904026427654304E-3</v>
      </c>
      <c r="E52" s="32">
        <f t="shared" si="31"/>
        <v>2.9125295844233913E-3</v>
      </c>
      <c r="F52" s="32">
        <f t="shared" si="31"/>
        <v>4.8296296165263033E-3</v>
      </c>
      <c r="G52" s="32">
        <f t="shared" si="31"/>
        <v>7.7090784277818129E-3</v>
      </c>
      <c r="H52" s="32">
        <f t="shared" si="31"/>
        <v>1.1848145698343566E-2</v>
      </c>
      <c r="I52" s="32">
        <f t="shared" si="31"/>
        <v>1.70778426421733E-2</v>
      </c>
      <c r="J52" s="32">
        <f t="shared" si="31"/>
        <v>2.392342514758258E-2</v>
      </c>
      <c r="K52" s="32">
        <f t="shared" si="31"/>
        <v>3.2560388757653491E-2</v>
      </c>
      <c r="L52" s="32">
        <f t="shared" si="31"/>
        <v>4.3049563613055758E-2</v>
      </c>
      <c r="M52" s="32">
        <f t="shared" si="31"/>
        <v>5.5294484824202322E-2</v>
      </c>
      <c r="N52" s="32">
        <f t="shared" si="31"/>
        <v>6.8321390024237122E-2</v>
      </c>
      <c r="O52" s="32">
        <f t="shared" si="31"/>
        <v>8.245764361989294E-2</v>
      </c>
      <c r="P52" s="32">
        <f t="shared" si="31"/>
        <v>9.7189855084541033E-2</v>
      </c>
      <c r="Q52" s="32">
        <f t="shared" si="31"/>
        <v>0.11187641045450353</v>
      </c>
      <c r="R52" s="32">
        <f t="shared" si="31"/>
        <v>0.12580511677076189</v>
      </c>
      <c r="S52" s="32">
        <f t="shared" si="31"/>
        <v>0.13803794686558002</v>
      </c>
      <c r="T52" s="32">
        <f t="shared" si="31"/>
        <v>0.14839212336068486</v>
      </c>
      <c r="U52" s="32">
        <f t="shared" si="31"/>
        <v>0.15631684814888602</v>
      </c>
      <c r="V52" s="32">
        <f t="shared" si="31"/>
        <v>0.16142134975401667</v>
      </c>
      <c r="W52" s="76">
        <f t="shared" si="31"/>
        <v>0.16351695995376292</v>
      </c>
      <c r="X52" s="32">
        <f t="shared" si="31"/>
        <v>0.16265750611088614</v>
      </c>
      <c r="Y52" s="32">
        <f t="shared" si="31"/>
        <v>0.15917116996822589</v>
      </c>
      <c r="Z52" s="32">
        <f t="shared" si="31"/>
        <v>0.15353768014083191</v>
      </c>
      <c r="AA52" s="32">
        <f t="shared" si="31"/>
        <v>0.14631365394468299</v>
      </c>
      <c r="AB52" s="32">
        <f t="shared" si="31"/>
        <v>0.13806254624359915</v>
      </c>
      <c r="AC52" s="32">
        <f t="shared" si="31"/>
        <v>0.12853265126875846</v>
      </c>
      <c r="AD52" s="32">
        <f t="shared" si="31"/>
        <v>0.11864973680295887</v>
      </c>
      <c r="AE52" s="32">
        <f t="shared" si="31"/>
        <v>0.10882443956885313</v>
      </c>
      <c r="AF52" s="32">
        <f t="shared" si="31"/>
        <v>9.9379443232220976E-2</v>
      </c>
      <c r="AG52" s="32">
        <f t="shared" si="31"/>
        <v>9.0545401454931618E-2</v>
      </c>
      <c r="AH52" s="32">
        <f t="shared" si="31"/>
        <v>8.1212809128209495E-2</v>
      </c>
      <c r="AI52" s="32">
        <f t="shared" si="31"/>
        <v>7.2667556066664363E-2</v>
      </c>
      <c r="AJ52" s="32">
        <f t="shared" si="31"/>
        <v>6.4991784397812682E-2</v>
      </c>
      <c r="AK52" s="32">
        <f t="shared" si="31"/>
        <v>5.8209332705142489E-2</v>
      </c>
      <c r="AL52" s="32">
        <f t="shared" si="31"/>
        <v>5.2300455793530862E-2</v>
      </c>
      <c r="AM52" s="32">
        <f t="shared" si="31"/>
        <v>4.5362463362928984E-2</v>
      </c>
      <c r="AN52" s="32">
        <f t="shared" si="31"/>
        <v>3.9021715827021117E-2</v>
      </c>
      <c r="AO52" s="32">
        <f t="shared" si="31"/>
        <v>3.327959142314095E-2</v>
      </c>
      <c r="AP52" s="32">
        <f t="shared" si="31"/>
        <v>2.8126861307088573E-2</v>
      </c>
      <c r="AQ52" s="32">
        <f t="shared" si="31"/>
        <v>2.3545673304700546E-2</v>
      </c>
    </row>
    <row r="53" spans="1:43" ht="10.15" customHeight="1">
      <c r="A53" s="79">
        <f>C11</f>
        <v>45.65</v>
      </c>
      <c r="B53" s="80" t="s">
        <v>71</v>
      </c>
      <c r="C53" s="81">
        <f t="shared" ref="C53:AQ53" si="32">EBlackScholesForward("p",C$20,$A$53,C$22,$C$6,$C$6,$C$7,C$21)</f>
        <v>1.4337202220918908E-3</v>
      </c>
      <c r="D53" s="81">
        <f t="shared" si="32"/>
        <v>2.8358917786432901E-3</v>
      </c>
      <c r="E53" s="81">
        <f t="shared" si="32"/>
        <v>5.4169922097645883E-3</v>
      </c>
      <c r="F53" s="81">
        <f t="shared" si="32"/>
        <v>9.9965839684042091E-3</v>
      </c>
      <c r="G53" s="81">
        <f t="shared" si="32"/>
        <v>1.7829668008023283E-2</v>
      </c>
      <c r="H53" s="81">
        <f t="shared" si="32"/>
        <v>3.0748480247660054E-2</v>
      </c>
      <c r="I53" s="81">
        <f t="shared" si="32"/>
        <v>4.9167603238183484E-2</v>
      </c>
      <c r="J53" s="81">
        <f t="shared" si="32"/>
        <v>7.6807969884321439E-2</v>
      </c>
      <c r="K53" s="81">
        <f t="shared" si="32"/>
        <v>0.11720261257169733</v>
      </c>
      <c r="L53" s="81">
        <f t="shared" si="32"/>
        <v>0.17468373938398751</v>
      </c>
      <c r="M53" s="81">
        <f t="shared" si="32"/>
        <v>0.25432656015813437</v>
      </c>
      <c r="N53" s="81">
        <f t="shared" si="32"/>
        <v>0.35326480873614408</v>
      </c>
      <c r="O53" s="81">
        <f t="shared" si="32"/>
        <v>0.48241747875838914</v>
      </c>
      <c r="P53" s="81">
        <f t="shared" si="32"/>
        <v>0.64758049580427457</v>
      </c>
      <c r="Q53" s="81">
        <f t="shared" si="32"/>
        <v>0.85449386330797561</v>
      </c>
      <c r="R53" s="81">
        <f t="shared" si="32"/>
        <v>1.1084862452575646</v>
      </c>
      <c r="S53" s="81">
        <f t="shared" si="32"/>
        <v>1.3968878909587465</v>
      </c>
      <c r="T53" s="81">
        <f t="shared" si="32"/>
        <v>1.7377815016101947</v>
      </c>
      <c r="U53" s="81">
        <f t="shared" si="32"/>
        <v>2.1342413175759258</v>
      </c>
      <c r="V53" s="81">
        <f t="shared" si="32"/>
        <v>2.5880707035606352</v>
      </c>
      <c r="W53" s="82">
        <f t="shared" si="32"/>
        <v>2.7525459781203039</v>
      </c>
      <c r="X53" s="81">
        <f t="shared" si="32"/>
        <v>2.3454320995664975</v>
      </c>
      <c r="Y53" s="81">
        <f t="shared" si="32"/>
        <v>1.9941528009562735</v>
      </c>
      <c r="Z53" s="81">
        <f t="shared" si="32"/>
        <v>1.6944591538886955</v>
      </c>
      <c r="AA53" s="81">
        <f t="shared" si="32"/>
        <v>1.4413649558778314</v>
      </c>
      <c r="AB53" s="81">
        <f t="shared" si="32"/>
        <v>1.2295253555369208</v>
      </c>
      <c r="AC53" s="81">
        <f t="shared" si="32"/>
        <v>1.0292468797863452</v>
      </c>
      <c r="AD53" s="81">
        <f t="shared" si="32"/>
        <v>0.8632148454027796</v>
      </c>
      <c r="AE53" s="81">
        <f t="shared" si="32"/>
        <v>0.72662947909634179</v>
      </c>
      <c r="AF53" s="81">
        <f t="shared" si="32"/>
        <v>0.61499459887586205</v>
      </c>
      <c r="AG53" s="81">
        <f t="shared" si="32"/>
        <v>0.52424099910955002</v>
      </c>
      <c r="AH53" s="81">
        <f t="shared" si="32"/>
        <v>0.4353009035491372</v>
      </c>
      <c r="AI53" s="81">
        <f t="shared" si="32"/>
        <v>0.36357097623739504</v>
      </c>
      <c r="AJ53" s="81">
        <f t="shared" si="32"/>
        <v>0.30598834579708706</v>
      </c>
      <c r="AK53" s="81">
        <f t="shared" si="32"/>
        <v>0.25993533844157557</v>
      </c>
      <c r="AL53" s="81">
        <f t="shared" si="32"/>
        <v>0.22321982952143454</v>
      </c>
      <c r="AM53" s="81">
        <f t="shared" si="32"/>
        <v>0.18058460695894787</v>
      </c>
      <c r="AN53" s="81">
        <f t="shared" si="32"/>
        <v>0.14504867066530053</v>
      </c>
      <c r="AO53" s="81">
        <f t="shared" si="32"/>
        <v>0.11560317963718623</v>
      </c>
      <c r="AP53" s="81">
        <f t="shared" si="32"/>
        <v>9.1360658350461504E-2</v>
      </c>
      <c r="AQ53" s="83">
        <f t="shared" si="32"/>
        <v>7.1542198384285147E-2</v>
      </c>
    </row>
    <row r="54" spans="1:43" ht="10.15" customHeight="1" outlineLevel="1">
      <c r="A54" s="84"/>
      <c r="B54" s="85" t="s">
        <v>74</v>
      </c>
      <c r="C54" s="86">
        <f t="shared" ref="C54:AQ54" si="33">EBlackScholesForward($FA$3,C$20,$A$53,C$22,$C$6,$C$6,$C$7,C$21)</f>
        <v>9.2691744265745277E-4</v>
      </c>
      <c r="D54" s="86">
        <f t="shared" si="33"/>
        <v>1.6613290721713479E-3</v>
      </c>
      <c r="E54" s="86">
        <f t="shared" si="33"/>
        <v>2.8652977402253512E-3</v>
      </c>
      <c r="F54" s="86">
        <f t="shared" si="33"/>
        <v>4.7561929870696259E-3</v>
      </c>
      <c r="G54" s="86">
        <f t="shared" si="33"/>
        <v>7.5998404469588858E-3</v>
      </c>
      <c r="H54" s="86">
        <f t="shared" si="33"/>
        <v>1.1692744227322242E-2</v>
      </c>
      <c r="I54" s="86">
        <f t="shared" si="33"/>
        <v>1.6869295513864704E-2</v>
      </c>
      <c r="J54" s="86">
        <f t="shared" si="33"/>
        <v>2.3653638723555366E-2</v>
      </c>
      <c r="K54" s="86">
        <f t="shared" si="33"/>
        <v>3.222443788428897E-2</v>
      </c>
      <c r="L54" s="86">
        <f t="shared" si="33"/>
        <v>4.2647507715491417E-2</v>
      </c>
      <c r="M54" s="86">
        <f t="shared" si="33"/>
        <v>5.4832882027097019E-2</v>
      </c>
      <c r="N54" s="86">
        <f t="shared" si="33"/>
        <v>6.7811987240023797E-2</v>
      </c>
      <c r="O54" s="86">
        <f t="shared" si="33"/>
        <v>8.1918373908164532E-2</v>
      </c>
      <c r="P54" s="86">
        <f t="shared" si="33"/>
        <v>9.6645014561850595E-2</v>
      </c>
      <c r="Q54" s="86">
        <f t="shared" si="33"/>
        <v>0.11135503005677622</v>
      </c>
      <c r="R54" s="86">
        <f t="shared" si="33"/>
        <v>0.12533839415559755</v>
      </c>
      <c r="S54" s="86">
        <f t="shared" si="33"/>
        <v>0.1376504220838014</v>
      </c>
      <c r="T54" s="86">
        <f t="shared" si="33"/>
        <v>0.14811182724272576</v>
      </c>
      <c r="U54" s="86">
        <f t="shared" si="33"/>
        <v>0.15616661216835426</v>
      </c>
      <c r="V54" s="86">
        <f t="shared" si="33"/>
        <v>0.16141633426438018</v>
      </c>
      <c r="W54" s="87">
        <f t="shared" si="33"/>
        <v>0.16366312973602981</v>
      </c>
      <c r="X54" s="86">
        <f t="shared" si="33"/>
        <v>0.16294905487780897</v>
      </c>
      <c r="Y54" s="86">
        <f t="shared" si="33"/>
        <v>0.15959277102136371</v>
      </c>
      <c r="Z54" s="86">
        <f t="shared" si="33"/>
        <v>0.15406801458042352</v>
      </c>
      <c r="AA54" s="86">
        <f t="shared" si="33"/>
        <v>0.14692834274580424</v>
      </c>
      <c r="AB54" s="86">
        <f t="shared" si="33"/>
        <v>0.13873686513495331</v>
      </c>
      <c r="AC54" s="86">
        <f t="shared" si="33"/>
        <v>0.12925235554257419</v>
      </c>
      <c r="AD54" s="86">
        <f t="shared" si="33"/>
        <v>0.11939315115835858</v>
      </c>
      <c r="AE54" s="86">
        <f t="shared" si="33"/>
        <v>0.10957278933127473</v>
      </c>
      <c r="AF54" s="86">
        <f t="shared" si="33"/>
        <v>0.10011760062616903</v>
      </c>
      <c r="AG54" s="86">
        <f t="shared" si="33"/>
        <v>9.1262080339185037E-2</v>
      </c>
      <c r="AH54" s="86">
        <f t="shared" si="33"/>
        <v>8.1902193106375337E-2</v>
      </c>
      <c r="AI54" s="86">
        <f t="shared" si="33"/>
        <v>7.3322225752231379E-2</v>
      </c>
      <c r="AJ54" s="86">
        <f t="shared" si="33"/>
        <v>6.5607404930282151E-2</v>
      </c>
      <c r="AK54" s="86">
        <f t="shared" si="33"/>
        <v>5.878415096146658E-2</v>
      </c>
      <c r="AL54" s="86">
        <f t="shared" si="33"/>
        <v>5.2834727274845256E-2</v>
      </c>
      <c r="AM54" s="86">
        <f t="shared" si="33"/>
        <v>4.5851466906745894E-2</v>
      </c>
      <c r="AN54" s="86">
        <f t="shared" si="33"/>
        <v>3.9464668484789051E-2</v>
      </c>
      <c r="AO54" s="86">
        <f t="shared" si="33"/>
        <v>3.3676695399999609E-2</v>
      </c>
      <c r="AP54" s="86">
        <f t="shared" si="33"/>
        <v>2.8479152291428785E-2</v>
      </c>
      <c r="AQ54" s="88">
        <f t="shared" si="33"/>
        <v>2.385487644791098E-2</v>
      </c>
    </row>
    <row r="55" spans="1:43" ht="10.15" customHeight="1">
      <c r="A55" s="31">
        <f>A53+C12</f>
        <v>45.699999999999996</v>
      </c>
      <c r="B55" s="31" t="s">
        <v>71</v>
      </c>
      <c r="C55" s="32">
        <f t="shared" ref="C55:AQ55" si="34">EBlackScholesForward("p",C$20,$A$55,C$22,$C$6,$C$6,$C$7,C$21)</f>
        <v>1.4028820884594143E-3</v>
      </c>
      <c r="D55" s="32">
        <f t="shared" si="34"/>
        <v>2.7772496256921685E-3</v>
      </c>
      <c r="E55" s="32">
        <f t="shared" si="34"/>
        <v>5.3095961588637388E-3</v>
      </c>
      <c r="F55" s="32">
        <f t="shared" si="34"/>
        <v>9.8070943693691678E-3</v>
      </c>
      <c r="G55" s="32">
        <f t="shared" si="34"/>
        <v>1.7507438020497899E-2</v>
      </c>
      <c r="H55" s="32">
        <f t="shared" si="34"/>
        <v>3.0220127624117465E-2</v>
      </c>
      <c r="I55" s="32">
        <f t="shared" si="34"/>
        <v>4.8357856133227281E-2</v>
      </c>
      <c r="J55" s="32">
        <f t="shared" si="34"/>
        <v>7.5599176484683908E-2</v>
      </c>
      <c r="K55" s="32">
        <f t="shared" si="34"/>
        <v>0.11544522905021784</v>
      </c>
      <c r="L55" s="32">
        <f t="shared" si="34"/>
        <v>0.17219551201518307</v>
      </c>
      <c r="M55" s="32">
        <f t="shared" si="34"/>
        <v>0.25089497751386103</v>
      </c>
      <c r="N55" s="32">
        <f t="shared" si="34"/>
        <v>0.34871682262952491</v>
      </c>
      <c r="O55" s="32">
        <f t="shared" si="34"/>
        <v>0.47650972230578748</v>
      </c>
      <c r="P55" s="32">
        <f t="shared" si="34"/>
        <v>0.6400594930496275</v>
      </c>
      <c r="Q55" s="32">
        <f t="shared" si="34"/>
        <v>0.84510894891027344</v>
      </c>
      <c r="R55" s="32">
        <f t="shared" si="34"/>
        <v>1.097004117782389</v>
      </c>
      <c r="S55" s="32">
        <f t="shared" si="34"/>
        <v>1.3831556861603278</v>
      </c>
      <c r="T55" s="32">
        <f t="shared" si="34"/>
        <v>1.721615526577531</v>
      </c>
      <c r="U55" s="32">
        <f t="shared" si="34"/>
        <v>2.1155039638907689</v>
      </c>
      <c r="V55" s="32">
        <f t="shared" si="34"/>
        <v>2.5666793131529957</v>
      </c>
      <c r="W55" s="76">
        <f t="shared" si="34"/>
        <v>2.7780682286814589</v>
      </c>
      <c r="X55" s="32">
        <f t="shared" si="34"/>
        <v>2.3683422417394704</v>
      </c>
      <c r="Y55" s="32">
        <f t="shared" si="34"/>
        <v>2.0145741082404611</v>
      </c>
      <c r="Z55" s="32">
        <f t="shared" si="34"/>
        <v>1.7125598253957541</v>
      </c>
      <c r="AA55" s="32">
        <f t="shared" si="34"/>
        <v>1.4573439915058852</v>
      </c>
      <c r="AB55" s="32">
        <f t="shared" si="34"/>
        <v>1.2435985183298699</v>
      </c>
      <c r="AC55" s="32">
        <f t="shared" si="34"/>
        <v>1.0415006649342524</v>
      </c>
      <c r="AD55" s="32">
        <f t="shared" si="34"/>
        <v>0.8738555987831278</v>
      </c>
      <c r="AE55" s="32">
        <f t="shared" si="34"/>
        <v>0.73586061173416506</v>
      </c>
      <c r="AF55" s="32">
        <f t="shared" si="34"/>
        <v>0.62300934137536657</v>
      </c>
      <c r="AG55" s="32">
        <f t="shared" si="34"/>
        <v>0.53121746730648844</v>
      </c>
      <c r="AH55" s="32">
        <f t="shared" si="34"/>
        <v>0.44126972621903354</v>
      </c>
      <c r="AI55" s="32">
        <f t="shared" si="34"/>
        <v>0.36868602722546523</v>
      </c>
      <c r="AJ55" s="32">
        <f t="shared" si="34"/>
        <v>0.3103867465439859</v>
      </c>
      <c r="AK55" s="32">
        <f t="shared" si="34"/>
        <v>0.26373695262139335</v>
      </c>
      <c r="AL55" s="32">
        <f t="shared" si="34"/>
        <v>0.22652780593781999</v>
      </c>
      <c r="AM55" s="32">
        <f t="shared" si="34"/>
        <v>0.18334391062201327</v>
      </c>
      <c r="AN55" s="32">
        <f t="shared" si="34"/>
        <v>0.14733396720255676</v>
      </c>
      <c r="AO55" s="32">
        <f t="shared" si="34"/>
        <v>0.11748148207416863</v>
      </c>
      <c r="AP55" s="32">
        <f t="shared" si="34"/>
        <v>9.289179300801341E-2</v>
      </c>
      <c r="AQ55" s="32">
        <f t="shared" si="34"/>
        <v>7.2779284181584192E-2</v>
      </c>
    </row>
    <row r="56" spans="1:43" ht="10.15" customHeight="1" outlineLevel="1">
      <c r="A56" s="33"/>
      <c r="B56" s="31" t="s">
        <v>74</v>
      </c>
      <c r="C56" s="32">
        <f t="shared" ref="C56:AQ56" si="35">EBlackScholesForward($FA$3,C$20,$A$55,C$22,$C$6,$C$6,$C$7,C$21)</f>
        <v>9.1008112712412847E-4</v>
      </c>
      <c r="D56" s="32">
        <f t="shared" si="35"/>
        <v>1.6327273615231188E-3</v>
      </c>
      <c r="E56" s="32">
        <f t="shared" si="35"/>
        <v>2.8187783111026697E-3</v>
      </c>
      <c r="F56" s="32">
        <f t="shared" si="35"/>
        <v>4.6837761898200561E-3</v>
      </c>
      <c r="G56" s="32">
        <f t="shared" si="35"/>
        <v>7.4919834813892182E-3</v>
      </c>
      <c r="H56" s="32">
        <f t="shared" si="35"/>
        <v>1.1539106353430724E-2</v>
      </c>
      <c r="I56" s="32">
        <f t="shared" si="35"/>
        <v>1.6662869506445941E-2</v>
      </c>
      <c r="J56" s="32">
        <f t="shared" si="35"/>
        <v>2.3386258171346805E-2</v>
      </c>
      <c r="K56" s="32">
        <f t="shared" si="35"/>
        <v>3.1891034056222546E-2</v>
      </c>
      <c r="L56" s="32">
        <f t="shared" si="35"/>
        <v>4.2247924857296781E-2</v>
      </c>
      <c r="M56" s="32">
        <f t="shared" si="35"/>
        <v>5.4373405760995613E-2</v>
      </c>
      <c r="N56" s="32">
        <f t="shared" si="35"/>
        <v>6.7304128090571763E-2</v>
      </c>
      <c r="O56" s="32">
        <f t="shared" si="35"/>
        <v>8.1379770145199787E-2</v>
      </c>
      <c r="P56" s="32">
        <f t="shared" si="35"/>
        <v>9.6099699682725026E-2</v>
      </c>
      <c r="Q56" s="32">
        <f t="shared" si="35"/>
        <v>0.11083184827973291</v>
      </c>
      <c r="R56" s="32">
        <f t="shared" si="35"/>
        <v>0.12486846904562776</v>
      </c>
      <c r="S56" s="32">
        <f t="shared" si="35"/>
        <v>0.13725832024331885</v>
      </c>
      <c r="T56" s="32">
        <f t="shared" si="35"/>
        <v>0.147825714022362</v>
      </c>
      <c r="U56" s="32">
        <f t="shared" si="35"/>
        <v>0.15600958158191669</v>
      </c>
      <c r="V56" s="32">
        <f t="shared" si="35"/>
        <v>0.1614039114949648</v>
      </c>
      <c r="W56" s="76">
        <f t="shared" si="35"/>
        <v>0.16380170417857864</v>
      </c>
      <c r="X56" s="32">
        <f t="shared" si="35"/>
        <v>0.1632333314326766</v>
      </c>
      <c r="Y56" s="32">
        <f t="shared" si="35"/>
        <v>0.16000779279519883</v>
      </c>
      <c r="Z56" s="32">
        <f t="shared" si="35"/>
        <v>0.15459272863067797</v>
      </c>
      <c r="AA56" s="32">
        <f t="shared" si="35"/>
        <v>0.14753851971224574</v>
      </c>
      <c r="AB56" s="32">
        <f t="shared" si="35"/>
        <v>0.13940782145848685</v>
      </c>
      <c r="AC56" s="32">
        <f t="shared" si="35"/>
        <v>0.12996983246931487</v>
      </c>
      <c r="AD56" s="32">
        <f t="shared" si="35"/>
        <v>0.1201354180613235</v>
      </c>
      <c r="AE56" s="32">
        <f t="shared" si="35"/>
        <v>0.11032095791292423</v>
      </c>
      <c r="AF56" s="32">
        <f t="shared" si="35"/>
        <v>0.10085639479096115</v>
      </c>
      <c r="AG56" s="32">
        <f t="shared" si="35"/>
        <v>9.1980052392466871E-2</v>
      </c>
      <c r="AH56" s="32">
        <f t="shared" si="35"/>
        <v>8.2593473803891454E-2</v>
      </c>
      <c r="AI56" s="32">
        <f t="shared" si="35"/>
        <v>7.3979245226763024E-2</v>
      </c>
      <c r="AJ56" s="32">
        <f t="shared" si="35"/>
        <v>6.6225688464833801E-2</v>
      </c>
      <c r="AK56" s="32">
        <f t="shared" si="35"/>
        <v>5.9361823906278269E-2</v>
      </c>
      <c r="AL56" s="32">
        <f t="shared" si="35"/>
        <v>5.33719455416614E-2</v>
      </c>
      <c r="AM56" s="32">
        <f t="shared" si="35"/>
        <v>4.6343531544127861E-2</v>
      </c>
      <c r="AN56" s="32">
        <f t="shared" si="35"/>
        <v>3.9910718024053653E-2</v>
      </c>
      <c r="AO56" s="32">
        <f t="shared" si="35"/>
        <v>3.4076863342733139E-2</v>
      </c>
      <c r="AP56" s="32">
        <f t="shared" si="35"/>
        <v>2.883441581849714E-2</v>
      </c>
      <c r="AQ56" s="32">
        <f t="shared" si="35"/>
        <v>2.4166912468613199E-2</v>
      </c>
    </row>
    <row r="57" spans="1:43" ht="10.15" customHeight="1">
      <c r="A57" s="34">
        <f>A55+$C$12</f>
        <v>45.749999999999993</v>
      </c>
      <c r="B57" s="34" t="s">
        <v>71</v>
      </c>
      <c r="C57" s="35">
        <f t="shared" ref="C57:AQ57" si="36">EBlackScholesForward("p",C$20,$A$57,C$22,$C$6,$C$6,$C$7,C$21)</f>
        <v>1.3726947085019746E-3</v>
      </c>
      <c r="D57" s="35">
        <f t="shared" si="36"/>
        <v>2.7197922188042143E-3</v>
      </c>
      <c r="E57" s="35">
        <f t="shared" si="36"/>
        <v>5.2042706245871394E-3</v>
      </c>
      <c r="F57" s="35">
        <f t="shared" si="36"/>
        <v>9.6210792289035275E-3</v>
      </c>
      <c r="G57" s="35">
        <f t="shared" si="36"/>
        <v>1.7190807810805401E-2</v>
      </c>
      <c r="H57" s="35">
        <f t="shared" si="36"/>
        <v>2.970044635995437E-2</v>
      </c>
      <c r="I57" s="35">
        <f t="shared" si="36"/>
        <v>4.7560752664412155E-2</v>
      </c>
      <c r="J57" s="35">
        <f t="shared" si="36"/>
        <v>7.4408269754369441E-2</v>
      </c>
      <c r="K57" s="35">
        <f t="shared" si="36"/>
        <v>0.11371238933306442</v>
      </c>
      <c r="L57" s="35">
        <f t="shared" si="36"/>
        <v>0.16973994820613614</v>
      </c>
      <c r="M57" s="35">
        <f t="shared" si="36"/>
        <v>0.24750555816538433</v>
      </c>
      <c r="N57" s="35">
        <f t="shared" si="36"/>
        <v>0.34422145247474079</v>
      </c>
      <c r="O57" s="35">
        <f t="shared" si="36"/>
        <v>0.4706660131227583</v>
      </c>
      <c r="P57" s="35">
        <f t="shared" si="36"/>
        <v>0.6326145233508772</v>
      </c>
      <c r="Q57" s="35">
        <f t="shared" si="36"/>
        <v>0.83581206583024459</v>
      </c>
      <c r="R57" s="35">
        <f t="shared" si="36"/>
        <v>1.085621421348987</v>
      </c>
      <c r="S57" s="35">
        <f t="shared" si="36"/>
        <v>1.3695336611061313</v>
      </c>
      <c r="T57" s="35">
        <f t="shared" si="36"/>
        <v>1.7055690173877283</v>
      </c>
      <c r="U57" s="35">
        <f t="shared" si="36"/>
        <v>2.0968933777400229</v>
      </c>
      <c r="V57" s="35">
        <f t="shared" si="36"/>
        <v>2.5454196153490929</v>
      </c>
      <c r="W57" s="77">
        <f t="shared" si="36"/>
        <v>2.8037245020472636</v>
      </c>
      <c r="X57" s="35">
        <f t="shared" si="36"/>
        <v>2.3913853871385142</v>
      </c>
      <c r="Y57" s="35">
        <f t="shared" si="36"/>
        <v>2.035124986830763</v>
      </c>
      <c r="Z57" s="35">
        <f t="shared" si="36"/>
        <v>1.7307846630287007</v>
      </c>
      <c r="AA57" s="35">
        <f t="shared" si="36"/>
        <v>1.4734403311431075</v>
      </c>
      <c r="AB57" s="35">
        <f t="shared" si="36"/>
        <v>1.2577811913787809</v>
      </c>
      <c r="AC57" s="35">
        <f t="shared" si="36"/>
        <v>1.0538561504990727</v>
      </c>
      <c r="AD57" s="35">
        <f t="shared" si="36"/>
        <v>0.88458980511306184</v>
      </c>
      <c r="AE57" s="35">
        <f t="shared" si="36"/>
        <v>0.74517688984911146</v>
      </c>
      <c r="AF57" s="35">
        <f t="shared" si="36"/>
        <v>0.63110116450287823</v>
      </c>
      <c r="AG57" s="35">
        <f t="shared" si="36"/>
        <v>0.53826341444672576</v>
      </c>
      <c r="AH57" s="35">
        <f t="shared" si="36"/>
        <v>0.44730069603646722</v>
      </c>
      <c r="AI57" s="35">
        <f t="shared" si="36"/>
        <v>0.37385641938268621</v>
      </c>
      <c r="AJ57" s="35">
        <f t="shared" si="36"/>
        <v>0.31483430480021185</v>
      </c>
      <c r="AK57" s="35">
        <f t="shared" si="36"/>
        <v>0.26758220619051726</v>
      </c>
      <c r="AL57" s="35">
        <f t="shared" si="36"/>
        <v>0.22987457078348686</v>
      </c>
      <c r="AM57" s="35">
        <f t="shared" si="36"/>
        <v>0.18613692708546006</v>
      </c>
      <c r="AN57" s="35">
        <f t="shared" si="36"/>
        <v>0.14964834018988707</v>
      </c>
      <c r="AO57" s="35">
        <f t="shared" si="36"/>
        <v>0.11938466056613353</v>
      </c>
      <c r="AP57" s="35">
        <f t="shared" si="36"/>
        <v>9.4444029518583619E-2</v>
      </c>
      <c r="AQ57" s="35">
        <f t="shared" si="36"/>
        <v>7.4034108940074381E-2</v>
      </c>
    </row>
    <row r="58" spans="1:43" ht="10.15" customHeight="1" outlineLevel="1">
      <c r="A58" s="36"/>
      <c r="B58" s="34" t="s">
        <v>74</v>
      </c>
      <c r="C58" s="35">
        <f t="shared" ref="C58:AQ58" si="37">EBlackScholesForward($FA$3,C$20,$A$57,C$22,$C$6,$C$6,$C$7,C$21)</f>
        <v>8.9353685319920259E-4</v>
      </c>
      <c r="D58" s="35">
        <f t="shared" si="37"/>
        <v>1.6045905002006347E-3</v>
      </c>
      <c r="E58" s="35">
        <f t="shared" si="37"/>
        <v>2.772961727343968E-3</v>
      </c>
      <c r="F58" s="35">
        <f t="shared" si="37"/>
        <v>4.6123670926562195E-3</v>
      </c>
      <c r="G58" s="35">
        <f t="shared" si="37"/>
        <v>7.3854934114758707E-3</v>
      </c>
      <c r="H58" s="35">
        <f t="shared" si="37"/>
        <v>1.1387217301502129E-2</v>
      </c>
      <c r="I58" s="35">
        <f t="shared" si="37"/>
        <v>1.6458550852875641E-2</v>
      </c>
      <c r="J58" s="35">
        <f t="shared" si="37"/>
        <v>2.3121273264906664E-2</v>
      </c>
      <c r="K58" s="35">
        <f t="shared" si="37"/>
        <v>3.1560173570323619E-2</v>
      </c>
      <c r="L58" s="35">
        <f t="shared" si="37"/>
        <v>4.1850820826748666E-2</v>
      </c>
      <c r="M58" s="35">
        <f t="shared" si="37"/>
        <v>5.3916073651287519E-2</v>
      </c>
      <c r="N58" s="35">
        <f t="shared" si="37"/>
        <v>6.679784310492623E-2</v>
      </c>
      <c r="O58" s="35">
        <f t="shared" si="37"/>
        <v>8.0841875936176033E-2</v>
      </c>
      <c r="P58" s="35">
        <f t="shared" si="37"/>
        <v>9.555396550668005E-2</v>
      </c>
      <c r="Q58" s="35">
        <f t="shared" si="37"/>
        <v>0.11030692816492582</v>
      </c>
      <c r="R58" s="35">
        <f t="shared" si="37"/>
        <v>0.12439540746690703</v>
      </c>
      <c r="S58" s="35">
        <f t="shared" si="37"/>
        <v>0.13686170593825575</v>
      </c>
      <c r="T58" s="35">
        <f t="shared" si="37"/>
        <v>0.1475338407902691</v>
      </c>
      <c r="U58" s="35">
        <f t="shared" si="37"/>
        <v>0.15584580023429528</v>
      </c>
      <c r="V58" s="35">
        <f t="shared" si="37"/>
        <v>0.16138410751214294</v>
      </c>
      <c r="W58" s="77">
        <f t="shared" si="37"/>
        <v>0.16393268892944213</v>
      </c>
      <c r="X58" s="35">
        <f t="shared" si="37"/>
        <v>0.16351032106266006</v>
      </c>
      <c r="Y58" s="35">
        <f t="shared" si="37"/>
        <v>0.16041620282137548</v>
      </c>
      <c r="Z58" s="35">
        <f t="shared" si="37"/>
        <v>0.15511177612284199</v>
      </c>
      <c r="AA58" s="35">
        <f t="shared" si="37"/>
        <v>0.14814412965209667</v>
      </c>
      <c r="AB58" s="35">
        <f t="shared" si="37"/>
        <v>0.14007535555334916</v>
      </c>
      <c r="AC58" s="35">
        <f t="shared" si="37"/>
        <v>0.13068501985848674</v>
      </c>
      <c r="AD58" s="35">
        <f t="shared" si="37"/>
        <v>0.12087647635176035</v>
      </c>
      <c r="AE58" s="35">
        <f t="shared" si="37"/>
        <v>0.11106888793843894</v>
      </c>
      <c r="AF58" s="35">
        <f t="shared" si="37"/>
        <v>0.10159577397793984</v>
      </c>
      <c r="AG58" s="35">
        <f t="shared" si="37"/>
        <v>9.2699272471789884E-2</v>
      </c>
      <c r="AH58" s="35">
        <f t="shared" si="37"/>
        <v>8.328661271549026E-2</v>
      </c>
      <c r="AI58" s="35">
        <f t="shared" si="37"/>
        <v>7.4638582931914638E-2</v>
      </c>
      <c r="AJ58" s="35">
        <f t="shared" si="37"/>
        <v>6.6846610168010273E-2</v>
      </c>
      <c r="AK58" s="35">
        <f t="shared" si="37"/>
        <v>5.9942332841826054E-2</v>
      </c>
      <c r="AL58" s="35">
        <f t="shared" si="37"/>
        <v>5.3912097231895065E-2</v>
      </c>
      <c r="AM58" s="35">
        <f t="shared" si="37"/>
        <v>4.6838649495495516E-2</v>
      </c>
      <c r="AN58" s="35">
        <f t="shared" si="37"/>
        <v>4.0359861742734891E-2</v>
      </c>
      <c r="AO58" s="35">
        <f t="shared" si="37"/>
        <v>3.4480097029140795E-2</v>
      </c>
      <c r="AP58" s="35">
        <f t="shared" si="37"/>
        <v>2.919265748839265E-2</v>
      </c>
      <c r="AQ58" s="35">
        <f t="shared" si="37"/>
        <v>2.4481790100708552E-2</v>
      </c>
    </row>
    <row r="59" spans="1:43" ht="10.15" customHeight="1">
      <c r="A59" s="31">
        <f>A57+$C$12</f>
        <v>45.79999999999999</v>
      </c>
      <c r="B59" s="31" t="s">
        <v>71</v>
      </c>
      <c r="C59" s="32">
        <f t="shared" ref="C59:AQ59" si="38">EBlackScholesForward("p",C$20,$A$59,C$22,$C$6,$C$6,$C$7,C$21)</f>
        <v>1.3431446872565387E-3</v>
      </c>
      <c r="D59" s="32">
        <f t="shared" si="38"/>
        <v>2.663496340241277E-3</v>
      </c>
      <c r="E59" s="32">
        <f t="shared" si="38"/>
        <v>5.1009771346920852E-3</v>
      </c>
      <c r="F59" s="32">
        <f t="shared" si="38"/>
        <v>9.4384776065920186E-3</v>
      </c>
      <c r="G59" s="32">
        <f t="shared" si="38"/>
        <v>1.6879685105799753E-2</v>
      </c>
      <c r="H59" s="32">
        <f t="shared" si="38"/>
        <v>2.9189302899128741E-2</v>
      </c>
      <c r="I59" s="32">
        <f t="shared" si="38"/>
        <v>4.6776109721024701E-2</v>
      </c>
      <c r="J59" s="32">
        <f t="shared" si="38"/>
        <v>7.3235007587826931E-2</v>
      </c>
      <c r="K59" s="32">
        <f t="shared" si="38"/>
        <v>0.11200378499201394</v>
      </c>
      <c r="L59" s="32">
        <f t="shared" si="38"/>
        <v>0.16731666968431122</v>
      </c>
      <c r="M59" s="32">
        <f t="shared" si="38"/>
        <v>0.24415785581691848</v>
      </c>
      <c r="N59" s="32">
        <f t="shared" si="38"/>
        <v>0.33977818834671669</v>
      </c>
      <c r="O59" s="32">
        <f t="shared" si="38"/>
        <v>0.46488578914452028</v>
      </c>
      <c r="P59" s="32">
        <f t="shared" si="38"/>
        <v>0.62524499032699277</v>
      </c>
      <c r="Q59" s="32">
        <f t="shared" si="38"/>
        <v>0.82660260652421036</v>
      </c>
      <c r="R59" s="32">
        <f t="shared" si="38"/>
        <v>1.0743375637927606</v>
      </c>
      <c r="S59" s="32">
        <f t="shared" si="38"/>
        <v>1.3560212583743625</v>
      </c>
      <c r="T59" s="32">
        <f t="shared" si="38"/>
        <v>1.6896414785382525</v>
      </c>
      <c r="U59" s="32">
        <f t="shared" si="38"/>
        <v>2.0784091500073982</v>
      </c>
      <c r="V59" s="32">
        <f t="shared" si="38"/>
        <v>2.5242913066096047</v>
      </c>
      <c r="W59" s="76">
        <f t="shared" si="38"/>
        <v>2.8295146122655401</v>
      </c>
      <c r="X59" s="32">
        <f t="shared" si="38"/>
        <v>2.4145614699357081</v>
      </c>
      <c r="Y59" s="32">
        <f t="shared" si="38"/>
        <v>2.0558054829093151</v>
      </c>
      <c r="Z59" s="32">
        <f t="shared" si="38"/>
        <v>1.749133810574562</v>
      </c>
      <c r="AA59" s="32">
        <f t="shared" si="38"/>
        <v>1.4896541979722562</v>
      </c>
      <c r="AB59" s="32">
        <f t="shared" si="38"/>
        <v>1.2720736576996707</v>
      </c>
      <c r="AC59" s="32">
        <f t="shared" si="38"/>
        <v>1.0663136718145803</v>
      </c>
      <c r="AD59" s="32">
        <f t="shared" si="38"/>
        <v>0.89541783469305558</v>
      </c>
      <c r="AE59" s="32">
        <f t="shared" si="38"/>
        <v>0.7545787028634483</v>
      </c>
      <c r="AF59" s="32">
        <f t="shared" si="38"/>
        <v>0.63927046336152205</v>
      </c>
      <c r="AG59" s="32">
        <f t="shared" si="38"/>
        <v>0.54537923068807748</v>
      </c>
      <c r="AH59" s="32">
        <f t="shared" si="38"/>
        <v>0.45339419770444622</v>
      </c>
      <c r="AI59" s="32">
        <f t="shared" si="38"/>
        <v>0.3790825242085783</v>
      </c>
      <c r="AJ59" s="32">
        <f t="shared" si="38"/>
        <v>0.31933137347144208</v>
      </c>
      <c r="AK59" s="32">
        <f t="shared" si="38"/>
        <v>0.27147143017239866</v>
      </c>
      <c r="AL59" s="32">
        <f t="shared" si="38"/>
        <v>0.23326043164487403</v>
      </c>
      <c r="AM59" s="32">
        <f t="shared" si="38"/>
        <v>0.18896394283348539</v>
      </c>
      <c r="AN59" s="32">
        <f t="shared" si="38"/>
        <v>0.15199205345487443</v>
      </c>
      <c r="AO59" s="32">
        <f t="shared" si="38"/>
        <v>0.12131295540835667</v>
      </c>
      <c r="AP59" s="32">
        <f t="shared" si="38"/>
        <v>9.6017584359205058E-2</v>
      </c>
      <c r="AQ59" s="32">
        <f t="shared" si="38"/>
        <v>7.5306865537669992E-2</v>
      </c>
    </row>
    <row r="60" spans="1:43" ht="10.15" customHeight="1" outlineLevel="1">
      <c r="A60" s="33"/>
      <c r="B60" s="31" t="s">
        <v>74</v>
      </c>
      <c r="C60" s="32">
        <f t="shared" ref="C60:AQ60" si="39">EBlackScholesForward($FA$3,C$20,$A$59,C$22,$C$6,$C$6,$C$7,C$21)</f>
        <v>8.7727988604847625E-4</v>
      </c>
      <c r="D60" s="32">
        <f t="shared" si="39"/>
        <v>1.5769115669482551E-3</v>
      </c>
      <c r="E60" s="32">
        <f t="shared" si="39"/>
        <v>2.7278385220101476E-3</v>
      </c>
      <c r="F60" s="32">
        <f t="shared" si="39"/>
        <v>4.5419536650222834E-3</v>
      </c>
      <c r="G60" s="32">
        <f t="shared" si="39"/>
        <v>7.2803561942215399E-3</v>
      </c>
      <c r="H60" s="32">
        <f t="shared" si="39"/>
        <v>1.1237062317144475E-2</v>
      </c>
      <c r="I60" s="32">
        <f t="shared" si="39"/>
        <v>1.6256325724239202E-2</v>
      </c>
      <c r="J60" s="32">
        <f t="shared" si="39"/>
        <v>2.2858673604141115E-2</v>
      </c>
      <c r="K60" s="32">
        <f t="shared" si="39"/>
        <v>3.1231852418630524E-2</v>
      </c>
      <c r="L60" s="32">
        <f t="shared" si="39"/>
        <v>4.1456200977396218E-2</v>
      </c>
      <c r="M60" s="32">
        <f t="shared" si="39"/>
        <v>5.3460902784936482E-2</v>
      </c>
      <c r="N60" s="32">
        <f t="shared" si="39"/>
        <v>6.6293162207257866E-2</v>
      </c>
      <c r="O60" s="32">
        <f t="shared" si="39"/>
        <v>8.0304734279889073E-2</v>
      </c>
      <c r="P60" s="32">
        <f t="shared" si="39"/>
        <v>9.5007866565588295E-2</v>
      </c>
      <c r="Q60" s="32">
        <f t="shared" si="39"/>
        <v>0.10978033238712787</v>
      </c>
      <c r="R60" s="32">
        <f t="shared" si="39"/>
        <v>0.12391927530770025</v>
      </c>
      <c r="S60" s="32">
        <f t="shared" si="39"/>
        <v>0.1364606438924949</v>
      </c>
      <c r="T60" s="32">
        <f t="shared" si="39"/>
        <v>0.14723626505662524</v>
      </c>
      <c r="U60" s="32">
        <f t="shared" si="39"/>
        <v>0.15567531266248302</v>
      </c>
      <c r="V60" s="32">
        <f t="shared" si="39"/>
        <v>0.16135694929176903</v>
      </c>
      <c r="W60" s="76">
        <f t="shared" si="39"/>
        <v>0.16405609067814653</v>
      </c>
      <c r="X60" s="32">
        <f t="shared" si="39"/>
        <v>0.16378001010481036</v>
      </c>
      <c r="Y60" s="32">
        <f t="shared" si="39"/>
        <v>0.16081796959622296</v>
      </c>
      <c r="Z60" s="32">
        <f t="shared" si="39"/>
        <v>0.1556251116996008</v>
      </c>
      <c r="AA60" s="32">
        <f t="shared" si="39"/>
        <v>0.14874511799452406</v>
      </c>
      <c r="AB60" s="32">
        <f t="shared" si="39"/>
        <v>0.14073940818164721</v>
      </c>
      <c r="AC60" s="32">
        <f t="shared" si="39"/>
        <v>0.13139785575350382</v>
      </c>
      <c r="AD60" s="32">
        <f t="shared" si="39"/>
        <v>0.12161626492937128</v>
      </c>
      <c r="AE60" s="32">
        <f t="shared" si="39"/>
        <v>0.11181652194659569</v>
      </c>
      <c r="AF60" s="32">
        <f t="shared" si="39"/>
        <v>0.10233568624190481</v>
      </c>
      <c r="AG60" s="32">
        <f t="shared" si="39"/>
        <v>9.341969516236498E-2</v>
      </c>
      <c r="AH60" s="32">
        <f t="shared" si="39"/>
        <v>8.3981570999154986E-2</v>
      </c>
      <c r="AI60" s="32">
        <f t="shared" si="39"/>
        <v>7.5300206937065517E-2</v>
      </c>
      <c r="AJ60" s="32">
        <f t="shared" si="39"/>
        <v>6.7470144823429501E-2</v>
      </c>
      <c r="AK60" s="32">
        <f t="shared" si="39"/>
        <v>6.052565869576898E-2</v>
      </c>
      <c r="AL60" s="32">
        <f t="shared" si="39"/>
        <v>5.445516863021102E-2</v>
      </c>
      <c r="AM60" s="32">
        <f t="shared" si="39"/>
        <v>4.7336812643811135E-2</v>
      </c>
      <c r="AN60" s="32">
        <f t="shared" si="39"/>
        <v>4.0812096627391194E-2</v>
      </c>
      <c r="AO60" s="32">
        <f t="shared" si="39"/>
        <v>3.488639795961581E-2</v>
      </c>
      <c r="AP60" s="32">
        <f t="shared" si="39"/>
        <v>2.9553882663220073E-2</v>
      </c>
      <c r="AQ60" s="32">
        <f t="shared" si="39"/>
        <v>2.479951788273102E-2</v>
      </c>
    </row>
    <row r="61" spans="1:43" ht="10.15" customHeight="1">
      <c r="A61" s="34">
        <f>A59+$C$12</f>
        <v>45.849999999999987</v>
      </c>
      <c r="B61" s="34" t="s">
        <v>71</v>
      </c>
      <c r="C61" s="35">
        <f t="shared" ref="C61:AQ61" si="40">EBlackScholesForward("p",C$20,$A$61,C$22,$C$6,$C$6,$C$7,C$21)</f>
        <v>1.3142188965339964E-3</v>
      </c>
      <c r="D61" s="35">
        <f t="shared" si="40"/>
        <v>2.6083392090515381E-3</v>
      </c>
      <c r="E61" s="35">
        <f t="shared" si="40"/>
        <v>4.9996778966650765E-3</v>
      </c>
      <c r="F61" s="35">
        <f t="shared" si="40"/>
        <v>9.2592295666183624E-3</v>
      </c>
      <c r="G61" s="35">
        <f t="shared" si="40"/>
        <v>1.6573979041000043E-2</v>
      </c>
      <c r="H61" s="35">
        <f t="shared" si="40"/>
        <v>2.8686565557370088E-2</v>
      </c>
      <c r="I61" s="35">
        <f t="shared" si="40"/>
        <v>4.6003746553565539E-2</v>
      </c>
      <c r="J61" s="35">
        <f t="shared" si="40"/>
        <v>7.2079150717181614E-2</v>
      </c>
      <c r="K61" s="35">
        <f t="shared" si="40"/>
        <v>0.1103191108347932</v>
      </c>
      <c r="L61" s="35">
        <f t="shared" si="40"/>
        <v>0.16492530165952285</v>
      </c>
      <c r="M61" s="35">
        <f t="shared" si="40"/>
        <v>0.24085142768030859</v>
      </c>
      <c r="N61" s="35">
        <f t="shared" si="40"/>
        <v>0.33538652365650673</v>
      </c>
      <c r="O61" s="35">
        <f t="shared" si="40"/>
        <v>0.45916849118146125</v>
      </c>
      <c r="P61" s="35">
        <f t="shared" si="40"/>
        <v>0.61795029971647131</v>
      </c>
      <c r="Q61" s="35">
        <f t="shared" si="40"/>
        <v>0.81747996455332428</v>
      </c>
      <c r="R61" s="35">
        <f t="shared" si="40"/>
        <v>1.063151952855758</v>
      </c>
      <c r="S61" s="35">
        <f t="shared" si="40"/>
        <v>1.3426179191589074</v>
      </c>
      <c r="T61" s="35">
        <f t="shared" si="40"/>
        <v>1.6738324118233927</v>
      </c>
      <c r="U61" s="35">
        <f t="shared" si="40"/>
        <v>2.0600508676483487</v>
      </c>
      <c r="V61" s="35">
        <f t="shared" si="40"/>
        <v>2.5032940784498976</v>
      </c>
      <c r="W61" s="77">
        <f t="shared" si="40"/>
        <v>2.855438367718278</v>
      </c>
      <c r="X61" s="35">
        <f t="shared" si="40"/>
        <v>2.4378704183677589</v>
      </c>
      <c r="Y61" s="35">
        <f t="shared" si="40"/>
        <v>2.0766156368038029</v>
      </c>
      <c r="Z61" s="35">
        <f t="shared" si="40"/>
        <v>1.767607406334986</v>
      </c>
      <c r="AA61" s="35">
        <f t="shared" si="40"/>
        <v>1.5059858102634724</v>
      </c>
      <c r="AB61" s="35">
        <f t="shared" si="40"/>
        <v>1.2864761960835649</v>
      </c>
      <c r="AC61" s="35">
        <f t="shared" si="40"/>
        <v>1.0788735606659858</v>
      </c>
      <c r="AD61" s="35">
        <f t="shared" si="40"/>
        <v>0.90634005498740278</v>
      </c>
      <c r="AE61" s="35">
        <f t="shared" si="40"/>
        <v>0.76406643805395302</v>
      </c>
      <c r="AF61" s="35">
        <f t="shared" si="40"/>
        <v>0.64751763153638597</v>
      </c>
      <c r="AG61" s="35">
        <f t="shared" si="40"/>
        <v>0.55256530520995506</v>
      </c>
      <c r="AH61" s="35">
        <f t="shared" si="40"/>
        <v>0.45955061544895132</v>
      </c>
      <c r="AI61" s="35">
        <f t="shared" si="40"/>
        <v>0.38436471314162701</v>
      </c>
      <c r="AJ61" s="35">
        <f t="shared" si="40"/>
        <v>0.32387830572919396</v>
      </c>
      <c r="AK61" s="35">
        <f t="shared" si="40"/>
        <v>0.27540495609858834</v>
      </c>
      <c r="AL61" s="35">
        <f t="shared" si="40"/>
        <v>0.23668569678388465</v>
      </c>
      <c r="AM61" s="35">
        <f t="shared" si="40"/>
        <v>0.19182524522597269</v>
      </c>
      <c r="AN61" s="35">
        <f t="shared" si="40"/>
        <v>0.15436537185052226</v>
      </c>
      <c r="AO61" s="35">
        <f t="shared" si="40"/>
        <v>0.12326660802446765</v>
      </c>
      <c r="AP61" s="35">
        <f t="shared" si="40"/>
        <v>9.7612675195722642E-2</v>
      </c>
      <c r="AQ61" s="35">
        <f t="shared" si="40"/>
        <v>7.6597748063816404E-2</v>
      </c>
    </row>
    <row r="62" spans="1:43" ht="10.15" customHeight="1" outlineLevel="1">
      <c r="A62" s="36"/>
      <c r="B62" s="34" t="s">
        <v>74</v>
      </c>
      <c r="C62" s="35">
        <f t="shared" ref="C62:AQ62" si="41">EBlackScholesForward($FA$3,C$20,$A$61,C$22,$C$6,$C$6,$C$7,C$21)</f>
        <v>8.613055597167065E-4</v>
      </c>
      <c r="D62" s="35">
        <f t="shared" si="41"/>
        <v>1.5496837290786924E-3</v>
      </c>
      <c r="E62" s="35">
        <f t="shared" si="41"/>
        <v>2.6833993304121173E-3</v>
      </c>
      <c r="F62" s="35">
        <f t="shared" si="41"/>
        <v>4.4725239780302479E-3</v>
      </c>
      <c r="G62" s="35">
        <f t="shared" si="41"/>
        <v>7.1765578643362311E-3</v>
      </c>
      <c r="H62" s="35">
        <f t="shared" si="41"/>
        <v>1.1088626669155556E-2</v>
      </c>
      <c r="I62" s="35">
        <f t="shared" si="41"/>
        <v>1.6056180233588166E-2</v>
      </c>
      <c r="J62" s="35">
        <f t="shared" si="41"/>
        <v>2.2598448620063102E-2</v>
      </c>
      <c r="K62" s="35">
        <f t="shared" si="41"/>
        <v>3.0906066294338369E-2</v>
      </c>
      <c r="L62" s="35">
        <f t="shared" si="41"/>
        <v>4.1064070234042419E-2</v>
      </c>
      <c r="M62" s="35">
        <f t="shared" si="41"/>
        <v>5.3007909715382537E-2</v>
      </c>
      <c r="N62" s="35">
        <f t="shared" si="41"/>
        <v>6.5790114719762705E-2</v>
      </c>
      <c r="O62" s="35">
        <f t="shared" si="41"/>
        <v>7.9768387568617816E-2</v>
      </c>
      <c r="P62" s="35">
        <f t="shared" si="41"/>
        <v>9.4461456859797954E-2</v>
      </c>
      <c r="Q62" s="35">
        <f t="shared" si="41"/>
        <v>0.10925212324661687</v>
      </c>
      <c r="R62" s="35">
        <f t="shared" si="41"/>
        <v>0.1234401383074743</v>
      </c>
      <c r="S62" s="35">
        <f t="shared" si="41"/>
        <v>0.13605519894614948</v>
      </c>
      <c r="T62" s="35">
        <f t="shared" si="41"/>
        <v>0.14693304473657087</v>
      </c>
      <c r="U62" s="35">
        <f t="shared" si="41"/>
        <v>0.15549816408199002</v>
      </c>
      <c r="V62" s="35">
        <f t="shared" si="41"/>
        <v>0.16132246470802714</v>
      </c>
      <c r="W62" s="77">
        <f t="shared" si="41"/>
        <v>0.16417191714846724</v>
      </c>
      <c r="X62" s="35">
        <f t="shared" si="41"/>
        <v>0.16404238594351539</v>
      </c>
      <c r="Y62" s="35">
        <f t="shared" si="41"/>
        <v>0.16121306258268442</v>
      </c>
      <c r="Z62" s="35">
        <f t="shared" si="41"/>
        <v>0.15613269082052128</v>
      </c>
      <c r="AA62" s="35">
        <f t="shared" si="41"/>
        <v>0.14934143079764828</v>
      </c>
      <c r="AB62" s="35">
        <f t="shared" si="41"/>
        <v>0.14139992053756323</v>
      </c>
      <c r="AC62" s="35">
        <f t="shared" si="41"/>
        <v>0.13210827844157152</v>
      </c>
      <c r="AD62" s="35">
        <f t="shared" si="41"/>
        <v>0.12235472276337561</v>
      </c>
      <c r="AE62" s="35">
        <f t="shared" si="41"/>
        <v>0.11256380239921854</v>
      </c>
      <c r="AF62" s="35">
        <f t="shared" si="41"/>
        <v>0.10307607944879305</v>
      </c>
      <c r="AG62" s="35">
        <f t="shared" si="41"/>
        <v>9.4141274783875933E-2</v>
      </c>
      <c r="AH62" s="35">
        <f t="shared" si="41"/>
        <v>8.4678309481031527E-2</v>
      </c>
      <c r="AI62" s="35">
        <f t="shared" si="41"/>
        <v>7.5964084942884563E-2</v>
      </c>
      <c r="AJ62" s="35">
        <f t="shared" si="41"/>
        <v>6.8096266834105051E-2</v>
      </c>
      <c r="AK62" s="35">
        <f t="shared" si="41"/>
        <v>6.1111782022458552E-2</v>
      </c>
      <c r="AL62" s="35">
        <f t="shared" si="41"/>
        <v>5.5001145668484963E-2</v>
      </c>
      <c r="AM62" s="35">
        <f t="shared" si="41"/>
        <v>4.7838012534161881E-2</v>
      </c>
      <c r="AN62" s="35">
        <f t="shared" si="41"/>
        <v>4.1267419352081808E-2</v>
      </c>
      <c r="AO62" s="35">
        <f t="shared" si="41"/>
        <v>3.529576735542525E-2</v>
      </c>
      <c r="AP62" s="35">
        <f t="shared" si="41"/>
        <v>2.9918096464955371E-2</v>
      </c>
      <c r="AQ62" s="35">
        <f t="shared" si="41"/>
        <v>2.51201041554505E-2</v>
      </c>
    </row>
    <row r="63" spans="1:43" ht="10.15" customHeight="1">
      <c r="A63" s="31">
        <f>A61+$C$12</f>
        <v>45.899999999999984</v>
      </c>
      <c r="B63" s="31" t="s">
        <v>71</v>
      </c>
      <c r="C63" s="32">
        <f t="shared" ref="C63:AQ63" si="42">EBlackScholesForward("p",C$20,$A$63,C$22,$C$6,$C$6,$C$7,C$21)</f>
        <v>1.2859044698400976E-3</v>
      </c>
      <c r="D63" s="32">
        <f t="shared" si="42"/>
        <v>2.5542984733097074E-3</v>
      </c>
      <c r="E63" s="32">
        <f t="shared" si="42"/>
        <v>4.9003357865557116E-3</v>
      </c>
      <c r="F63" s="32">
        <f t="shared" si="42"/>
        <v>9.0832761626800564E-3</v>
      </c>
      <c r="G63" s="32">
        <f t="shared" si="42"/>
        <v>1.627360014153394E-2</v>
      </c>
      <c r="H63" s="32">
        <f t="shared" si="42"/>
        <v>2.8192104499819303E-2</v>
      </c>
      <c r="I63" s="32">
        <f t="shared" si="42"/>
        <v>4.5243484749143859E-2</v>
      </c>
      <c r="J63" s="32">
        <f t="shared" si="42"/>
        <v>7.0940462687455519E-2</v>
      </c>
      <c r="K63" s="32">
        <f t="shared" si="42"/>
        <v>0.10865806488297748</v>
      </c>
      <c r="L63" s="32">
        <f t="shared" si="42"/>
        <v>0.16256547280783762</v>
      </c>
      <c r="M63" s="32">
        <f t="shared" si="42"/>
        <v>0.23758583446821324</v>
      </c>
      <c r="N63" s="32">
        <f t="shared" si="42"/>
        <v>0.33104595515601704</v>
      </c>
      <c r="O63" s="32">
        <f t="shared" si="42"/>
        <v>0.45351356293753953</v>
      </c>
      <c r="P63" s="32">
        <f t="shared" si="42"/>
        <v>0.61072985941011504</v>
      </c>
      <c r="Q63" s="32">
        <f t="shared" si="42"/>
        <v>0.808443534629667</v>
      </c>
      <c r="R63" s="32">
        <f t="shared" si="42"/>
        <v>1.0520639962432445</v>
      </c>
      <c r="S63" s="32">
        <f t="shared" si="42"/>
        <v>1.3293230833337186</v>
      </c>
      <c r="T63" s="32">
        <f t="shared" si="42"/>
        <v>1.658141316401597</v>
      </c>
      <c r="U63" s="32">
        <f t="shared" si="42"/>
        <v>2.0418181137549021</v>
      </c>
      <c r="V63" s="32">
        <f t="shared" si="42"/>
        <v>2.4824276174970055</v>
      </c>
      <c r="W63" s="76">
        <f t="shared" si="42"/>
        <v>2.8814955711663344</v>
      </c>
      <c r="X63" s="32">
        <f t="shared" si="42"/>
        <v>2.4613121547653214</v>
      </c>
      <c r="Y63" s="32">
        <f t="shared" si="42"/>
        <v>2.0975554830011616</v>
      </c>
      <c r="Z63" s="32">
        <f t="shared" si="42"/>
        <v>1.786205583125928</v>
      </c>
      <c r="AA63" s="32">
        <f t="shared" si="42"/>
        <v>1.5224353813625899</v>
      </c>
      <c r="AB63" s="32">
        <f t="shared" si="42"/>
        <v>1.3009890810765419</v>
      </c>
      <c r="AC63" s="32">
        <f t="shared" si="42"/>
        <v>1.0915361452630796</v>
      </c>
      <c r="AD63" s="32">
        <f t="shared" si="42"/>
        <v>0.91735683059317807</v>
      </c>
      <c r="AE63" s="32">
        <f t="shared" si="42"/>
        <v>0.77364048051916035</v>
      </c>
      <c r="AF63" s="32">
        <f t="shared" si="42"/>
        <v>0.65584306106207901</v>
      </c>
      <c r="AG63" s="32">
        <f t="shared" si="42"/>
        <v>0.55982202618269172</v>
      </c>
      <c r="AH63" s="32">
        <f t="shared" si="42"/>
        <v>0.46577033298992648</v>
      </c>
      <c r="AI63" s="32">
        <f t="shared" si="42"/>
        <v>0.38970335753290425</v>
      </c>
      <c r="AJ63" s="32">
        <f t="shared" si="42"/>
        <v>0.32847545498755892</v>
      </c>
      <c r="AK63" s="32">
        <f t="shared" si="42"/>
        <v>0.27938311598867344</v>
      </c>
      <c r="AL63" s="32">
        <f t="shared" si="42"/>
        <v>0.240150675120954</v>
      </c>
      <c r="AM63" s="32">
        <f t="shared" si="42"/>
        <v>0.19472112248446469</v>
      </c>
      <c r="AN63" s="32">
        <f t="shared" si="42"/>
        <v>0.15676856124411975</v>
      </c>
      <c r="AO63" s="32">
        <f t="shared" si="42"/>
        <v>0.12524586095812723</v>
      </c>
      <c r="AP63" s="32">
        <f t="shared" si="42"/>
        <v>9.9229520877113925E-2</v>
      </c>
      <c r="AQ63" s="32">
        <f t="shared" si="42"/>
        <v>7.7906951816228587E-2</v>
      </c>
    </row>
    <row r="64" spans="1:43" ht="10.15" customHeight="1" outlineLevel="1">
      <c r="A64" s="33"/>
      <c r="B64" s="31" t="s">
        <v>74</v>
      </c>
      <c r="C64" s="32">
        <f t="shared" ref="C64:AQ64" si="43">EBlackScholesForward($FA$3,C$20,$A$63,C$22,$C$6,$C$6,$C$7,C$21)</f>
        <v>8.4560927631411155E-4</v>
      </c>
      <c r="D64" s="32">
        <f t="shared" si="43"/>
        <v>1.5229002416744571E-3</v>
      </c>
      <c r="E64" s="32">
        <f t="shared" si="43"/>
        <v>2.639634889576381E-3</v>
      </c>
      <c r="F64" s="32">
        <f t="shared" si="43"/>
        <v>4.4040662045339157E-3</v>
      </c>
      <c r="G64" s="32">
        <f t="shared" si="43"/>
        <v>7.0740845353020384E-3</v>
      </c>
      <c r="H64" s="32">
        <f t="shared" si="43"/>
        <v>1.0941895651888035E-2</v>
      </c>
      <c r="I64" s="32">
        <f t="shared" si="43"/>
        <v>1.5858100439711788E-2</v>
      </c>
      <c r="J64" s="32">
        <f t="shared" si="43"/>
        <v>2.2340587579881478E-2</v>
      </c>
      <c r="K64" s="32">
        <f t="shared" si="43"/>
        <v>3.0582810597743787E-2</v>
      </c>
      <c r="L64" s="32">
        <f t="shared" si="43"/>
        <v>4.0674433098731165E-2</v>
      </c>
      <c r="M64" s="32">
        <f t="shared" si="43"/>
        <v>5.2557110467474313E-2</v>
      </c>
      <c r="N64" s="32">
        <f t="shared" si="43"/>
        <v>6.5288729365645976E-2</v>
      </c>
      <c r="O64" s="32">
        <f t="shared" si="43"/>
        <v>7.9232877588117118E-2</v>
      </c>
      <c r="P64" s="32">
        <f t="shared" si="43"/>
        <v>9.391478985442625E-2</v>
      </c>
      <c r="Q64" s="32">
        <f t="shared" si="43"/>
        <v>0.10872236266159824</v>
      </c>
      <c r="R64" s="32">
        <f t="shared" si="43"/>
        <v>0.12295806204604087</v>
      </c>
      <c r="S64" s="32">
        <f t="shared" si="43"/>
        <v>0.13564543604215717</v>
      </c>
      <c r="T64" s="32">
        <f t="shared" si="43"/>
        <v>0.14662423813572134</v>
      </c>
      <c r="U64" s="32">
        <f t="shared" si="43"/>
        <v>0.15531440037305133</v>
      </c>
      <c r="V64" s="32">
        <f t="shared" si="43"/>
        <v>0.16128068252207894</v>
      </c>
      <c r="W64" s="76">
        <f t="shared" si="43"/>
        <v>0.16428017709094611</v>
      </c>
      <c r="X64" s="32">
        <f t="shared" si="43"/>
        <v>0.16429743700773103</v>
      </c>
      <c r="Y64" s="32">
        <f t="shared" si="43"/>
        <v>0.16160145221197297</v>
      </c>
      <c r="Z64" s="32">
        <f t="shared" si="43"/>
        <v>0.15663446976732132</v>
      </c>
      <c r="AA64" s="32">
        <f t="shared" si="43"/>
        <v>0.14993301475627452</v>
      </c>
      <c r="AB64" s="32">
        <f t="shared" si="43"/>
        <v>0.14205683425632731</v>
      </c>
      <c r="AC64" s="32">
        <f t="shared" si="43"/>
        <v>0.13281622646347768</v>
      </c>
      <c r="AD64" s="32">
        <f t="shared" si="43"/>
        <v>0.12309178890219352</v>
      </c>
      <c r="AE64" s="32">
        <f t="shared" si="43"/>
        <v>0.11331067169008635</v>
      </c>
      <c r="AF64" s="32">
        <f t="shared" si="43"/>
        <v>0.1038169012833709</v>
      </c>
      <c r="AG64" s="32">
        <f t="shared" si="43"/>
        <v>9.4863965396767141E-2</v>
      </c>
      <c r="AH64" s="32">
        <f t="shared" si="43"/>
        <v>8.5376788660409708E-2</v>
      </c>
      <c r="AI64" s="32">
        <f t="shared" si="43"/>
        <v>7.6630184284960351E-2</v>
      </c>
      <c r="AJ64" s="32">
        <f t="shared" si="43"/>
        <v>6.8724950224842929E-2</v>
      </c>
      <c r="AK64" s="32">
        <f t="shared" si="43"/>
        <v>6.1700683004283108E-2</v>
      </c>
      <c r="AL64" s="32">
        <f t="shared" si="43"/>
        <v>5.5550013926316963E-2</v>
      </c>
      <c r="AM64" s="32">
        <f t="shared" si="43"/>
        <v>4.8342240373409548E-2</v>
      </c>
      <c r="AN64" s="32">
        <f t="shared" si="43"/>
        <v>4.1725826277274898E-2</v>
      </c>
      <c r="AO64" s="32">
        <f t="shared" si="43"/>
        <v>3.5708206157040998E-2</v>
      </c>
      <c r="AP64" s="32">
        <f t="shared" si="43"/>
        <v>3.0285303773342265E-2</v>
      </c>
      <c r="AQ64" s="32">
        <f t="shared" si="43"/>
        <v>2.5443557059488423E-2</v>
      </c>
    </row>
    <row r="65" spans="1:43" ht="10.15" customHeight="1">
      <c r="A65" s="34">
        <f>A63+$C$12</f>
        <v>45.949999999999982</v>
      </c>
      <c r="B65" s="34" t="s">
        <v>71</v>
      </c>
      <c r="C65" s="35">
        <f t="shared" ref="C65:AQ65" si="44">EBlackScholesForward("p",C$20,$A$65,C$22,$C$6,$C$6,$C$7,C$21)</f>
        <v>1.2581887973874312E-3</v>
      </c>
      <c r="D65" s="35">
        <f t="shared" si="44"/>
        <v>2.5013522024827615E-3</v>
      </c>
      <c r="E65" s="35">
        <f t="shared" si="44"/>
        <v>4.8029143379729432E-3</v>
      </c>
      <c r="F65" s="35">
        <f t="shared" si="44"/>
        <v>8.9105594230941866E-3</v>
      </c>
      <c r="G65" s="35">
        <f t="shared" si="44"/>
        <v>1.5978460303288193E-2</v>
      </c>
      <c r="H65" s="35">
        <f t="shared" si="44"/>
        <v>2.7705791718854521E-2</v>
      </c>
      <c r="I65" s="35">
        <f t="shared" si="44"/>
        <v>4.4495148207003898E-2</v>
      </c>
      <c r="J65" s="35">
        <f t="shared" si="44"/>
        <v>6.9818709831825643E-2</v>
      </c>
      <c r="K65" s="35">
        <f t="shared" si="44"/>
        <v>0.10702034834979902</v>
      </c>
      <c r="L65" s="35">
        <f t="shared" si="44"/>
        <v>0.16023681525523192</v>
      </c>
      <c r="M65" s="35">
        <f t="shared" si="44"/>
        <v>0.23436064038689675</v>
      </c>
      <c r="N65" s="35">
        <f t="shared" si="44"/>
        <v>0.3267559829422042</v>
      </c>
      <c r="O65" s="35">
        <f t="shared" si="44"/>
        <v>0.44792045102803374</v>
      </c>
      <c r="P65" s="35">
        <f t="shared" si="44"/>
        <v>0.60358307948305134</v>
      </c>
      <c r="Q65" s="35">
        <f t="shared" si="44"/>
        <v>0.79949271266156952</v>
      </c>
      <c r="R65" s="35">
        <f t="shared" si="44"/>
        <v>1.0410731016796106</v>
      </c>
      <c r="S65" s="35">
        <f t="shared" si="44"/>
        <v>1.3161361895166956</v>
      </c>
      <c r="T65" s="35">
        <f t="shared" si="44"/>
        <v>1.6425676888626093</v>
      </c>
      <c r="U65" s="35">
        <f t="shared" si="44"/>
        <v>2.0237104676204853</v>
      </c>
      <c r="V65" s="35">
        <f t="shared" si="44"/>
        <v>2.4616916055468336</v>
      </c>
      <c r="W65" s="77">
        <f t="shared" si="44"/>
        <v>2.9076860197945602</v>
      </c>
      <c r="X65" s="35">
        <f t="shared" si="44"/>
        <v>2.4848865955828456</v>
      </c>
      <c r="Y65" s="35">
        <f t="shared" si="44"/>
        <v>2.1186250501619486</v>
      </c>
      <c r="Z65" s="35">
        <f t="shared" si="44"/>
        <v>1.804928468278034</v>
      </c>
      <c r="AA65" s="35">
        <f t="shared" si="44"/>
        <v>1.5390031196800622</v>
      </c>
      <c r="AB65" s="35">
        <f t="shared" si="44"/>
        <v>1.3156125829603453</v>
      </c>
      <c r="AC65" s="35">
        <f t="shared" si="44"/>
        <v>1.1043017502137946</v>
      </c>
      <c r="AD65" s="35">
        <f t="shared" si="44"/>
        <v>0.92846852320955764</v>
      </c>
      <c r="AE65" s="35">
        <f t="shared" si="44"/>
        <v>0.78330121314688639</v>
      </c>
      <c r="AF65" s="35">
        <f t="shared" si="44"/>
        <v>0.66424714239046112</v>
      </c>
      <c r="AG65" s="35">
        <f t="shared" si="44"/>
        <v>0.5671497807369178</v>
      </c>
      <c r="AH65" s="35">
        <f t="shared" si="44"/>
        <v>0.47205373351229951</v>
      </c>
      <c r="AI65" s="35">
        <f t="shared" si="44"/>
        <v>0.39509882861963924</v>
      </c>
      <c r="AJ65" s="35">
        <f t="shared" si="44"/>
        <v>0.33312317487980553</v>
      </c>
      <c r="AK65" s="35">
        <f t="shared" si="44"/>
        <v>0.28340624233012807</v>
      </c>
      <c r="AL65" s="35">
        <f t="shared" si="44"/>
        <v>0.2436556762179975</v>
      </c>
      <c r="AM65" s="35">
        <f t="shared" si="44"/>
        <v>0.19765186367797732</v>
      </c>
      <c r="AN65" s="35">
        <f t="shared" si="44"/>
        <v>0.15920188850595784</v>
      </c>
      <c r="AO65" s="35">
        <f t="shared" si="44"/>
        <v>0.12725095786454746</v>
      </c>
      <c r="AP65" s="35">
        <f t="shared" si="44"/>
        <v>0.10086834142965621</v>
      </c>
      <c r="AQ65" s="35">
        <f t="shared" si="44"/>
        <v>7.9234673297499544E-2</v>
      </c>
    </row>
    <row r="66" spans="1:43" ht="10.15" customHeight="1" outlineLevel="1">
      <c r="A66" s="36"/>
      <c r="B66" s="34" t="s">
        <v>74</v>
      </c>
      <c r="C66" s="35">
        <f>EBlackScholesForward("d",C$20,$A$65,C$22,$C$6,$C$6,$C$7,C$21)</f>
        <v>-5.4841033911882334E-4</v>
      </c>
      <c r="D66" s="35">
        <f t="shared" ref="D66:AQ66" si="45">EBlackScholesForward($FA$3,D$20,$A$65,D$22,$C$6,$C$6,$C$7,D$21)</f>
        <v>1.4965544467888639E-3</v>
      </c>
      <c r="E66" s="35">
        <f t="shared" si="45"/>
        <v>2.5965360376983657E-3</v>
      </c>
      <c r="F66" s="35">
        <f t="shared" si="45"/>
        <v>4.3365686191766291E-3</v>
      </c>
      <c r="G66" s="35">
        <f t="shared" si="45"/>
        <v>6.9729224003946483E-3</v>
      </c>
      <c r="H66" s="35">
        <f t="shared" si="45"/>
        <v>1.0796854587549786E-2</v>
      </c>
      <c r="I66" s="35">
        <f t="shared" si="45"/>
        <v>1.566207235084778E-2</v>
      </c>
      <c r="J66" s="35">
        <f t="shared" si="45"/>
        <v>2.2085079592026834E-2</v>
      </c>
      <c r="K66" s="35">
        <f t="shared" si="45"/>
        <v>3.0262080442151645E-2</v>
      </c>
      <c r="L66" s="35">
        <f t="shared" si="45"/>
        <v>4.0287293656723094E-2</v>
      </c>
      <c r="M66" s="35">
        <f t="shared" si="45"/>
        <v>5.2108520542459569E-2</v>
      </c>
      <c r="N66" s="35">
        <f t="shared" si="45"/>
        <v>6.4789034272221047E-2</v>
      </c>
      <c r="O66" s="35">
        <f t="shared" si="45"/>
        <v>7.8698245517748983E-2</v>
      </c>
      <c r="P66" s="35">
        <f t="shared" si="45"/>
        <v>9.3367918475829703E-2</v>
      </c>
      <c r="Q66" s="35">
        <f t="shared" si="45"/>
        <v>0.10819111216087124</v>
      </c>
      <c r="R66" s="35">
        <f t="shared" si="45"/>
        <v>0.12247311193289157</v>
      </c>
      <c r="S66" s="35">
        <f t="shared" si="45"/>
        <v>0.13523142021300949</v>
      </c>
      <c r="T66" s="35">
        <f t="shared" si="45"/>
        <v>0.14630990393571752</v>
      </c>
      <c r="U66" s="35">
        <f t="shared" si="45"/>
        <v>0.15512406806678891</v>
      </c>
      <c r="V66" s="35">
        <f t="shared" si="45"/>
        <v>0.16123163237061333</v>
      </c>
      <c r="W66" s="77">
        <f t="shared" si="45"/>
        <v>0.1643808802753246</v>
      </c>
      <c r="X66" s="35">
        <f t="shared" si="45"/>
        <v>0.16454515276801507</v>
      </c>
      <c r="Y66" s="35">
        <f t="shared" si="45"/>
        <v>0.16198310988503661</v>
      </c>
      <c r="Z66" s="35">
        <f t="shared" si="45"/>
        <v>0.15713040564893166</v>
      </c>
      <c r="AA66" s="35">
        <f t="shared" si="45"/>
        <v>0.15051981720942109</v>
      </c>
      <c r="AB66" s="35">
        <f t="shared" si="45"/>
        <v>0.14271009142309388</v>
      </c>
      <c r="AC66" s="35">
        <f t="shared" si="45"/>
        <v>0.13352163862328909</v>
      </c>
      <c r="AD66" s="35">
        <f t="shared" si="45"/>
        <v>0.12382740248310531</v>
      </c>
      <c r="AE66" s="35">
        <f t="shared" si="45"/>
        <v>0.1140570721538347</v>
      </c>
      <c r="AF66" s="35">
        <f t="shared" si="45"/>
        <v>0.10455809925695364</v>
      </c>
      <c r="AG66" s="35">
        <f t="shared" si="45"/>
        <v>9.5587720808608945E-2</v>
      </c>
      <c r="AH66" s="35">
        <f t="shared" si="45"/>
        <v>8.6076968714760921E-2</v>
      </c>
      <c r="AI66" s="35">
        <f t="shared" si="45"/>
        <v>7.7298471937496005E-2</v>
      </c>
      <c r="AJ66" s="35">
        <f t="shared" si="45"/>
        <v>6.9356168644703564E-2</v>
      </c>
      <c r="AK66" s="35">
        <f t="shared" si="45"/>
        <v>6.2292341453076633E-2</v>
      </c>
      <c r="AL66" s="35">
        <f t="shared" si="45"/>
        <v>5.6101758631605422E-2</v>
      </c>
      <c r="AM66" s="35">
        <f t="shared" si="45"/>
        <v>4.8849487029885078E-2</v>
      </c>
      <c r="AN66" s="35">
        <f t="shared" si="45"/>
        <v>4.2187313448803922E-2</v>
      </c>
      <c r="AO66" s="35">
        <f t="shared" si="45"/>
        <v>3.6123715022492342E-2</v>
      </c>
      <c r="AP66" s="35">
        <f t="shared" si="45"/>
        <v>3.0655509223817351E-2</v>
      </c>
      <c r="AQ66" s="35">
        <f t="shared" si="45"/>
        <v>2.5769884532962632E-2</v>
      </c>
    </row>
    <row r="67" spans="1:43" ht="10.15" customHeight="1">
      <c r="A67" s="31">
        <f>A65+$C$12</f>
        <v>45.999999999999979</v>
      </c>
      <c r="B67" s="31" t="s">
        <v>71</v>
      </c>
      <c r="C67" s="32">
        <f t="shared" ref="C67:AQ67" si="46">EBlackScholesForward("p",C$20,$A$67,C$22,$C$6,$C$6,$C$7,C$21)</f>
        <v>1.2310595211963216E-3</v>
      </c>
      <c r="D67" s="32">
        <f t="shared" si="46"/>
        <v>2.4494788799215789E-3</v>
      </c>
      <c r="E67" s="32">
        <f t="shared" si="46"/>
        <v>4.7073777312441195E-3</v>
      </c>
      <c r="F67" s="32">
        <f t="shared" si="46"/>
        <v>8.741022336096629E-3</v>
      </c>
      <c r="G67" s="32">
        <f t="shared" si="46"/>
        <v>1.5688472774260314E-2</v>
      </c>
      <c r="H67" s="32">
        <f t="shared" si="46"/>
        <v>2.7227501012101592E-2</v>
      </c>
      <c r="I67" s="32">
        <f t="shared" si="46"/>
        <v>4.3758563114194307E-2</v>
      </c>
      <c r="J67" s="32">
        <f t="shared" si="46"/>
        <v>6.8713661246938895E-2</v>
      </c>
      <c r="K67" s="32">
        <f t="shared" si="46"/>
        <v>0.10540566561788875</v>
      </c>
      <c r="L67" s="32">
        <f t="shared" si="46"/>
        <v>0.15793896456102999</v>
      </c>
      <c r="M67" s="32">
        <f t="shared" si="46"/>
        <v>0.23117541312862688</v>
      </c>
      <c r="N67" s="32">
        <f t="shared" si="46"/>
        <v>0.32251611046071382</v>
      </c>
      <c r="O67" s="32">
        <f t="shared" si="46"/>
        <v>0.44238860499660038</v>
      </c>
      <c r="P67" s="32">
        <f t="shared" si="46"/>
        <v>0.59650937222606848</v>
      </c>
      <c r="Q67" s="32">
        <f t="shared" si="46"/>
        <v>0.79062689579831513</v>
      </c>
      <c r="R67" s="32">
        <f t="shared" si="46"/>
        <v>1.0301786769636891</v>
      </c>
      <c r="S67" s="32">
        <f t="shared" si="46"/>
        <v>1.3030566751331722</v>
      </c>
      <c r="T67" s="32">
        <f t="shared" si="46"/>
        <v>1.6271110232942956</v>
      </c>
      <c r="U67" s="32">
        <f t="shared" si="46"/>
        <v>2.0057275048047689</v>
      </c>
      <c r="V67" s="32">
        <f t="shared" si="46"/>
        <v>2.4410857196216309</v>
      </c>
      <c r="W67" s="76">
        <f t="shared" si="46"/>
        <v>2.9340095052575696</v>
      </c>
      <c r="X67" s="32">
        <f t="shared" si="46"/>
        <v>2.50859365142919</v>
      </c>
      <c r="Y67" s="32">
        <f t="shared" si="46"/>
        <v>2.1398243611355579</v>
      </c>
      <c r="Z67" s="32">
        <f t="shared" si="46"/>
        <v>1.8237761836377797</v>
      </c>
      <c r="AA67" s="32">
        <f t="shared" si="46"/>
        <v>1.5556892286806656</v>
      </c>
      <c r="AB67" s="32">
        <f t="shared" si="46"/>
        <v>1.3303469677336448</v>
      </c>
      <c r="AC67" s="32">
        <f t="shared" si="46"/>
        <v>1.1171706964983397</v>
      </c>
      <c r="AD67" s="32">
        <f t="shared" si="46"/>
        <v>0.93967549160751751</v>
      </c>
      <c r="AE67" s="32">
        <f t="shared" si="46"/>
        <v>0.7930490165820141</v>
      </c>
      <c r="AF67" s="32">
        <f t="shared" si="46"/>
        <v>0.67273026435855554</v>
      </c>
      <c r="AG67" s="32">
        <f t="shared" si="46"/>
        <v>0.57454895493306135</v>
      </c>
      <c r="AH67" s="32">
        <f t="shared" si="46"/>
        <v>0.47840119963701599</v>
      </c>
      <c r="AI67" s="32">
        <f t="shared" si="46"/>
        <v>0.40055149749874963</v>
      </c>
      <c r="AJ67" s="32">
        <f t="shared" si="46"/>
        <v>0.3378218192349573</v>
      </c>
      <c r="AK67" s="32">
        <f t="shared" si="46"/>
        <v>0.28747466805804661</v>
      </c>
      <c r="AL67" s="32">
        <f t="shared" si="46"/>
        <v>0.24720101026125976</v>
      </c>
      <c r="AM67" s="32">
        <f t="shared" si="46"/>
        <v>0.20061775870869708</v>
      </c>
      <c r="AN67" s="32">
        <f t="shared" si="46"/>
        <v>0.16166562149789709</v>
      </c>
      <c r="AO67" s="32">
        <f t="shared" si="46"/>
        <v>0.12928214350187081</v>
      </c>
      <c r="AP67" s="32">
        <f t="shared" si="46"/>
        <v>0.10252935805095902</v>
      </c>
      <c r="AQ67" s="32">
        <f t="shared" si="46"/>
        <v>8.0581110211559337E-2</v>
      </c>
    </row>
    <row r="68" spans="1:43" ht="10.15" customHeight="1" outlineLevel="1">
      <c r="A68" s="33"/>
      <c r="B68" s="31" t="s">
        <v>74</v>
      </c>
      <c r="C68" s="32">
        <f t="shared" ref="C68:AQ68" si="47">EBlackScholesForward($FA$3,C$20,$A$67,C$22,$C$6,$C$6,$C$7,C$21)</f>
        <v>8.1503278221988613E-4</v>
      </c>
      <c r="D68" s="32">
        <f t="shared" si="47"/>
        <v>1.4706397726461438E-3</v>
      </c>
      <c r="E68" s="32">
        <f t="shared" si="47"/>
        <v>2.5540937135848981E-3</v>
      </c>
      <c r="F68" s="32">
        <f t="shared" si="47"/>
        <v>4.2700195984124601E-3</v>
      </c>
      <c r="G68" s="32">
        <f t="shared" si="47"/>
        <v>6.8730577336612144E-3</v>
      </c>
      <c r="H68" s="32">
        <f t="shared" si="47"/>
        <v>1.0653488828452566E-2</v>
      </c>
      <c r="I68" s="32">
        <f t="shared" si="47"/>
        <v>1.5468081928324148E-2</v>
      </c>
      <c r="J68" s="32">
        <f t="shared" si="47"/>
        <v>2.1831913611119427E-2</v>
      </c>
      <c r="K68" s="32">
        <f t="shared" si="47"/>
        <v>2.9943870659739039E-2</v>
      </c>
      <c r="L68" s="32">
        <f t="shared" si="47"/>
        <v>3.9902655582465682E-2</v>
      </c>
      <c r="M68" s="32">
        <f t="shared" si="47"/>
        <v>5.1662154923007547E-2</v>
      </c>
      <c r="N68" s="32">
        <f t="shared" si="47"/>
        <v>6.4291056974084188E-2</v>
      </c>
      <c r="O68" s="32">
        <f t="shared" si="47"/>
        <v>7.8164531930790482E-2</v>
      </c>
      <c r="P68" s="32">
        <f t="shared" si="47"/>
        <v>9.2820895108266299E-2</v>
      </c>
      <c r="Q68" s="32">
        <f t="shared" si="47"/>
        <v>0.10765843287665233</v>
      </c>
      <c r="R68" s="32">
        <f t="shared" si="47"/>
        <v>0.1219853531966833</v>
      </c>
      <c r="S68" s="32">
        <f t="shared" si="47"/>
        <v>0.13481321656760092</v>
      </c>
      <c r="T68" s="32">
        <f t="shared" si="47"/>
        <v>0.14599010117985667</v>
      </c>
      <c r="U68" s="32">
        <f t="shared" si="47"/>
        <v>0.15492721433137324</v>
      </c>
      <c r="V68" s="32">
        <f t="shared" si="47"/>
        <v>0.16117534475432582</v>
      </c>
      <c r="W68" s="76">
        <f t="shared" si="47"/>
        <v>0.16447403748272249</v>
      </c>
      <c r="X68" s="32">
        <f t="shared" si="47"/>
        <v>0.16478552373331734</v>
      </c>
      <c r="Y68" s="32">
        <f t="shared" si="47"/>
        <v>0.16235800797372146</v>
      </c>
      <c r="Z68" s="32">
        <f t="shared" si="47"/>
        <v>0.15762045640633648</v>
      </c>
      <c r="AA68" s="32">
        <f t="shared" si="47"/>
        <v>0.15110178614769088</v>
      </c>
      <c r="AB68" s="32">
        <f t="shared" si="47"/>
        <v>0.14335963458168111</v>
      </c>
      <c r="AC68" s="32">
        <f t="shared" si="47"/>
        <v>0.13422445399800714</v>
      </c>
      <c r="AD68" s="32">
        <f t="shared" si="47"/>
        <v>0.12456150274186834</v>
      </c>
      <c r="AE68" s="32">
        <f t="shared" si="47"/>
        <v>0.1148029460748593</v>
      </c>
      <c r="AF68" s="32">
        <f t="shared" si="47"/>
        <v>0.1052996207151693</v>
      </c>
      <c r="AG68" s="32">
        <f t="shared" si="47"/>
        <v>9.6312494580485547E-2</v>
      </c>
      <c r="AH68" s="32">
        <f t="shared" si="47"/>
        <v>8.6778809504831217E-2</v>
      </c>
      <c r="AI68" s="32">
        <f t="shared" si="47"/>
        <v>7.7968914517076549E-2</v>
      </c>
      <c r="AJ68" s="32">
        <f t="shared" si="47"/>
        <v>6.9989895369528765E-2</v>
      </c>
      <c r="AK68" s="32">
        <f t="shared" si="47"/>
        <v>6.2886736811598107E-2</v>
      </c>
      <c r="AL68" s="32">
        <f t="shared" si="47"/>
        <v>5.6656364661186495E-2</v>
      </c>
      <c r="AM68" s="32">
        <f t="shared" si="47"/>
        <v>4.9359743033140085E-2</v>
      </c>
      <c r="AN68" s="32">
        <f t="shared" si="47"/>
        <v>4.2651876596872397E-2</v>
      </c>
      <c r="AO68" s="32">
        <f t="shared" si="47"/>
        <v>3.6542294325779254E-2</v>
      </c>
      <c r="AP68" s="32">
        <f t="shared" si="47"/>
        <v>3.1028717205465482E-2</v>
      </c>
      <c r="AQ68" s="32">
        <f t="shared" si="47"/>
        <v>2.6099094309152106E-2</v>
      </c>
    </row>
    <row r="69" spans="1:43" ht="10.15" customHeight="1">
      <c r="A69" s="34">
        <f>A67+$C$12</f>
        <v>46.049999999999976</v>
      </c>
      <c r="B69" s="34" t="s">
        <v>71</v>
      </c>
      <c r="C69" s="35">
        <f t="shared" ref="C69:AQ69" si="48">EBlackScholesForward("p",C$20,$A$69,C$22,$C$6,$C$6,$C$7,C$21)</f>
        <v>1.2045045302836674E-3</v>
      </c>
      <c r="D69" s="35">
        <f t="shared" si="48"/>
        <v>2.3986573954746567E-3</v>
      </c>
      <c r="E69" s="35">
        <f t="shared" si="48"/>
        <v>4.6136907827325265E-3</v>
      </c>
      <c r="F69" s="35">
        <f t="shared" si="48"/>
        <v>8.5746088353286839E-3</v>
      </c>
      <c r="G69" s="35">
        <f t="shared" si="48"/>
        <v>1.5403552136114131E-2</v>
      </c>
      <c r="H69" s="35">
        <f t="shared" si="48"/>
        <v>2.6757107960632919E-2</v>
      </c>
      <c r="I69" s="35">
        <f t="shared" si="48"/>
        <v>4.303355792137796E-2</v>
      </c>
      <c r="J69" s="35">
        <f t="shared" si="48"/>
        <v>6.7625088768285935E-2</v>
      </c>
      <c r="K69" s="35">
        <f t="shared" si="48"/>
        <v>0.10381372421694811</v>
      </c>
      <c r="L69" s="35">
        <f t="shared" si="48"/>
        <v>0.15567155970112442</v>
      </c>
      <c r="M69" s="35">
        <f t="shared" si="48"/>
        <v>0.22802972386370171</v>
      </c>
      <c r="N69" s="35">
        <f t="shared" si="48"/>
        <v>0.31832584450900053</v>
      </c>
      <c r="O69" s="35">
        <f t="shared" si="48"/>
        <v>0.43691747733170755</v>
      </c>
      <c r="P69" s="35">
        <f t="shared" si="48"/>
        <v>0.58950815217619801</v>
      </c>
      <c r="Q69" s="35">
        <f t="shared" si="48"/>
        <v>0.78184548247403363</v>
      </c>
      <c r="R69" s="35">
        <f t="shared" si="48"/>
        <v>1.0193801300234695</v>
      </c>
      <c r="S69" s="35">
        <f t="shared" si="48"/>
        <v>1.2900839764788847</v>
      </c>
      <c r="T69" s="35">
        <f t="shared" si="48"/>
        <v>1.6117708113492875</v>
      </c>
      <c r="U69" s="35">
        <f t="shared" si="48"/>
        <v>1.9878687971985003</v>
      </c>
      <c r="V69" s="35">
        <f t="shared" si="48"/>
        <v>2.4206096320277615</v>
      </c>
      <c r="W69" s="77">
        <f t="shared" si="48"/>
        <v>2.9604658137258104</v>
      </c>
      <c r="X69" s="35">
        <f t="shared" si="48"/>
        <v>2.5324332270988075</v>
      </c>
      <c r="Y69" s="35">
        <f t="shared" si="48"/>
        <v>2.1611534329760569</v>
      </c>
      <c r="Z69" s="35">
        <f t="shared" si="48"/>
        <v>1.8427488455693379</v>
      </c>
      <c r="AA69" s="35">
        <f t="shared" si="48"/>
        <v>1.5724939068737671</v>
      </c>
      <c r="AB69" s="35">
        <f t="shared" si="48"/>
        <v>1.3451924970937952</v>
      </c>
      <c r="AC69" s="35">
        <f t="shared" si="48"/>
        <v>1.1301433014437523</v>
      </c>
      <c r="AD69" s="35">
        <f t="shared" si="48"/>
        <v>0.95097809159991031</v>
      </c>
      <c r="AE69" s="35">
        <f t="shared" si="48"/>
        <v>0.80288426919456557</v>
      </c>
      <c r="AF69" s="35">
        <f t="shared" si="48"/>
        <v>0.68129281415663168</v>
      </c>
      <c r="AG69" s="35">
        <f t="shared" si="48"/>
        <v>0.58201993373093219</v>
      </c>
      <c r="AH69" s="35">
        <f t="shared" si="48"/>
        <v>0.48481311339211453</v>
      </c>
      <c r="AI69" s="35">
        <f t="shared" si="48"/>
        <v>0.40606173510035654</v>
      </c>
      <c r="AJ69" s="35">
        <f t="shared" si="48"/>
        <v>0.34257174205426261</v>
      </c>
      <c r="AK69" s="35">
        <f t="shared" si="48"/>
        <v>0.29158872653479734</v>
      </c>
      <c r="AL69" s="35">
        <f t="shared" si="48"/>
        <v>0.25078698804402716</v>
      </c>
      <c r="AM69" s="35">
        <f t="shared" si="48"/>
        <v>0.20361909829753919</v>
      </c>
      <c r="AN69" s="35">
        <f t="shared" si="48"/>
        <v>0.16416002906179422</v>
      </c>
      <c r="AO69" s="35">
        <f t="shared" si="48"/>
        <v>0.13133966372239725</v>
      </c>
      <c r="AP69" s="35">
        <f t="shared" si="48"/>
        <v>0.10421279310385097</v>
      </c>
      <c r="AQ69" s="35">
        <f t="shared" si="48"/>
        <v>8.1946461460000189E-2</v>
      </c>
    </row>
    <row r="70" spans="1:43" ht="10.15" customHeight="1" outlineLevel="1">
      <c r="A70" s="36"/>
      <c r="B70" s="34" t="s">
        <v>74</v>
      </c>
      <c r="C70" s="35">
        <f t="shared" ref="C70:AQ70" si="49">EBlackScholesForward($FA$3,C$20,$A$69,C$22,$C$6,$C$6,$C$7,C$21)</f>
        <v>8.0014370882583799E-4</v>
      </c>
      <c r="D70" s="35">
        <f t="shared" si="49"/>
        <v>1.4451497328404703E-3</v>
      </c>
      <c r="E70" s="35">
        <f t="shared" si="49"/>
        <v>2.5122989560851074E-3</v>
      </c>
      <c r="F70" s="35">
        <f t="shared" si="49"/>
        <v>4.2044076205024743E-3</v>
      </c>
      <c r="G70" s="35">
        <f t="shared" si="49"/>
        <v>6.7744768908565636E-3</v>
      </c>
      <c r="H70" s="35">
        <f t="shared" si="49"/>
        <v>1.0511783759201613E-2</v>
      </c>
      <c r="I70" s="35">
        <f t="shared" si="49"/>
        <v>1.527611509013823E-2</v>
      </c>
      <c r="J70" s="35">
        <f t="shared" si="49"/>
        <v>2.1581078442873075E-2</v>
      </c>
      <c r="K70" s="35">
        <f t="shared" si="49"/>
        <v>2.9628175807373591E-2</v>
      </c>
      <c r="L70" s="35">
        <f t="shared" si="49"/>
        <v>3.952052214555668E-2</v>
      </c>
      <c r="M70" s="35">
        <f t="shared" si="49"/>
        <v>5.1218028078276218E-2</v>
      </c>
      <c r="N70" s="35">
        <f t="shared" si="49"/>
        <v>6.3794824416392171E-2</v>
      </c>
      <c r="O70" s="35">
        <f t="shared" si="49"/>
        <v>7.7631776794845481E-2</v>
      </c>
      <c r="P70" s="35">
        <f t="shared" si="49"/>
        <v>9.2273771590714621E-2</v>
      </c>
      <c r="Q70" s="35">
        <f t="shared" si="49"/>
        <v>0.10712438553759318</v>
      </c>
      <c r="R70" s="35">
        <f t="shared" si="49"/>
        <v>0.12149485087491163</v>
      </c>
      <c r="S70" s="35">
        <f t="shared" si="49"/>
        <v>0.13439089027820561</v>
      </c>
      <c r="T70" s="35">
        <f t="shared" si="49"/>
        <v>0.14566488925877397</v>
      </c>
      <c r="U70" s="35">
        <f t="shared" si="49"/>
        <v>0.15472388695812578</v>
      </c>
      <c r="V70" s="35">
        <f t="shared" si="49"/>
        <v>0.16111185102622261</v>
      </c>
      <c r="W70" s="77">
        <f t="shared" si="49"/>
        <v>0.1645596604976034</v>
      </c>
      <c r="X70" s="35">
        <f t="shared" si="49"/>
        <v>0.16501854144753136</v>
      </c>
      <c r="Y70" s="35">
        <f t="shared" si="49"/>
        <v>0.16272611982178431</v>
      </c>
      <c r="Z70" s="35">
        <f t="shared" si="49"/>
        <v>0.15810458081721979</v>
      </c>
      <c r="AA70" s="35">
        <f t="shared" si="49"/>
        <v>0.15167887022050119</v>
      </c>
      <c r="AB70" s="35">
        <f t="shared" si="49"/>
        <v>0.14400540674316986</v>
      </c>
      <c r="AC70" s="35">
        <f t="shared" si="49"/>
        <v>0.13492461194709582</v>
      </c>
      <c r="AD70" s="35">
        <f t="shared" si="49"/>
        <v>0.12529402902227954</v>
      </c>
      <c r="AE70" s="35">
        <f t="shared" si="49"/>
        <v>0.11554823569621525</v>
      </c>
      <c r="AF70" s="35">
        <f t="shared" si="49"/>
        <v>0.10604141284571283</v>
      </c>
      <c r="AG70" s="35">
        <f t="shared" si="49"/>
        <v>9.703824003344072E-2</v>
      </c>
      <c r="AH70" s="35">
        <f t="shared" si="49"/>
        <v>8.7482270579807841E-2</v>
      </c>
      <c r="AI70" s="35">
        <f t="shared" si="49"/>
        <v>7.8641478286503197E-2</v>
      </c>
      <c r="AJ70" s="35">
        <f t="shared" si="49"/>
        <v>7.0626103304545412E-2</v>
      </c>
      <c r="AK70" s="35">
        <f t="shared" si="49"/>
        <v>6.3483848155065511E-2</v>
      </c>
      <c r="AL70" s="35">
        <f t="shared" si="49"/>
        <v>5.7213816541518608E-2</v>
      </c>
      <c r="AM70" s="35">
        <f t="shared" si="49"/>
        <v>4.9872998573761693E-2</v>
      </c>
      <c r="AN70" s="35">
        <f t="shared" si="49"/>
        <v>4.3119511135102956E-2</v>
      </c>
      <c r="AO70" s="35">
        <f t="shared" si="49"/>
        <v>3.6963944155310513E-2</v>
      </c>
      <c r="AP70" s="35">
        <f t="shared" si="49"/>
        <v>3.1404931859008132E-2</v>
      </c>
      <c r="AQ70" s="35">
        <f t="shared" si="49"/>
        <v>2.6431193914176997E-2</v>
      </c>
    </row>
    <row r="71" spans="1:43" ht="10.15" customHeight="1">
      <c r="A71" s="31">
        <f>A69+$C$12</f>
        <v>46.099999999999973</v>
      </c>
      <c r="B71" s="31" t="s">
        <v>71</v>
      </c>
      <c r="C71" s="32">
        <f t="shared" ref="C71:AQ71" si="50">EBlackScholesForward("p",C$20,$A$71,C$22,$C$6,$C$6,$C$7,C$21)</f>
        <v>1.178511955937836E-3</v>
      </c>
      <c r="D71" s="32">
        <f t="shared" si="50"/>
        <v>2.3488670382234714E-3</v>
      </c>
      <c r="E71" s="32">
        <f t="shared" si="50"/>
        <v>4.5218189343130127E-3</v>
      </c>
      <c r="F71" s="32">
        <f t="shared" si="50"/>
        <v>8.4112637855129277E-3</v>
      </c>
      <c r="G71" s="32">
        <f t="shared" si="50"/>
        <v>1.5123614285933659E-2</v>
      </c>
      <c r="H71" s="32">
        <f t="shared" si="50"/>
        <v>2.6294489907351233E-2</v>
      </c>
      <c r="I71" s="32">
        <f t="shared" si="50"/>
        <v>4.2319963318785021E-2</v>
      </c>
      <c r="J71" s="32">
        <f t="shared" si="50"/>
        <v>6.6552766945629185E-2</v>
      </c>
      <c r="K71" s="32">
        <f t="shared" si="50"/>
        <v>0.10224423480135493</v>
      </c>
      <c r="L71" s="32">
        <f t="shared" si="50"/>
        <v>0.15343424305096962</v>
      </c>
      <c r="M71" s="32">
        <f t="shared" si="50"/>
        <v>0.22492314723208814</v>
      </c>
      <c r="N71" s="32">
        <f t="shared" si="50"/>
        <v>0.31418469523890641</v>
      </c>
      <c r="O71" s="32">
        <f t="shared" si="50"/>
        <v>0.43150652348239787</v>
      </c>
      <c r="P71" s="32">
        <f t="shared" si="50"/>
        <v>0.58257883614661243</v>
      </c>
      <c r="Q71" s="32">
        <f t="shared" si="50"/>
        <v>0.77314787245095529</v>
      </c>
      <c r="R71" s="32">
        <f t="shared" si="50"/>
        <v>1.008676868970146</v>
      </c>
      <c r="S71" s="32">
        <f t="shared" si="50"/>
        <v>1.277217528782467</v>
      </c>
      <c r="T71" s="32">
        <f t="shared" si="50"/>
        <v>1.5965465423112795</v>
      </c>
      <c r="U71" s="32">
        <f t="shared" si="50"/>
        <v>1.9701339130883633</v>
      </c>
      <c r="V71" s="32">
        <f t="shared" si="50"/>
        <v>2.4002630104137066</v>
      </c>
      <c r="W71" s="76">
        <f t="shared" si="50"/>
        <v>2.9870547259322899</v>
      </c>
      <c r="X71" s="32">
        <f t="shared" si="50"/>
        <v>2.5564052216035935</v>
      </c>
      <c r="Y71" s="32">
        <f t="shared" si="50"/>
        <v>2.1826122769587779</v>
      </c>
      <c r="Z71" s="32">
        <f t="shared" si="50"/>
        <v>1.8618465649571361</v>
      </c>
      <c r="AA71" s="32">
        <f t="shared" si="50"/>
        <v>1.5894173478043612</v>
      </c>
      <c r="AB71" s="32">
        <f t="shared" si="50"/>
        <v>1.3601494284192159</v>
      </c>
      <c r="AC71" s="32">
        <f t="shared" si="50"/>
        <v>1.1432198786990087</v>
      </c>
      <c r="AD71" s="32">
        <f t="shared" si="50"/>
        <v>0.96237667601194532</v>
      </c>
      <c r="AE71" s="32">
        <f t="shared" si="50"/>
        <v>0.81280734704805213</v>
      </c>
      <c r="AF71" s="32">
        <f t="shared" si="50"/>
        <v>0.68993517729648324</v>
      </c>
      <c r="AG71" s="32">
        <f t="shared" si="50"/>
        <v>0.58956310095941933</v>
      </c>
      <c r="AH71" s="32">
        <f t="shared" si="50"/>
        <v>0.49128985618382204</v>
      </c>
      <c r="AI71" s="32">
        <f t="shared" si="50"/>
        <v>0.41162991216125477</v>
      </c>
      <c r="AJ71" s="32">
        <f t="shared" si="50"/>
        <v>0.34737329748761664</v>
      </c>
      <c r="AK71" s="32">
        <f t="shared" si="50"/>
        <v>0.29574875152956254</v>
      </c>
      <c r="AL71" s="32">
        <f t="shared" si="50"/>
        <v>0.25441392094925663</v>
      </c>
      <c r="AM71" s="32">
        <f t="shared" si="50"/>
        <v>0.20665617396957647</v>
      </c>
      <c r="AN71" s="32">
        <f t="shared" si="50"/>
        <v>0.16668538100779051</v>
      </c>
      <c r="AO71" s="32">
        <f t="shared" si="50"/>
        <v>0.13342376546366899</v>
      </c>
      <c r="AP71" s="32">
        <f t="shared" si="50"/>
        <v>0.10591887011011655</v>
      </c>
      <c r="AQ71" s="32">
        <f t="shared" si="50"/>
        <v>8.3330927138271921E-2</v>
      </c>
    </row>
    <row r="72" spans="1:43" ht="10.15" customHeight="1" outlineLevel="1">
      <c r="A72" s="33"/>
      <c r="B72" s="31" t="s">
        <v>74</v>
      </c>
      <c r="C72" s="32">
        <f t="shared" ref="C72:AQ72" si="51">EBlackScholesForward($FA$3,C$20,$A$71,C$22,$C$6,$C$6,$C$7,C$21)</f>
        <v>7.8551495136491086E-4</v>
      </c>
      <c r="D72" s="32">
        <f t="shared" si="51"/>
        <v>1.4200779255353416E-3</v>
      </c>
      <c r="E72" s="32">
        <f t="shared" si="51"/>
        <v>2.4711429035118556E-3</v>
      </c>
      <c r="F72" s="32">
        <f t="shared" si="51"/>
        <v>4.1397212654853141E-3</v>
      </c>
      <c r="G72" s="32">
        <f t="shared" si="51"/>
        <v>6.6771663103394737E-3</v>
      </c>
      <c r="H72" s="32">
        <f t="shared" si="51"/>
        <v>1.0371724798831959E-2</v>
      </c>
      <c r="I72" s="32">
        <f t="shared" si="51"/>
        <v>1.5086157714473761E-2</v>
      </c>
      <c r="J72" s="32">
        <f t="shared" si="51"/>
        <v>2.133256274894002E-2</v>
      </c>
      <c r="K72" s="32">
        <f t="shared" si="51"/>
        <v>2.931499017239584E-2</v>
      </c>
      <c r="L72" s="32">
        <f t="shared" si="51"/>
        <v>3.914089621670222E-2</v>
      </c>
      <c r="M72" s="32">
        <f t="shared" si="51"/>
        <v>5.0776153969009724E-2</v>
      </c>
      <c r="N72" s="32">
        <f t="shared" si="51"/>
        <v>6.3300362958233047E-2</v>
      </c>
      <c r="O72" s="32">
        <f t="shared" si="51"/>
        <v>7.7100019472417208E-2</v>
      </c>
      <c r="P72" s="32">
        <f t="shared" si="51"/>
        <v>9.1726599213889759E-2</v>
      </c>
      <c r="Q72" s="32">
        <f t="shared" si="51"/>
        <v>0.10658903046200247</v>
      </c>
      <c r="R72" s="32">
        <f t="shared" si="51"/>
        <v>0.12100166980373223</v>
      </c>
      <c r="S72" s="32">
        <f t="shared" si="51"/>
        <v>0.13396450656760883</v>
      </c>
      <c r="T72" s="32">
        <f t="shared" si="51"/>
        <v>0.14533432789617906</v>
      </c>
      <c r="U72" s="32">
        <f t="shared" si="51"/>
        <v>0.1545141343476526</v>
      </c>
      <c r="V72" s="32">
        <f t="shared" si="51"/>
        <v>0.16104118337988282</v>
      </c>
      <c r="W72" s="76">
        <f t="shared" si="51"/>
        <v>0.16463776209965708</v>
      </c>
      <c r="X72" s="32">
        <f t="shared" si="51"/>
        <v>0.16524419848585237</v>
      </c>
      <c r="Y72" s="32">
        <f t="shared" si="51"/>
        <v>0.16308741974565732</v>
      </c>
      <c r="Z72" s="32">
        <f t="shared" si="51"/>
        <v>0.15858273850036131</v>
      </c>
      <c r="AA72" s="32">
        <f t="shared" si="51"/>
        <v>0.15225101874307767</v>
      </c>
      <c r="AB72" s="32">
        <f t="shared" si="51"/>
        <v>0.14464735139441776</v>
      </c>
      <c r="AC72" s="32">
        <f t="shared" si="51"/>
        <v>0.13562205212195844</v>
      </c>
      <c r="AD72" s="32">
        <f t="shared" si="51"/>
        <v>0.12602492078573813</v>
      </c>
      <c r="AE72" s="32">
        <f t="shared" si="51"/>
        <v>0.11629288322851977</v>
      </c>
      <c r="AF72" s="32">
        <f t="shared" si="51"/>
        <v>0.10678342268617425</v>
      </c>
      <c r="AG72" s="32">
        <f t="shared" si="51"/>
        <v>9.7764910254957343E-2</v>
      </c>
      <c r="AH72" s="32">
        <f t="shared" si="51"/>
        <v>8.8187311182518963E-2</v>
      </c>
      <c r="AI72" s="32">
        <f t="shared" si="51"/>
        <v>7.9316129158686077E-2</v>
      </c>
      <c r="AJ72" s="32">
        <f t="shared" si="51"/>
        <v>7.1264764987029633E-2</v>
      </c>
      <c r="AK72" s="32">
        <f t="shared" si="51"/>
        <v>6.4083654192768486E-2</v>
      </c>
      <c r="AL72" s="32">
        <f t="shared" si="51"/>
        <v>5.7774098449442507E-2</v>
      </c>
      <c r="AM72" s="32">
        <f t="shared" si="51"/>
        <v>5.038924350322091E-2</v>
      </c>
      <c r="AN72" s="32">
        <f t="shared" si="51"/>
        <v>4.3590212159638181E-2</v>
      </c>
      <c r="AO72" s="32">
        <f t="shared" si="51"/>
        <v>3.7388664312383343E-2</v>
      </c>
      <c r="AP72" s="32">
        <f t="shared" si="51"/>
        <v>3.1784157074818485E-2</v>
      </c>
      <c r="AQ72" s="32">
        <f t="shared" si="51"/>
        <v>2.6766190664704047E-2</v>
      </c>
    </row>
    <row r="73" spans="1:43" ht="10.15" customHeight="1">
      <c r="A73" s="34">
        <f>A71+$C$12</f>
        <v>46.14999999999997</v>
      </c>
      <c r="B73" s="34" t="s">
        <v>71</v>
      </c>
      <c r="C73" s="35">
        <f t="shared" ref="C73:AQ73" si="52">EBlackScholesForward("p",C$20,$A$73,C$22,$C$6,$C$6,$C$7,C$21)</f>
        <v>1.1530701670785179E-3</v>
      </c>
      <c r="D73" s="35">
        <f t="shared" si="52"/>
        <v>2.3000874893371486E-3</v>
      </c>
      <c r="E73" s="35">
        <f t="shared" si="52"/>
        <v>4.4317282430030979E-3</v>
      </c>
      <c r="F73" s="35">
        <f t="shared" si="52"/>
        <v>8.2509329683145022E-3</v>
      </c>
      <c r="G73" s="35">
        <f t="shared" si="52"/>
        <v>1.4848576418181027E-2</v>
      </c>
      <c r="H73" s="35">
        <f t="shared" si="52"/>
        <v>2.5839525935561436E-2</v>
      </c>
      <c r="I73" s="35">
        <f t="shared" si="52"/>
        <v>4.1617612212310827E-2</v>
      </c>
      <c r="J73" s="35">
        <f t="shared" si="52"/>
        <v>6.5496473018500104E-2</v>
      </c>
      <c r="K73" s="35">
        <f t="shared" si="52"/>
        <v>0.1006969111277202</v>
      </c>
      <c r="L73" s="35">
        <f t="shared" si="52"/>
        <v>0.15122666036839222</v>
      </c>
      <c r="M73" s="35">
        <f t="shared" si="52"/>
        <v>0.22185526133471883</v>
      </c>
      <c r="N73" s="35">
        <f t="shared" si="52"/>
        <v>0.31009217615873502</v>
      </c>
      <c r="O73" s="35">
        <f t="shared" si="52"/>
        <v>0.42615520187341482</v>
      </c>
      <c r="P73" s="35">
        <f t="shared" si="52"/>
        <v>0.57572084325577777</v>
      </c>
      <c r="Q73" s="35">
        <f t="shared" si="52"/>
        <v>0.76453346686194035</v>
      </c>
      <c r="R73" s="35">
        <f t="shared" si="52"/>
        <v>0.99806830215158204</v>
      </c>
      <c r="S73" s="35">
        <f t="shared" si="52"/>
        <v>1.2644567662675117</v>
      </c>
      <c r="T73" s="35">
        <f t="shared" si="52"/>
        <v>1.5814377031611317</v>
      </c>
      <c r="U73" s="35">
        <f t="shared" si="52"/>
        <v>1.9525224172217293</v>
      </c>
      <c r="V73" s="35">
        <f t="shared" si="52"/>
        <v>2.3800455178282616</v>
      </c>
      <c r="W73" s="77">
        <f t="shared" si="52"/>
        <v>3.0137760172196555</v>
      </c>
      <c r="X73" s="35">
        <f t="shared" si="52"/>
        <v>2.5805095282053516</v>
      </c>
      <c r="Y73" s="35">
        <f t="shared" si="52"/>
        <v>2.204200898597596</v>
      </c>
      <c r="Z73" s="35">
        <f t="shared" si="52"/>
        <v>1.88106944720917</v>
      </c>
      <c r="AA73" s="35">
        <f t="shared" si="52"/>
        <v>1.6064597400446594</v>
      </c>
      <c r="AB73" s="35">
        <f t="shared" si="52"/>
        <v>1.3752180147523592</v>
      </c>
      <c r="AC73" s="35">
        <f t="shared" si="52"/>
        <v>1.1564007382105521</v>
      </c>
      <c r="AD73" s="35">
        <f t="shared" si="52"/>
        <v>0.97387159465204587</v>
      </c>
      <c r="AE73" s="35">
        <f t="shared" si="52"/>
        <v>0.82281862386812465</v>
      </c>
      <c r="AF73" s="35">
        <f t="shared" si="52"/>
        <v>0.69865773757987815</v>
      </c>
      <c r="AG73" s="35">
        <f t="shared" si="52"/>
        <v>0.59717883928627913</v>
      </c>
      <c r="AH73" s="35">
        <f t="shared" si="52"/>
        <v>0.49783180876769006</v>
      </c>
      <c r="AI73" s="35">
        <f t="shared" si="52"/>
        <v>0.41725639919838547</v>
      </c>
      <c r="AJ73" s="35">
        <f t="shared" si="52"/>
        <v>0.35222683980991654</v>
      </c>
      <c r="AK73" s="35">
        <f t="shared" si="52"/>
        <v>0.29995507719781045</v>
      </c>
      <c r="AL73" s="35">
        <f t="shared" si="52"/>
        <v>0.25808212093207772</v>
      </c>
      <c r="AM73" s="35">
        <f t="shared" si="52"/>
        <v>0.20972927803934821</v>
      </c>
      <c r="AN73" s="35">
        <f t="shared" si="52"/>
        <v>0.16924194810245338</v>
      </c>
      <c r="AO73" s="35">
        <f t="shared" si="52"/>
        <v>0.13553469673940508</v>
      </c>
      <c r="AP73" s="35">
        <f t="shared" si="52"/>
        <v>0.10764781374408913</v>
      </c>
      <c r="AQ73" s="35">
        <f t="shared" si="52"/>
        <v>8.4734708531731429E-2</v>
      </c>
    </row>
    <row r="74" spans="1:43" ht="10.15" customHeight="1" outlineLevel="1">
      <c r="A74" s="36"/>
      <c r="B74" s="34" t="s">
        <v>74</v>
      </c>
      <c r="C74" s="35">
        <f t="shared" ref="C74:AQ74" si="53">EBlackScholesForward($FA$3,C$20,$A$73,C$22,$C$6,$C$6,$C$7,C$21)</f>
        <v>7.7114224025069764E-4</v>
      </c>
      <c r="D74" s="35">
        <f t="shared" si="53"/>
        <v>1.3954180326623054E-3</v>
      </c>
      <c r="E74" s="35">
        <f t="shared" si="53"/>
        <v>2.4306167930518065E-3</v>
      </c>
      <c r="F74" s="35">
        <f t="shared" si="53"/>
        <v>4.07594921512466E-3</v>
      </c>
      <c r="G74" s="35">
        <f t="shared" si="53"/>
        <v>6.581112513926071E-3</v>
      </c>
      <c r="H74" s="35">
        <f t="shared" si="53"/>
        <v>1.0233297402888796E-2</v>
      </c>
      <c r="I74" s="35">
        <f t="shared" si="53"/>
        <v>1.4898195643150931E-2</v>
      </c>
      <c r="J74" s="35">
        <f t="shared" si="53"/>
        <v>2.1086355051693893E-2</v>
      </c>
      <c r="K74" s="35">
        <f t="shared" si="53"/>
        <v>2.9004307778348802E-2</v>
      </c>
      <c r="L74" s="35">
        <f t="shared" si="53"/>
        <v>3.8763780273654472E-2</v>
      </c>
      <c r="M74" s="35">
        <f t="shared" si="53"/>
        <v>5.0336546052680606E-2</v>
      </c>
      <c r="N74" s="35">
        <f t="shared" si="53"/>
        <v>6.2807698376062621E-2</v>
      </c>
      <c r="O74" s="35">
        <f t="shared" si="53"/>
        <v>7.6569298721610252E-2</v>
      </c>
      <c r="P74" s="35">
        <f t="shared" si="53"/>
        <v>9.1179428717412331E-2</v>
      </c>
      <c r="Q74" s="35">
        <f t="shared" si="53"/>
        <v>0.1060524275512254</v>
      </c>
      <c r="R74" s="35">
        <f t="shared" si="53"/>
        <v>0.12050587460798484</v>
      </c>
      <c r="S74" s="35">
        <f t="shared" si="53"/>
        <v>0.13353413069632847</v>
      </c>
      <c r="T74" s="35">
        <f t="shared" si="53"/>
        <v>0.14499847713467617</v>
      </c>
      <c r="U74" s="35">
        <f t="shared" si="53"/>
        <v>0.15429800549591033</v>
      </c>
      <c r="V74" s="35">
        <f t="shared" si="53"/>
        <v>0.16096337483756917</v>
      </c>
      <c r="W74" s="77">
        <f t="shared" si="53"/>
        <v>0.164708356055419</v>
      </c>
      <c r="X74" s="35">
        <f t="shared" si="53"/>
        <v>0.16546248845093992</v>
      </c>
      <c r="Y74" s="35">
        <f t="shared" si="53"/>
        <v>0.16344188303493778</v>
      </c>
      <c r="Z74" s="35">
        <f t="shared" si="53"/>
        <v>0.15905488991990968</v>
      </c>
      <c r="AA74" s="35">
        <f t="shared" si="53"/>
        <v>0.15281818170335315</v>
      </c>
      <c r="AB74" s="35">
        <f t="shared" si="53"/>
        <v>0.14528541250640115</v>
      </c>
      <c r="AC74" s="35">
        <f t="shared" si="53"/>
        <v>0.13631671447530946</v>
      </c>
      <c r="AD74" s="35">
        <f t="shared" si="53"/>
        <v>0.1267541176207102</v>
      </c>
      <c r="AE74" s="35">
        <f t="shared" si="53"/>
        <v>0.11703683085883748</v>
      </c>
      <c r="AF74" s="35">
        <f t="shared" si="53"/>
        <v>0.10752559713183313</v>
      </c>
      <c r="AG74" s="35">
        <f t="shared" si="53"/>
        <v>9.8492458105484071E-2</v>
      </c>
      <c r="AH74" s="35">
        <f t="shared" si="53"/>
        <v>8.8893890254718805E-2</v>
      </c>
      <c r="AI74" s="35">
        <f t="shared" si="53"/>
        <v>7.9992832700607891E-2</v>
      </c>
      <c r="AJ74" s="35">
        <f t="shared" si="53"/>
        <v>7.1905852589039199E-2</v>
      </c>
      <c r="AK74" s="35">
        <f t="shared" si="53"/>
        <v>6.4686133269731966E-2</v>
      </c>
      <c r="AL74" s="35">
        <f t="shared" si="53"/>
        <v>5.8337194212986568E-2</v>
      </c>
      <c r="AM74" s="35">
        <f t="shared" si="53"/>
        <v>5.0908467333801902E-2</v>
      </c>
      <c r="AN74" s="35">
        <f t="shared" si="53"/>
        <v>4.4063974448291326E-2</v>
      </c>
      <c r="AO74" s="35">
        <f t="shared" si="53"/>
        <v>3.781645430971195E-2</v>
      </c>
      <c r="AP74" s="35">
        <f t="shared" si="53"/>
        <v>3.2166396490972977E-2</v>
      </c>
      <c r="AQ74" s="35">
        <f t="shared" si="53"/>
        <v>2.7104091665677368E-2</v>
      </c>
    </row>
    <row r="75" spans="1:43" ht="10.15" customHeight="1">
      <c r="A75" s="31">
        <f>A73+$C$12</f>
        <v>46.199999999999967</v>
      </c>
      <c r="B75" s="31" t="s">
        <v>71</v>
      </c>
      <c r="C75" s="32">
        <f t="shared" ref="C75:AQ75" si="54">EBlackScholesForward("p",C$20,$A$75,C$22,$C$6,$C$6,$C$7,C$21)</f>
        <v>1.1281677657002051E-3</v>
      </c>
      <c r="D75" s="32">
        <f t="shared" si="54"/>
        <v>2.252298815045007E-3</v>
      </c>
      <c r="E75" s="32">
        <f t="shared" si="54"/>
        <v>4.3433853707488769E-3</v>
      </c>
      <c r="F75" s="32">
        <f t="shared" si="54"/>
        <v>8.0935630683869088E-3</v>
      </c>
      <c r="G75" s="32">
        <f t="shared" si="54"/>
        <v>1.4578357006849892E-2</v>
      </c>
      <c r="H75" s="32">
        <f t="shared" si="54"/>
        <v>2.5392096847726892E-2</v>
      </c>
      <c r="I75" s="32">
        <f t="shared" si="54"/>
        <v>4.0926339699759305E-2</v>
      </c>
      <c r="J75" s="32">
        <f t="shared" si="54"/>
        <v>6.4455986891757619E-2</v>
      </c>
      <c r="K75" s="32">
        <f t="shared" si="54"/>
        <v>9.9171470032388381E-2</v>
      </c>
      <c r="L75" s="32">
        <f t="shared" si="54"/>
        <v>0.14904846077618125</v>
      </c>
      <c r="M75" s="32">
        <f t="shared" si="54"/>
        <v>0.21882564772441393</v>
      </c>
      <c r="N75" s="32">
        <f t="shared" si="54"/>
        <v>0.30604780413481059</v>
      </c>
      <c r="O75" s="32">
        <f t="shared" si="54"/>
        <v>0.42086297391969768</v>
      </c>
      <c r="P75" s="32">
        <f t="shared" si="54"/>
        <v>0.56893359495592233</v>
      </c>
      <c r="Q75" s="32">
        <f t="shared" si="54"/>
        <v>0.75600166825228687</v>
      </c>
      <c r="R75" s="32">
        <f t="shared" si="54"/>
        <v>0.98755383820513876</v>
      </c>
      <c r="S75" s="32">
        <f t="shared" si="54"/>
        <v>1.2518011222140477</v>
      </c>
      <c r="T75" s="32">
        <f t="shared" si="54"/>
        <v>1.5664437786426049</v>
      </c>
      <c r="U75" s="32">
        <f t="shared" si="54"/>
        <v>1.9350338708714554</v>
      </c>
      <c r="V75" s="32">
        <f t="shared" si="54"/>
        <v>2.3599568127790067</v>
      </c>
      <c r="W75" s="76">
        <f t="shared" si="54"/>
        <v>3.040629457587773</v>
      </c>
      <c r="X75" s="32">
        <f t="shared" si="54"/>
        <v>2.604746034448898</v>
      </c>
      <c r="Y75" s="32">
        <f t="shared" si="54"/>
        <v>2.2259192976629558</v>
      </c>
      <c r="Z75" s="32">
        <f t="shared" si="54"/>
        <v>1.9004175922609596</v>
      </c>
      <c r="AA75" s="32">
        <f t="shared" si="54"/>
        <v>1.6236212671864763</v>
      </c>
      <c r="AB75" s="32">
        <f t="shared" si="54"/>
        <v>1.3903985047832403</v>
      </c>
      <c r="AC75" s="32">
        <f t="shared" si="54"/>
        <v>1.169686186198408</v>
      </c>
      <c r="AD75" s="32">
        <f t="shared" si="54"/>
        <v>0.9854631942831209</v>
      </c>
      <c r="AE75" s="32">
        <f t="shared" si="54"/>
        <v>0.8329184710114792</v>
      </c>
      <c r="AF75" s="32">
        <f t="shared" si="54"/>
        <v>0.70746087706724226</v>
      </c>
      <c r="AG75" s="32">
        <f t="shared" si="54"/>
        <v>0.60486753018808226</v>
      </c>
      <c r="AH75" s="32">
        <f t="shared" si="54"/>
        <v>0.50443935121977956</v>
      </c>
      <c r="AI75" s="32">
        <f t="shared" si="54"/>
        <v>0.42294156648227199</v>
      </c>
      <c r="AJ75" s="32">
        <f t="shared" si="54"/>
        <v>0.3571327233973462</v>
      </c>
      <c r="AK75" s="32">
        <f t="shared" si="54"/>
        <v>0.30420803806065078</v>
      </c>
      <c r="AL75" s="32">
        <f t="shared" si="54"/>
        <v>0.2617919005022103</v>
      </c>
      <c r="AM75" s="32">
        <f t="shared" si="54"/>
        <v>0.21283870359603074</v>
      </c>
      <c r="AN75" s="32">
        <f t="shared" si="54"/>
        <v>0.17183000205678622</v>
      </c>
      <c r="AO75" s="32">
        <f t="shared" si="54"/>
        <v>0.13767270663029468</v>
      </c>
      <c r="AP75" s="32">
        <f t="shared" si="54"/>
        <v>0.10939984982610608</v>
      </c>
      <c r="AQ75" s="32">
        <f t="shared" si="54"/>
        <v>8.6158008111558215E-2</v>
      </c>
    </row>
    <row r="76" spans="1:43" ht="11.25" customHeight="1" outlineLevel="1">
      <c r="A76" s="33"/>
      <c r="B76" s="31" t="s">
        <v>74</v>
      </c>
      <c r="C76" s="32">
        <f t="shared" ref="C76:AQ76" si="55">EBlackScholesForward($FA$3,C$20,$A$75,C$22,$C$6,$C$6,$C$7,C$21)</f>
        <v>7.5702136918903403E-4</v>
      </c>
      <c r="D76" s="32">
        <f t="shared" si="55"/>
        <v>1.3711638191202398E-3</v>
      </c>
      <c r="E76" s="32">
        <f t="shared" si="55"/>
        <v>2.3907119601674566E-3</v>
      </c>
      <c r="F76" s="32">
        <f t="shared" si="55"/>
        <v>4.0130802528320743E-3</v>
      </c>
      <c r="G76" s="32">
        <f t="shared" si="55"/>
        <v>6.4863021077059407E-3</v>
      </c>
      <c r="H76" s="32">
        <f t="shared" si="55"/>
        <v>1.0096487065454487E-2</v>
      </c>
      <c r="I76" s="32">
        <f t="shared" si="55"/>
        <v>1.4712214685015511E-2</v>
      </c>
      <c r="J76" s="32">
        <f t="shared" si="55"/>
        <v>2.0842443738946743E-2</v>
      </c>
      <c r="K76" s="32">
        <f t="shared" si="55"/>
        <v>2.8696122390666524E-2</v>
      </c>
      <c r="L76" s="32">
        <f t="shared" si="55"/>
        <v>3.8389176407144544E-2</v>
      </c>
      <c r="M76" s="32">
        <f t="shared" si="55"/>
        <v>4.9899217288653194E-2</v>
      </c>
      <c r="N76" s="32">
        <f t="shared" si="55"/>
        <v>6.2316855867249846E-2</v>
      </c>
      <c r="O76" s="32">
        <f t="shared" si="55"/>
        <v>7.6039652696972243E-2</v>
      </c>
      <c r="P76" s="32">
        <f t="shared" si="55"/>
        <v>9.0632310287177525E-2</v>
      </c>
      <c r="Q76" s="32">
        <f t="shared" si="55"/>
        <v>0.10551463628323848</v>
      </c>
      <c r="R76" s="32">
        <f t="shared" si="55"/>
        <v>0.12000752969135764</v>
      </c>
      <c r="S76" s="32">
        <f t="shared" si="55"/>
        <v>0.13309982795001807</v>
      </c>
      <c r="T76" s="32">
        <f t="shared" si="55"/>
        <v>0.14465739732166871</v>
      </c>
      <c r="U76" s="32">
        <f t="shared" si="55"/>
        <v>0.15407554998030859</v>
      </c>
      <c r="V76" s="32">
        <f t="shared" si="55"/>
        <v>0.16087845923827482</v>
      </c>
      <c r="W76" s="76">
        <f t="shared" si="55"/>
        <v>0.16477145710977936</v>
      </c>
      <c r="X76" s="32">
        <f t="shared" si="55"/>
        <v>0.16567340596878188</v>
      </c>
      <c r="Y76" s="32">
        <f t="shared" si="55"/>
        <v>0.16378948595273513</v>
      </c>
      <c r="Z76" s="32">
        <f t="shared" si="55"/>
        <v>0.15952099638935691</v>
      </c>
      <c r="AA76" s="32">
        <f t="shared" si="55"/>
        <v>0.15338030976860773</v>
      </c>
      <c r="AB76" s="32">
        <f t="shared" si="55"/>
        <v>0.14591953454243645</v>
      </c>
      <c r="AC76" s="32">
        <f t="shared" si="55"/>
        <v>0.13700853927048484</v>
      </c>
      <c r="AD76" s="32">
        <f t="shared" si="55"/>
        <v>0.12748155925219418</v>
      </c>
      <c r="AE76" s="32">
        <f t="shared" si="55"/>
        <v>0.1177800207595664</v>
      </c>
      <c r="AF76" s="32">
        <f t="shared" si="55"/>
        <v>0.10826788294350903</v>
      </c>
      <c r="AG76" s="32">
        <f t="shared" si="55"/>
        <v>9.9220836224986786E-2</v>
      </c>
      <c r="AH76" s="32">
        <f t="shared" si="55"/>
        <v>8.9601966442402398E-2</v>
      </c>
      <c r="AI76" s="32">
        <f t="shared" si="55"/>
        <v>8.0671554137354717E-2</v>
      </c>
      <c r="AJ76" s="32">
        <f t="shared" si="55"/>
        <v>7.2549337920213064E-2</v>
      </c>
      <c r="AK76" s="32">
        <f t="shared" si="55"/>
        <v>6.5291263368446054E-2</v>
      </c>
      <c r="AL76" s="32">
        <f t="shared" si="55"/>
        <v>5.8903087312233635E-2</v>
      </c>
      <c r="AM76" s="32">
        <f t="shared" si="55"/>
        <v>5.1430659238561605E-2</v>
      </c>
      <c r="AN76" s="32">
        <f t="shared" si="55"/>
        <v>4.4540792459740061E-2</v>
      </c>
      <c r="AO76" s="32">
        <f t="shared" si="55"/>
        <v>3.8247313369988288E-2</v>
      </c>
      <c r="AP76" s="32">
        <f t="shared" si="55"/>
        <v>3.2551653491330129E-2</v>
      </c>
      <c r="AQ76" s="32">
        <f t="shared" si="55"/>
        <v>2.7444903808066631E-2</v>
      </c>
    </row>
    <row r="77" spans="1:43" ht="10.15" customHeight="1">
      <c r="A77" s="34">
        <f>A75+$C$12</f>
        <v>46.249999999999964</v>
      </c>
      <c r="B77" s="34" t="s">
        <v>71</v>
      </c>
      <c r="C77" s="35">
        <f t="shared" ref="C77:AQ77" si="56">EBlackScholesForward("p",C$20,$A$77,C$22,$C$6,$C$6,$C$7,C$21)</f>
        <v>1.1037935823976226E-3</v>
      </c>
      <c r="D77" s="35">
        <f t="shared" si="56"/>
        <v>2.2054814597254222E-3</v>
      </c>
      <c r="E77" s="35">
        <f t="shared" si="56"/>
        <v>4.2567575743617065E-3</v>
      </c>
      <c r="F77" s="35">
        <f t="shared" si="56"/>
        <v>7.9391016596009317E-3</v>
      </c>
      <c r="G77" s="35">
        <f t="shared" si="56"/>
        <v>1.4312875787819541E-2</v>
      </c>
      <c r="H77" s="35">
        <f t="shared" si="56"/>
        <v>2.4952085144414826E-2</v>
      </c>
      <c r="I77" s="35">
        <f t="shared" si="56"/>
        <v>4.0245983047236693E-2</v>
      </c>
      <c r="J77" s="35">
        <f t="shared" si="56"/>
        <v>6.3431091111222332E-2</v>
      </c>
      <c r="K77" s="35">
        <f t="shared" si="56"/>
        <v>9.7667631408891981E-2</v>
      </c>
      <c r="L77" s="35">
        <f t="shared" si="56"/>
        <v>0.14689929674450447</v>
      </c>
      <c r="M77" s="35">
        <f t="shared" si="56"/>
        <v>0.21583389139646328</v>
      </c>
      <c r="N77" s="35">
        <f t="shared" si="56"/>
        <v>0.30205109939253322</v>
      </c>
      <c r="O77" s="35">
        <f t="shared" si="56"/>
        <v>0.41562930404025139</v>
      </c>
      <c r="P77" s="35">
        <f t="shared" si="56"/>
        <v>0.56221651506080261</v>
      </c>
      <c r="Q77" s="35">
        <f t="shared" si="56"/>
        <v>0.74755188062085431</v>
      </c>
      <c r="R77" s="35">
        <f t="shared" si="56"/>
        <v>0.97713288610985649</v>
      </c>
      <c r="S77" s="35">
        <f t="shared" si="56"/>
        <v>1.2392500290196145</v>
      </c>
      <c r="T77" s="35">
        <f t="shared" si="56"/>
        <v>1.5515642513278833</v>
      </c>
      <c r="U77" s="35">
        <f t="shared" si="56"/>
        <v>1.9176678319005551</v>
      </c>
      <c r="V77" s="35">
        <f t="shared" si="56"/>
        <v>2.339996549290936</v>
      </c>
      <c r="W77" s="77">
        <f t="shared" si="56"/>
        <v>3.0676148117417279</v>
      </c>
      <c r="X77" s="35">
        <f t="shared" si="56"/>
        <v>2.6291146221956967</v>
      </c>
      <c r="Y77" s="35">
        <f t="shared" si="56"/>
        <v>2.247767468200518</v>
      </c>
      <c r="Z77" s="35">
        <f t="shared" si="56"/>
        <v>1.9198910945803067</v>
      </c>
      <c r="AA77" s="35">
        <f t="shared" si="56"/>
        <v>1.6409021078341341</v>
      </c>
      <c r="AB77" s="35">
        <f t="shared" si="56"/>
        <v>1.4056911428335646</v>
      </c>
      <c r="AC77" s="35">
        <f t="shared" si="56"/>
        <v>1.183076525132716</v>
      </c>
      <c r="AD77" s="35">
        <f t="shared" si="56"/>
        <v>0.99715181859421909</v>
      </c>
      <c r="AE77" s="35">
        <f t="shared" si="56"/>
        <v>0.84310725743512394</v>
      </c>
      <c r="AF77" s="35">
        <f t="shared" si="56"/>
        <v>0.71634497604649339</v>
      </c>
      <c r="AG77" s="35">
        <f t="shared" si="56"/>
        <v>0.61262955392022567</v>
      </c>
      <c r="AH77" s="35">
        <f t="shared" si="56"/>
        <v>0.51111286290787095</v>
      </c>
      <c r="AI77" s="35">
        <f t="shared" si="56"/>
        <v>0.42868578401044843</v>
      </c>
      <c r="AJ77" s="35">
        <f t="shared" si="56"/>
        <v>0.362091302703618</v>
      </c>
      <c r="AK77" s="35">
        <f t="shared" si="56"/>
        <v>0.30850796898413074</v>
      </c>
      <c r="AL77" s="35">
        <f t="shared" si="56"/>
        <v>0.26554357270625528</v>
      </c>
      <c r="AM77" s="35">
        <f t="shared" si="56"/>
        <v>0.21598474448848973</v>
      </c>
      <c r="AN77" s="35">
        <f t="shared" si="56"/>
        <v>0.17444981551409103</v>
      </c>
      <c r="AO77" s="35">
        <f t="shared" si="56"/>
        <v>0.13983804527464511</v>
      </c>
      <c r="AP77" s="35">
        <f t="shared" si="56"/>
        <v>0.111175205315813</v>
      </c>
      <c r="AQ77" s="35">
        <f t="shared" si="56"/>
        <v>8.760102953053045E-2</v>
      </c>
    </row>
    <row r="78" spans="1:43" ht="10.15" customHeight="1" outlineLevel="1">
      <c r="A78" s="36"/>
      <c r="B78" s="34" t="s">
        <v>74</v>
      </c>
      <c r="C78" s="35">
        <f t="shared" ref="C78:AQ78" si="57">EBlackScholesForward($FA$3,C$20,$A$77,C$22,$C$6,$C$6,$C$7,C$21)</f>
        <v>7.4314819440130452E-4</v>
      </c>
      <c r="D78" s="35">
        <f t="shared" si="57"/>
        <v>1.347309131974773E-3</v>
      </c>
      <c r="E78" s="35">
        <f t="shared" si="57"/>
        <v>2.3514198379887205E-3</v>
      </c>
      <c r="F78" s="35">
        <f t="shared" si="57"/>
        <v>3.9511032635683252E-3</v>
      </c>
      <c r="G78" s="35">
        <f t="shared" si="57"/>
        <v>6.392721782817812E-3</v>
      </c>
      <c r="H78" s="35">
        <f t="shared" si="57"/>
        <v>9.961279321121716E-3</v>
      </c>
      <c r="I78" s="35">
        <f t="shared" si="57"/>
        <v>1.4528200619265534E-2</v>
      </c>
      <c r="J78" s="35">
        <f t="shared" si="57"/>
        <v>2.0600817068613726E-2</v>
      </c>
      <c r="K78" s="35">
        <f t="shared" si="57"/>
        <v>2.8390427522317997E-2</v>
      </c>
      <c r="L78" s="35">
        <f t="shared" si="57"/>
        <v>3.8017086326801432E-2</v>
      </c>
      <c r="M78" s="35">
        <f t="shared" si="57"/>
        <v>4.94641801433887E-2</v>
      </c>
      <c r="N78" s="35">
        <f t="shared" si="57"/>
        <v>6.182786005368382E-2</v>
      </c>
      <c r="O78" s="35">
        <f t="shared" si="57"/>
        <v>7.551111895045437E-2</v>
      </c>
      <c r="P78" s="35">
        <f t="shared" si="57"/>
        <v>9.0085293552852969E-2</v>
      </c>
      <c r="Q78" s="35">
        <f t="shared" si="57"/>
        <v>0.10497571570642544</v>
      </c>
      <c r="R78" s="35">
        <f t="shared" si="57"/>
        <v>0.119506699226757</v>
      </c>
      <c r="S78" s="35">
        <f t="shared" si="57"/>
        <v>0.13266166362697873</v>
      </c>
      <c r="T78" s="35">
        <f t="shared" si="57"/>
        <v>0.14431114909529197</v>
      </c>
      <c r="U78" s="35">
        <f t="shared" si="57"/>
        <v>0.15384681794576305</v>
      </c>
      <c r="V78" s="35">
        <f t="shared" si="57"/>
        <v>0.1607864712256819</v>
      </c>
      <c r="W78" s="77">
        <f t="shared" si="57"/>
        <v>0.16482708097729892</v>
      </c>
      <c r="X78" s="35">
        <f t="shared" si="57"/>
        <v>0.16587694668447361</v>
      </c>
      <c r="Y78" s="35">
        <f t="shared" si="57"/>
        <v>0.16413020573569725</v>
      </c>
      <c r="Z78" s="35">
        <f t="shared" si="57"/>
        <v>0.15998102007534454</v>
      </c>
      <c r="AA78" s="35">
        <f t="shared" si="57"/>
        <v>0.1539373542920256</v>
      </c>
      <c r="AB78" s="35">
        <f t="shared" si="57"/>
        <v>0.14654966246630619</v>
      </c>
      <c r="AC78" s="35">
        <f t="shared" si="57"/>
        <v>0.13769746709062258</v>
      </c>
      <c r="AD78" s="35">
        <f t="shared" si="57"/>
        <v>0.12820718555110372</v>
      </c>
      <c r="AE78" s="35">
        <f t="shared" si="57"/>
        <v>0.11852239509730633</v>
      </c>
      <c r="AF78" s="35">
        <f t="shared" si="57"/>
        <v>0.10901022675542427</v>
      </c>
      <c r="AG78" s="35">
        <f t="shared" si="57"/>
        <v>9.9949997039552929E-2</v>
      </c>
      <c r="AH78" s="35">
        <f t="shared" si="57"/>
        <v>9.0311498101193238E-2</v>
      </c>
      <c r="AI78" s="35">
        <f t="shared" si="57"/>
        <v>8.1352258356192059E-2</v>
      </c>
      <c r="AJ78" s="35">
        <f t="shared" si="57"/>
        <v>7.319519243063527E-2</v>
      </c>
      <c r="AK78" s="35">
        <f t="shared" si="57"/>
        <v>6.589902211066874E-2</v>
      </c>
      <c r="AL78" s="35">
        <f t="shared" si="57"/>
        <v>5.9471760880253674E-2</v>
      </c>
      <c r="AM78" s="35">
        <f t="shared" si="57"/>
        <v>5.1955808051365571E-2</v>
      </c>
      <c r="AN78" s="35">
        <f t="shared" si="57"/>
        <v>4.5020660332772272E-2</v>
      </c>
      <c r="AO78" s="35">
        <f t="shared" si="57"/>
        <v>3.8681240424487E-2</v>
      </c>
      <c r="AP78" s="35">
        <f t="shared" si="57"/>
        <v>3.2939931203647743E-2</v>
      </c>
      <c r="AQ78" s="35">
        <f t="shared" si="57"/>
        <v>2.7788633766640453E-2</v>
      </c>
    </row>
    <row r="79" spans="1:43" ht="10.15" customHeight="1">
      <c r="A79" s="31">
        <f>A77+$C$12</f>
        <v>46.299999999999962</v>
      </c>
      <c r="B79" s="31" t="s">
        <v>71</v>
      </c>
      <c r="C79" s="32">
        <f t="shared" ref="C79:AQ79" si="58">EBlackScholesForward("p",C$20,$A$79,C$22,$C$6,$C$6,$C$7,C$21)</f>
        <v>1.0799366719721059E-3</v>
      </c>
      <c r="D79" s="32">
        <f t="shared" si="58"/>
        <v>2.159616239108415E-3</v>
      </c>
      <c r="E79" s="32">
        <f t="shared" si="58"/>
        <v>4.1718126956060333E-3</v>
      </c>
      <c r="F79" s="32">
        <f t="shared" si="58"/>
        <v>7.7874971914541199E-3</v>
      </c>
      <c r="G79" s="32">
        <f t="shared" si="58"/>
        <v>1.4052053741403042E-2</v>
      </c>
      <c r="H79" s="32">
        <f t="shared" si="58"/>
        <v>2.4519375003426928E-2</v>
      </c>
      <c r="I79" s="32">
        <f t="shared" si="58"/>
        <v>3.9576381665691017E-2</v>
      </c>
      <c r="J79" s="32">
        <f t="shared" si="58"/>
        <v>6.2421570839381303E-2</v>
      </c>
      <c r="K79" s="32">
        <f t="shared" si="58"/>
        <v>9.6185118185369317E-2</v>
      </c>
      <c r="L79" s="32">
        <f t="shared" si="58"/>
        <v>0.14477882407312906</v>
      </c>
      <c r="M79" s="32">
        <f t="shared" si="58"/>
        <v>0.21287958077887467</v>
      </c>
      <c r="N79" s="32">
        <f t="shared" si="58"/>
        <v>0.2981015855169481</v>
      </c>
      <c r="O79" s="32">
        <f t="shared" si="58"/>
        <v>0.41045365967138048</v>
      </c>
      <c r="P79" s="32">
        <f t="shared" si="58"/>
        <v>0.55556902977275702</v>
      </c>
      <c r="Q79" s="32">
        <f t="shared" si="58"/>
        <v>0.73918350946047129</v>
      </c>
      <c r="R79" s="32">
        <f t="shared" si="58"/>
        <v>0.96680485523805859</v>
      </c>
      <c r="S79" s="32">
        <f t="shared" si="58"/>
        <v>1.2268029182597902</v>
      </c>
      <c r="T79" s="32">
        <f t="shared" si="58"/>
        <v>1.5367986016827051</v>
      </c>
      <c r="U79" s="32">
        <f t="shared" si="58"/>
        <v>1.9004238548268721</v>
      </c>
      <c r="V79" s="32">
        <f t="shared" si="58"/>
        <v>2.3201643769652867</v>
      </c>
      <c r="W79" s="76">
        <f t="shared" si="58"/>
        <v>3.0947318391402385</v>
      </c>
      <c r="X79" s="32">
        <f t="shared" si="58"/>
        <v>2.6536151676581849</v>
      </c>
      <c r="Y79" s="32">
        <f t="shared" si="58"/>
        <v>2.2697453985505036</v>
      </c>
      <c r="Z79" s="32">
        <f t="shared" si="58"/>
        <v>1.9394900431726865</v>
      </c>
      <c r="AA79" s="32">
        <f t="shared" si="58"/>
        <v>1.658302435598183</v>
      </c>
      <c r="AB79" s="32">
        <f t="shared" si="58"/>
        <v>1.421096168841419</v>
      </c>
      <c r="AC79" s="32">
        <f t="shared" si="58"/>
        <v>1.1965720537108149</v>
      </c>
      <c r="AD79" s="32">
        <f t="shared" si="58"/>
        <v>1.0089378081725744</v>
      </c>
      <c r="AE79" s="32">
        <f t="shared" si="58"/>
        <v>0.85338534966585733</v>
      </c>
      <c r="AF79" s="32">
        <f t="shared" si="58"/>
        <v>0.72531041300212873</v>
      </c>
      <c r="AG79" s="32">
        <f t="shared" si="58"/>
        <v>0.62046528948708946</v>
      </c>
      <c r="AH79" s="32">
        <f t="shared" si="58"/>
        <v>0.51785272246274294</v>
      </c>
      <c r="AI79" s="32">
        <f t="shared" si="58"/>
        <v>0.43448942148087666</v>
      </c>
      <c r="AJ79" s="32">
        <f t="shared" si="58"/>
        <v>0.36710293223615065</v>
      </c>
      <c r="AK79" s="32">
        <f t="shared" si="58"/>
        <v>0.31285520515842707</v>
      </c>
      <c r="AL79" s="32">
        <f t="shared" si="58"/>
        <v>0.26933745110990304</v>
      </c>
      <c r="AM79" s="32">
        <f t="shared" si="58"/>
        <v>0.21916769531021063</v>
      </c>
      <c r="AN79" s="32">
        <f t="shared" si="58"/>
        <v>0.17710166203770619</v>
      </c>
      <c r="AO79" s="32">
        <f t="shared" si="58"/>
        <v>0.14203096385888775</v>
      </c>
      <c r="AP79" s="32">
        <f t="shared" si="58"/>
        <v>0.1129741083053305</v>
      </c>
      <c r="AQ79" s="32">
        <f t="shared" si="58"/>
        <v>8.9063977618669368E-2</v>
      </c>
    </row>
    <row r="80" spans="1:43" ht="10.15" customHeight="1" outlineLevel="1">
      <c r="A80" s="33"/>
      <c r="B80" s="31" t="s">
        <v>74</v>
      </c>
      <c r="C80" s="32">
        <f t="shared" ref="C80:AQ80" si="59">EBlackScholesForward($FA$3,C$20,$A$79,C$22,$C$6,$C$6,$C$7,C$21)</f>
        <v>7.2951863385294232E-4</v>
      </c>
      <c r="D80" s="32">
        <f t="shared" si="59"/>
        <v>1.3238478996584033E-3</v>
      </c>
      <c r="E80" s="32">
        <f t="shared" si="59"/>
        <v>2.3127319566967576E-3</v>
      </c>
      <c r="F80" s="32">
        <f t="shared" si="59"/>
        <v>3.8900072337203734E-3</v>
      </c>
      <c r="G80" s="32">
        <f t="shared" si="59"/>
        <v>6.3003583161870269E-3</v>
      </c>
      <c r="H80" s="32">
        <f t="shared" si="59"/>
        <v>9.8276597469147877E-3</v>
      </c>
      <c r="I80" s="32">
        <f t="shared" si="59"/>
        <v>1.4346139198712622E-2</v>
      </c>
      <c r="J80" s="32">
        <f t="shared" si="59"/>
        <v>2.0361463173305526E-2</v>
      </c>
      <c r="K80" s="32">
        <f t="shared" si="59"/>
        <v>2.8087216439402249E-2</v>
      </c>
      <c r="L80" s="32">
        <f t="shared" si="59"/>
        <v>3.7647511367046652E-2</v>
      </c>
      <c r="M80" s="32">
        <f t="shared" si="59"/>
        <v>4.9031446595667855E-2</v>
      </c>
      <c r="N80" s="32">
        <f t="shared" si="59"/>
        <v>6.1340734985463857E-2</v>
      </c>
      <c r="O80" s="32">
        <f t="shared" si="59"/>
        <v>7.4983734432517657E-2</v>
      </c>
      <c r="P80" s="32">
        <f t="shared" si="59"/>
        <v>8.9538427585580949E-2</v>
      </c>
      <c r="Q80" s="32">
        <f t="shared" si="59"/>
        <v>0.10443572443351451</v>
      </c>
      <c r="R80" s="32">
        <f t="shared" si="59"/>
        <v>0.11900344714682093</v>
      </c>
      <c r="S80" s="32">
        <f t="shared" si="59"/>
        <v>0.13221970302582897</v>
      </c>
      <c r="T80" s="32">
        <f t="shared" si="59"/>
        <v>0.14395979337048193</v>
      </c>
      <c r="U80" s="32">
        <f t="shared" si="59"/>
        <v>0.15361186009079475</v>
      </c>
      <c r="V80" s="32">
        <f t="shared" si="59"/>
        <v>0.16068744623599418</v>
      </c>
      <c r="W80" s="76">
        <f t="shared" si="59"/>
        <v>0.164875244333343</v>
      </c>
      <c r="X80" s="32">
        <f t="shared" si="59"/>
        <v>0.1660731072576751</v>
      </c>
      <c r="Y80" s="32">
        <f t="shared" si="59"/>
        <v>0.16446402059394338</v>
      </c>
      <c r="Z80" s="32">
        <f t="shared" si="59"/>
        <v>0.16043492400127635</v>
      </c>
      <c r="AA80" s="32">
        <f t="shared" si="59"/>
        <v>0.15448926731900503</v>
      </c>
      <c r="AB80" s="32">
        <f t="shared" si="59"/>
        <v>0.14717574175019321</v>
      </c>
      <c r="AC80" s="32">
        <f t="shared" si="59"/>
        <v>0.13838343884778703</v>
      </c>
      <c r="AD80" s="32">
        <f t="shared" si="59"/>
        <v>0.12893093654363946</v>
      </c>
      <c r="AE80" s="32">
        <f t="shared" si="59"/>
        <v>0.11926389604170301</v>
      </c>
      <c r="AF80" s="32">
        <f t="shared" si="59"/>
        <v>0.10975257508307013</v>
      </c>
      <c r="AG80" s="32">
        <f t="shared" si="59"/>
        <v>0.10067989276802569</v>
      </c>
      <c r="AH80" s="32">
        <f t="shared" si="59"/>
        <v>9.1022443301761458E-2</v>
      </c>
      <c r="AI80" s="32">
        <f t="shared" si="59"/>
        <v>8.2034909910730897E-2</v>
      </c>
      <c r="AJ80" s="32">
        <f t="shared" si="59"/>
        <v>7.3843387213761102E-2</v>
      </c>
      <c r="AK80" s="32">
        <f t="shared" si="59"/>
        <v>6.650938675928228E-2</v>
      </c>
      <c r="AL80" s="32">
        <f t="shared" si="59"/>
        <v>6.004319770407926E-2</v>
      </c>
      <c r="AM80" s="32">
        <f t="shared" si="59"/>
        <v>5.2483902266959079E-2</v>
      </c>
      <c r="AN80" s="32">
        <f t="shared" si="59"/>
        <v>4.550357188558303E-2</v>
      </c>
      <c r="AO80" s="32">
        <f t="shared" si="59"/>
        <v>3.9118234111714327E-2</v>
      </c>
      <c r="AP80" s="32">
        <f t="shared" si="59"/>
        <v>3.3331232497726113E-2</v>
      </c>
      <c r="AQ80" s="32">
        <f t="shared" si="59"/>
        <v>2.8135287997766906E-2</v>
      </c>
    </row>
    <row r="81" spans="1:43" ht="10.15" customHeight="1">
      <c r="A81" s="34">
        <f>A79+$C$12</f>
        <v>46.349999999999959</v>
      </c>
      <c r="B81" s="34" t="s">
        <v>71</v>
      </c>
      <c r="C81" s="35">
        <f t="shared" ref="C81:AQ81" si="60">EBlackScholesForward("p",C$20,$A$81,C$22,$C$6,$C$6,$C$7,C$21)</f>
        <v>1.0565863091174343E-3</v>
      </c>
      <c r="D81" s="35">
        <f t="shared" si="60"/>
        <v>2.1146843335919522E-3</v>
      </c>
      <c r="E81" s="35">
        <f t="shared" si="60"/>
        <v>4.0885191514352616E-3</v>
      </c>
      <c r="F81" s="35">
        <f t="shared" si="60"/>
        <v>7.6386989756596401E-3</v>
      </c>
      <c r="G81" s="35">
        <f t="shared" si="60"/>
        <v>1.3795813075093243E-2</v>
      </c>
      <c r="H81" s="35">
        <f t="shared" si="60"/>
        <v>2.4093852259116793E-2</v>
      </c>
      <c r="I81" s="35">
        <f t="shared" si="60"/>
        <v>3.8917377087606238E-2</v>
      </c>
      <c r="J81" s="35">
        <f t="shared" si="60"/>
        <v>6.1427213831169933E-2</v>
      </c>
      <c r="K81" s="35">
        <f t="shared" si="60"/>
        <v>9.4723656301942114E-2</v>
      </c>
      <c r="L81" s="35">
        <f t="shared" si="60"/>
        <v>0.14268670187346866</v>
      </c>
      <c r="M81" s="35">
        <f t="shared" si="60"/>
        <v>0.2099623077222714</v>
      </c>
      <c r="N81" s="35">
        <f t="shared" si="60"/>
        <v>0.2941987894528188</v>
      </c>
      <c r="O81" s="35">
        <f t="shared" si="60"/>
        <v>0.40533551127933293</v>
      </c>
      <c r="P81" s="35">
        <f t="shared" si="60"/>
        <v>0.54899056770908672</v>
      </c>
      <c r="Q81" s="35">
        <f t="shared" si="60"/>
        <v>0.7308959617976506</v>
      </c>
      <c r="R81" s="35">
        <f t="shared" si="60"/>
        <v>0.95656915540623222</v>
      </c>
      <c r="S81" s="35">
        <f t="shared" si="60"/>
        <v>1.2144592207482063</v>
      </c>
      <c r="T81" s="35">
        <f t="shared" si="60"/>
        <v>1.5221463081312376</v>
      </c>
      <c r="U81" s="35">
        <f t="shared" si="60"/>
        <v>1.8833014908876302</v>
      </c>
      <c r="V81" s="35">
        <f t="shared" si="60"/>
        <v>2.3004599410386004</v>
      </c>
      <c r="W81" s="77">
        <f t="shared" si="60"/>
        <v>3.1219802940445551</v>
      </c>
      <c r="X81" s="35">
        <f t="shared" si="60"/>
        <v>2.6782475414345823</v>
      </c>
      <c r="Y81" s="35">
        <f t="shared" si="60"/>
        <v>2.2918530713677683</v>
      </c>
      <c r="Z81" s="35">
        <f t="shared" si="60"/>
        <v>1.959214521587314</v>
      </c>
      <c r="AA81" s="35">
        <f t="shared" si="60"/>
        <v>1.675822419089624</v>
      </c>
      <c r="AB81" s="35">
        <f t="shared" si="60"/>
        <v>1.4366138183465835</v>
      </c>
      <c r="AC81" s="35">
        <f t="shared" si="60"/>
        <v>1.2101730668348196</v>
      </c>
      <c r="AD81" s="35">
        <f t="shared" si="60"/>
        <v>1.0208215004760948</v>
      </c>
      <c r="AE81" s="35">
        <f t="shared" si="60"/>
        <v>0.8637531117701337</v>
      </c>
      <c r="AF81" s="35">
        <f t="shared" si="60"/>
        <v>0.73435756458447365</v>
      </c>
      <c r="AG81" s="35">
        <f t="shared" si="60"/>
        <v>0.62837511461234341</v>
      </c>
      <c r="AH81" s="35">
        <f t="shared" si="60"/>
        <v>0.52465930774949143</v>
      </c>
      <c r="AI81" s="35">
        <f t="shared" si="60"/>
        <v>0.44035284826535442</v>
      </c>
      <c r="AJ81" s="35">
        <f t="shared" si="60"/>
        <v>0.37216796653219603</v>
      </c>
      <c r="AK81" s="35">
        <f t="shared" si="60"/>
        <v>0.31725008207696748</v>
      </c>
      <c r="AL81" s="35">
        <f t="shared" si="60"/>
        <v>0.27317384978004078</v>
      </c>
      <c r="AM81" s="35">
        <f t="shared" si="60"/>
        <v>0.22238785138411063</v>
      </c>
      <c r="AN81" s="35">
        <f t="shared" si="60"/>
        <v>0.17978581609859132</v>
      </c>
      <c r="AO81" s="35">
        <f t="shared" si="60"/>
        <v>0.14425171460793557</v>
      </c>
      <c r="AP81" s="35">
        <f t="shared" si="60"/>
        <v>0.11479678801227185</v>
      </c>
      <c r="AQ81" s="35">
        <f t="shared" si="60"/>
        <v>9.0547058378736861E-2</v>
      </c>
    </row>
    <row r="82" spans="1:43" ht="10.15" customHeight="1" outlineLevel="1">
      <c r="A82" s="36"/>
      <c r="B82" s="34" t="s">
        <v>74</v>
      </c>
      <c r="C82" s="35">
        <f t="shared" ref="C82:AQ82" si="61">EBlackScholesForward($FA$3,C$20,$A$81,C$22,$C$6,$C$6,$C$7,C$21)</f>
        <v>7.1612866648790047E-4</v>
      </c>
      <c r="D82" s="35">
        <f t="shared" si="61"/>
        <v>1.3007741311716588E-3</v>
      </c>
      <c r="E82" s="35">
        <f t="shared" si="61"/>
        <v>2.2746399428990359E-3</v>
      </c>
      <c r="F82" s="35">
        <f t="shared" si="61"/>
        <v>3.8297812509590816E-3</v>
      </c>
      <c r="G82" s="35">
        <f t="shared" si="61"/>
        <v>6.2091985712261748E-3</v>
      </c>
      <c r="H82" s="35">
        <f t="shared" si="61"/>
        <v>9.6956139641575286E-3</v>
      </c>
      <c r="I82" s="35">
        <f t="shared" si="61"/>
        <v>1.416601615298662E-2</v>
      </c>
      <c r="J82" s="35">
        <f t="shared" si="61"/>
        <v>2.0124370064868207E-2</v>
      </c>
      <c r="K82" s="35">
        <f t="shared" si="61"/>
        <v>2.7786482166696262E-2</v>
      </c>
      <c r="L82" s="35">
        <f t="shared" si="61"/>
        <v>3.7280452492985325E-2</v>
      </c>
      <c r="M82" s="35">
        <f t="shared" si="61"/>
        <v>4.8601028141850036E-2</v>
      </c>
      <c r="N82" s="35">
        <f t="shared" si="61"/>
        <v>6.0855504144680703E-2</v>
      </c>
      <c r="O82" s="35">
        <f t="shared" si="61"/>
        <v>7.4457535493338667E-2</v>
      </c>
      <c r="P82" s="35">
        <f t="shared" si="61"/>
        <v>8.8991760895832939E-2</v>
      </c>
      <c r="Q82" s="35">
        <f t="shared" si="61"/>
        <v>0.10389472063572036</v>
      </c>
      <c r="R82" s="35">
        <f t="shared" si="61"/>
        <v>0.11849783713463291</v>
      </c>
      <c r="S82" s="35">
        <f t="shared" si="61"/>
        <v>0.13177401143328238</v>
      </c>
      <c r="T82" s="35">
        <f t="shared" si="61"/>
        <v>0.14360339132508104</v>
      </c>
      <c r="U82" s="35">
        <f t="shared" si="61"/>
        <v>0.15337072765358972</v>
      </c>
      <c r="V82" s="35">
        <f t="shared" si="61"/>
        <v>0.1605814204857452</v>
      </c>
      <c r="W82" s="77">
        <f t="shared" si="61"/>
        <v>0.16491596480511461</v>
      </c>
      <c r="X82" s="35">
        <f t="shared" si="61"/>
        <v>0.16626188535794917</v>
      </c>
      <c r="Y82" s="35">
        <f t="shared" si="61"/>
        <v>0.16479090971063859</v>
      </c>
      <c r="Z82" s="35">
        <f t="shared" si="61"/>
        <v>0.1608826720506974</v>
      </c>
      <c r="AA82" s="35">
        <f t="shared" si="61"/>
        <v>0.1550360015933222</v>
      </c>
      <c r="AB82" s="35">
        <f t="shared" si="61"/>
        <v>0.14779771838253175</v>
      </c>
      <c r="AC82" s="35">
        <f t="shared" si="61"/>
        <v>0.13906639579198676</v>
      </c>
      <c r="AD82" s="35">
        <f t="shared" si="61"/>
        <v>0.12965275242055618</v>
      </c>
      <c r="AE82" s="35">
        <f t="shared" si="61"/>
        <v>0.12000446577432133</v>
      </c>
      <c r="AF82" s="35">
        <f t="shared" si="61"/>
        <v>0.1104948743310874</v>
      </c>
      <c r="AG82" s="35">
        <f t="shared" si="61"/>
        <v>0.10141047542866904</v>
      </c>
      <c r="AH82" s="35">
        <f t="shared" si="61"/>
        <v>9.1734759835322532E-2</v>
      </c>
      <c r="AI82" s="35">
        <f t="shared" si="61"/>
        <v>8.2719473025126139E-2</v>
      </c>
      <c r="AJ82" s="35">
        <f t="shared" si="61"/>
        <v>7.449389300941997E-2</v>
      </c>
      <c r="AK82" s="35">
        <f t="shared" si="61"/>
        <v>6.7122334220208996E-2</v>
      </c>
      <c r="AL82" s="35">
        <f t="shared" si="61"/>
        <v>6.0617380225754941E-2</v>
      </c>
      <c r="AM82" s="35">
        <f t="shared" si="61"/>
        <v>5.3014930041109284E-2</v>
      </c>
      <c r="AN82" s="35">
        <f t="shared" si="61"/>
        <v>4.5989520615116561E-2</v>
      </c>
      <c r="AO82" s="35">
        <f t="shared" si="61"/>
        <v>3.9558292776095572E-2</v>
      </c>
      <c r="AP82" s="35">
        <f t="shared" si="61"/>
        <v>3.372555998359298E-2</v>
      </c>
      <c r="AQ82" s="35">
        <f t="shared" si="61"/>
        <v>2.8484872737232672E-2</v>
      </c>
    </row>
    <row r="83" spans="1:43" ht="10.15" customHeight="1">
      <c r="A83" s="31">
        <f>A81+$C$12</f>
        <v>46.399999999999956</v>
      </c>
      <c r="B83" s="31" t="s">
        <v>71</v>
      </c>
      <c r="C83" s="32">
        <f t="shared" ref="C83:AQ83" si="62">EBlackScholesForward("p",C$20,$A$83,C$22,$C$6,$C$6,$C$7,C$21)</f>
        <v>1.0337319841836627E-3</v>
      </c>
      <c r="D83" s="32">
        <f t="shared" si="62"/>
        <v>2.0706672816686654E-3</v>
      </c>
      <c r="E83" s="32">
        <f t="shared" si="62"/>
        <v>4.0068459243742752E-3</v>
      </c>
      <c r="F83" s="32">
        <f t="shared" si="62"/>
        <v>7.4926571729128323E-3</v>
      </c>
      <c r="G83" s="32">
        <f t="shared" si="62"/>
        <v>1.3544077206502483E-2</v>
      </c>
      <c r="H83" s="32">
        <f t="shared" si="62"/>
        <v>2.3675404381892865E-2</v>
      </c>
      <c r="I83" s="32">
        <f t="shared" si="62"/>
        <v>3.8268812943844981E-2</v>
      </c>
      <c r="J83" s="32">
        <f t="shared" si="62"/>
        <v>6.0447810409834851E-2</v>
      </c>
      <c r="K83" s="32">
        <f t="shared" si="62"/>
        <v>9.3282974688067566E-2</v>
      </c>
      <c r="L83" s="32">
        <f t="shared" si="62"/>
        <v>0.14062259255046039</v>
      </c>
      <c r="M83" s="32">
        <f t="shared" si="62"/>
        <v>0.2070816674894892</v>
      </c>
      <c r="N83" s="32">
        <f t="shared" si="62"/>
        <v>0.29034224150423155</v>
      </c>
      <c r="O83" s="32">
        <f t="shared" si="62"/>
        <v>0.40027433237231513</v>
      </c>
      <c r="P83" s="32">
        <f t="shared" si="62"/>
        <v>0.54248055992774158</v>
      </c>
      <c r="Q83" s="32">
        <f t="shared" si="62"/>
        <v>0.72268864623159679</v>
      </c>
      <c r="R83" s="32">
        <f t="shared" si="62"/>
        <v>0.94642519692538485</v>
      </c>
      <c r="S83" s="32">
        <f t="shared" si="62"/>
        <v>1.2022183665960802</v>
      </c>
      <c r="T83" s="32">
        <f t="shared" si="62"/>
        <v>1.5076068471206516</v>
      </c>
      <c r="U83" s="32">
        <f t="shared" si="62"/>
        <v>1.866300288103919</v>
      </c>
      <c r="V83" s="32">
        <f t="shared" si="62"/>
        <v>2.2808828824418392</v>
      </c>
      <c r="W83" s="76">
        <f t="shared" si="62"/>
        <v>3.1493599255676301</v>
      </c>
      <c r="X83" s="32">
        <f t="shared" si="62"/>
        <v>2.7030116085443616</v>
      </c>
      <c r="Y83" s="32">
        <f t="shared" si="62"/>
        <v>2.3140904636424731</v>
      </c>
      <c r="Z83" s="32">
        <f t="shared" si="62"/>
        <v>1.9790646079239795</v>
      </c>
      <c r="AA83" s="32">
        <f t="shared" si="62"/>
        <v>1.6934622219149233</v>
      </c>
      <c r="AB83" s="32">
        <f t="shared" si="62"/>
        <v>1.452244322476371</v>
      </c>
      <c r="AC83" s="32">
        <f t="shared" si="62"/>
        <v>1.2238798555896935</v>
      </c>
      <c r="AD83" s="32">
        <f t="shared" si="62"/>
        <v>1.0328032298062428</v>
      </c>
      <c r="AE83" s="32">
        <f t="shared" si="62"/>
        <v>0.874210905324181</v>
      </c>
      <c r="AF83" s="32">
        <f t="shared" si="62"/>
        <v>0.743486805579189</v>
      </c>
      <c r="AG83" s="32">
        <f t="shared" si="62"/>
        <v>0.63635940570933636</v>
      </c>
      <c r="AH83" s="32">
        <f t="shared" si="62"/>
        <v>0.53153299583891911</v>
      </c>
      <c r="AI83" s="32">
        <f t="shared" si="62"/>
        <v>0.44627643338293865</v>
      </c>
      <c r="AJ83" s="32">
        <f t="shared" si="62"/>
        <v>0.37728676013492191</v>
      </c>
      <c r="AK83" s="32">
        <f t="shared" si="62"/>
        <v>0.32169293551546713</v>
      </c>
      <c r="AL83" s="32">
        <f t="shared" si="62"/>
        <v>0.2770530832667577</v>
      </c>
      <c r="AM83" s="32">
        <f t="shared" si="62"/>
        <v>0.22564550874722503</v>
      </c>
      <c r="AN83" s="32">
        <f t="shared" si="62"/>
        <v>0.18250255306279975</v>
      </c>
      <c r="AO83" s="32">
        <f t="shared" si="62"/>
        <v>0.14650055077540539</v>
      </c>
      <c r="AP83" s="32">
        <f t="shared" si="62"/>
        <v>0.1166434747726266</v>
      </c>
      <c r="AQ83" s="32">
        <f t="shared" si="62"/>
        <v>9.2050478981605219E-2</v>
      </c>
    </row>
    <row r="84" spans="1:43" ht="10.15" customHeight="1" outlineLevel="1">
      <c r="A84" s="33"/>
      <c r="B84" s="31" t="s">
        <v>74</v>
      </c>
      <c r="C84" s="32">
        <f t="shared" ref="C84:AQ84" si="63">EBlackScholesForward($FA$3,C$20,$A$83,C$22,$C$6,$C$6,$C$7,C$21)</f>
        <v>7.029743314685762E-4</v>
      </c>
      <c r="D84" s="32">
        <f t="shared" si="63"/>
        <v>1.2780819152848895E-3</v>
      </c>
      <c r="E84" s="32">
        <f t="shared" si="63"/>
        <v>2.2371355189964538E-3</v>
      </c>
      <c r="F84" s="32">
        <f t="shared" si="63"/>
        <v>3.7704145040737013E-3</v>
      </c>
      <c r="G84" s="32">
        <f t="shared" si="63"/>
        <v>6.1192294984985024E-3</v>
      </c>
      <c r="H84" s="32">
        <f t="shared" si="63"/>
        <v>9.5651276402918574E-3</v>
      </c>
      <c r="I84" s="32">
        <f t="shared" si="63"/>
        <v>1.3987817191674313E-2</v>
      </c>
      <c r="J84" s="32">
        <f t="shared" si="63"/>
        <v>1.9889525638853951E-2</v>
      </c>
      <c r="K84" s="32">
        <f t="shared" si="63"/>
        <v>2.7488217493156428E-2</v>
      </c>
      <c r="L84" s="32">
        <f t="shared" si="63"/>
        <v>3.6915910306264559E-2</v>
      </c>
      <c r="M84" s="32">
        <f t="shared" si="63"/>
        <v>4.8172935801148037E-2</v>
      </c>
      <c r="N84" s="32">
        <f t="shared" si="63"/>
        <v>6.0372190449249588E-2</v>
      </c>
      <c r="O84" s="32">
        <f t="shared" si="63"/>
        <v>7.3932557884179184E-2</v>
      </c>
      <c r="P84" s="32">
        <f t="shared" si="63"/>
        <v>8.8445341431415109E-2</v>
      </c>
      <c r="Q84" s="32">
        <f t="shared" si="63"/>
        <v>0.10335276203707183</v>
      </c>
      <c r="R84" s="32">
        <f t="shared" si="63"/>
        <v>0.11798993261456925</v>
      </c>
      <c r="S84" s="32">
        <f t="shared" si="63"/>
        <v>0.13132465411211969</v>
      </c>
      <c r="T84" s="32">
        <f t="shared" si="63"/>
        <v>0.14324200438604862</v>
      </c>
      <c r="U84" s="32">
        <f t="shared" si="63"/>
        <v>0.1531234723980841</v>
      </c>
      <c r="V84" s="32">
        <f t="shared" si="63"/>
        <v>0.16046843095947327</v>
      </c>
      <c r="W84" s="78">
        <f t="shared" si="63"/>
        <v>0.16494926096250162</v>
      </c>
      <c r="X84" s="32">
        <f t="shared" si="63"/>
        <v>0.16644327965981942</v>
      </c>
      <c r="Y84" s="32">
        <f t="shared" si="63"/>
        <v>0.16511085324144914</v>
      </c>
      <c r="Z84" s="32">
        <f t="shared" si="63"/>
        <v>0.16132422897048526</v>
      </c>
      <c r="AA84" s="32">
        <f t="shared" si="63"/>
        <v>0.1555775105631092</v>
      </c>
      <c r="AB84" s="32">
        <f t="shared" si="63"/>
        <v>0.14841553887568149</v>
      </c>
      <c r="AC84" s="32">
        <f t="shared" si="63"/>
        <v>0.13974627952008056</v>
      </c>
      <c r="AD84" s="32">
        <f t="shared" si="63"/>
        <v>0.13037257354643944</v>
      </c>
      <c r="AE84" s="32">
        <f t="shared" si="63"/>
        <v>0.12074404649743825</v>
      </c>
      <c r="AF84" s="32">
        <f t="shared" si="63"/>
        <v>0.11123707080119122</v>
      </c>
      <c r="AG84" s="32">
        <f t="shared" si="63"/>
        <v>0.10214169684586344</v>
      </c>
      <c r="AH84" s="32">
        <f t="shared" si="63"/>
        <v>9.2448405219160201E-2</v>
      </c>
      <c r="AI84" s="32">
        <f t="shared" si="63"/>
        <v>8.3405911598353172E-2</v>
      </c>
      <c r="AJ84" s="32">
        <f t="shared" si="63"/>
        <v>7.5146680206858413E-2</v>
      </c>
      <c r="AK84" s="32">
        <f t="shared" si="63"/>
        <v>6.7737841044405445E-2</v>
      </c>
      <c r="AL84" s="32">
        <f t="shared" si="63"/>
        <v>6.1194290543438556E-2</v>
      </c>
      <c r="AM84" s="32">
        <f t="shared" si="63"/>
        <v>5.354887919079146E-2</v>
      </c>
      <c r="AN84" s="32">
        <f t="shared" si="63"/>
        <v>4.6478499696459966E-2</v>
      </c>
      <c r="AO84" s="32">
        <f t="shared" si="63"/>
        <v>4.0001414466707179E-2</v>
      </c>
      <c r="AP84" s="32">
        <f t="shared" si="63"/>
        <v>3.4122916009715135E-2</v>
      </c>
      <c r="AQ84" s="32">
        <f t="shared" si="63"/>
        <v>2.8837393998091973E-2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2" r:id="rId4" name="Drop Down 2">
              <controlPr locked="0" defaultSize="0" autoLine="0" autoPict="0">
                <anchor moveWithCells="1">
                  <from>
                    <xdr:col>6</xdr:col>
                    <xdr:colOff>47625</xdr:colOff>
                    <xdr:row>13</xdr:row>
                    <xdr:rowOff>95250</xdr:rowOff>
                  </from>
                  <to>
                    <xdr:col>7</xdr:col>
                    <xdr:colOff>323850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A85"/>
  <sheetViews>
    <sheetView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C7" sqref="C7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7.140625" style="19" bestFit="1" customWidth="1"/>
    <col min="9" max="10" width="6.85546875" style="19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33" width="6.28515625" style="19" bestFit="1" customWidth="1"/>
    <col min="34" max="35" width="6.7109375" style="19" customWidth="1"/>
    <col min="36" max="37" width="7.140625" style="19" customWidth="1"/>
    <col min="38" max="39" width="6.85546875" style="19" customWidth="1"/>
    <col min="40" max="40" width="6.7109375" style="19" customWidth="1"/>
    <col min="41" max="41" width="7.140625" style="19" customWidth="1"/>
    <col min="42" max="43" width="6.7109375" style="19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>C13</f>
        <v>50</v>
      </c>
      <c r="G3" s="62">
        <f>F3-C15</f>
        <v>45</v>
      </c>
      <c r="H3" s="62">
        <f>F3-2*C15</f>
        <v>40</v>
      </c>
      <c r="I3" s="62">
        <f>F3-3*C15</f>
        <v>35</v>
      </c>
      <c r="J3" s="62">
        <f>F3-4*C15</f>
        <v>30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1</v>
      </c>
      <c r="FA3" s="89" t="str">
        <f>IF(EZ3=1,"d",IF(EZ3=2,"g",IF(EZ3=3,"t","v")))</f>
        <v>d</v>
      </c>
    </row>
    <row r="4" spans="1:157" ht="10.15" customHeight="1">
      <c r="A4" s="21" t="s">
        <v>51</v>
      </c>
      <c r="B4" s="21"/>
      <c r="C4" s="68">
        <f>Today</f>
        <v>40221</v>
      </c>
      <c r="D4" s="21"/>
      <c r="E4" s="25" t="s">
        <v>69</v>
      </c>
      <c r="F4" s="63">
        <f>C14+F5</f>
        <v>0.17249999999999999</v>
      </c>
      <c r="G4" s="64">
        <f>$F$4+G5</f>
        <v>0.17499999999999999</v>
      </c>
      <c r="H4" s="64">
        <f>$F$4+H5</f>
        <v>0.17749999999999999</v>
      </c>
      <c r="I4" s="64">
        <f>$F$4+I5</f>
        <v>0.18</v>
      </c>
      <c r="J4" s="64">
        <f>$F$4+J5</f>
        <v>0.1825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40885</v>
      </c>
      <c r="D5" s="21"/>
      <c r="E5" s="21" t="s">
        <v>68</v>
      </c>
      <c r="F5" s="65">
        <v>0</v>
      </c>
      <c r="G5" s="66">
        <v>2.5000000000000001E-3</v>
      </c>
      <c r="H5" s="66">
        <v>5.0000000000000001E-3</v>
      </c>
      <c r="I5" s="66">
        <v>7.4999999999999997E-3</v>
      </c>
      <c r="J5" s="66">
        <v>0.01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>(C5-Today)/365</f>
        <v>1.8191780821917809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1.4999999999999999E-2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>C13</f>
        <v>50</v>
      </c>
      <c r="G8" s="62">
        <f>F8+C15</f>
        <v>55</v>
      </c>
      <c r="H8" s="62">
        <f>F8+2*C15</f>
        <v>60</v>
      </c>
      <c r="I8" s="62">
        <f>F8+3*C15</f>
        <v>65</v>
      </c>
      <c r="J8" s="62">
        <f>F8+4*C15</f>
        <v>70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>C14+F10</f>
        <v>0.17249999999999999</v>
      </c>
      <c r="G9" s="64">
        <f>$F$9+G10</f>
        <v>0.17749999999999999</v>
      </c>
      <c r="H9" s="64">
        <f>$F$9+H10</f>
        <v>0.1825</v>
      </c>
      <c r="I9" s="64">
        <f>$F$9+I10</f>
        <v>0.1875</v>
      </c>
      <c r="J9" s="64">
        <f>$F$9+J10</f>
        <v>0.19249999999999998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5.0000000000000001E-3</v>
      </c>
      <c r="H10" s="66">
        <v>0.01</v>
      </c>
      <c r="I10" s="66">
        <v>1.4999999999999999E-2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50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50</v>
      </c>
      <c r="D13" s="21"/>
      <c r="E13" s="21"/>
      <c r="F13" s="21" t="s">
        <v>79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91">
        <v>0.17249999999999999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38" t="s">
        <v>66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22" t="s">
        <v>49</v>
      </c>
      <c r="X19" s="138" t="s">
        <v>53</v>
      </c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</row>
    <row r="20" spans="1:43" ht="10.15" customHeight="1">
      <c r="A20" s="26" t="s">
        <v>14</v>
      </c>
      <c r="B20" s="26"/>
      <c r="C20" s="38" t="str">
        <f t="shared" ref="C20:AQ20" si="0">IF(C22&lt;$C$11,"p","c")</f>
        <v>p</v>
      </c>
      <c r="D20" s="38" t="str">
        <f t="shared" si="0"/>
        <v>p</v>
      </c>
      <c r="E20" s="38" t="str">
        <f t="shared" si="0"/>
        <v>p</v>
      </c>
      <c r="F20" s="38" t="str">
        <f t="shared" si="0"/>
        <v>p</v>
      </c>
      <c r="G20" s="38" t="str">
        <f t="shared" si="0"/>
        <v>p</v>
      </c>
      <c r="H20" s="38" t="str">
        <f t="shared" si="0"/>
        <v>p</v>
      </c>
      <c r="I20" s="38" t="str">
        <f t="shared" si="0"/>
        <v>p</v>
      </c>
      <c r="J20" s="38" t="str">
        <f t="shared" si="0"/>
        <v>p</v>
      </c>
      <c r="K20" s="38" t="str">
        <f t="shared" si="0"/>
        <v>p</v>
      </c>
      <c r="L20" s="38" t="str">
        <f t="shared" si="0"/>
        <v>p</v>
      </c>
      <c r="M20" s="38" t="str">
        <f t="shared" si="0"/>
        <v>p</v>
      </c>
      <c r="N20" s="38" t="str">
        <f t="shared" si="0"/>
        <v>p</v>
      </c>
      <c r="O20" s="38" t="str">
        <f t="shared" si="0"/>
        <v>p</v>
      </c>
      <c r="P20" s="38" t="str">
        <f t="shared" si="0"/>
        <v>p</v>
      </c>
      <c r="Q20" s="38" t="str">
        <f t="shared" si="0"/>
        <v>p</v>
      </c>
      <c r="R20" s="38" t="str">
        <f t="shared" si="0"/>
        <v>p</v>
      </c>
      <c r="S20" s="38" t="str">
        <f t="shared" si="0"/>
        <v>p</v>
      </c>
      <c r="T20" s="38" t="str">
        <f t="shared" si="0"/>
        <v>p</v>
      </c>
      <c r="U20" s="38" t="str">
        <f t="shared" si="0"/>
        <v>p</v>
      </c>
      <c r="V20" s="38" t="str">
        <f t="shared" si="0"/>
        <v>p</v>
      </c>
      <c r="W20" s="73" t="s">
        <v>80</v>
      </c>
      <c r="X20" s="38" t="str">
        <f t="shared" si="0"/>
        <v>c</v>
      </c>
      <c r="Y20" s="38" t="str">
        <f t="shared" si="0"/>
        <v>c</v>
      </c>
      <c r="Z20" s="38" t="str">
        <f t="shared" si="0"/>
        <v>c</v>
      </c>
      <c r="AA20" s="38" t="str">
        <f t="shared" si="0"/>
        <v>c</v>
      </c>
      <c r="AB20" s="38" t="str">
        <f t="shared" si="0"/>
        <v>c</v>
      </c>
      <c r="AC20" s="38" t="str">
        <f t="shared" si="0"/>
        <v>c</v>
      </c>
      <c r="AD20" s="38" t="str">
        <f t="shared" si="0"/>
        <v>c</v>
      </c>
      <c r="AE20" s="38" t="str">
        <f t="shared" si="0"/>
        <v>c</v>
      </c>
      <c r="AF20" s="38" t="str">
        <f t="shared" si="0"/>
        <v>c</v>
      </c>
      <c r="AG20" s="38" t="str">
        <f t="shared" si="0"/>
        <v>c</v>
      </c>
      <c r="AH20" s="38" t="str">
        <f t="shared" si="0"/>
        <v>c</v>
      </c>
      <c r="AI20" s="38" t="str">
        <f t="shared" si="0"/>
        <v>c</v>
      </c>
      <c r="AJ20" s="38" t="str">
        <f t="shared" si="0"/>
        <v>c</v>
      </c>
      <c r="AK20" s="38" t="str">
        <f t="shared" si="0"/>
        <v>c</v>
      </c>
      <c r="AL20" s="38" t="str">
        <f t="shared" si="0"/>
        <v>c</v>
      </c>
      <c r="AM20" s="38" t="str">
        <f t="shared" si="0"/>
        <v>c</v>
      </c>
      <c r="AN20" s="38" t="str">
        <f t="shared" si="0"/>
        <v>c</v>
      </c>
      <c r="AO20" s="38" t="str">
        <f t="shared" si="0"/>
        <v>c</v>
      </c>
      <c r="AP20" s="38" t="str">
        <f t="shared" si="0"/>
        <v>c</v>
      </c>
      <c r="AQ20" s="38" t="str">
        <f t="shared" si="0"/>
        <v>c</v>
      </c>
    </row>
    <row r="21" spans="1:43" ht="10.15" customHeight="1">
      <c r="A21" s="26" t="s">
        <v>54</v>
      </c>
      <c r="B21" s="26"/>
      <c r="C21" s="27">
        <f>F4+J5</f>
        <v>0.1825</v>
      </c>
      <c r="D21" s="28">
        <f>$H$21+($C$21-$H$21)*0.7</f>
        <v>0.18174999999999999</v>
      </c>
      <c r="E21" s="28">
        <f>$H$21+($C$21-$H$21)*0.45</f>
        <v>0.18112499999999998</v>
      </c>
      <c r="F21" s="28">
        <f>$H$21+($C$21-$H$21)*0.25</f>
        <v>0.18062499999999998</v>
      </c>
      <c r="G21" s="28">
        <f>$H$21+($C$21-$H$21)*0.1</f>
        <v>0.18024999999999999</v>
      </c>
      <c r="H21" s="27">
        <f>F4+I5</f>
        <v>0.18</v>
      </c>
      <c r="I21" s="28">
        <f>$M$21+($H$21-$M$21)*0.7</f>
        <v>0.17924999999999999</v>
      </c>
      <c r="J21" s="28">
        <f>$M$21+($H$21-$M$21)*0.45</f>
        <v>0.17862499999999998</v>
      </c>
      <c r="K21" s="28">
        <f>$M$21+($H$21-$M$21)*0.25</f>
        <v>0.17812499999999998</v>
      </c>
      <c r="L21" s="28">
        <f>$M$21+($H$21-$M$21)*0.1</f>
        <v>0.17774999999999999</v>
      </c>
      <c r="M21" s="27">
        <f>F4+H5</f>
        <v>0.17749999999999999</v>
      </c>
      <c r="N21" s="28">
        <f>$R$21+($M$21-$R$21)*0.7</f>
        <v>0.17674999999999999</v>
      </c>
      <c r="O21" s="28">
        <f>$R$21+($M$21-$R$21)*0.45</f>
        <v>0.17612499999999998</v>
      </c>
      <c r="P21" s="28">
        <f>$R$21+($M$21-$R$21)*0.25</f>
        <v>0.17562499999999998</v>
      </c>
      <c r="Q21" s="28">
        <f>$R$21+($M$21-$R$21)*0.1</f>
        <v>0.17524999999999999</v>
      </c>
      <c r="R21" s="27">
        <f>F4+G5</f>
        <v>0.17499999999999999</v>
      </c>
      <c r="S21" s="28">
        <f>$W$21+($R$21-$W$21)*0.7</f>
        <v>0.17424999999999999</v>
      </c>
      <c r="T21" s="28">
        <f>$W$21+($R$21-$W$21)*0.45</f>
        <v>0.17362499999999997</v>
      </c>
      <c r="U21" s="28">
        <f>$W$21+($R$21-$W$21)*0.25</f>
        <v>0.17312499999999997</v>
      </c>
      <c r="V21" s="28">
        <f>$W$21+($R$21-$W$21)*0.1</f>
        <v>0.17274999999999999</v>
      </c>
      <c r="W21" s="74">
        <f>C14</f>
        <v>0.17249999999999999</v>
      </c>
      <c r="X21" s="28">
        <f>$W$21+($AB$21-$W$21)*0.1</f>
        <v>0.17299999999999999</v>
      </c>
      <c r="Y21" s="28">
        <f>$W$21+($AB$21-$W$21)*0.25</f>
        <v>0.17374999999999999</v>
      </c>
      <c r="Z21" s="28">
        <f>$W$21+($AB$21-$W$21)*0.45</f>
        <v>0.17474999999999999</v>
      </c>
      <c r="AA21" s="28">
        <f>$W$21+($AB$21-$W$21)*0.7</f>
        <v>0.17599999999999999</v>
      </c>
      <c r="AB21" s="27">
        <f>F9+G10</f>
        <v>0.17749999999999999</v>
      </c>
      <c r="AC21" s="28">
        <f>$AB$21+($AG$21-$AB$21)*0.1</f>
        <v>0.17799999999999999</v>
      </c>
      <c r="AD21" s="28">
        <f>$AB$21+($AG$21-$AB$21)*0.25</f>
        <v>0.17874999999999999</v>
      </c>
      <c r="AE21" s="28">
        <f>$AB$21+($AG$21-$AB$21)*0.45</f>
        <v>0.17974999999999999</v>
      </c>
      <c r="AF21" s="28">
        <f>$AB$21+($AG$21-$AB$21)*0.7</f>
        <v>0.18099999999999999</v>
      </c>
      <c r="AG21" s="27">
        <f>F9+H10</f>
        <v>0.1825</v>
      </c>
      <c r="AH21" s="28">
        <f>$AG$21+($AL$21-$AG$21)*0.1</f>
        <v>0.183</v>
      </c>
      <c r="AI21" s="28">
        <f>$AG$21+($AL$21-$AG$21)*0.25</f>
        <v>0.18375</v>
      </c>
      <c r="AJ21" s="28">
        <f>$AG$21+($AL$21-$AG$21)*0.45</f>
        <v>0.18475</v>
      </c>
      <c r="AK21" s="28">
        <f>$AG$21+($AL$21-$AG$21)*0.7</f>
        <v>0.186</v>
      </c>
      <c r="AL21" s="27">
        <f>I10+F9</f>
        <v>0.1875</v>
      </c>
      <c r="AM21" s="28">
        <f>$AL$21+($AQ$21-$AL$21)*0.1</f>
        <v>0.188</v>
      </c>
      <c r="AN21" s="28">
        <f>$AL$21+($AQ$21-$AL$21)*0.25</f>
        <v>0.18875</v>
      </c>
      <c r="AO21" s="28">
        <f>$AL$21+($AQ$21-$AL$21)*0.45</f>
        <v>0.18975</v>
      </c>
      <c r="AP21" s="28">
        <f>$AL$21+($AQ$21-$AL$21)*0.7</f>
        <v>0.19099999999999998</v>
      </c>
      <c r="AQ21" s="27">
        <f>F9+J10</f>
        <v>0.19249999999999998</v>
      </c>
    </row>
    <row r="22" spans="1:43" s="90" customFormat="1" ht="10.15" customHeight="1">
      <c r="A22" s="29" t="s">
        <v>55</v>
      </c>
      <c r="B22" s="29"/>
      <c r="C22" s="30">
        <f>J3</f>
        <v>30</v>
      </c>
      <c r="D22" s="30">
        <f>E22-$C$16</f>
        <v>31</v>
      </c>
      <c r="E22" s="30">
        <f>F22-$C$16</f>
        <v>32</v>
      </c>
      <c r="F22" s="30">
        <f>G22-$C$16</f>
        <v>33</v>
      </c>
      <c r="G22" s="30">
        <f>H22-$C$16</f>
        <v>34</v>
      </c>
      <c r="H22" s="30">
        <f>I3</f>
        <v>35</v>
      </c>
      <c r="I22" s="30">
        <f>J22-$C$16</f>
        <v>36</v>
      </c>
      <c r="J22" s="30">
        <f>K22-$C$16</f>
        <v>37</v>
      </c>
      <c r="K22" s="30">
        <f>L22-$C$16</f>
        <v>38</v>
      </c>
      <c r="L22" s="30">
        <f>M22-$C$16</f>
        <v>39</v>
      </c>
      <c r="M22" s="30">
        <f>H3</f>
        <v>40</v>
      </c>
      <c r="N22" s="30">
        <f>O22-($R$22-$M$22)/5</f>
        <v>41</v>
      </c>
      <c r="O22" s="30">
        <f>P22-($R$22-$M$22)/5</f>
        <v>42</v>
      </c>
      <c r="P22" s="30">
        <f>Q22-($R$22-$M$22)/5</f>
        <v>43</v>
      </c>
      <c r="Q22" s="30">
        <f>R22-($R$22-$M$22)/5</f>
        <v>44</v>
      </c>
      <c r="R22" s="30">
        <f>G3</f>
        <v>45</v>
      </c>
      <c r="S22" s="30">
        <f>T22-($W$22-$R$22)/5</f>
        <v>46</v>
      </c>
      <c r="T22" s="30">
        <f>U22-($W$22-$R$22)/5</f>
        <v>47</v>
      </c>
      <c r="U22" s="30">
        <f>V22-($W$22-$R$22)/5</f>
        <v>48</v>
      </c>
      <c r="V22" s="30">
        <f>W22-($W$22-$R$22)/5</f>
        <v>49</v>
      </c>
      <c r="W22" s="75">
        <f>C13</f>
        <v>50</v>
      </c>
      <c r="X22" s="30">
        <f t="shared" ref="X22:AQ22" si="1">W22+$C$16</f>
        <v>51</v>
      </c>
      <c r="Y22" s="30">
        <f t="shared" si="1"/>
        <v>52</v>
      </c>
      <c r="Z22" s="30">
        <f t="shared" si="1"/>
        <v>53</v>
      </c>
      <c r="AA22" s="30">
        <f t="shared" si="1"/>
        <v>54</v>
      </c>
      <c r="AB22" s="30">
        <f t="shared" si="1"/>
        <v>55</v>
      </c>
      <c r="AC22" s="30">
        <f t="shared" si="1"/>
        <v>56</v>
      </c>
      <c r="AD22" s="30">
        <f t="shared" si="1"/>
        <v>57</v>
      </c>
      <c r="AE22" s="30">
        <f t="shared" si="1"/>
        <v>58</v>
      </c>
      <c r="AF22" s="30">
        <f t="shared" si="1"/>
        <v>59</v>
      </c>
      <c r="AG22" s="30">
        <f t="shared" si="1"/>
        <v>60</v>
      </c>
      <c r="AH22" s="30">
        <f t="shared" si="1"/>
        <v>61</v>
      </c>
      <c r="AI22" s="30">
        <f t="shared" si="1"/>
        <v>62</v>
      </c>
      <c r="AJ22" s="30">
        <f t="shared" si="1"/>
        <v>63</v>
      </c>
      <c r="AK22" s="30">
        <f t="shared" si="1"/>
        <v>64</v>
      </c>
      <c r="AL22" s="30">
        <f t="shared" si="1"/>
        <v>65</v>
      </c>
      <c r="AM22" s="30">
        <f t="shared" si="1"/>
        <v>66</v>
      </c>
      <c r="AN22" s="30">
        <f t="shared" si="1"/>
        <v>67</v>
      </c>
      <c r="AO22" s="30">
        <f t="shared" si="1"/>
        <v>68</v>
      </c>
      <c r="AP22" s="30">
        <f t="shared" si="1"/>
        <v>69</v>
      </c>
      <c r="AQ22" s="30">
        <f t="shared" si="1"/>
        <v>70</v>
      </c>
    </row>
    <row r="23" spans="1:43" ht="10.15" customHeight="1">
      <c r="A23" s="31">
        <f>A25-$C$12</f>
        <v>49.250000000000043</v>
      </c>
      <c r="B23" s="31" t="s">
        <v>71</v>
      </c>
      <c r="C23" s="32">
        <f t="shared" ref="C23:AQ23" si="2">EBlackScholesForward("p",C$20,$A$23,C$22,$C$6,$C$6,$C$7,C$21)</f>
        <v>7.486959054078457E-2</v>
      </c>
      <c r="D23" s="32">
        <f t="shared" si="2"/>
        <v>0.10556202199327729</v>
      </c>
      <c r="E23" s="32">
        <f t="shared" si="2"/>
        <v>0.14623794895533362</v>
      </c>
      <c r="F23" s="32">
        <f t="shared" si="2"/>
        <v>0.19920193127035021</v>
      </c>
      <c r="G23" s="32">
        <f t="shared" si="2"/>
        <v>0.26700373443808806</v>
      </c>
      <c r="H23" s="32">
        <f t="shared" si="2"/>
        <v>0.35239072642668268</v>
      </c>
      <c r="I23" s="32">
        <f t="shared" si="2"/>
        <v>0.45232138366591834</v>
      </c>
      <c r="J23" s="32">
        <f t="shared" si="2"/>
        <v>0.57371711764022293</v>
      </c>
      <c r="K23" s="32">
        <f t="shared" si="2"/>
        <v>0.71935439863287498</v>
      </c>
      <c r="L23" s="32">
        <f t="shared" si="2"/>
        <v>0.89196325256590758</v>
      </c>
      <c r="M23" s="32">
        <f t="shared" si="2"/>
        <v>1.0941441029976371</v>
      </c>
      <c r="N23" s="32">
        <f t="shared" si="2"/>
        <v>1.3174109753893195</v>
      </c>
      <c r="O23" s="32">
        <f t="shared" si="2"/>
        <v>1.5728398502146899</v>
      </c>
      <c r="P23" s="32">
        <f t="shared" si="2"/>
        <v>1.8623550335788228</v>
      </c>
      <c r="Q23" s="32">
        <f t="shared" si="2"/>
        <v>2.1875506645414644</v>
      </c>
      <c r="R23" s="32">
        <f t="shared" si="2"/>
        <v>2.5496426514979205</v>
      </c>
      <c r="S23" s="32">
        <f t="shared" si="2"/>
        <v>2.9346036015745307</v>
      </c>
      <c r="T23" s="32">
        <f t="shared" si="2"/>
        <v>3.356645517732868</v>
      </c>
      <c r="U23" s="32">
        <f t="shared" si="2"/>
        <v>3.8160770834429831</v>
      </c>
      <c r="V23" s="32">
        <f t="shared" si="2"/>
        <v>4.3128071696598917</v>
      </c>
      <c r="W23" s="76">
        <f t="shared" si="2"/>
        <v>4.8463561397363497</v>
      </c>
      <c r="X23" s="32">
        <f t="shared" si="2"/>
        <v>3.7290964979901378</v>
      </c>
      <c r="Y23" s="32">
        <f t="shared" si="2"/>
        <v>3.379456715330039</v>
      </c>
      <c r="Z23" s="32">
        <f t="shared" si="2"/>
        <v>3.0657544784728685</v>
      </c>
      <c r="AA23" s="32">
        <f t="shared" si="2"/>
        <v>2.7858388423477414</v>
      </c>
      <c r="AB23" s="32">
        <f t="shared" si="2"/>
        <v>2.5373699865952681</v>
      </c>
      <c r="AC23" s="32">
        <f t="shared" si="2"/>
        <v>2.2883034090377077</v>
      </c>
      <c r="AD23" s="32">
        <f t="shared" si="2"/>
        <v>2.0675461733436737</v>
      </c>
      <c r="AE23" s="32">
        <f t="shared" si="2"/>
        <v>1.8728284953962098</v>
      </c>
      <c r="AF23" s="32">
        <f t="shared" si="2"/>
        <v>1.7018713643821168</v>
      </c>
      <c r="AG23" s="32">
        <f t="shared" si="2"/>
        <v>1.5524430103510098</v>
      </c>
      <c r="AH23" s="32">
        <f t="shared" si="2"/>
        <v>1.3978927863815886</v>
      </c>
      <c r="AI23" s="32">
        <f t="shared" si="2"/>
        <v>1.262853350781344</v>
      </c>
      <c r="AJ23" s="32">
        <f t="shared" si="2"/>
        <v>1.1453559984513253</v>
      </c>
      <c r="AK23" s="32">
        <f t="shared" si="2"/>
        <v>1.043543883957625</v>
      </c>
      <c r="AL23" s="32">
        <f t="shared" si="2"/>
        <v>0.9556941705641151</v>
      </c>
      <c r="AM23" s="32">
        <f t="shared" si="2"/>
        <v>0.86113977630521077</v>
      </c>
      <c r="AN23" s="32">
        <f t="shared" si="2"/>
        <v>0.779480074512785</v>
      </c>
      <c r="AO23" s="32">
        <f t="shared" si="2"/>
        <v>0.70923322625796004</v>
      </c>
      <c r="AP23" s="32">
        <f t="shared" si="2"/>
        <v>0.6490546308542724</v>
      </c>
      <c r="AQ23" s="32">
        <f t="shared" si="2"/>
        <v>0.5977393197821822</v>
      </c>
    </row>
    <row r="24" spans="1:43" ht="10.15" customHeight="1" outlineLevel="1">
      <c r="A24" s="33"/>
      <c r="B24" s="31" t="s">
        <v>74</v>
      </c>
      <c r="C24" s="32">
        <f t="shared" ref="C24:AQ24" si="3">EBlackScholesForward($FA$3,C$20,$A$23,C$22,$C$6,$C$6,$C$7,C$21)</f>
        <v>-1.5862884545211203E-2</v>
      </c>
      <c r="D24" s="32">
        <f t="shared" si="3"/>
        <v>-2.1567285335573338E-2</v>
      </c>
      <c r="E24" s="32">
        <f t="shared" si="3"/>
        <v>-2.8776551681412854E-2</v>
      </c>
      <c r="F24" s="32">
        <f t="shared" si="3"/>
        <v>-3.7709186964023089E-2</v>
      </c>
      <c r="G24" s="32">
        <f t="shared" si="3"/>
        <v>-4.8566707185823677E-2</v>
      </c>
      <c r="H24" s="32">
        <f t="shared" si="3"/>
        <v>-6.152041506705952E-2</v>
      </c>
      <c r="I24" s="32">
        <f t="shared" si="3"/>
        <v>-7.611627248703956E-2</v>
      </c>
      <c r="J24" s="32">
        <f t="shared" si="3"/>
        <v>-9.29463258575014E-2</v>
      </c>
      <c r="K24" s="32">
        <f t="shared" si="3"/>
        <v>-0.11206365326795753</v>
      </c>
      <c r="L24" s="32">
        <f t="shared" si="3"/>
        <v>-0.13346245319827421</v>
      </c>
      <c r="M24" s="32">
        <f t="shared" si="3"/>
        <v>-0.15707368577513314</v>
      </c>
      <c r="N24" s="32">
        <f t="shared" si="3"/>
        <v>-0.18216493017786384</v>
      </c>
      <c r="O24" s="32">
        <f t="shared" si="3"/>
        <v>-0.20923501936147559</v>
      </c>
      <c r="P24" s="32">
        <f t="shared" si="3"/>
        <v>-0.23808729333989476</v>
      </c>
      <c r="Q24" s="32">
        <f t="shared" si="3"/>
        <v>-0.26847458779193367</v>
      </c>
      <c r="R24" s="32">
        <f t="shared" si="3"/>
        <v>-0.30010768899795259</v>
      </c>
      <c r="S24" s="32">
        <f t="shared" si="3"/>
        <v>-0.33244577265887365</v>
      </c>
      <c r="T24" s="32">
        <f t="shared" si="3"/>
        <v>-0.36559437608223444</v>
      </c>
      <c r="U24" s="32">
        <f t="shared" si="3"/>
        <v>-0.39922619053762709</v>
      </c>
      <c r="V24" s="32">
        <f t="shared" si="3"/>
        <v>-0.4330068674113452</v>
      </c>
      <c r="W24" s="76">
        <f t="shared" si="3"/>
        <v>-0.46660668377005443</v>
      </c>
      <c r="X24" s="32">
        <f t="shared" si="3"/>
        <v>0.47374379744138384</v>
      </c>
      <c r="Y24" s="32">
        <f t="shared" si="3"/>
        <v>0.4421195136017575</v>
      </c>
      <c r="Z24" s="32">
        <f t="shared" si="3"/>
        <v>0.41189192126966923</v>
      </c>
      <c r="AA24" s="32">
        <f t="shared" si="3"/>
        <v>0.38329179520255607</v>
      </c>
      <c r="AB24" s="32">
        <f t="shared" si="3"/>
        <v>0.35648817625102414</v>
      </c>
      <c r="AC24" s="32">
        <f t="shared" si="3"/>
        <v>0.32995942964357816</v>
      </c>
      <c r="AD24" s="32">
        <f t="shared" si="3"/>
        <v>0.30517642525424993</v>
      </c>
      <c r="AE24" s="32">
        <f t="shared" si="3"/>
        <v>0.28221902183508396</v>
      </c>
      <c r="AF24" s="32">
        <f t="shared" si="3"/>
        <v>0.26112035442716897</v>
      </c>
      <c r="AG24" s="32">
        <f t="shared" si="3"/>
        <v>0.24187265253589052</v>
      </c>
      <c r="AH24" s="32">
        <f t="shared" si="3"/>
        <v>0.2224492268799394</v>
      </c>
      <c r="AI24" s="32">
        <f t="shared" si="3"/>
        <v>0.20473982377317013</v>
      </c>
      <c r="AJ24" s="32">
        <f t="shared" si="3"/>
        <v>0.18870297358086763</v>
      </c>
      <c r="AK24" s="32">
        <f t="shared" si="3"/>
        <v>0.17427364141344714</v>
      </c>
      <c r="AL24" s="32">
        <f t="shared" si="3"/>
        <v>0.16136932537146875</v>
      </c>
      <c r="AM24" s="32">
        <f t="shared" si="3"/>
        <v>0.14794864259660701</v>
      </c>
      <c r="AN24" s="32">
        <f t="shared" si="3"/>
        <v>0.13593398828427028</v>
      </c>
      <c r="AO24" s="32">
        <f t="shared" si="3"/>
        <v>0.12524019971306699</v>
      </c>
      <c r="AP24" s="32">
        <f t="shared" si="3"/>
        <v>0.1157751328583756</v>
      </c>
      <c r="AQ24" s="32">
        <f t="shared" si="3"/>
        <v>0.10744363531910439</v>
      </c>
    </row>
    <row r="25" spans="1:43" ht="10.15" customHeight="1">
      <c r="A25" s="34">
        <f>A27-$C$12</f>
        <v>49.30000000000004</v>
      </c>
      <c r="B25" s="34" t="s">
        <v>71</v>
      </c>
      <c r="C25" s="35">
        <f t="shared" ref="C25:AQ25" si="4">EBlackScholesForward("p",C$20,$A$25,C$22,$C$6,$C$6,$C$7,C$21)</f>
        <v>7.4080514472525269E-2</v>
      </c>
      <c r="D25" s="35">
        <f t="shared" si="4"/>
        <v>0.10448896294098552</v>
      </c>
      <c r="E25" s="35">
        <f t="shared" si="4"/>
        <v>0.14480589955509685</v>
      </c>
      <c r="F25" s="35">
        <f t="shared" si="4"/>
        <v>0.19732496279793391</v>
      </c>
      <c r="G25" s="35">
        <f t="shared" si="4"/>
        <v>0.26458583499464022</v>
      </c>
      <c r="H25" s="35">
        <f t="shared" si="4"/>
        <v>0.34932729928253076</v>
      </c>
      <c r="I25" s="35">
        <f t="shared" si="4"/>
        <v>0.44853046736893953</v>
      </c>
      <c r="J25" s="35">
        <f t="shared" si="4"/>
        <v>0.56908716087005751</v>
      </c>
      <c r="K25" s="35">
        <f t="shared" si="4"/>
        <v>0.71377115092147414</v>
      </c>
      <c r="L25" s="35">
        <f t="shared" si="4"/>
        <v>0.8853126995519992</v>
      </c>
      <c r="M25" s="35">
        <f t="shared" si="4"/>
        <v>1.0863156221636074</v>
      </c>
      <c r="N25" s="35">
        <f t="shared" si="4"/>
        <v>1.3083305435502095</v>
      </c>
      <c r="O25" s="35">
        <f t="shared" si="4"/>
        <v>1.5624084365572357</v>
      </c>
      <c r="P25" s="35">
        <f t="shared" si="4"/>
        <v>1.8504833802127705</v>
      </c>
      <c r="Q25" s="35">
        <f t="shared" si="4"/>
        <v>2.1741618153917739</v>
      </c>
      <c r="R25" s="35">
        <f t="shared" si="4"/>
        <v>2.5346740613850485</v>
      </c>
      <c r="S25" s="35">
        <f t="shared" si="4"/>
        <v>2.9180198538132971</v>
      </c>
      <c r="T25" s="35">
        <f t="shared" si="4"/>
        <v>3.3384057833643692</v>
      </c>
      <c r="U25" s="35">
        <f t="shared" si="4"/>
        <v>3.7961568711162288</v>
      </c>
      <c r="V25" s="35">
        <f t="shared" si="4"/>
        <v>4.2911986888704563</v>
      </c>
      <c r="W25" s="77">
        <f t="shared" si="4"/>
        <v>4.8230680812004074</v>
      </c>
      <c r="X25" s="35">
        <f t="shared" si="4"/>
        <v>3.7528258790162718</v>
      </c>
      <c r="Y25" s="35">
        <f t="shared" si="4"/>
        <v>3.4016044521269815</v>
      </c>
      <c r="Z25" s="35">
        <f t="shared" si="4"/>
        <v>3.0863900998873239</v>
      </c>
      <c r="AA25" s="35">
        <f t="shared" si="4"/>
        <v>2.8050434631314305</v>
      </c>
      <c r="AB25" s="35">
        <f t="shared" si="4"/>
        <v>2.5552332244695708</v>
      </c>
      <c r="AC25" s="35">
        <f t="shared" si="4"/>
        <v>2.3048390437252806</v>
      </c>
      <c r="AD25" s="35">
        <f t="shared" si="4"/>
        <v>2.0828413285713481</v>
      </c>
      <c r="AE25" s="35">
        <f t="shared" si="4"/>
        <v>1.886974332959831</v>
      </c>
      <c r="AF25" s="35">
        <f t="shared" si="4"/>
        <v>1.7149607457931626</v>
      </c>
      <c r="AG25" s="35">
        <f t="shared" si="4"/>
        <v>1.5645684476751702</v>
      </c>
      <c r="AH25" s="35">
        <f t="shared" si="4"/>
        <v>1.4090455471586851</v>
      </c>
      <c r="AI25" s="35">
        <f t="shared" si="4"/>
        <v>1.2731191153040076</v>
      </c>
      <c r="AJ25" s="35">
        <f t="shared" si="4"/>
        <v>1.1548184033099058</v>
      </c>
      <c r="AK25" s="35">
        <f t="shared" si="4"/>
        <v>1.0522833390207471</v>
      </c>
      <c r="AL25" s="35">
        <f t="shared" si="4"/>
        <v>0.9637869806628141</v>
      </c>
      <c r="AM25" s="35">
        <f t="shared" si="4"/>
        <v>0.86856014593616937</v>
      </c>
      <c r="AN25" s="35">
        <f t="shared" si="4"/>
        <v>0.78629835737091747</v>
      </c>
      <c r="AO25" s="35">
        <f t="shared" si="4"/>
        <v>0.71551553200931328</v>
      </c>
      <c r="AP25" s="35">
        <f t="shared" si="4"/>
        <v>0.65486247211709969</v>
      </c>
      <c r="AQ25" s="35">
        <f t="shared" si="4"/>
        <v>0.60312945813235985</v>
      </c>
    </row>
    <row r="26" spans="1:43" ht="10.15" customHeight="1" outlineLevel="1">
      <c r="A26" s="36"/>
      <c r="B26" s="34" t="s">
        <v>74</v>
      </c>
      <c r="C26" s="35">
        <f t="shared" ref="C26:AQ26" si="5">EBlackScholesForward($FA$3,C$20,$A$25,C$22,$C$6,$C$6,$C$7,C$21)</f>
        <v>-1.5700445672955921E-2</v>
      </c>
      <c r="D26" s="35">
        <f t="shared" si="5"/>
        <v>-2.1355433203731899E-2</v>
      </c>
      <c r="E26" s="35">
        <f t="shared" si="5"/>
        <v>-2.85058561154794E-2</v>
      </c>
      <c r="F26" s="35">
        <f t="shared" si="5"/>
        <v>-3.7370063239995643E-2</v>
      </c>
      <c r="G26" s="35">
        <f t="shared" si="5"/>
        <v>-4.8149862728799619E-2</v>
      </c>
      <c r="H26" s="35">
        <f t="shared" si="5"/>
        <v>-6.1017341787888979E-2</v>
      </c>
      <c r="I26" s="35">
        <f t="shared" si="5"/>
        <v>-7.5521126204944333E-2</v>
      </c>
      <c r="J26" s="35">
        <f t="shared" si="5"/>
        <v>-9.2252760234717845E-2</v>
      </c>
      <c r="K26" s="35">
        <f t="shared" si="5"/>
        <v>-0.11126712832156271</v>
      </c>
      <c r="L26" s="35">
        <f t="shared" si="5"/>
        <v>-0.13256058465530574</v>
      </c>
      <c r="M26" s="35">
        <f t="shared" si="5"/>
        <v>-0.15606649285840879</v>
      </c>
      <c r="N26" s="35">
        <f t="shared" si="5"/>
        <v>-0.18105330473774384</v>
      </c>
      <c r="O26" s="35">
        <f t="shared" si="5"/>
        <v>-0.20802248607575402</v>
      </c>
      <c r="P26" s="35">
        <f t="shared" si="5"/>
        <v>-0.23677977927950566</v>
      </c>
      <c r="Q26" s="35">
        <f t="shared" si="5"/>
        <v>-0.26708027629933628</v>
      </c>
      <c r="R26" s="35">
        <f t="shared" si="5"/>
        <v>-0.29863675615864338</v>
      </c>
      <c r="S26" s="35">
        <f t="shared" si="5"/>
        <v>-0.33090491036615877</v>
      </c>
      <c r="T26" s="35">
        <f t="shared" si="5"/>
        <v>-0.36399568833831442</v>
      </c>
      <c r="U26" s="35">
        <f t="shared" si="5"/>
        <v>-0.3975828970595563</v>
      </c>
      <c r="V26" s="35">
        <f t="shared" si="5"/>
        <v>-0.43133285431840029</v>
      </c>
      <c r="W26" s="77">
        <f t="shared" si="5"/>
        <v>-0.46491603753668898</v>
      </c>
      <c r="X26" s="35">
        <f t="shared" si="5"/>
        <v>0.47543117608288554</v>
      </c>
      <c r="Y26" s="35">
        <f t="shared" si="5"/>
        <v>0.44378979967090171</v>
      </c>
      <c r="Z26" s="35">
        <f t="shared" si="5"/>
        <v>0.41353287890324442</v>
      </c>
      <c r="AA26" s="35">
        <f t="shared" si="5"/>
        <v>0.38489307268918527</v>
      </c>
      <c r="AB26" s="35">
        <f t="shared" si="5"/>
        <v>0.35804145723665748</v>
      </c>
      <c r="AC26" s="35">
        <f t="shared" si="5"/>
        <v>0.33146615589281225</v>
      </c>
      <c r="AD26" s="35">
        <f t="shared" si="5"/>
        <v>0.30663005081899009</v>
      </c>
      <c r="AE26" s="35">
        <f t="shared" si="5"/>
        <v>0.28361480539921269</v>
      </c>
      <c r="AF26" s="35">
        <f t="shared" si="5"/>
        <v>0.26245527317176887</v>
      </c>
      <c r="AG26" s="35">
        <f t="shared" si="5"/>
        <v>0.24314524723483277</v>
      </c>
      <c r="AH26" s="35">
        <f t="shared" si="5"/>
        <v>0.22366164792773091</v>
      </c>
      <c r="AI26" s="35">
        <f t="shared" si="5"/>
        <v>0.20589122819693051</v>
      </c>
      <c r="AJ26" s="35">
        <f t="shared" si="5"/>
        <v>0.1897937102971925</v>
      </c>
      <c r="AK26" s="35">
        <f t="shared" si="5"/>
        <v>0.17530506117724443</v>
      </c>
      <c r="AL26" s="35">
        <f t="shared" si="5"/>
        <v>0.16234358228494616</v>
      </c>
      <c r="AM26" s="35">
        <f t="shared" si="5"/>
        <v>0.14886665322682568</v>
      </c>
      <c r="AN26" s="35">
        <f t="shared" si="5"/>
        <v>0.13679783742372997</v>
      </c>
      <c r="AO26" s="35">
        <f t="shared" si="5"/>
        <v>0.12605253739461642</v>
      </c>
      <c r="AP26" s="35">
        <f t="shared" si="5"/>
        <v>0.11653901620438667</v>
      </c>
      <c r="AQ26" s="35">
        <f t="shared" si="5"/>
        <v>0.10816238546288437</v>
      </c>
    </row>
    <row r="27" spans="1:43" ht="10.15" customHeight="1">
      <c r="A27" s="31">
        <f>A29-$C$12</f>
        <v>49.350000000000037</v>
      </c>
      <c r="B27" s="31" t="s">
        <v>71</v>
      </c>
      <c r="C27" s="32">
        <f t="shared" ref="C27:AQ27" si="6">EBlackScholesForward("p",C$20,$A$27,C$22,$C$6,$C$6,$C$7,C$21)</f>
        <v>7.3299520535263701E-2</v>
      </c>
      <c r="D27" s="32">
        <f t="shared" si="6"/>
        <v>0.1034264471235081</v>
      </c>
      <c r="E27" s="32">
        <f t="shared" si="6"/>
        <v>0.14338732511457714</v>
      </c>
      <c r="F27" s="32">
        <f t="shared" si="6"/>
        <v>0.19546487966288661</v>
      </c>
      <c r="G27" s="32">
        <f t="shared" si="6"/>
        <v>0.26218869570339021</v>
      </c>
      <c r="H27" s="32">
        <f t="shared" si="6"/>
        <v>0.34628893277637496</v>
      </c>
      <c r="I27" s="32">
        <f t="shared" si="6"/>
        <v>0.4447692048431427</v>
      </c>
      <c r="J27" s="32">
        <f t="shared" si="6"/>
        <v>0.56449176932185685</v>
      </c>
      <c r="K27" s="32">
        <f t="shared" si="6"/>
        <v>0.70822760835093368</v>
      </c>
      <c r="L27" s="32">
        <f t="shared" si="6"/>
        <v>0.87870711270547008</v>
      </c>
      <c r="M27" s="32">
        <f t="shared" si="6"/>
        <v>1.0785373698047411</v>
      </c>
      <c r="N27" s="32">
        <f t="shared" si="6"/>
        <v>1.2993055595499308</v>
      </c>
      <c r="O27" s="32">
        <f t="shared" si="6"/>
        <v>1.5520375164042659</v>
      </c>
      <c r="P27" s="32">
        <f t="shared" si="6"/>
        <v>1.8386769722920993</v>
      </c>
      <c r="Q27" s="32">
        <f t="shared" si="6"/>
        <v>2.1608425570584067</v>
      </c>
      <c r="R27" s="32">
        <f t="shared" si="6"/>
        <v>2.5197789010979226</v>
      </c>
      <c r="S27" s="32">
        <f t="shared" si="6"/>
        <v>2.9015130417657682</v>
      </c>
      <c r="T27" s="32">
        <f t="shared" si="6"/>
        <v>3.3202458874590421</v>
      </c>
      <c r="U27" s="32">
        <f t="shared" si="6"/>
        <v>3.7763187407223215</v>
      </c>
      <c r="V27" s="32">
        <f t="shared" si="6"/>
        <v>4.2696738404629597</v>
      </c>
      <c r="W27" s="76">
        <f t="shared" si="6"/>
        <v>4.7998645019979111</v>
      </c>
      <c r="X27" s="32">
        <f t="shared" si="6"/>
        <v>3.7766395915864561</v>
      </c>
      <c r="Y27" s="32">
        <f t="shared" si="6"/>
        <v>3.4238356809595385</v>
      </c>
      <c r="Z27" s="32">
        <f t="shared" si="6"/>
        <v>3.1071077611093947</v>
      </c>
      <c r="AA27" s="32">
        <f t="shared" si="6"/>
        <v>2.8243281526297173</v>
      </c>
      <c r="AB27" s="32">
        <f t="shared" si="6"/>
        <v>2.5731741426274479</v>
      </c>
      <c r="AC27" s="32">
        <f t="shared" si="6"/>
        <v>2.3214500420121991</v>
      </c>
      <c r="AD27" s="32">
        <f t="shared" si="6"/>
        <v>2.0982092019499947</v>
      </c>
      <c r="AE27" s="32">
        <f t="shared" si="6"/>
        <v>1.9011900046057648</v>
      </c>
      <c r="AF27" s="32">
        <f t="shared" si="6"/>
        <v>1.7281169245152201</v>
      </c>
      <c r="AG27" s="32">
        <f t="shared" si="6"/>
        <v>1.5767575710755573</v>
      </c>
      <c r="AH27" s="32">
        <f t="shared" si="6"/>
        <v>1.4202589904724874</v>
      </c>
      <c r="AI27" s="32">
        <f t="shared" si="6"/>
        <v>1.2834425153451088</v>
      </c>
      <c r="AJ27" s="32">
        <f t="shared" si="6"/>
        <v>1.1643354128825576</v>
      </c>
      <c r="AK27" s="32">
        <f t="shared" si="6"/>
        <v>1.0610744344277898</v>
      </c>
      <c r="AL27" s="32">
        <f t="shared" si="6"/>
        <v>0.97192857348262152</v>
      </c>
      <c r="AM27" s="32">
        <f t="shared" si="6"/>
        <v>0.87602648694252527</v>
      </c>
      <c r="AN27" s="32">
        <f t="shared" si="6"/>
        <v>0.79315990365309696</v>
      </c>
      <c r="AO27" s="32">
        <f t="shared" si="6"/>
        <v>0.72183852502178725</v>
      </c>
      <c r="AP27" s="32">
        <f t="shared" si="6"/>
        <v>0.66070857675307415</v>
      </c>
      <c r="AQ27" s="32">
        <f t="shared" si="6"/>
        <v>0.60855560156880395</v>
      </c>
    </row>
    <row r="28" spans="1:43" ht="10.15" customHeight="1" outlineLevel="1">
      <c r="A28" s="33"/>
      <c r="B28" s="31" t="s">
        <v>74</v>
      </c>
      <c r="C28" s="32">
        <f>EBlackScholesForward($FA$3,C$20,$A$27,C$22,$C$6,$C$6,$C$7,C$21)</f>
        <v>-1.5539596694189028E-2</v>
      </c>
      <c r="D28" s="32">
        <f t="shared" ref="D28:AQ28" si="7">EBlackScholesForward("d",D$20,$A$27,D$22,$C$6,$C$6,$C$7,D$21)</f>
        <v>-2.114555291370529E-2</v>
      </c>
      <c r="E28" s="32">
        <f t="shared" si="7"/>
        <v>-2.8237549879593649E-2</v>
      </c>
      <c r="F28" s="32">
        <f t="shared" si="7"/>
        <v>-3.7033769736631583E-2</v>
      </c>
      <c r="G28" s="32">
        <f t="shared" si="7"/>
        <v>-4.7736297139219785E-2</v>
      </c>
      <c r="H28" s="32">
        <f t="shared" si="7"/>
        <v>-6.0517985481511882E-2</v>
      </c>
      <c r="I28" s="32">
        <f t="shared" si="7"/>
        <v>-7.4930117567079124E-2</v>
      </c>
      <c r="J28" s="32">
        <f t="shared" si="7"/>
        <v>-9.156371304309685E-2</v>
      </c>
      <c r="K28" s="32">
        <f t="shared" si="7"/>
        <v>-0.11047544398576359</v>
      </c>
      <c r="L28" s="32">
        <f t="shared" si="7"/>
        <v>-0.1316638032916928</v>
      </c>
      <c r="M28" s="32">
        <f t="shared" si="7"/>
        <v>-0.15506454412851367</v>
      </c>
      <c r="N28" s="32">
        <f t="shared" si="7"/>
        <v>-0.17994701464284502</v>
      </c>
      <c r="O28" s="32">
        <f t="shared" si="7"/>
        <v>-0.20681527796017063</v>
      </c>
      <c r="P28" s="32">
        <f t="shared" si="7"/>
        <v>-0.23547747513504858</v>
      </c>
      <c r="Q28" s="32">
        <f t="shared" si="7"/>
        <v>-0.26569095561843614</v>
      </c>
      <c r="R28" s="32">
        <f t="shared" si="7"/>
        <v>-0.29717049731790013</v>
      </c>
      <c r="S28" s="32">
        <f t="shared" si="7"/>
        <v>-0.32936834632191214</v>
      </c>
      <c r="T28" s="32">
        <f t="shared" si="7"/>
        <v>-0.36240084058358768</v>
      </c>
      <c r="U28" s="32">
        <f t="shared" si="7"/>
        <v>-0.39594291698918926</v>
      </c>
      <c r="V28" s="32">
        <f t="shared" si="7"/>
        <v>-0.4296615765333911</v>
      </c>
      <c r="W28" s="76">
        <f t="shared" si="7"/>
        <v>-0.46322751534320084</v>
      </c>
      <c r="X28" s="32">
        <f t="shared" si="7"/>
        <v>0.47711705398201243</v>
      </c>
      <c r="Y28" s="32">
        <f t="shared" si="7"/>
        <v>0.44545918964780107</v>
      </c>
      <c r="Z28" s="32">
        <f t="shared" si="7"/>
        <v>0.41517350817779075</v>
      </c>
      <c r="AA28" s="32">
        <f t="shared" si="7"/>
        <v>0.38649453849397553</v>
      </c>
      <c r="AB28" s="32">
        <f t="shared" si="7"/>
        <v>0.35959538250585066</v>
      </c>
      <c r="AC28" s="32">
        <f t="shared" si="7"/>
        <v>0.33297396871803109</v>
      </c>
      <c r="AD28" s="32">
        <f t="shared" si="7"/>
        <v>0.30808514665952025</v>
      </c>
      <c r="AE28" s="32">
        <f t="shared" si="7"/>
        <v>0.2850123808147198</v>
      </c>
      <c r="AF28" s="32">
        <f t="shared" si="7"/>
        <v>0.26379224290983272</v>
      </c>
      <c r="AG28" s="32">
        <f t="shared" si="7"/>
        <v>0.24442009199755477</v>
      </c>
      <c r="AH28" s="32">
        <f t="shared" si="7"/>
        <v>0.22487652510612133</v>
      </c>
      <c r="AI28" s="32">
        <f t="shared" si="7"/>
        <v>0.2070452416225721</v>
      </c>
      <c r="AJ28" s="32">
        <f t="shared" si="7"/>
        <v>0.19088715960490221</v>
      </c>
      <c r="AK28" s="32">
        <f t="shared" si="7"/>
        <v>0.17633925296494102</v>
      </c>
      <c r="AL28" s="32">
        <f t="shared" si="7"/>
        <v>0.16332063232058491</v>
      </c>
      <c r="AM28" s="32">
        <f t="shared" si="7"/>
        <v>0.14978749601826102</v>
      </c>
      <c r="AN28" s="32">
        <f t="shared" si="7"/>
        <v>0.13766452393116912</v>
      </c>
      <c r="AO28" s="32">
        <f t="shared" si="7"/>
        <v>0.12686768909561108</v>
      </c>
      <c r="AP28" s="32">
        <f t="shared" si="7"/>
        <v>0.11730566694508893</v>
      </c>
      <c r="AQ28" s="32">
        <f t="shared" si="7"/>
        <v>0.10888383812439062</v>
      </c>
    </row>
    <row r="29" spans="1:43" ht="10.15" customHeight="1">
      <c r="A29" s="34">
        <f>A31-$C$12</f>
        <v>49.400000000000034</v>
      </c>
      <c r="B29" s="34" t="s">
        <v>71</v>
      </c>
      <c r="C29" s="35">
        <f t="shared" ref="C29:AQ29" si="8">EBlackScholesForward("p",C$20,$A$29,C$22,$C$6,$C$6,$C$7,C$21)</f>
        <v>7.2526529596060652E-2</v>
      </c>
      <c r="D29" s="35">
        <f t="shared" si="8"/>
        <v>0.10237437636853479</v>
      </c>
      <c r="E29" s="35">
        <f t="shared" si="8"/>
        <v>0.14198210664036159</v>
      </c>
      <c r="F29" s="35">
        <f t="shared" si="8"/>
        <v>0.19362154087170394</v>
      </c>
      <c r="G29" s="35">
        <f t="shared" si="8"/>
        <v>0.25981215317001205</v>
      </c>
      <c r="H29" s="35">
        <f t="shared" si="8"/>
        <v>0.34327544162367329</v>
      </c>
      <c r="I29" s="35">
        <f t="shared" si="8"/>
        <v>0.44103738977159823</v>
      </c>
      <c r="J29" s="35">
        <f t="shared" si="8"/>
        <v>0.55993071762057534</v>
      </c>
      <c r="K29" s="35">
        <f t="shared" si="8"/>
        <v>0.70272352939752791</v>
      </c>
      <c r="L29" s="35">
        <f t="shared" si="8"/>
        <v>0.87214623811387659</v>
      </c>
      <c r="M29" s="35">
        <f t="shared" si="8"/>
        <v>1.0708090840791675</v>
      </c>
      <c r="N29" s="35">
        <f t="shared" si="8"/>
        <v>1.290335756897554</v>
      </c>
      <c r="O29" s="35">
        <f t="shared" si="8"/>
        <v>1.5417268236683368</v>
      </c>
      <c r="P29" s="35">
        <f t="shared" si="8"/>
        <v>1.8269355493767034</v>
      </c>
      <c r="Q29" s="35">
        <f t="shared" si="8"/>
        <v>2.147592639935918</v>
      </c>
      <c r="R29" s="35">
        <f t="shared" si="8"/>
        <v>2.5049569367510336</v>
      </c>
      <c r="S29" s="35">
        <f t="shared" si="8"/>
        <v>2.8850829502143598</v>
      </c>
      <c r="T29" s="35">
        <f t="shared" si="8"/>
        <v>3.302165637598903</v>
      </c>
      <c r="U29" s="35">
        <f t="shared" si="8"/>
        <v>3.7565625260697919</v>
      </c>
      <c r="V29" s="35">
        <f t="shared" si="8"/>
        <v>4.248232487062765</v>
      </c>
      <c r="W29" s="77">
        <f t="shared" si="8"/>
        <v>4.7767452952464566</v>
      </c>
      <c r="X29" s="35">
        <f t="shared" si="8"/>
        <v>3.8005375599397673</v>
      </c>
      <c r="Y29" s="35">
        <f t="shared" si="8"/>
        <v>3.4461503562771258</v>
      </c>
      <c r="Z29" s="35">
        <f t="shared" si="8"/>
        <v>3.1279074449725104</v>
      </c>
      <c r="AA29" s="35">
        <f t="shared" si="8"/>
        <v>2.8436929195241039</v>
      </c>
      <c r="AB29" s="35">
        <f t="shared" si="8"/>
        <v>2.591192772576814</v>
      </c>
      <c r="AC29" s="35">
        <f t="shared" si="8"/>
        <v>2.3381364575470238</v>
      </c>
      <c r="AD29" s="35">
        <f t="shared" si="8"/>
        <v>2.113649866349872</v>
      </c>
      <c r="AE29" s="35">
        <f t="shared" si="8"/>
        <v>1.9154755993274368</v>
      </c>
      <c r="AF29" s="35">
        <f t="shared" si="8"/>
        <v>1.7413400025479566</v>
      </c>
      <c r="AG29" s="35">
        <f t="shared" si="8"/>
        <v>1.5890104925567161</v>
      </c>
      <c r="AH29" s="35">
        <f t="shared" si="8"/>
        <v>1.4315332386787463</v>
      </c>
      <c r="AI29" s="35">
        <f t="shared" si="8"/>
        <v>1.2938236809530437</v>
      </c>
      <c r="AJ29" s="35">
        <f t="shared" si="8"/>
        <v>1.1739071624456228</v>
      </c>
      <c r="AK29" s="35">
        <f t="shared" si="8"/>
        <v>1.0699173084730129</v>
      </c>
      <c r="AL29" s="35">
        <f t="shared" si="8"/>
        <v>0.98011908841576867</v>
      </c>
      <c r="AM29" s="35">
        <f t="shared" si="8"/>
        <v>0.88353894071024852</v>
      </c>
      <c r="AN29" s="35">
        <f t="shared" si="8"/>
        <v>0.80006485504439695</v>
      </c>
      <c r="AO29" s="35">
        <f t="shared" si="8"/>
        <v>0.72820234584814114</v>
      </c>
      <c r="AP29" s="35">
        <f t="shared" si="8"/>
        <v>0.66659308301476949</v>
      </c>
      <c r="AQ29" s="35">
        <f t="shared" si="8"/>
        <v>0.61401788512712818</v>
      </c>
    </row>
    <row r="30" spans="1:43" ht="10.15" customHeight="1" outlineLevel="1">
      <c r="A30" s="36"/>
      <c r="B30" s="34" t="s">
        <v>74</v>
      </c>
      <c r="C30" s="35">
        <f t="shared" ref="C30:AQ30" si="9">EBlackScholesForward($FA$3,C$20,$A$29,C$22,$C$6,$C$6,$C$7,C$21)</f>
        <v>-1.5380323160171794E-2</v>
      </c>
      <c r="D30" s="35">
        <f t="shared" si="9"/>
        <v>-2.0937627695871014E-2</v>
      </c>
      <c r="E30" s="35">
        <f t="shared" si="9"/>
        <v>-2.7971614071728435E-2</v>
      </c>
      <c r="F30" s="35">
        <f t="shared" si="9"/>
        <v>-3.6700285772914287E-2</v>
      </c>
      <c r="G30" s="35">
        <f t="shared" si="9"/>
        <v>-4.7325988472643465E-2</v>
      </c>
      <c r="H30" s="35">
        <f t="shared" si="9"/>
        <v>-6.0022323597447302E-2</v>
      </c>
      <c r="I30" s="35">
        <f t="shared" si="9"/>
        <v>-7.434322397084081E-2</v>
      </c>
      <c r="J30" s="35">
        <f t="shared" si="9"/>
        <v>-9.087916242518923E-2</v>
      </c>
      <c r="K30" s="35">
        <f t="shared" si="9"/>
        <v>-0.1096885799847902</v>
      </c>
      <c r="L30" s="35">
        <f t="shared" si="9"/>
        <v>-0.13077209123542044</v>
      </c>
      <c r="M30" s="35">
        <f t="shared" si="9"/>
        <v>-0.15406782486880877</v>
      </c>
      <c r="N30" s="35">
        <f t="shared" si="9"/>
        <v>-0.17884604881546196</v>
      </c>
      <c r="O30" s="35">
        <f t="shared" si="9"/>
        <v>-0.20561338814193419</v>
      </c>
      <c r="P30" s="35">
        <f t="shared" si="9"/>
        <v>-0.23418037864252339</v>
      </c>
      <c r="Q30" s="35">
        <f t="shared" si="9"/>
        <v>-0.26430662830387863</v>
      </c>
      <c r="R30" s="35">
        <f t="shared" si="9"/>
        <v>-0.29570891985590819</v>
      </c>
      <c r="S30" s="35">
        <f t="shared" si="9"/>
        <v>-0.32783609268962621</v>
      </c>
      <c r="T30" s="35">
        <f t="shared" si="9"/>
        <v>-0.36080984951392114</v>
      </c>
      <c r="U30" s="35">
        <f t="shared" si="9"/>
        <v>-0.39430627112737593</v>
      </c>
      <c r="V30" s="35">
        <f t="shared" si="9"/>
        <v>-0.42799305838672197</v>
      </c>
      <c r="W30" s="77">
        <f t="shared" si="9"/>
        <v>-0.46154114436895988</v>
      </c>
      <c r="X30" s="35">
        <f t="shared" si="9"/>
        <v>0.47880140221847611</v>
      </c>
      <c r="Y30" s="35">
        <f t="shared" si="9"/>
        <v>0.44712765371779373</v>
      </c>
      <c r="Z30" s="35">
        <f t="shared" si="9"/>
        <v>0.4168137791682236</v>
      </c>
      <c r="AA30" s="35">
        <f t="shared" si="9"/>
        <v>0.3880961632557689</v>
      </c>
      <c r="AB30" s="35">
        <f t="shared" si="9"/>
        <v>0.36114992381666156</v>
      </c>
      <c r="AC30" s="35">
        <f t="shared" si="9"/>
        <v>0.33448284091510683</v>
      </c>
      <c r="AD30" s="35">
        <f t="shared" si="9"/>
        <v>0.30954168703509755</v>
      </c>
      <c r="AE30" s="35">
        <f t="shared" si="9"/>
        <v>0.28641172411232318</v>
      </c>
      <c r="AF30" s="35">
        <f t="shared" si="9"/>
        <v>0.26513124163483059</v>
      </c>
      <c r="AG30" s="35">
        <f t="shared" si="9"/>
        <v>0.24569716686966281</v>
      </c>
      <c r="AH30" s="35">
        <f t="shared" si="9"/>
        <v>0.22609384037287628</v>
      </c>
      <c r="AI30" s="35">
        <f t="shared" si="9"/>
        <v>0.20820184796982444</v>
      </c>
      <c r="AJ30" s="35">
        <f t="shared" si="9"/>
        <v>0.19198330736083236</v>
      </c>
      <c r="AK30" s="35">
        <f t="shared" si="9"/>
        <v>0.17737620448504687</v>
      </c>
      <c r="AL30" s="35">
        <f t="shared" si="9"/>
        <v>0.16430046490869543</v>
      </c>
      <c r="AM30" s="35">
        <f t="shared" si="9"/>
        <v>0.15071116207190927</v>
      </c>
      <c r="AN30" s="35">
        <f t="shared" si="9"/>
        <v>0.13853404045818252</v>
      </c>
      <c r="AO30" s="35">
        <f t="shared" si="9"/>
        <v>0.12768564887221112</v>
      </c>
      <c r="AP30" s="35">
        <f t="shared" si="9"/>
        <v>0.11807508038011449</v>
      </c>
      <c r="AQ30" s="35">
        <f t="shared" si="9"/>
        <v>0.10960798967876162</v>
      </c>
    </row>
    <row r="31" spans="1:43" ht="10.15" customHeight="1">
      <c r="A31" s="31">
        <f>A33-$C$12</f>
        <v>49.450000000000031</v>
      </c>
      <c r="B31" s="31" t="s">
        <v>71</v>
      </c>
      <c r="C31" s="32">
        <f t="shared" ref="C31:AQ31" si="10">EBlackScholesForward("p",C$20,$A$31,C$22,$C$6,$C$6,$C$7,C$21)</f>
        <v>7.1761463241544407E-2</v>
      </c>
      <c r="D31" s="32">
        <f t="shared" si="10"/>
        <v>0.10133265333923341</v>
      </c>
      <c r="E31" s="32">
        <f t="shared" si="10"/>
        <v>0.14059012608115393</v>
      </c>
      <c r="F31" s="32">
        <f t="shared" si="10"/>
        <v>0.19179480646214325</v>
      </c>
      <c r="G31" s="32">
        <f t="shared" si="10"/>
        <v>0.2574560450949735</v>
      </c>
      <c r="H31" s="32">
        <f t="shared" si="10"/>
        <v>0.34028664166551958</v>
      </c>
      <c r="I31" s="32">
        <f t="shared" si="10"/>
        <v>0.43733481696628868</v>
      </c>
      <c r="J31" s="32">
        <f t="shared" si="10"/>
        <v>0.55540378148363301</v>
      </c>
      <c r="K31" s="32">
        <f t="shared" si="10"/>
        <v>0.69725867355182758</v>
      </c>
      <c r="L31" s="32">
        <f t="shared" si="10"/>
        <v>0.86562982275989009</v>
      </c>
      <c r="M31" s="32">
        <f t="shared" si="10"/>
        <v>1.0631305038832968</v>
      </c>
      <c r="N31" s="32">
        <f t="shared" si="10"/>
        <v>1.2814208696594531</v>
      </c>
      <c r="O31" s="32">
        <f t="shared" si="10"/>
        <v>1.5314760926098954</v>
      </c>
      <c r="P31" s="32">
        <f t="shared" si="10"/>
        <v>1.8152588511447387</v>
      </c>
      <c r="Q31" s="32">
        <f t="shared" si="10"/>
        <v>2.1344118142967616</v>
      </c>
      <c r="R31" s="32">
        <f t="shared" si="10"/>
        <v>2.490207934095884</v>
      </c>
      <c r="S31" s="32">
        <f t="shared" si="10"/>
        <v>2.8687293633394297</v>
      </c>
      <c r="T31" s="32">
        <f t="shared" si="10"/>
        <v>3.284164840537386</v>
      </c>
      <c r="U31" s="32">
        <f t="shared" si="10"/>
        <v>3.7368880599331566</v>
      </c>
      <c r="V31" s="32">
        <f t="shared" si="10"/>
        <v>4.2268744900842732</v>
      </c>
      <c r="W31" s="76">
        <f t="shared" si="10"/>
        <v>4.7537103527097564</v>
      </c>
      <c r="X31" s="32">
        <f t="shared" si="10"/>
        <v>3.8245197068736823</v>
      </c>
      <c r="Y31" s="32">
        <f t="shared" si="10"/>
        <v>3.4685484310420107</v>
      </c>
      <c r="Z31" s="32">
        <f t="shared" si="10"/>
        <v>3.1487891328165523</v>
      </c>
      <c r="AA31" s="32">
        <f t="shared" si="10"/>
        <v>2.8631377710301074</v>
      </c>
      <c r="AB31" s="32">
        <f t="shared" si="10"/>
        <v>2.6092891444147361</v>
      </c>
      <c r="AC31" s="32">
        <f t="shared" si="10"/>
        <v>2.3548983426187431</v>
      </c>
      <c r="AD31" s="32">
        <f t="shared" si="10"/>
        <v>2.1291633933542338</v>
      </c>
      <c r="AE31" s="32">
        <f t="shared" si="10"/>
        <v>1.9298312049193003</v>
      </c>
      <c r="AF31" s="32">
        <f t="shared" si="10"/>
        <v>1.7546300807898343</v>
      </c>
      <c r="AG31" s="32">
        <f t="shared" si="10"/>
        <v>1.6013273231242391</v>
      </c>
      <c r="AH31" s="32">
        <f t="shared" si="10"/>
        <v>1.442868413229579</v>
      </c>
      <c r="AI31" s="32">
        <f t="shared" si="10"/>
        <v>1.3042627413704508</v>
      </c>
      <c r="AJ31" s="32">
        <f t="shared" si="10"/>
        <v>1.1835337865663409</v>
      </c>
      <c r="AK31" s="32">
        <f t="shared" si="10"/>
        <v>1.0788120988340832</v>
      </c>
      <c r="AL31" s="32">
        <f t="shared" si="10"/>
        <v>0.98835866432396602</v>
      </c>
      <c r="AM31" s="32">
        <f t="shared" si="10"/>
        <v>0.89109764817821668</v>
      </c>
      <c r="AN31" s="32">
        <f t="shared" si="10"/>
        <v>0.80701335286034959</v>
      </c>
      <c r="AO31" s="32">
        <f t="shared" si="10"/>
        <v>0.73460713474185302</v>
      </c>
      <c r="AP31" s="32">
        <f t="shared" si="10"/>
        <v>0.67251612891773471</v>
      </c>
      <c r="AQ31" s="32">
        <f t="shared" si="10"/>
        <v>0.61951644365978187</v>
      </c>
    </row>
    <row r="32" spans="1:43" ht="10.15" customHeight="1">
      <c r="A32" s="31"/>
      <c r="B32" s="31" t="s">
        <v>74</v>
      </c>
      <c r="C32" s="32">
        <f>EBlackScholesForward($FA$3,C$20,$A$31,C$22,$C$6,$C$6,$C$7,C$21)</f>
        <v>-1.5222610736854297E-2</v>
      </c>
      <c r="D32" s="32">
        <f t="shared" ref="D32:AQ32" si="11">EBlackScholesForward($FA$3,D$20,$A$29,D$22,$C$6,$C$6,$C$7,D$21)</f>
        <v>-2.0937627695871014E-2</v>
      </c>
      <c r="E32" s="32">
        <f t="shared" si="11"/>
        <v>-2.7971614071728435E-2</v>
      </c>
      <c r="F32" s="32">
        <f t="shared" si="11"/>
        <v>-3.6700285772914287E-2</v>
      </c>
      <c r="G32" s="32">
        <f t="shared" si="11"/>
        <v>-4.7325988472643465E-2</v>
      </c>
      <c r="H32" s="32">
        <f t="shared" si="11"/>
        <v>-6.0022323597447302E-2</v>
      </c>
      <c r="I32" s="32">
        <f t="shared" si="11"/>
        <v>-7.434322397084081E-2</v>
      </c>
      <c r="J32" s="32">
        <f t="shared" si="11"/>
        <v>-9.087916242518923E-2</v>
      </c>
      <c r="K32" s="32">
        <f t="shared" si="11"/>
        <v>-0.1096885799847902</v>
      </c>
      <c r="L32" s="32">
        <f t="shared" si="11"/>
        <v>-0.13077209123542044</v>
      </c>
      <c r="M32" s="32">
        <f t="shared" si="11"/>
        <v>-0.15406782486880877</v>
      </c>
      <c r="N32" s="32">
        <f t="shared" si="11"/>
        <v>-0.17884604881546196</v>
      </c>
      <c r="O32" s="32">
        <f t="shared" si="11"/>
        <v>-0.20561338814193419</v>
      </c>
      <c r="P32" s="32">
        <f t="shared" si="11"/>
        <v>-0.23418037864252339</v>
      </c>
      <c r="Q32" s="32">
        <f t="shared" si="11"/>
        <v>-0.26430662830387863</v>
      </c>
      <c r="R32" s="32">
        <f t="shared" si="11"/>
        <v>-0.29570891985590819</v>
      </c>
      <c r="S32" s="32">
        <f t="shared" si="11"/>
        <v>-0.32783609268962621</v>
      </c>
      <c r="T32" s="32">
        <f t="shared" si="11"/>
        <v>-0.36080984951392114</v>
      </c>
      <c r="U32" s="32">
        <f t="shared" si="11"/>
        <v>-0.39430627112737593</v>
      </c>
      <c r="V32" s="32">
        <f t="shared" si="11"/>
        <v>-0.42799305838672197</v>
      </c>
      <c r="W32" s="76">
        <f t="shared" si="11"/>
        <v>-0.46154114436895988</v>
      </c>
      <c r="X32" s="32">
        <f t="shared" si="11"/>
        <v>0.47880140221847611</v>
      </c>
      <c r="Y32" s="32">
        <f t="shared" si="11"/>
        <v>0.44712765371779373</v>
      </c>
      <c r="Z32" s="32">
        <f t="shared" si="11"/>
        <v>0.4168137791682236</v>
      </c>
      <c r="AA32" s="32">
        <f t="shared" si="11"/>
        <v>0.3880961632557689</v>
      </c>
      <c r="AB32" s="32">
        <f t="shared" si="11"/>
        <v>0.36114992381666156</v>
      </c>
      <c r="AC32" s="32">
        <f t="shared" si="11"/>
        <v>0.33448284091510683</v>
      </c>
      <c r="AD32" s="32">
        <f t="shared" si="11"/>
        <v>0.30954168703509755</v>
      </c>
      <c r="AE32" s="32">
        <f t="shared" si="11"/>
        <v>0.28641172411232318</v>
      </c>
      <c r="AF32" s="32">
        <f t="shared" si="11"/>
        <v>0.26513124163483059</v>
      </c>
      <c r="AG32" s="32">
        <f t="shared" si="11"/>
        <v>0.24569716686966281</v>
      </c>
      <c r="AH32" s="32">
        <f t="shared" si="11"/>
        <v>0.22609384037287628</v>
      </c>
      <c r="AI32" s="32">
        <f t="shared" si="11"/>
        <v>0.20820184796982444</v>
      </c>
      <c r="AJ32" s="32">
        <f t="shared" si="11"/>
        <v>0.19198330736083236</v>
      </c>
      <c r="AK32" s="32">
        <f t="shared" si="11"/>
        <v>0.17737620448504687</v>
      </c>
      <c r="AL32" s="32">
        <f t="shared" si="11"/>
        <v>0.16430046490869543</v>
      </c>
      <c r="AM32" s="32">
        <f t="shared" si="11"/>
        <v>0.15071116207190927</v>
      </c>
      <c r="AN32" s="32">
        <f t="shared" si="11"/>
        <v>0.13853404045818252</v>
      </c>
      <c r="AO32" s="32">
        <f t="shared" si="11"/>
        <v>0.12768564887221112</v>
      </c>
      <c r="AP32" s="32">
        <f t="shared" si="11"/>
        <v>0.11807508038011449</v>
      </c>
      <c r="AQ32" s="32">
        <f t="shared" si="11"/>
        <v>0.10960798967876162</v>
      </c>
    </row>
    <row r="33" spans="1:43" ht="10.15" customHeight="1">
      <c r="A33" s="34">
        <f>A35-$C$12</f>
        <v>49.500000000000028</v>
      </c>
      <c r="B33" s="34" t="s">
        <v>71</v>
      </c>
      <c r="C33" s="35">
        <f t="shared" ref="C33:AQ33" si="12">EBlackScholesForward("p",C$20,$A$33,C$22,$C$6,$C$6,$C$7,C$21)</f>
        <v>7.1004243772192777E-2</v>
      </c>
      <c r="D33" s="35">
        <f t="shared" si="12"/>
        <v>0.10030118152827076</v>
      </c>
      <c r="E33" s="35">
        <f t="shared" si="12"/>
        <v>0.13921126632183192</v>
      </c>
      <c r="F33" s="35">
        <f t="shared" si="12"/>
        <v>0.18998453749762703</v>
      </c>
      <c r="G33" s="35">
        <f t="shared" si="12"/>
        <v>0.25512021026868675</v>
      </c>
      <c r="H33" s="35">
        <f t="shared" si="12"/>
        <v>0.33732234986486881</v>
      </c>
      <c r="I33" s="35">
        <f t="shared" si="12"/>
        <v>0.43366128236566098</v>
      </c>
      <c r="J33" s="35">
        <f t="shared" si="12"/>
        <v>0.55091073772009325</v>
      </c>
      <c r="K33" s="35">
        <f t="shared" si="12"/>
        <v>0.69183280131971758</v>
      </c>
      <c r="L33" s="35">
        <f t="shared" si="12"/>
        <v>0.8591576145241987</v>
      </c>
      <c r="M33" s="35">
        <f t="shared" si="12"/>
        <v>1.0555013688567083</v>
      </c>
      <c r="N33" s="35">
        <f t="shared" si="12"/>
        <v>1.272560632466083</v>
      </c>
      <c r="O33" s="35">
        <f t="shared" si="12"/>
        <v>1.521285057845789</v>
      </c>
      <c r="P33" s="35">
        <f t="shared" si="12"/>
        <v>1.8036466174025603</v>
      </c>
      <c r="Q33" s="35">
        <f t="shared" si="12"/>
        <v>2.12129983030241</v>
      </c>
      <c r="R33" s="35">
        <f t="shared" si="12"/>
        <v>2.4755316585328586</v>
      </c>
      <c r="S33" s="35">
        <f t="shared" si="12"/>
        <v>2.8524520647317093</v>
      </c>
      <c r="T33" s="35">
        <f t="shared" si="12"/>
        <v>3.2662433022117408</v>
      </c>
      <c r="U33" s="35">
        <f t="shared" si="12"/>
        <v>3.7172951740649585</v>
      </c>
      <c r="V33" s="35">
        <f t="shared" si="12"/>
        <v>4.2055997097422475</v>
      </c>
      <c r="W33" s="77">
        <f t="shared" si="12"/>
        <v>4.7307595648078786</v>
      </c>
      <c r="X33" s="35">
        <f t="shared" si="12"/>
        <v>3.84858595375279</v>
      </c>
      <c r="Y33" s="35">
        <f t="shared" si="12"/>
        <v>3.491029856736509</v>
      </c>
      <c r="Z33" s="35">
        <f t="shared" si="12"/>
        <v>3.1697528044934296</v>
      </c>
      <c r="AA33" s="35">
        <f t="shared" si="12"/>
        <v>2.8826627129013271</v>
      </c>
      <c r="AB33" s="35">
        <f t="shared" si="12"/>
        <v>2.6274632868301691</v>
      </c>
      <c r="AC33" s="35">
        <f t="shared" si="12"/>
        <v>2.3717357481580557</v>
      </c>
      <c r="AD33" s="35">
        <f t="shared" si="12"/>
        <v>2.1447498532594431</v>
      </c>
      <c r="AE33" s="35">
        <f t="shared" si="12"/>
        <v>1.9442569079759404</v>
      </c>
      <c r="AF33" s="35">
        <f t="shared" si="12"/>
        <v>1.7679872590363723</v>
      </c>
      <c r="AG33" s="35">
        <f t="shared" si="12"/>
        <v>1.6137081727823983</v>
      </c>
      <c r="AH33" s="35">
        <f t="shared" si="12"/>
        <v>1.4542646346704331</v>
      </c>
      <c r="AI33" s="35">
        <f t="shared" si="12"/>
        <v>1.3147598250306871</v>
      </c>
      <c r="AJ33" s="35">
        <f t="shared" si="12"/>
        <v>1.1932154190990349</v>
      </c>
      <c r="AK33" s="35">
        <f t="shared" si="12"/>
        <v>1.0877589425680332</v>
      </c>
      <c r="AL33" s="35">
        <f t="shared" si="12"/>
        <v>0.99664743953432722</v>
      </c>
      <c r="AM33" s="35">
        <f t="shared" si="12"/>
        <v>0.89870274983402487</v>
      </c>
      <c r="AN33" s="35">
        <f t="shared" si="12"/>
        <v>0.81400553804271181</v>
      </c>
      <c r="AO33" s="35">
        <f t="shared" si="12"/>
        <v>0.74105303165297265</v>
      </c>
      <c r="AP33" s="35">
        <f t="shared" si="12"/>
        <v>0.6784778522364171</v>
      </c>
      <c r="AQ33" s="35">
        <f t="shared" si="12"/>
        <v>0.62505141183217305</v>
      </c>
    </row>
    <row r="34" spans="1:43" ht="10.15" customHeight="1" outlineLevel="1">
      <c r="A34" s="36"/>
      <c r="B34" s="34" t="s">
        <v>74</v>
      </c>
      <c r="C34" s="35">
        <f t="shared" ref="C34:AQ34" si="13">EBlackScholesForward($FA$3,C$20,$A$33,C$22,$C$6,$C$6,$C$7,C$21)</f>
        <v>-1.5066445204212769E-2</v>
      </c>
      <c r="D34" s="35">
        <f t="shared" si="13"/>
        <v>-2.0527575997527497E-2</v>
      </c>
      <c r="E34" s="35">
        <f t="shared" si="13"/>
        <v>-2.7446778727481524E-2</v>
      </c>
      <c r="F34" s="35">
        <f t="shared" si="13"/>
        <v>-3.6041664298747111E-2</v>
      </c>
      <c r="G34" s="35">
        <f t="shared" si="13"/>
        <v>-4.6515054616461105E-2</v>
      </c>
      <c r="H34" s="35">
        <f t="shared" si="13"/>
        <v>-5.9041993272435089E-2</v>
      </c>
      <c r="I34" s="35">
        <f t="shared" si="13"/>
        <v>-7.318169173718414E-2</v>
      </c>
      <c r="J34" s="35">
        <f t="shared" si="13"/>
        <v>-8.9523463562440897E-2</v>
      </c>
      <c r="K34" s="35">
        <f t="shared" si="13"/>
        <v>-0.10812923178277756</v>
      </c>
      <c r="L34" s="35">
        <f t="shared" si="13"/>
        <v>-0.12900380326026917</v>
      </c>
      <c r="M34" s="35">
        <f t="shared" si="13"/>
        <v>-0.15209001540524847</v>
      </c>
      <c r="N34" s="35">
        <f t="shared" si="13"/>
        <v>-0.17666004497154386</v>
      </c>
      <c r="O34" s="35">
        <f t="shared" si="13"/>
        <v>-0.2032255350556289</v>
      </c>
      <c r="P34" s="35">
        <f t="shared" si="13"/>
        <v>-0.23160179855385987</v>
      </c>
      <c r="Q34" s="35">
        <f t="shared" si="13"/>
        <v>-0.26155296287135865</v>
      </c>
      <c r="R34" s="35">
        <f t="shared" si="13"/>
        <v>-0.29279983739294302</v>
      </c>
      <c r="S34" s="35">
        <f t="shared" si="13"/>
        <v>-0.32478456407998291</v>
      </c>
      <c r="T34" s="35">
        <f t="shared" si="13"/>
        <v>-0.35763950297302838</v>
      </c>
      <c r="U34" s="35">
        <f t="shared" si="13"/>
        <v>-0.39104306402557576</v>
      </c>
      <c r="V34" s="35">
        <f t="shared" si="13"/>
        <v>-0.42466439720567628</v>
      </c>
      <c r="W34" s="77">
        <f t="shared" si="13"/>
        <v>-0.45817496377709155</v>
      </c>
      <c r="X34" s="35">
        <f t="shared" si="13"/>
        <v>0.48216539489944754</v>
      </c>
      <c r="Y34" s="35">
        <f t="shared" si="13"/>
        <v>0.450461685600545</v>
      </c>
      <c r="Z34" s="35">
        <f t="shared" si="13"/>
        <v>0.42009312714545999</v>
      </c>
      <c r="AA34" s="35">
        <f t="shared" si="13"/>
        <v>0.39129977261622706</v>
      </c>
      <c r="AB34" s="35">
        <f t="shared" si="13"/>
        <v>0.36426074185715862</v>
      </c>
      <c r="AC34" s="35">
        <f t="shared" si="13"/>
        <v>0.33750365473326216</v>
      </c>
      <c r="AD34" s="35">
        <f t="shared" si="13"/>
        <v>0.31245899843668212</v>
      </c>
      <c r="AE34" s="35">
        <f t="shared" si="13"/>
        <v>0.28921561838078924</v>
      </c>
      <c r="AF34" s="35">
        <f t="shared" si="13"/>
        <v>0.26781523784439321</v>
      </c>
      <c r="AG34" s="35">
        <f t="shared" si="13"/>
        <v>0.24825792688186743</v>
      </c>
      <c r="AH34" s="35">
        <f t="shared" si="13"/>
        <v>0.22853571269919604</v>
      </c>
      <c r="AI34" s="35">
        <f t="shared" si="13"/>
        <v>0.21052277475686054</v>
      </c>
      <c r="AJ34" s="35">
        <f t="shared" si="13"/>
        <v>0.19418364125978194</v>
      </c>
      <c r="AK34" s="35">
        <f t="shared" si="13"/>
        <v>0.17945833715149462</v>
      </c>
      <c r="AL34" s="35">
        <f t="shared" si="13"/>
        <v>0.1662684350561161</v>
      </c>
      <c r="AM34" s="35">
        <f t="shared" si="13"/>
        <v>0.15256692794574644</v>
      </c>
      <c r="AN34" s="35">
        <f t="shared" si="13"/>
        <v>0.14028153375399977</v>
      </c>
      <c r="AO34" s="35">
        <f t="shared" si="13"/>
        <v>0.12932996846141132</v>
      </c>
      <c r="AP34" s="35">
        <f t="shared" si="13"/>
        <v>0.11962217612638271</v>
      </c>
      <c r="AQ34" s="35">
        <f t="shared" si="13"/>
        <v>0.11106437458117124</v>
      </c>
    </row>
    <row r="35" spans="1:43" ht="10.15" customHeight="1">
      <c r="A35" s="31">
        <f>A37-$C$12</f>
        <v>49.550000000000026</v>
      </c>
      <c r="B35" s="31" t="s">
        <v>71</v>
      </c>
      <c r="C35" s="32">
        <f t="shared" ref="C35:AQ35" si="14">EBlackScholesForward("p",C$20,$A$35,C$22,$C$6,$C$6,$C$7,C$21)</f>
        <v>7.0254794196647527E-2</v>
      </c>
      <c r="D35" s="32">
        <f t="shared" si="14"/>
        <v>9.9279865251863136E-2</v>
      </c>
      <c r="E35" s="32">
        <f t="shared" si="14"/>
        <v>0.13784541117750426</v>
      </c>
      <c r="F35" s="32">
        <f t="shared" si="14"/>
        <v>0.18819059606166752</v>
      </c>
      <c r="G35" s="32">
        <f t="shared" si="14"/>
        <v>0.25280448856662002</v>
      </c>
      <c r="H35" s="32">
        <f t="shared" si="14"/>
        <v>0.33438238430271722</v>
      </c>
      <c r="I35" s="32">
        <f t="shared" si="14"/>
        <v>0.43001658303213575</v>
      </c>
      <c r="J35" s="32">
        <f t="shared" si="14"/>
        <v>0.5464513642297697</v>
      </c>
      <c r="K35" s="32">
        <f t="shared" si="14"/>
        <v>0.68644567422330183</v>
      </c>
      <c r="L35" s="32">
        <f t="shared" si="14"/>
        <v>0.85272936218838047</v>
      </c>
      <c r="M35" s="32">
        <f t="shared" si="14"/>
        <v>1.0479214193868942</v>
      </c>
      <c r="N35" s="32">
        <f t="shared" si="14"/>
        <v>1.2637547805186378</v>
      </c>
      <c r="O35" s="32">
        <f t="shared" si="14"/>
        <v>1.5111534543576322</v>
      </c>
      <c r="P35" s="32">
        <f t="shared" si="14"/>
        <v>1.7920985880946365</v>
      </c>
      <c r="Q35" s="32">
        <f t="shared" si="14"/>
        <v>2.1082564380143829</v>
      </c>
      <c r="R35" s="32">
        <f t="shared" si="14"/>
        <v>2.4609278751229566</v>
      </c>
      <c r="S35" s="32">
        <f t="shared" si="14"/>
        <v>2.8362508374045303</v>
      </c>
      <c r="T35" s="32">
        <f t="shared" si="14"/>
        <v>3.2484008277553831</v>
      </c>
      <c r="U35" s="32">
        <f t="shared" si="14"/>
        <v>3.697783699207795</v>
      </c>
      <c r="V35" s="32">
        <f t="shared" si="14"/>
        <v>4.1844080050630819</v>
      </c>
      <c r="W35" s="76">
        <f t="shared" si="14"/>
        <v>4.7078928206273618</v>
      </c>
      <c r="X35" s="32">
        <f t="shared" si="14"/>
        <v>3.8727362205175964</v>
      </c>
      <c r="Y35" s="32">
        <f t="shared" si="14"/>
        <v>3.5135945833702</v>
      </c>
      <c r="Z35" s="32">
        <f t="shared" si="14"/>
        <v>3.1907984383727372</v>
      </c>
      <c r="AA35" s="32">
        <f t="shared" si="14"/>
        <v>2.9022677494335065</v>
      </c>
      <c r="AB35" s="32">
        <f t="shared" si="14"/>
        <v>2.6457152271065807</v>
      </c>
      <c r="AC35" s="32">
        <f t="shared" si="14"/>
        <v>2.388648723738751</v>
      </c>
      <c r="AD35" s="32">
        <f t="shared" si="14"/>
        <v>2.1604093150751313</v>
      </c>
      <c r="AE35" s="32">
        <f t="shared" si="14"/>
        <v>1.9587527938912432</v>
      </c>
      <c r="AF35" s="32">
        <f t="shared" si="14"/>
        <v>1.7814116359784773</v>
      </c>
      <c r="AG35" s="32">
        <f t="shared" si="14"/>
        <v>1.6261531505318232</v>
      </c>
      <c r="AH35" s="32">
        <f t="shared" si="14"/>
        <v>1.4657220226371352</v>
      </c>
      <c r="AI35" s="32">
        <f t="shared" si="14"/>
        <v>1.3253150595543746</v>
      </c>
      <c r="AJ35" s="32">
        <f t="shared" si="14"/>
        <v>1.2029521931813032</v>
      </c>
      <c r="AK35" s="32">
        <f t="shared" si="14"/>
        <v>1.096757976107295</v>
      </c>
      <c r="AL35" s="32">
        <f t="shared" si="14"/>
        <v>1.004985551835295</v>
      </c>
      <c r="AM35" s="32">
        <f t="shared" si="14"/>
        <v>0.9063543857097861</v>
      </c>
      <c r="AN35" s="32">
        <f t="shared" si="14"/>
        <v>0.82104155115526756</v>
      </c>
      <c r="AO35" s="32">
        <f t="shared" si="14"/>
        <v>0.74754017622397151</v>
      </c>
      <c r="AP35" s="32">
        <f t="shared" si="14"/>
        <v>0.6844783905001659</v>
      </c>
      <c r="AQ35" s="32">
        <f t="shared" si="14"/>
        <v>0.63062292411884802</v>
      </c>
    </row>
    <row r="36" spans="1:43" ht="10.15" customHeight="1" outlineLevel="1">
      <c r="A36" s="33"/>
      <c r="B36" s="31" t="s">
        <v>74</v>
      </c>
      <c r="C36" s="32">
        <f t="shared" ref="C36:AQ36" si="15">EBlackScholesForward($FA$3,C$20,$A$35,C$22,$C$6,$C$6,$C$7,C$21)</f>
        <v>-1.4911812455550844E-2</v>
      </c>
      <c r="D36" s="32">
        <f t="shared" si="15"/>
        <v>-2.0325416575051741E-2</v>
      </c>
      <c r="E36" s="32">
        <f t="shared" si="15"/>
        <v>-2.7187841981721195E-2</v>
      </c>
      <c r="F36" s="32">
        <f t="shared" si="15"/>
        <v>-3.5716485984935153E-2</v>
      </c>
      <c r="G36" s="32">
        <f t="shared" si="15"/>
        <v>-4.611438602425133E-2</v>
      </c>
      <c r="H36" s="32">
        <f t="shared" si="15"/>
        <v>-5.8557280109627907E-2</v>
      </c>
      <c r="I36" s="32">
        <f t="shared" si="15"/>
        <v>-7.2607008141223339E-2</v>
      </c>
      <c r="J36" s="32">
        <f t="shared" si="15"/>
        <v>-8.8852271687717144E-2</v>
      </c>
      <c r="K36" s="32">
        <f t="shared" si="15"/>
        <v>-0.10735670693308719</v>
      </c>
      <c r="L36" s="32">
        <f t="shared" si="15"/>
        <v>-0.12812719130666506</v>
      </c>
      <c r="M36" s="32">
        <f t="shared" si="15"/>
        <v>-0.15110889528437976</v>
      </c>
      <c r="N36" s="32">
        <f t="shared" si="15"/>
        <v>-0.17557498412603678</v>
      </c>
      <c r="O36" s="32">
        <f t="shared" si="15"/>
        <v>-0.20203955719643174</v>
      </c>
      <c r="P36" s="32">
        <f t="shared" si="15"/>
        <v>-0.23032030943408444</v>
      </c>
      <c r="Q36" s="32">
        <f t="shared" si="15"/>
        <v>-0.26018362875219747</v>
      </c>
      <c r="R36" s="32">
        <f t="shared" si="15"/>
        <v>-0.29135234596697757</v>
      </c>
      <c r="S36" s="32">
        <f t="shared" si="15"/>
        <v>-0.32326531219786236</v>
      </c>
      <c r="T36" s="32">
        <f t="shared" si="15"/>
        <v>-0.35606017965497117</v>
      </c>
      <c r="U36" s="32">
        <f t="shared" si="15"/>
        <v>-0.38941654318405128</v>
      </c>
      <c r="V36" s="32">
        <f t="shared" si="15"/>
        <v>-0.42300430170669756</v>
      </c>
      <c r="W36" s="76">
        <f t="shared" si="15"/>
        <v>-0.45649520749853068</v>
      </c>
      <c r="X36" s="32">
        <f t="shared" si="15"/>
        <v>0.48384498238029927</v>
      </c>
      <c r="Y36" s="32">
        <f t="shared" si="15"/>
        <v>0.45212719450353767</v>
      </c>
      <c r="Z36" s="32">
        <f t="shared" si="15"/>
        <v>0.42173214483940402</v>
      </c>
      <c r="AA36" s="32">
        <f t="shared" si="15"/>
        <v>0.39290169890140447</v>
      </c>
      <c r="AB36" s="32">
        <f t="shared" si="15"/>
        <v>0.36581696236883676</v>
      </c>
      <c r="AC36" s="32">
        <f t="shared" si="15"/>
        <v>0.33901554207986795</v>
      </c>
      <c r="AD36" s="32">
        <f t="shared" si="15"/>
        <v>0.31391971799443752</v>
      </c>
      <c r="AE36" s="32">
        <f t="shared" si="15"/>
        <v>0.29062012132398118</v>
      </c>
      <c r="AF36" s="32">
        <f t="shared" si="15"/>
        <v>0.26916019114533452</v>
      </c>
      <c r="AG36" s="32">
        <f t="shared" si="15"/>
        <v>0.249541571876577</v>
      </c>
      <c r="AH36" s="32">
        <f t="shared" si="15"/>
        <v>0.22976023337343277</v>
      </c>
      <c r="AI36" s="32">
        <f t="shared" si="15"/>
        <v>0.21168706268771542</v>
      </c>
      <c r="AJ36" s="32">
        <f t="shared" si="15"/>
        <v>0.19528779873390079</v>
      </c>
      <c r="AK36" s="32">
        <f t="shared" si="15"/>
        <v>0.18050349331419913</v>
      </c>
      <c r="AL36" s="32">
        <f t="shared" si="15"/>
        <v>0.16725655106862858</v>
      </c>
      <c r="AM36" s="32">
        <f t="shared" si="15"/>
        <v>0.15349900954715889</v>
      </c>
      <c r="AN36" s="32">
        <f t="shared" si="15"/>
        <v>0.1411594954031925</v>
      </c>
      <c r="AO36" s="32">
        <f t="shared" si="15"/>
        <v>0.13015631597065314</v>
      </c>
      <c r="AP36" s="32">
        <f t="shared" si="15"/>
        <v>0.12039984863358444</v>
      </c>
      <c r="AQ36" s="32">
        <f t="shared" si="15"/>
        <v>0.11179660029435046</v>
      </c>
    </row>
    <row r="37" spans="1:43" ht="10.15" customHeight="1">
      <c r="A37" s="34">
        <f>A39-$C$12</f>
        <v>49.600000000000023</v>
      </c>
      <c r="B37" s="34" t="s">
        <v>71</v>
      </c>
      <c r="C37" s="35">
        <f t="shared" ref="C37:AQ37" si="16">EBlackScholesForward("p",C$20,$A$37,C$22,$C$6,$C$6,$C$7,C$21)</f>
        <v>6.9513038226064874E-2</v>
      </c>
      <c r="D37" s="35">
        <f t="shared" si="16"/>
        <v>9.8268609643845858E-2</v>
      </c>
      <c r="E37" s="35">
        <f t="shared" si="16"/>
        <v>0.13649244538759583</v>
      </c>
      <c r="F37" s="35">
        <f t="shared" si="16"/>
        <v>0.18641284525228005</v>
      </c>
      <c r="G37" s="35">
        <f t="shared" si="16"/>
        <v>0.25050872094442045</v>
      </c>
      <c r="H37" s="35">
        <f t="shared" si="16"/>
        <v>0.33146656417427489</v>
      </c>
      <c r="I37" s="35">
        <f t="shared" si="16"/>
        <v>0.42640051714955451</v>
      </c>
      <c r="J37" s="35">
        <f t="shared" si="16"/>
        <v>0.54202544000227015</v>
      </c>
      <c r="K37" s="35">
        <f t="shared" si="16"/>
        <v>0.68109705480175098</v>
      </c>
      <c r="L37" s="35">
        <f t="shared" si="16"/>
        <v>0.84634481543762885</v>
      </c>
      <c r="M37" s="35">
        <f t="shared" si="16"/>
        <v>1.0403903966139574</v>
      </c>
      <c r="N37" s="35">
        <f t="shared" si="16"/>
        <v>1.2550030495955884</v>
      </c>
      <c r="O37" s="35">
        <f t="shared" si="16"/>
        <v>1.5010810175001288</v>
      </c>
      <c r="P37" s="35">
        <f t="shared" si="16"/>
        <v>1.7806145033133038</v>
      </c>
      <c r="Q37" s="35">
        <f t="shared" si="16"/>
        <v>2.0952813874051937</v>
      </c>
      <c r="R37" s="35">
        <f t="shared" si="16"/>
        <v>2.4463963485995373</v>
      </c>
      <c r="S37" s="35">
        <f t="shared" si="16"/>
        <v>2.8201254638060869</v>
      </c>
      <c r="T37" s="35">
        <f t="shared" si="16"/>
        <v>3.2306372215102228</v>
      </c>
      <c r="U37" s="35">
        <f t="shared" si="16"/>
        <v>3.6783534651062837</v>
      </c>
      <c r="V37" s="35">
        <f t="shared" si="16"/>
        <v>4.1632992338960646</v>
      </c>
      <c r="W37" s="77">
        <f t="shared" si="16"/>
        <v>4.685110007931514</v>
      </c>
      <c r="X37" s="35">
        <f t="shared" si="16"/>
        <v>3.8969704256933189</v>
      </c>
      <c r="Y37" s="35">
        <f t="shared" si="16"/>
        <v>3.5362425594872291</v>
      </c>
      <c r="Z37" s="35">
        <f t="shared" si="16"/>
        <v>3.2119260113474337</v>
      </c>
      <c r="AA37" s="35">
        <f t="shared" si="16"/>
        <v>2.9219528834687623</v>
      </c>
      <c r="AB37" s="35">
        <f t="shared" si="16"/>
        <v>2.6640449911247739</v>
      </c>
      <c r="AC37" s="35">
        <f t="shared" si="16"/>
        <v>2.4056373175791523</v>
      </c>
      <c r="AD37" s="35">
        <f t="shared" si="16"/>
        <v>2.176141846524497</v>
      </c>
      <c r="AE37" s="35">
        <f t="shared" si="16"/>
        <v>1.9733189468576102</v>
      </c>
      <c r="AF37" s="35">
        <f t="shared" si="16"/>
        <v>1.7949033092008477</v>
      </c>
      <c r="AG37" s="35">
        <f t="shared" si="16"/>
        <v>1.6386623643672462</v>
      </c>
      <c r="AH37" s="35">
        <f t="shared" si="16"/>
        <v>1.4772406958529496</v>
      </c>
      <c r="AI37" s="35">
        <f t="shared" si="16"/>
        <v>1.3359285717459801</v>
      </c>
      <c r="AJ37" s="35">
        <f t="shared" si="16"/>
        <v>1.2127442412302916</v>
      </c>
      <c r="AK37" s="35">
        <f t="shared" si="16"/>
        <v>1.1058093352557501</v>
      </c>
      <c r="AL37" s="35">
        <f t="shared" si="16"/>
        <v>1.0133731384726266</v>
      </c>
      <c r="AM37" s="35">
        <f t="shared" si="16"/>
        <v>0.91405269537799028</v>
      </c>
      <c r="AN37" s="35">
        <f t="shared" si="16"/>
        <v>0.82812153237962027</v>
      </c>
      <c r="AO37" s="35">
        <f t="shared" si="16"/>
        <v>0.75406870778560187</v>
      </c>
      <c r="AP37" s="35">
        <f t="shared" si="16"/>
        <v>0.69051788098922484</v>
      </c>
      <c r="AQ37" s="35">
        <f t="shared" si="16"/>
        <v>0.63623111479962646</v>
      </c>
    </row>
    <row r="38" spans="1:43" ht="10.15" customHeight="1" outlineLevel="1">
      <c r="A38" s="36"/>
      <c r="B38" s="34" t="s">
        <v>74</v>
      </c>
      <c r="C38" s="35">
        <f t="shared" ref="C38:AQ38" si="17">EBlackScholesForward($FA$3,C$20,$A$37,C$22,$C$6,$C$6,$C$7,C$21)</f>
        <v>-1.4758698496916689E-2</v>
      </c>
      <c r="D38" s="35">
        <f t="shared" si="17"/>
        <v>-2.0125146339709798E-2</v>
      </c>
      <c r="E38" s="35">
        <f t="shared" si="17"/>
        <v>-2.6931201244456693E-2</v>
      </c>
      <c r="F38" s="35">
        <f t="shared" si="17"/>
        <v>-3.539403560376686E-2</v>
      </c>
      <c r="G38" s="35">
        <f t="shared" si="17"/>
        <v>-4.5716887550759089E-2</v>
      </c>
      <c r="H38" s="35">
        <f t="shared" si="17"/>
        <v>-5.8076171926865761E-2</v>
      </c>
      <c r="I38" s="35">
        <f t="shared" si="17"/>
        <v>-7.2036349671417144E-2</v>
      </c>
      <c r="J38" s="35">
        <f t="shared" si="17"/>
        <v>-8.8185489129743999E-2</v>
      </c>
      <c r="K38" s="35">
        <f t="shared" si="17"/>
        <v>-0.10658892112405116</v>
      </c>
      <c r="L38" s="35">
        <f t="shared" si="17"/>
        <v>-0.12725557659479247</v>
      </c>
      <c r="M38" s="35">
        <f t="shared" si="17"/>
        <v>-0.15013294480429318</v>
      </c>
      <c r="N38" s="35">
        <f t="shared" si="17"/>
        <v>-0.17449520189387613</v>
      </c>
      <c r="O38" s="35">
        <f t="shared" si="17"/>
        <v>-0.20085886845687684</v>
      </c>
      <c r="P38" s="35">
        <f t="shared" si="17"/>
        <v>-0.22904401692277476</v>
      </c>
      <c r="Q38" s="35">
        <f t="shared" si="17"/>
        <v>-0.25881929599920195</v>
      </c>
      <c r="R38" s="35">
        <f t="shared" si="17"/>
        <v>-0.28990956307117788</v>
      </c>
      <c r="S38" s="35">
        <f t="shared" si="17"/>
        <v>-0.3217504169212182</v>
      </c>
      <c r="T38" s="35">
        <f t="shared" si="17"/>
        <v>-0.35448477733013295</v>
      </c>
      <c r="U38" s="35">
        <f t="shared" si="17"/>
        <v>-0.38779343734882676</v>
      </c>
      <c r="V38" s="35">
        <f t="shared" si="17"/>
        <v>-0.42134706091667695</v>
      </c>
      <c r="W38" s="77">
        <f t="shared" si="17"/>
        <v>-0.45481770911730557</v>
      </c>
      <c r="X38" s="35">
        <f t="shared" si="17"/>
        <v>0.48552292627335181</v>
      </c>
      <c r="Y38" s="35">
        <f t="shared" si="17"/>
        <v>0.45379165968439938</v>
      </c>
      <c r="Z38" s="35">
        <f t="shared" si="17"/>
        <v>0.4233706856657582</v>
      </c>
      <c r="AA38" s="35">
        <f t="shared" si="17"/>
        <v>0.39450366752071808</v>
      </c>
      <c r="AB38" s="35">
        <f t="shared" si="17"/>
        <v>0.36737368648884772</v>
      </c>
      <c r="AC38" s="35">
        <f t="shared" si="17"/>
        <v>0.34052838024762888</v>
      </c>
      <c r="AD38" s="35">
        <f t="shared" si="17"/>
        <v>0.3153817791532898</v>
      </c>
      <c r="AE38" s="35">
        <f t="shared" si="17"/>
        <v>0.29202629609563768</v>
      </c>
      <c r="AF38" s="35">
        <f t="shared" si="17"/>
        <v>0.27050708506667354</v>
      </c>
      <c r="AG38" s="35">
        <f t="shared" si="17"/>
        <v>0.2508273666924965</v>
      </c>
      <c r="AH38" s="35">
        <f t="shared" si="17"/>
        <v>0.23098711936823113</v>
      </c>
      <c r="AI38" s="35">
        <f t="shared" si="17"/>
        <v>0.21285387852363336</v>
      </c>
      <c r="AJ38" s="35">
        <f t="shared" si="17"/>
        <v>0.19639459732134767</v>
      </c>
      <c r="AK38" s="35">
        <f t="shared" si="17"/>
        <v>0.18155135924208254</v>
      </c>
      <c r="AL38" s="35">
        <f t="shared" si="17"/>
        <v>0.16824740654252102</v>
      </c>
      <c r="AM38" s="35">
        <f t="shared" si="17"/>
        <v>0.15443387797368646</v>
      </c>
      <c r="AN38" s="35">
        <f t="shared" si="17"/>
        <v>0.14204025683511867</v>
      </c>
      <c r="AO38" s="35">
        <f t="shared" si="17"/>
        <v>0.13098544694982728</v>
      </c>
      <c r="AP38" s="35">
        <f t="shared" si="17"/>
        <v>0.12118026422727191</v>
      </c>
      <c r="AQ38" s="35">
        <f t="shared" si="17"/>
        <v>0.11253150963079217</v>
      </c>
    </row>
    <row r="39" spans="1:43" ht="10.15" customHeight="1">
      <c r="A39" s="31">
        <f>A41-$C$12</f>
        <v>49.65000000000002</v>
      </c>
      <c r="B39" s="31" t="s">
        <v>71</v>
      </c>
      <c r="C39" s="32">
        <f t="shared" ref="C39:AQ39" si="18">EBlackScholesForward("p",C$20,$A$39,C$22,$C$6,$C$6,$C$7,C$21)</f>
        <v>6.8778900268494911E-2</v>
      </c>
      <c r="D39" s="32">
        <f t="shared" si="18"/>
        <v>9.7267320649778083E-2</v>
      </c>
      <c r="E39" s="32">
        <f t="shared" si="18"/>
        <v>0.1351522546099426</v>
      </c>
      <c r="F39" s="32">
        <f t="shared" si="18"/>
        <v>0.18465114917640463</v>
      </c>
      <c r="G39" s="32">
        <f t="shared" si="18"/>
        <v>0.24823274943301252</v>
      </c>
      <c r="H39" s="32">
        <f t="shared" si="18"/>
        <v>0.32857470978508818</v>
      </c>
      <c r="I39" s="32">
        <f t="shared" si="18"/>
        <v>0.42281288402061207</v>
      </c>
      <c r="J39" s="32">
        <f t="shared" si="18"/>
        <v>0.53763274511598202</v>
      </c>
      <c r="K39" s="32">
        <f t="shared" si="18"/>
        <v>0.67578670661206086</v>
      </c>
      <c r="L39" s="32">
        <f t="shared" si="18"/>
        <v>0.84000372486343267</v>
      </c>
      <c r="M39" s="32">
        <f t="shared" si="18"/>
        <v>1.0329080424351731</v>
      </c>
      <c r="N39" s="32">
        <f t="shared" si="18"/>
        <v>1.2463051760591641</v>
      </c>
      <c r="O39" s="32">
        <f t="shared" si="18"/>
        <v>1.4910674830092514</v>
      </c>
      <c r="P39" s="32">
        <f t="shared" si="18"/>
        <v>1.7691941033084733</v>
      </c>
      <c r="Q39" s="32">
        <f t="shared" si="18"/>
        <v>2.0823744283692043</v>
      </c>
      <c r="R39" s="32">
        <f t="shared" si="18"/>
        <v>2.4319368433799675</v>
      </c>
      <c r="S39" s="32">
        <f t="shared" si="18"/>
        <v>2.8040757258315918</v>
      </c>
      <c r="T39" s="32">
        <f t="shared" si="18"/>
        <v>3.2129522870389593</v>
      </c>
      <c r="U39" s="32">
        <f t="shared" si="18"/>
        <v>3.6590043005190718</v>
      </c>
      <c r="V39" s="32">
        <f t="shared" si="18"/>
        <v>4.1422732529246904</v>
      </c>
      <c r="W39" s="76">
        <f t="shared" si="18"/>
        <v>4.6624110131706304</v>
      </c>
      <c r="X39" s="32">
        <f t="shared" si="18"/>
        <v>3.9212884863987836</v>
      </c>
      <c r="Y39" s="32">
        <f t="shared" si="18"/>
        <v>3.5589737321735919</v>
      </c>
      <c r="Z39" s="32">
        <f t="shared" si="18"/>
        <v>3.2331354988395966</v>
      </c>
      <c r="AA39" s="32">
        <f t="shared" si="18"/>
        <v>2.9417181163997697</v>
      </c>
      <c r="AB39" s="32">
        <f t="shared" si="18"/>
        <v>2.6824526033657032</v>
      </c>
      <c r="AC39" s="32">
        <f t="shared" si="18"/>
        <v>2.4227015765436537</v>
      </c>
      <c r="AD39" s="32">
        <f t="shared" si="18"/>
        <v>2.1919475140445881</v>
      </c>
      <c r="AE39" s="32">
        <f t="shared" si="18"/>
        <v>1.9879554498652656</v>
      </c>
      <c r="AF39" s="32">
        <f t="shared" si="18"/>
        <v>1.8084623751803754</v>
      </c>
      <c r="AG39" s="32">
        <f t="shared" si="18"/>
        <v>1.651235921275287</v>
      </c>
      <c r="AH39" s="32">
        <f t="shared" si="18"/>
        <v>1.4888207721257287</v>
      </c>
      <c r="AI39" s="32">
        <f t="shared" si="18"/>
        <v>1.3466004875904791</v>
      </c>
      <c r="AJ39" s="32">
        <f t="shared" si="18"/>
        <v>1.2225916949389666</v>
      </c>
      <c r="AK39" s="32">
        <f t="shared" si="18"/>
        <v>1.1149131551847937</v>
      </c>
      <c r="AL39" s="32">
        <f t="shared" si="18"/>
        <v>1.0218103361453985</v>
      </c>
      <c r="AM39" s="32">
        <f t="shared" si="18"/>
        <v>0.92179781794735594</v>
      </c>
      <c r="AN39" s="32">
        <f t="shared" si="18"/>
        <v>0.83524562151105819</v>
      </c>
      <c r="AO39" s="32">
        <f t="shared" si="18"/>
        <v>0.76063876535280106</v>
      </c>
      <c r="AP39" s="32">
        <f t="shared" si="18"/>
        <v>0.69659646073071013</v>
      </c>
      <c r="AQ39" s="32">
        <f t="shared" si="18"/>
        <v>0.64187611795579569</v>
      </c>
    </row>
    <row r="40" spans="1:43" ht="10.15" customHeight="1" outlineLevel="1">
      <c r="A40" s="33"/>
      <c r="B40" s="31" t="s">
        <v>74</v>
      </c>
      <c r="C40" s="32">
        <f t="shared" ref="C40:AQ40" si="19">EBlackScholesForward($FA$3,C$20,$A$39,C$22,$C$6,$C$6,$C$7,C$21)</f>
        <v>-1.4607089446366101E-2</v>
      </c>
      <c r="D40" s="32">
        <f t="shared" si="19"/>
        <v>-1.9926749115997677E-2</v>
      </c>
      <c r="E40" s="32">
        <f t="shared" si="19"/>
        <v>-2.6676838206413089E-2</v>
      </c>
      <c r="F40" s="32">
        <f t="shared" si="19"/>
        <v>-3.5074293032351378E-2</v>
      </c>
      <c r="G40" s="32">
        <f t="shared" si="19"/>
        <v>-4.5322537739253543E-2</v>
      </c>
      <c r="H40" s="32">
        <f t="shared" si="19"/>
        <v>-5.759864655611735E-2</v>
      </c>
      <c r="I40" s="32">
        <f t="shared" si="19"/>
        <v>-7.14696939772691E-2</v>
      </c>
      <c r="J40" s="32">
        <f t="shared" si="19"/>
        <v>-8.7523094123437284E-2</v>
      </c>
      <c r="K40" s="32">
        <f t="shared" si="19"/>
        <v>-0.10582585399185329</v>
      </c>
      <c r="L40" s="32">
        <f t="shared" si="19"/>
        <v>-0.12638894097246611</v>
      </c>
      <c r="M40" s="32">
        <f t="shared" si="19"/>
        <v>-0.14916214877626066</v>
      </c>
      <c r="N40" s="32">
        <f t="shared" si="19"/>
        <v>-0.1734206865363519</v>
      </c>
      <c r="O40" s="32">
        <f t="shared" si="19"/>
        <v>-0.19968346112968494</v>
      </c>
      <c r="P40" s="32">
        <f t="shared" si="19"/>
        <v>-0.22777291777219544</v>
      </c>
      <c r="Q40" s="32">
        <f t="shared" si="19"/>
        <v>-0.25745996606687527</v>
      </c>
      <c r="R40" s="32">
        <f t="shared" si="19"/>
        <v>-0.28847149490909274</v>
      </c>
      <c r="S40" s="32">
        <f t="shared" si="19"/>
        <v>-0.32023988918710167</v>
      </c>
      <c r="T40" s="32">
        <f t="shared" si="19"/>
        <v>-0.35291331146001248</v>
      </c>
      <c r="U40" s="32">
        <f t="shared" si="19"/>
        <v>-0.38617376611840282</v>
      </c>
      <c r="V40" s="32">
        <f t="shared" si="19"/>
        <v>-0.41969269803785458</v>
      </c>
      <c r="W40" s="76">
        <f t="shared" si="19"/>
        <v>-0.45314249479004864</v>
      </c>
      <c r="X40" s="32">
        <f t="shared" si="19"/>
        <v>0.4871991985386126</v>
      </c>
      <c r="Y40" s="32">
        <f t="shared" si="19"/>
        <v>0.45545505205430992</v>
      </c>
      <c r="Z40" s="32">
        <f t="shared" si="19"/>
        <v>0.42500872026420833</v>
      </c>
      <c r="AA40" s="32">
        <f t="shared" si="19"/>
        <v>0.3961056495289883</v>
      </c>
      <c r="AB40" s="32">
        <f t="shared" si="19"/>
        <v>0.36893088624923021</v>
      </c>
      <c r="AC40" s="32">
        <f t="shared" si="19"/>
        <v>0.34204214217459228</v>
      </c>
      <c r="AD40" s="32">
        <f t="shared" si="19"/>
        <v>0.31684515619472275</v>
      </c>
      <c r="AE40" s="32">
        <f t="shared" si="19"/>
        <v>0.29343411864511948</v>
      </c>
      <c r="AF40" s="32">
        <f t="shared" si="19"/>
        <v>0.27185589743857763</v>
      </c>
      <c r="AG40" s="32">
        <f t="shared" si="19"/>
        <v>0.25211529114488318</v>
      </c>
      <c r="AH40" s="32">
        <f t="shared" si="19"/>
        <v>0.23221635234657034</v>
      </c>
      <c r="AI40" s="32">
        <f t="shared" si="19"/>
        <v>0.21402320584127388</v>
      </c>
      <c r="AJ40" s="32">
        <f t="shared" si="19"/>
        <v>0.19750402250133803</v>
      </c>
      <c r="AK40" s="32">
        <f t="shared" si="19"/>
        <v>0.18260192224701655</v>
      </c>
      <c r="AL40" s="32">
        <f t="shared" si="19"/>
        <v>0.169240990504127</v>
      </c>
      <c r="AM40" s="32">
        <f t="shared" si="19"/>
        <v>0.1553715239094644</v>
      </c>
      <c r="AN40" s="32">
        <f t="shared" si="19"/>
        <v>0.14292381028112033</v>
      </c>
      <c r="AO40" s="32">
        <f t="shared" si="19"/>
        <v>0.1318173550413082</v>
      </c>
      <c r="AP40" s="32">
        <f t="shared" si="19"/>
        <v>0.12196341780532638</v>
      </c>
      <c r="AQ40" s="32">
        <f t="shared" si="19"/>
        <v>0.11326909858141443</v>
      </c>
    </row>
    <row r="41" spans="1:43" ht="10.15" customHeight="1">
      <c r="A41" s="34">
        <f>A43-$C$12</f>
        <v>49.700000000000017</v>
      </c>
      <c r="B41" s="34" t="s">
        <v>71</v>
      </c>
      <c r="C41" s="35">
        <f t="shared" ref="C41:AQ41" si="20">EBlackScholesForward("p",C$20,$A$41,C$22,$C$6,$C$6,$C$7,C$21)</f>
        <v>6.8052305423296794E-2</v>
      </c>
      <c r="D41" s="35">
        <f t="shared" si="20"/>
        <v>9.6275905021066907E-2</v>
      </c>
      <c r="E41" s="35">
        <f t="shared" si="20"/>
        <v>0.13382472541490811</v>
      </c>
      <c r="F41" s="35">
        <f t="shared" si="20"/>
        <v>0.18290537294433834</v>
      </c>
      <c r="G41" s="35">
        <f t="shared" si="20"/>
        <v>0.24597641713369223</v>
      </c>
      <c r="H41" s="35">
        <f t="shared" si="20"/>
        <v>0.32570664254714948</v>
      </c>
      <c r="I41" s="35">
        <f t="shared" si="20"/>
        <v>0.41925348406421625</v>
      </c>
      <c r="J41" s="35">
        <f t="shared" si="20"/>
        <v>0.53327306073699221</v>
      </c>
      <c r="K41" s="35">
        <f t="shared" si="20"/>
        <v>0.67051439422975467</v>
      </c>
      <c r="L41" s="35">
        <f t="shared" si="20"/>
        <v>0.83370584196616238</v>
      </c>
      <c r="M41" s="35">
        <f t="shared" si="20"/>
        <v>1.0254740995094869</v>
      </c>
      <c r="N41" s="35">
        <f t="shared" si="20"/>
        <v>1.2376608968617182</v>
      </c>
      <c r="O41" s="35">
        <f t="shared" si="20"/>
        <v>1.4811125870103492</v>
      </c>
      <c r="P41" s="35">
        <f t="shared" si="20"/>
        <v>1.7578371284972247</v>
      </c>
      <c r="Q41" s="35">
        <f t="shared" si="20"/>
        <v>2.0695353107333831</v>
      </c>
      <c r="R41" s="35">
        <f t="shared" si="20"/>
        <v>2.4175491235771598</v>
      </c>
      <c r="S41" s="35">
        <f t="shared" si="20"/>
        <v>2.7881014048353974</v>
      </c>
      <c r="T41" s="35">
        <f t="shared" si="20"/>
        <v>3.1953458271373218</v>
      </c>
      <c r="U41" s="35">
        <f t="shared" si="20"/>
        <v>3.6397360332307942</v>
      </c>
      <c r="V41" s="35">
        <f t="shared" si="20"/>
        <v>4.1213299176778966</v>
      </c>
      <c r="W41" s="77">
        <f t="shared" si="20"/>
        <v>4.6397957214922432</v>
      </c>
      <c r="X41" s="35">
        <f t="shared" si="20"/>
        <v>3.9456903183552821</v>
      </c>
      <c r="Y41" s="35">
        <f t="shared" si="20"/>
        <v>3.5817880470645354</v>
      </c>
      <c r="Z41" s="35">
        <f t="shared" si="20"/>
        <v>3.2544268748062724</v>
      </c>
      <c r="AA41" s="35">
        <f t="shared" si="20"/>
        <v>2.9615634481741191</v>
      </c>
      <c r="AB41" s="35">
        <f t="shared" si="20"/>
        <v>2.7009380869133781</v>
      </c>
      <c r="AC41" s="35">
        <f t="shared" si="20"/>
        <v>2.4398415461442697</v>
      </c>
      <c r="AD41" s="35">
        <f t="shared" si="20"/>
        <v>2.2078263827867084</v>
      </c>
      <c r="AE41" s="35">
        <f t="shared" si="20"/>
        <v>2.0026623847016078</v>
      </c>
      <c r="AF41" s="35">
        <f t="shared" si="20"/>
        <v>1.8220889292847358</v>
      </c>
      <c r="AG41" s="35">
        <f t="shared" si="20"/>
        <v>1.6638739272323184</v>
      </c>
      <c r="AH41" s="35">
        <f t="shared" si="20"/>
        <v>1.5004623683450991</v>
      </c>
      <c r="AI41" s="35">
        <f t="shared" si="20"/>
        <v>1.3573309322500009</v>
      </c>
      <c r="AJ41" s="35">
        <f t="shared" si="20"/>
        <v>1.2324946852724541</v>
      </c>
      <c r="AK41" s="35">
        <f t="shared" si="20"/>
        <v>1.1240695704295114</v>
      </c>
      <c r="AL41" s="35">
        <f t="shared" si="20"/>
        <v>1.0302972810020463</v>
      </c>
      <c r="AM41" s="35">
        <f t="shared" si="20"/>
        <v>0.92958989205874509</v>
      </c>
      <c r="AN41" s="35">
        <f t="shared" si="20"/>
        <v>0.84241395795439156</v>
      </c>
      <c r="AO41" s="35">
        <f t="shared" si="20"/>
        <v>0.76725048762057568</v>
      </c>
      <c r="AP41" s="35">
        <f t="shared" si="20"/>
        <v>0.70271426649466562</v>
      </c>
      <c r="AQ41" s="35">
        <f t="shared" si="20"/>
        <v>0.6475580674662853</v>
      </c>
    </row>
    <row r="42" spans="1:43" ht="10.15" customHeight="1" outlineLevel="1">
      <c r="A42" s="36"/>
      <c r="B42" s="34" t="s">
        <v>74</v>
      </c>
      <c r="C42" s="35">
        <f t="shared" ref="C42:AQ42" si="21">EBlackScholesForward($FA$3,C$20,$A$41,C$22,$C$6,$C$6,$C$7,C$21)</f>
        <v>-1.4456971533310242E-2</v>
      </c>
      <c r="D42" s="35">
        <f t="shared" si="21"/>
        <v>-1.9730208845443464E-2</v>
      </c>
      <c r="E42" s="35">
        <f t="shared" si="21"/>
        <v>-2.6424734675740968E-2</v>
      </c>
      <c r="F42" s="35">
        <f t="shared" si="21"/>
        <v>-3.4757238259362777E-2</v>
      </c>
      <c r="G42" s="35">
        <f t="shared" si="21"/>
        <v>-4.4931315231691582E-2</v>
      </c>
      <c r="H42" s="35">
        <f t="shared" si="21"/>
        <v>-5.712468190782749E-2</v>
      </c>
      <c r="I42" s="35">
        <f t="shared" si="21"/>
        <v>-7.0907018760815732E-2</v>
      </c>
      <c r="J42" s="35">
        <f t="shared" si="21"/>
        <v>-8.6865064926150426E-2</v>
      </c>
      <c r="K42" s="35">
        <f t="shared" si="21"/>
        <v>-0.10506748515984876</v>
      </c>
      <c r="L42" s="35">
        <f t="shared" si="21"/>
        <v>-0.1255272662369189</v>
      </c>
      <c r="M42" s="35">
        <f t="shared" si="21"/>
        <v>-0.14819649192259199</v>
      </c>
      <c r="N42" s="35">
        <f t="shared" si="21"/>
        <v>-0.17235142618821087</v>
      </c>
      <c r="O42" s="35">
        <f t="shared" si="21"/>
        <v>-0.19851332734728278</v>
      </c>
      <c r="P42" s="35">
        <f t="shared" si="21"/>
        <v>-0.22650700854337513</v>
      </c>
      <c r="Q42" s="35">
        <f t="shared" si="21"/>
        <v>-0.25610564019631354</v>
      </c>
      <c r="R42" s="35">
        <f t="shared" si="21"/>
        <v>-0.28703814745512091</v>
      </c>
      <c r="S42" s="35">
        <f t="shared" si="21"/>
        <v>-0.31873373969246721</v>
      </c>
      <c r="T42" s="35">
        <f t="shared" si="21"/>
        <v>-0.35134579726208148</v>
      </c>
      <c r="U42" s="35">
        <f t="shared" si="21"/>
        <v>-0.38455754885466931</v>
      </c>
      <c r="V42" s="35">
        <f t="shared" si="21"/>
        <v>-0.41804123604864962</v>
      </c>
      <c r="W42" s="77">
        <f t="shared" si="21"/>
        <v>-0.45146959046999946</v>
      </c>
      <c r="X42" s="35">
        <f t="shared" si="21"/>
        <v>0.48887377131565657</v>
      </c>
      <c r="Y42" s="35">
        <f t="shared" si="21"/>
        <v>0.45711734267175341</v>
      </c>
      <c r="Z42" s="35">
        <f t="shared" si="21"/>
        <v>0.42664621939296765</v>
      </c>
      <c r="AA42" s="35">
        <f t="shared" si="21"/>
        <v>0.39770761606781058</v>
      </c>
      <c r="AB42" s="35">
        <f t="shared" si="21"/>
        <v>0.37048853374099799</v>
      </c>
      <c r="AC42" s="35">
        <f t="shared" si="21"/>
        <v>0.34355680082998052</v>
      </c>
      <c r="AD42" s="35">
        <f t="shared" si="21"/>
        <v>0.31830982340774749</v>
      </c>
      <c r="AE42" s="35">
        <f t="shared" si="21"/>
        <v>0.29484356491101815</v>
      </c>
      <c r="AF42" s="35">
        <f t="shared" si="21"/>
        <v>0.27320660606134917</v>
      </c>
      <c r="AG42" s="35">
        <f t="shared" si="21"/>
        <v>0.25340532500757185</v>
      </c>
      <c r="AH42" s="35">
        <f t="shared" si="21"/>
        <v>0.23344791391628483</v>
      </c>
      <c r="AI42" s="35">
        <f t="shared" si="21"/>
        <v>0.21519502815057212</v>
      </c>
      <c r="AJ42" s="35">
        <f t="shared" si="21"/>
        <v>0.19861605968062301</v>
      </c>
      <c r="AK42" s="35">
        <f t="shared" si="21"/>
        <v>0.18365516956433403</v>
      </c>
      <c r="AL42" s="35">
        <f t="shared" si="21"/>
        <v>0.17023729190080994</v>
      </c>
      <c r="AM42" s="35">
        <f t="shared" si="21"/>
        <v>0.15631193795558884</v>
      </c>
      <c r="AN42" s="35">
        <f t="shared" si="21"/>
        <v>0.14381014789043856</v>
      </c>
      <c r="AO42" s="35">
        <f t="shared" si="21"/>
        <v>0.13265203380655732</v>
      </c>
      <c r="AP42" s="35">
        <f t="shared" si="21"/>
        <v>0.12274930418648133</v>
      </c>
      <c r="AQ42" s="35">
        <f t="shared" si="21"/>
        <v>0.11400936306122933</v>
      </c>
    </row>
    <row r="43" spans="1:43" ht="10.15" customHeight="1">
      <c r="A43" s="31">
        <f>A45-$C$12</f>
        <v>49.750000000000014</v>
      </c>
      <c r="B43" s="31" t="s">
        <v>71</v>
      </c>
      <c r="C43" s="32">
        <f t="shared" ref="C43:AQ43" si="22">EBlackScholesForward("p",C$20,$A$43,C$22,$C$6,$C$6,$C$7,C$21)</f>
        <v>6.7333179475585397E-2</v>
      </c>
      <c r="D43" s="32">
        <f t="shared" si="22"/>
        <v>9.5294270309121715E-2</v>
      </c>
      <c r="E43" s="32">
        <f t="shared" si="22"/>
        <v>0.1325097452795132</v>
      </c>
      <c r="F43" s="32">
        <f t="shared" si="22"/>
        <v>0.18117538266416056</v>
      </c>
      <c r="G43" s="32">
        <f t="shared" si="22"/>
        <v>0.24373956821320222</v>
      </c>
      <c r="H43" s="32">
        <f t="shared" si="22"/>
        <v>0.32286218497497748</v>
      </c>
      <c r="I43" s="32">
        <f t="shared" si="22"/>
        <v>0.4157221188128174</v>
      </c>
      <c r="J43" s="32">
        <f t="shared" si="22"/>
        <v>0.52894616911796</v>
      </c>
      <c r="K43" s="32">
        <f t="shared" si="22"/>
        <v>0.6652798832494865</v>
      </c>
      <c r="L43" s="32">
        <f t="shared" si="22"/>
        <v>0.8274509191575512</v>
      </c>
      <c r="M43" s="32">
        <f t="shared" si="22"/>
        <v>1.0180883112619088</v>
      </c>
      <c r="N43" s="32">
        <f t="shared" si="22"/>
        <v>1.2290699495519668</v>
      </c>
      <c r="O43" s="32">
        <f t="shared" si="22"/>
        <v>1.4712160660261371</v>
      </c>
      <c r="P43" s="32">
        <f t="shared" si="22"/>
        <v>1.7465433194733087</v>
      </c>
      <c r="Q43" s="32">
        <f t="shared" si="22"/>
        <v>2.0567637842680191</v>
      </c>
      <c r="R43" s="32">
        <f t="shared" si="22"/>
        <v>2.4032329530111061</v>
      </c>
      <c r="S43" s="32">
        <f t="shared" si="22"/>
        <v>2.7722022816430729</v>
      </c>
      <c r="T43" s="32">
        <f t="shared" si="22"/>
        <v>3.1778176438462804</v>
      </c>
      <c r="U43" s="32">
        <f t="shared" si="22"/>
        <v>3.6205484900640044</v>
      </c>
      <c r="V43" s="32">
        <f t="shared" si="22"/>
        <v>4.1004690825414007</v>
      </c>
      <c r="W43" s="76">
        <f t="shared" si="22"/>
        <v>4.6172640167514407</v>
      </c>
      <c r="X43" s="32">
        <f t="shared" si="22"/>
        <v>3.9701758358954899</v>
      </c>
      <c r="Y43" s="32">
        <f t="shared" si="22"/>
        <v>3.6046854483519604</v>
      </c>
      <c r="Z43" s="32">
        <f t="shared" si="22"/>
        <v>3.2758001117453031</v>
      </c>
      <c r="AA43" s="32">
        <f t="shared" si="22"/>
        <v>2.9814888772986365</v>
      </c>
      <c r="AB43" s="32">
        <f t="shared" si="22"/>
        <v>2.7195014634578691</v>
      </c>
      <c r="AC43" s="32">
        <f t="shared" si="22"/>
        <v>2.4570572705423128</v>
      </c>
      <c r="AD43" s="32">
        <f t="shared" si="22"/>
        <v>2.2237785166168713</v>
      </c>
      <c r="AE43" s="32">
        <f t="shared" si="22"/>
        <v>2.0174398319506599</v>
      </c>
      <c r="AF43" s="32">
        <f t="shared" si="22"/>
        <v>1.8357830657709058</v>
      </c>
      <c r="AG43" s="32">
        <f t="shared" si="22"/>
        <v>1.6765764872023672</v>
      </c>
      <c r="AH43" s="32">
        <f t="shared" si="22"/>
        <v>1.5121656004796986</v>
      </c>
      <c r="AI43" s="32">
        <f t="shared" si="22"/>
        <v>1.3681200300606</v>
      </c>
      <c r="AJ43" s="32">
        <f t="shared" si="22"/>
        <v>1.2424533424644395</v>
      </c>
      <c r="AK43" s="32">
        <f t="shared" si="22"/>
        <v>1.1332787148848018</v>
      </c>
      <c r="AL43" s="32">
        <f t="shared" si="22"/>
        <v>1.0388341086364297</v>
      </c>
      <c r="AM43" s="32">
        <f t="shared" si="22"/>
        <v>0.93742905588107128</v>
      </c>
      <c r="AN43" s="32">
        <f t="shared" si="22"/>
        <v>0.8496266807198477</v>
      </c>
      <c r="AO43" s="32">
        <f t="shared" si="22"/>
        <v>0.7739040129599486</v>
      </c>
      <c r="AP43" s="32">
        <f t="shared" si="22"/>
        <v>0.70887143479008508</v>
      </c>
      <c r="AQ43" s="32">
        <f t="shared" si="22"/>
        <v>0.65327709700386494</v>
      </c>
    </row>
    <row r="44" spans="1:43" ht="10.15" customHeight="1" outlineLevel="1">
      <c r="A44" s="33"/>
      <c r="B44" s="31" t="s">
        <v>74</v>
      </c>
      <c r="C44" s="32">
        <f t="shared" ref="C44:AQ44" si="23">EBlackScholesForward($FA$3,C$20,$A$43,C$22,$C$6,$C$6,$C$7,C$21)</f>
        <v>-1.4308331098028537E-2</v>
      </c>
      <c r="D44" s="32">
        <f t="shared" si="23"/>
        <v>-1.9535509586286748E-2</v>
      </c>
      <c r="E44" s="32">
        <f t="shared" si="23"/>
        <v>-2.617487257790263E-2</v>
      </c>
      <c r="F44" s="32">
        <f t="shared" si="23"/>
        <v>-3.4442851384738904E-2</v>
      </c>
      <c r="G44" s="32">
        <f t="shared" si="23"/>
        <v>-4.4543198768098868E-2</v>
      </c>
      <c r="H44" s="32">
        <f t="shared" si="23"/>
        <v>-5.66542559706118E-2</v>
      </c>
      <c r="I44" s="32">
        <f t="shared" si="23"/>
        <v>-7.0348301778308531E-2</v>
      </c>
      <c r="J44" s="32">
        <f t="shared" si="23"/>
        <v>-8.6211379818013079E-2</v>
      </c>
      <c r="K44" s="32">
        <f t="shared" si="23"/>
        <v>-0.10431379423948006</v>
      </c>
      <c r="L44" s="32">
        <f t="shared" si="23"/>
        <v>-0.12467053413629525</v>
      </c>
      <c r="M44" s="32">
        <f t="shared" si="23"/>
        <v>-0.14723595887857766</v>
      </c>
      <c r="N44" s="32">
        <f t="shared" si="23"/>
        <v>-0.17128740885942184</v>
      </c>
      <c r="O44" s="32">
        <f t="shared" si="23"/>
        <v>-0.19734845908286891</v>
      </c>
      <c r="P44" s="32">
        <f t="shared" si="23"/>
        <v>-0.22524628560912641</v>
      </c>
      <c r="Q44" s="32">
        <f t="shared" si="23"/>
        <v>-0.25475631941442867</v>
      </c>
      <c r="R44" s="32">
        <f t="shared" si="23"/>
        <v>-0.28560952645244608</v>
      </c>
      <c r="S44" s="32">
        <f t="shared" si="23"/>
        <v>-0.31723197889312882</v>
      </c>
      <c r="T44" s="32">
        <f t="shared" si="23"/>
        <v>-0.34978224970938498</v>
      </c>
      <c r="U44" s="32">
        <f t="shared" si="23"/>
        <v>-0.382944804680041</v>
      </c>
      <c r="V44" s="32">
        <f t="shared" si="23"/>
        <v>-0.41639269770095133</v>
      </c>
      <c r="W44" s="76">
        <f t="shared" si="23"/>
        <v>-0.44979902190256382</v>
      </c>
      <c r="X44" s="32">
        <f t="shared" si="23"/>
        <v>0.49054661692036206</v>
      </c>
      <c r="Y44" s="32">
        <f t="shared" si="23"/>
        <v>0.45877850274476106</v>
      </c>
      <c r="Z44" s="32">
        <f t="shared" si="23"/>
        <v>0.42828315392635652</v>
      </c>
      <c r="AA44" s="32">
        <f t="shared" si="23"/>
        <v>0.39930953836548877</v>
      </c>
      <c r="AB44" s="32">
        <f t="shared" si="23"/>
        <v>0.37204660111447296</v>
      </c>
      <c r="AC44" s="32">
        <f t="shared" si="23"/>
        <v>0.34507232921567876</v>
      </c>
      <c r="AD44" s="32">
        <f t="shared" si="23"/>
        <v>0.31977575509132272</v>
      </c>
      <c r="AE44" s="32">
        <f t="shared" si="23"/>
        <v>0.29625461081943527</v>
      </c>
      <c r="AF44" s="32">
        <f t="shared" si="23"/>
        <v>0.27455918870750162</v>
      </c>
      <c r="AG44" s="32">
        <f t="shared" si="23"/>
        <v>0.25469744801359662</v>
      </c>
      <c r="AH44" s="32">
        <f t="shared" si="23"/>
        <v>0.23468178563011977</v>
      </c>
      <c r="AI44" s="32">
        <f t="shared" si="23"/>
        <v>0.2163693288986468</v>
      </c>
      <c r="AJ44" s="32">
        <f t="shared" si="23"/>
        <v>0.1997306941947441</v>
      </c>
      <c r="AK44" s="32">
        <f t="shared" si="23"/>
        <v>0.18471108835200756</v>
      </c>
      <c r="AL44" s="32">
        <f t="shared" si="23"/>
        <v>0.17123629960306141</v>
      </c>
      <c r="AM44" s="32">
        <f t="shared" si="23"/>
        <v>0.15725511063336972</v>
      </c>
      <c r="AN44" s="32">
        <f t="shared" si="23"/>
        <v>0.14469926173067971</v>
      </c>
      <c r="AO44" s="32">
        <f t="shared" si="23"/>
        <v>0.13348947672440215</v>
      </c>
      <c r="AP44" s="32">
        <f t="shared" si="23"/>
        <v>0.12353791810975068</v>
      </c>
      <c r="AQ44" s="32">
        <f t="shared" si="23"/>
        <v>0.11475229890921534</v>
      </c>
    </row>
    <row r="45" spans="1:43" ht="10.15" customHeight="1">
      <c r="A45" s="34">
        <f>A47-$C$12</f>
        <v>49.800000000000011</v>
      </c>
      <c r="B45" s="34" t="s">
        <v>71</v>
      </c>
      <c r="C45" s="35">
        <f t="shared" ref="C45:AQ45" si="24">EBlackScholesForward("p",C$20,$A$45,C$22,$C$6,$C$6,$C$7,C$21)</f>
        <v>6.6621448890711601E-2</v>
      </c>
      <c r="D45" s="35">
        <f t="shared" si="24"/>
        <v>9.4322324859536108E-2</v>
      </c>
      <c r="E45" s="35">
        <f t="shared" si="24"/>
        <v>0.13120720258158702</v>
      </c>
      <c r="F45" s="35">
        <f t="shared" si="24"/>
        <v>0.17946104543617505</v>
      </c>
      <c r="G45" s="35">
        <f t="shared" si="24"/>
        <v>0.24152204789881246</v>
      </c>
      <c r="H45" s="35">
        <f t="shared" si="24"/>
        <v>0.32004116068166955</v>
      </c>
      <c r="I45" s="35">
        <f t="shared" si="24"/>
        <v>0.41221859090970209</v>
      </c>
      <c r="J45" s="35">
        <f t="shared" si="24"/>
        <v>0.52465185359690591</v>
      </c>
      <c r="K45" s="35">
        <f t="shared" si="24"/>
        <v>0.66008294028560588</v>
      </c>
      <c r="L45" s="35">
        <f t="shared" si="24"/>
        <v>0.82123870976312474</v>
      </c>
      <c r="M45" s="35">
        <f t="shared" si="24"/>
        <v>1.0107504218877985</v>
      </c>
      <c r="N45" s="35">
        <f t="shared" si="24"/>
        <v>1.2205320722811805</v>
      </c>
      <c r="O45" s="35">
        <f t="shared" si="24"/>
        <v>1.4613776569846202</v>
      </c>
      <c r="P45" s="35">
        <f t="shared" si="24"/>
        <v>1.7353124170165377</v>
      </c>
      <c r="Q45" s="35">
        <f t="shared" si="24"/>
        <v>2.0440595986973009</v>
      </c>
      <c r="R45" s="35">
        <f t="shared" si="24"/>
        <v>2.3889880952202849</v>
      </c>
      <c r="S45" s="35">
        <f t="shared" si="24"/>
        <v>2.7563781365633773</v>
      </c>
      <c r="T45" s="35">
        <f t="shared" si="24"/>
        <v>3.1603675384642074</v>
      </c>
      <c r="U45" s="35">
        <f t="shared" si="24"/>
        <v>3.6014414968910806</v>
      </c>
      <c r="V45" s="35">
        <f t="shared" si="24"/>
        <v>4.0796906007689548</v>
      </c>
      <c r="W45" s="77">
        <f t="shared" si="24"/>
        <v>4.5948157815211461</v>
      </c>
      <c r="X45" s="35">
        <f t="shared" si="24"/>
        <v>3.994744951972458</v>
      </c>
      <c r="Y45" s="35">
        <f t="shared" si="24"/>
        <v>3.6276658787919334</v>
      </c>
      <c r="Z45" s="35">
        <f t="shared" si="24"/>
        <v>3.2972551807012835</v>
      </c>
      <c r="AA45" s="35">
        <f t="shared" si="24"/>
        <v>3.0014944008438404</v>
      </c>
      <c r="AB45" s="35">
        <f t="shared" si="24"/>
        <v>2.7381427532982854</v>
      </c>
      <c r="AC45" s="35">
        <f t="shared" si="24"/>
        <v>2.4743487925501175</v>
      </c>
      <c r="AD45" s="35">
        <f t="shared" si="24"/>
        <v>2.2398039781163526</v>
      </c>
      <c r="AE45" s="35">
        <f t="shared" si="24"/>
        <v>2.0322878709924987</v>
      </c>
      <c r="AF45" s="35">
        <f t="shared" si="24"/>
        <v>1.8495448777838117</v>
      </c>
      <c r="AG45" s="35">
        <f t="shared" si="24"/>
        <v>1.6893437051350721</v>
      </c>
      <c r="AH45" s="35">
        <f t="shared" si="24"/>
        <v>1.5239305835744594</v>
      </c>
      <c r="AI45" s="35">
        <f t="shared" si="24"/>
        <v>1.3789679045290077</v>
      </c>
      <c r="AJ45" s="35">
        <f t="shared" si="24"/>
        <v>1.2524677960135502</v>
      </c>
      <c r="AK45" s="35">
        <f t="shared" si="24"/>
        <v>1.1425407218016008</v>
      </c>
      <c r="AL45" s="35">
        <f t="shared" si="24"/>
        <v>1.0474209540839472</v>
      </c>
      <c r="AM45" s="35">
        <f t="shared" si="24"/>
        <v>0.94531544710727433</v>
      </c>
      <c r="AN45" s="35">
        <f t="shared" si="24"/>
        <v>0.85688392841896466</v>
      </c>
      <c r="AO45" s="35">
        <f t="shared" si="24"/>
        <v>0.78059947941389529</v>
      </c>
      <c r="AP45" s="35">
        <f t="shared" si="24"/>
        <v>0.71506810186095926</v>
      </c>
      <c r="AQ45" s="35">
        <f t="shared" si="24"/>
        <v>0.65903334003136793</v>
      </c>
    </row>
    <row r="46" spans="1:43" ht="10.15" customHeight="1" outlineLevel="1">
      <c r="A46" s="36"/>
      <c r="B46" s="34" t="s">
        <v>74</v>
      </c>
      <c r="C46" s="35">
        <f t="shared" ref="C46:AQ46" si="25">EBlackScholesForward($FA$3,C$20,$A$45,C$22,$C$6,$C$6,$C$7,C$21)</f>
        <v>-1.4161154590728448E-2</v>
      </c>
      <c r="D46" s="35">
        <f t="shared" si="25"/>
        <v>-1.9342635512853423E-2</v>
      </c>
      <c r="E46" s="35">
        <f t="shared" si="25"/>
        <v>-2.5927233955090612E-2</v>
      </c>
      <c r="F46" s="35">
        <f t="shared" si="25"/>
        <v>-3.4131112619684156E-2</v>
      </c>
      <c r="G46" s="35">
        <f t="shared" si="25"/>
        <v>-4.4158167187526021E-2</v>
      </c>
      <c r="H46" s="35">
        <f t="shared" si="25"/>
        <v>-5.6187346812683336E-2</v>
      </c>
      <c r="I46" s="35">
        <f t="shared" si="25"/>
        <v>-6.979352084040269E-2</v>
      </c>
      <c r="J46" s="35">
        <f t="shared" si="25"/>
        <v>-8.556201710401834E-2</v>
      </c>
      <c r="K46" s="35">
        <f t="shared" si="25"/>
        <v>-0.1035647608318091</v>
      </c>
      <c r="L46" s="35">
        <f t="shared" si="25"/>
        <v>-0.12381872637159397</v>
      </c>
      <c r="M46" s="35">
        <f t="shared" si="25"/>
        <v>-0.14628053419514231</v>
      </c>
      <c r="N46" s="35">
        <f t="shared" si="25"/>
        <v>-0.17022862243821768</v>
      </c>
      <c r="O46" s="35">
        <f t="shared" si="25"/>
        <v>-0.19618884815265636</v>
      </c>
      <c r="P46" s="35">
        <f t="shared" si="25"/>
        <v>-0.22399074515421225</v>
      </c>
      <c r="Q46" s="35">
        <f t="shared" si="25"/>
        <v>-0.25341200453861124</v>
      </c>
      <c r="R46" s="35">
        <f t="shared" si="25"/>
        <v>-0.28418563741845482</v>
      </c>
      <c r="S46" s="35">
        <f t="shared" si="25"/>
        <v>-0.31573461700495908</v>
      </c>
      <c r="T46" s="35">
        <f t="shared" si="25"/>
        <v>-0.34822268353285057</v>
      </c>
      <c r="U46" s="35">
        <f t="shared" si="25"/>
        <v>-0.3813355524777462</v>
      </c>
      <c r="V46" s="35">
        <f t="shared" si="25"/>
        <v>-0.41474710552114047</v>
      </c>
      <c r="W46" s="77">
        <f t="shared" si="25"/>
        <v>-0.44813081462895532</v>
      </c>
      <c r="X46" s="35">
        <f t="shared" si="25"/>
        <v>0.49221770785139451</v>
      </c>
      <c r="Y46" s="35">
        <f t="shared" si="25"/>
        <v>0.46043850363080008</v>
      </c>
      <c r="Z46" s="35">
        <f t="shared" si="25"/>
        <v>0.42991949486039793</v>
      </c>
      <c r="AA46" s="35">
        <f t="shared" si="25"/>
        <v>0.40091138774041024</v>
      </c>
      <c r="AB46" s="35">
        <f t="shared" si="25"/>
        <v>0.37360506058146115</v>
      </c>
      <c r="AC46" s="35">
        <f t="shared" si="25"/>
        <v>0.34658870037014289</v>
      </c>
      <c r="AD46" s="35">
        <f t="shared" si="25"/>
        <v>0.32124292555688605</v>
      </c>
      <c r="AE46" s="35">
        <f t="shared" si="25"/>
        <v>0.29766723228736858</v>
      </c>
      <c r="AF46" s="35">
        <f t="shared" si="25"/>
        <v>0.27591362312294754</v>
      </c>
      <c r="AG46" s="35">
        <f t="shared" si="25"/>
        <v>0.25599163985510209</v>
      </c>
      <c r="AH46" s="35">
        <f t="shared" si="25"/>
        <v>0.23591794898809582</v>
      </c>
      <c r="AI46" s="35">
        <f t="shared" si="25"/>
        <v>0.21754609146628079</v>
      </c>
      <c r="AJ46" s="35">
        <f t="shared" si="25"/>
        <v>0.20084791130717816</v>
      </c>
      <c r="AK46" s="35">
        <f t="shared" si="25"/>
        <v>0.18576966569278097</v>
      </c>
      <c r="AL46" s="35">
        <f t="shared" si="25"/>
        <v>0.17223800240198095</v>
      </c>
      <c r="AM46" s="35">
        <f t="shared" si="25"/>
        <v>0.15820103238246008</v>
      </c>
      <c r="AN46" s="35">
        <f t="shared" si="25"/>
        <v>0.14559114378692173</v>
      </c>
      <c r="AO46" s="35">
        <f t="shared" si="25"/>
        <v>0.13432967719391731</v>
      </c>
      <c r="AP46" s="35">
        <f t="shared" si="25"/>
        <v>0.12432925423641605</v>
      </c>
      <c r="AQ46" s="35">
        <f t="shared" si="25"/>
        <v>0.11549790188854492</v>
      </c>
    </row>
    <row r="47" spans="1:43" ht="10.15" customHeight="1">
      <c r="A47" s="31">
        <f>A49-$C$12</f>
        <v>49.850000000000009</v>
      </c>
      <c r="B47" s="31" t="s">
        <v>71</v>
      </c>
      <c r="C47" s="32">
        <f t="shared" ref="C47:AQ47" si="26">EBlackScholesForward("p",C$20,$A$47,C$22,$C$6,$C$6,$C$7,C$21)</f>
        <v>6.5917040808776639E-2</v>
      </c>
      <c r="D47" s="32">
        <f t="shared" si="26"/>
        <v>9.3359977806296526E-2</v>
      </c>
      <c r="E47" s="32">
        <f t="shared" si="26"/>
        <v>0.129916986593932</v>
      </c>
      <c r="F47" s="32">
        <f t="shared" si="26"/>
        <v>0.17776222934734939</v>
      </c>
      <c r="G47" s="32">
        <f t="shared" si="26"/>
        <v>0.23932370247337501</v>
      </c>
      <c r="H47" s="32">
        <f t="shared" si="26"/>
        <v>0.31724339437492866</v>
      </c>
      <c r="I47" s="32">
        <f t="shared" si="26"/>
        <v>0.40874270410623054</v>
      </c>
      <c r="J47" s="32">
        <f t="shared" si="26"/>
        <v>0.52038989859598561</v>
      </c>
      <c r="K47" s="32">
        <f t="shared" si="26"/>
        <v>0.65492333297260941</v>
      </c>
      <c r="L47" s="32">
        <f t="shared" si="26"/>
        <v>0.81506896802451156</v>
      </c>
      <c r="M47" s="32">
        <f t="shared" si="26"/>
        <v>1.0034601763571003</v>
      </c>
      <c r="N47" s="32">
        <f t="shared" si="26"/>
        <v>1.2120470038092503</v>
      </c>
      <c r="O47" s="32">
        <f t="shared" si="26"/>
        <v>1.451597097226867</v>
      </c>
      <c r="P47" s="32">
        <f t="shared" si="26"/>
        <v>1.7241441621021261</v>
      </c>
      <c r="Q47" s="32">
        <f t="shared" si="26"/>
        <v>2.0314225037098561</v>
      </c>
      <c r="R47" s="32">
        <f t="shared" si="26"/>
        <v>2.3748143134730069</v>
      </c>
      <c r="S47" s="32">
        <f t="shared" si="26"/>
        <v>2.7406287494002264</v>
      </c>
      <c r="T47" s="32">
        <f t="shared" si="26"/>
        <v>3.1429953115590221</v>
      </c>
      <c r="U47" s="32">
        <f t="shared" si="26"/>
        <v>3.5824148786461683</v>
      </c>
      <c r="V47" s="32">
        <f t="shared" si="26"/>
        <v>4.0589943244936117</v>
      </c>
      <c r="W47" s="76">
        <f t="shared" si="26"/>
        <v>4.5724508971024331</v>
      </c>
      <c r="X47" s="32">
        <f t="shared" si="26"/>
        <v>4.0193975781685696</v>
      </c>
      <c r="Y47" s="32">
        <f t="shared" si="26"/>
        <v>3.6507292797121269</v>
      </c>
      <c r="Z47" s="32">
        <f t="shared" si="26"/>
        <v>3.3187920512715139</v>
      </c>
      <c r="AA47" s="32">
        <f t="shared" si="26"/>
        <v>3.0215800144484013</v>
      </c>
      <c r="AB47" s="32">
        <f t="shared" si="26"/>
        <v>2.7568619753459256</v>
      </c>
      <c r="AC47" s="32">
        <f t="shared" si="26"/>
        <v>2.4917161536327828</v>
      </c>
      <c r="AD47" s="32">
        <f t="shared" si="26"/>
        <v>2.2559028285822245</v>
      </c>
      <c r="AE47" s="32">
        <f t="shared" si="26"/>
        <v>2.0472065800029084</v>
      </c>
      <c r="AF47" s="32">
        <f t="shared" si="26"/>
        <v>1.8633744573550488</v>
      </c>
      <c r="AG47" s="32">
        <f t="shared" si="26"/>
        <v>1.7021756839637352</v>
      </c>
      <c r="AH47" s="32">
        <f t="shared" si="26"/>
        <v>1.5357574317479765</v>
      </c>
      <c r="AI47" s="32">
        <f t="shared" si="26"/>
        <v>1.3898746783294738</v>
      </c>
      <c r="AJ47" s="32">
        <f t="shared" si="26"/>
        <v>1.2625381746798667</v>
      </c>
      <c r="AK47" s="32">
        <f t="shared" si="26"/>
        <v>1.1518557237831071</v>
      </c>
      <c r="AL47" s="32">
        <f t="shared" si="26"/>
        <v>1.0560579518176687</v>
      </c>
      <c r="AM47" s="32">
        <f t="shared" si="26"/>
        <v>0.95324920295027893</v>
      </c>
      <c r="AN47" s="32">
        <f t="shared" si="26"/>
        <v>0.86418583926053116</v>
      </c>
      <c r="AO47" s="32">
        <f t="shared" si="26"/>
        <v>0.78733702469330136</v>
      </c>
      <c r="AP47" s="32">
        <f t="shared" si="26"/>
        <v>0.72130440368235083</v>
      </c>
      <c r="AQ47" s="32">
        <f t="shared" si="26"/>
        <v>0.6648269297978886</v>
      </c>
    </row>
    <row r="48" spans="1:43" ht="10.15" customHeight="1" outlineLevel="1">
      <c r="A48" s="33"/>
      <c r="B48" s="31" t="s">
        <v>74</v>
      </c>
      <c r="C48" s="32">
        <f t="shared" ref="C48:AQ48" si="27">EBlackScholesForward($FA$3,C$20,$A$47,C$22,$C$6,$C$6,$C$7,C$21)</f>
        <v>-1.4015428571047261E-2</v>
      </c>
      <c r="D48" s="32">
        <f t="shared" si="27"/>
        <v>-1.9151570915024868E-2</v>
      </c>
      <c r="E48" s="32">
        <f t="shared" si="27"/>
        <v>-2.5681800966106949E-2</v>
      </c>
      <c r="F48" s="32">
        <f t="shared" si="27"/>
        <v>-3.3822002286401642E-2</v>
      </c>
      <c r="G48" s="32">
        <f t="shared" si="27"/>
        <v>-4.3776199427703055E-2</v>
      </c>
      <c r="H48" s="32">
        <f t="shared" si="27"/>
        <v>-5.5723932581674962E-2</v>
      </c>
      <c r="I48" s="32">
        <f t="shared" si="27"/>
        <v>-6.9242653813569865E-2</v>
      </c>
      <c r="J48" s="32">
        <f t="shared" si="27"/>
        <v>-8.4916955114539006E-2</v>
      </c>
      <c r="K48" s="32">
        <f t="shared" si="27"/>
        <v>-0.10282036452998189</v>
      </c>
      <c r="L48" s="32">
        <f t="shared" si="27"/>
        <v>-0.12297182459765077</v>
      </c>
      <c r="M48" s="32">
        <f t="shared" si="27"/>
        <v>-0.14533020233916671</v>
      </c>
      <c r="N48" s="32">
        <f t="shared" si="27"/>
        <v>-0.1691750546926829</v>
      </c>
      <c r="O48" s="32">
        <f t="shared" si="27"/>
        <v>-0.19503448621719377</v>
      </c>
      <c r="P48" s="32">
        <f t="shared" si="27"/>
        <v>-0.2227403831780328</v>
      </c>
      <c r="Q48" s="32">
        <f t="shared" si="27"/>
        <v>-0.25207269617428807</v>
      </c>
      <c r="R48" s="32">
        <f t="shared" si="27"/>
        <v>-0.28276648564229401</v>
      </c>
      <c r="S48" s="32">
        <f t="shared" si="27"/>
        <v>-0.31424166400519926</v>
      </c>
      <c r="T48" s="32">
        <f t="shared" si="27"/>
        <v>-0.34666711322022259</v>
      </c>
      <c r="U48" s="32">
        <f t="shared" si="27"/>
        <v>-0.37972981089477997</v>
      </c>
      <c r="V48" s="32">
        <f t="shared" si="27"/>
        <v>-0.41310448181057779</v>
      </c>
      <c r="W48" s="76">
        <f t="shared" si="27"/>
        <v>-0.44646499398117712</v>
      </c>
      <c r="X48" s="32">
        <f t="shared" si="27"/>
        <v>0.49388701678498848</v>
      </c>
      <c r="Y48" s="32">
        <f t="shared" si="27"/>
        <v>0.46209731683894972</v>
      </c>
      <c r="Z48" s="32">
        <f t="shared" si="27"/>
        <v>0.43155521330848767</v>
      </c>
      <c r="AA48" s="32">
        <f t="shared" si="27"/>
        <v>0.40251313560140112</v>
      </c>
      <c r="AB48" s="32">
        <f t="shared" si="27"/>
        <v>0.37516388441816151</v>
      </c>
      <c r="AC48" s="32">
        <f t="shared" si="27"/>
        <v>0.34810588736702286</v>
      </c>
      <c r="AD48" s="32">
        <f t="shared" si="27"/>
        <v>0.32271130912635559</v>
      </c>
      <c r="AE48" s="32">
        <f t="shared" si="27"/>
        <v>0.29908140522458826</v>
      </c>
      <c r="AF48" s="32">
        <f t="shared" si="27"/>
        <v>0.27726988702779787</v>
      </c>
      <c r="AG48" s="32">
        <f t="shared" si="27"/>
        <v>0.25728788018591908</v>
      </c>
      <c r="AH48" s="32">
        <f t="shared" si="27"/>
        <v>0.23715638543634343</v>
      </c>
      <c r="AI48" s="32">
        <f t="shared" si="27"/>
        <v>0.21872529917246197</v>
      </c>
      <c r="AJ48" s="32">
        <f t="shared" si="27"/>
        <v>0.20196769621148025</v>
      </c>
      <c r="AK48" s="32">
        <f t="shared" si="27"/>
        <v>0.18683088859502428</v>
      </c>
      <c r="AL48" s="32">
        <f t="shared" si="27"/>
        <v>0.17324238901283984</v>
      </c>
      <c r="AM48" s="32">
        <f t="shared" si="27"/>
        <v>0.15914969356315423</v>
      </c>
      <c r="AN48" s="32">
        <f t="shared" si="27"/>
        <v>0.14648578596399009</v>
      </c>
      <c r="AO48" s="32">
        <f t="shared" si="27"/>
        <v>0.13517262853295908</v>
      </c>
      <c r="AP48" s="32">
        <f t="shared" si="27"/>
        <v>0.12512330714826714</v>
      </c>
      <c r="AQ48" s="32">
        <f t="shared" si="27"/>
        <v>0.11624616768722285</v>
      </c>
    </row>
    <row r="49" spans="1:43" ht="10.15" customHeight="1">
      <c r="A49" s="34">
        <f>A51-$C$12</f>
        <v>49.900000000000006</v>
      </c>
      <c r="B49" s="34" t="s">
        <v>71</v>
      </c>
      <c r="C49" s="35">
        <f t="shared" ref="C49:AQ49" si="28">EBlackScholesForward("p",C$20,$A$49,C$22,$C$6,$C$6,$C$7,C$21)</f>
        <v>6.521988303917671E-2</v>
      </c>
      <c r="D49" s="35">
        <f t="shared" si="28"/>
        <v>9.2407139066014152E-2</v>
      </c>
      <c r="E49" s="35">
        <f t="shared" si="28"/>
        <v>0.12863898747851077</v>
      </c>
      <c r="F49" s="35">
        <f t="shared" si="28"/>
        <v>0.17607880346576316</v>
      </c>
      <c r="G49" s="35">
        <f t="shared" si="28"/>
        <v>0.23714437927038273</v>
      </c>
      <c r="H49" s="35">
        <f t="shared" si="28"/>
        <v>0.31446871185307185</v>
      </c>
      <c r="I49" s="35">
        <f t="shared" si="28"/>
        <v>0.40529426325903994</v>
      </c>
      <c r="J49" s="35">
        <f t="shared" si="28"/>
        <v>0.51616008962015691</v>
      </c>
      <c r="K49" s="35">
        <f t="shared" si="28"/>
        <v>0.64980082996555355</v>
      </c>
      <c r="L49" s="35">
        <f t="shared" si="28"/>
        <v>0.80894144910170251</v>
      </c>
      <c r="M49" s="35">
        <f t="shared" si="28"/>
        <v>0.9962173204184317</v>
      </c>
      <c r="N49" s="35">
        <f t="shared" si="28"/>
        <v>1.2036144835106402</v>
      </c>
      <c r="O49" s="35">
        <f t="shared" si="28"/>
        <v>1.4418741245147437</v>
      </c>
      <c r="P49" s="35">
        <f t="shared" si="28"/>
        <v>1.7130382959099149</v>
      </c>
      <c r="Q49" s="35">
        <f t="shared" si="28"/>
        <v>2.0188522489691811</v>
      </c>
      <c r="R49" s="35">
        <f t="shared" si="28"/>
        <v>2.3607113707787262</v>
      </c>
      <c r="S49" s="35">
        <f t="shared" si="28"/>
        <v>2.7249538994646043</v>
      </c>
      <c r="T49" s="35">
        <f t="shared" si="28"/>
        <v>3.1257007629802738</v>
      </c>
      <c r="U49" s="35">
        <f t="shared" si="28"/>
        <v>3.5634684593370136</v>
      </c>
      <c r="V49" s="35">
        <f t="shared" si="28"/>
        <v>4.0383801047390326</v>
      </c>
      <c r="W49" s="77">
        <f t="shared" si="28"/>
        <v>4.5501692435348868</v>
      </c>
      <c r="X49" s="35">
        <f t="shared" si="28"/>
        <v>4.0441336247045987</v>
      </c>
      <c r="Y49" s="35">
        <f t="shared" si="28"/>
        <v>3.6738755910194376</v>
      </c>
      <c r="Z49" s="35">
        <f t="shared" si="28"/>
        <v>3.3404106916120808</v>
      </c>
      <c r="AA49" s="35">
        <f t="shared" si="28"/>
        <v>3.0417457123237122</v>
      </c>
      <c r="AB49" s="35">
        <f t="shared" si="28"/>
        <v>2.7756591471273966</v>
      </c>
      <c r="AC49" s="35">
        <f t="shared" si="28"/>
        <v>2.5091593939100623</v>
      </c>
      <c r="AD49" s="35">
        <f t="shared" si="28"/>
        <v>2.2720751280280633</v>
      </c>
      <c r="AE49" s="35">
        <f t="shared" si="28"/>
        <v>2.0621960359528972</v>
      </c>
      <c r="AF49" s="35">
        <f t="shared" si="28"/>
        <v>1.8772718954016132</v>
      </c>
      <c r="AG49" s="35">
        <f t="shared" si="28"/>
        <v>1.7150725256033619</v>
      </c>
      <c r="AH49" s="35">
        <f t="shared" si="28"/>
        <v>1.5476462581898991</v>
      </c>
      <c r="AI49" s="35">
        <f t="shared" si="28"/>
        <v>1.4008404733006476</v>
      </c>
      <c r="AJ49" s="35">
        <f t="shared" si="28"/>
        <v>1.2726646064813942</v>
      </c>
      <c r="AK49" s="35">
        <f t="shared" si="28"/>
        <v>1.1612238527810781</v>
      </c>
      <c r="AL49" s="35">
        <f t="shared" si="28"/>
        <v>1.0647452357444953</v>
      </c>
      <c r="AM49" s="35">
        <f t="shared" si="28"/>
        <v>0.9612304601390198</v>
      </c>
      <c r="AN49" s="35">
        <f t="shared" si="28"/>
        <v>0.8715325510465346</v>
      </c>
      <c r="AO49" s="35">
        <f t="shared" si="28"/>
        <v>0.79411678617296344</v>
      </c>
      <c r="AP49" s="35">
        <f t="shared" si="28"/>
        <v>0.72758047595646669</v>
      </c>
      <c r="AQ49" s="35">
        <f t="shared" si="28"/>
        <v>0.67065799933503767</v>
      </c>
    </row>
    <row r="50" spans="1:43" ht="10.15" customHeight="1" outlineLevel="1">
      <c r="A50" s="36"/>
      <c r="B50" s="34" t="s">
        <v>74</v>
      </c>
      <c r="C50" s="35">
        <f t="shared" ref="C50:AQ50" si="29">EBlackScholesForward($FA$3,C$20,$A$49,C$22,$C$6,$C$6,$C$7,C$21)</f>
        <v>-1.3871139707367919E-2</v>
      </c>
      <c r="D50" s="35">
        <f t="shared" si="29"/>
        <v>-1.8962300197748055E-2</v>
      </c>
      <c r="E50" s="35">
        <f t="shared" si="29"/>
        <v>-2.5438555885679004E-2</v>
      </c>
      <c r="F50" s="35">
        <f t="shared" si="29"/>
        <v>-3.3515500818051547E-2</v>
      </c>
      <c r="G50" s="35">
        <f t="shared" si="29"/>
        <v>-4.3397274525250329E-2</v>
      </c>
      <c r="H50" s="35">
        <f t="shared" si="29"/>
        <v>-5.5263991505524745E-2</v>
      </c>
      <c r="I50" s="35">
        <f t="shared" si="29"/>
        <v>-6.8695678620300793E-2</v>
      </c>
      <c r="J50" s="35">
        <f t="shared" si="29"/>
        <v>-8.4276172207148337E-2</v>
      </c>
      <c r="K50" s="35">
        <f t="shared" si="29"/>
        <v>-0.10208058491898431</v>
      </c>
      <c r="L50" s="35">
        <f t="shared" si="29"/>
        <v>-0.12212981042568627</v>
      </c>
      <c r="M50" s="35">
        <f t="shared" si="29"/>
        <v>-0.14438494769606902</v>
      </c>
      <c r="N50" s="35">
        <f t="shared" si="29"/>
        <v>-0.16812669327173069</v>
      </c>
      <c r="O50" s="35">
        <f t="shared" si="29"/>
        <v>-0.19388536478519569</v>
      </c>
      <c r="P50" s="35">
        <f t="shared" si="29"/>
        <v>-0.22149519549645724</v>
      </c>
      <c r="Q50" s="35">
        <f t="shared" si="29"/>
        <v>-0.25073839472093962</v>
      </c>
      <c r="R50" s="35">
        <f t="shared" si="29"/>
        <v>-0.28135207618995572</v>
      </c>
      <c r="S50" s="35">
        <f t="shared" si="29"/>
        <v>-0.31275312963605639</v>
      </c>
      <c r="T50" s="35">
        <f t="shared" si="29"/>
        <v>-0.34511555301817154</v>
      </c>
      <c r="U50" s="35">
        <f t="shared" si="29"/>
        <v>-0.37812759833941723</v>
      </c>
      <c r="V50" s="35">
        <f t="shared" si="29"/>
        <v>-0.41146484864382771</v>
      </c>
      <c r="W50" s="77">
        <f t="shared" si="29"/>
        <v>-0.44480158508610756</v>
      </c>
      <c r="X50" s="35">
        <f t="shared" si="29"/>
        <v>0.49555451657870009</v>
      </c>
      <c r="Y50" s="35">
        <f t="shared" si="29"/>
        <v>0.46375491402832481</v>
      </c>
      <c r="Z50" s="35">
        <f t="shared" si="29"/>
        <v>0.43319028050743391</v>
      </c>
      <c r="AA50" s="35">
        <f t="shared" si="29"/>
        <v>0.40411475344845904</v>
      </c>
      <c r="AB50" s="35">
        <f t="shared" si="29"/>
        <v>0.37672304496194631</v>
      </c>
      <c r="AC50" s="35">
        <f t="shared" si="29"/>
        <v>0.34962386331840456</v>
      </c>
      <c r="AD50" s="35">
        <f t="shared" si="29"/>
        <v>0.32418088013730362</v>
      </c>
      <c r="AE50" s="35">
        <f t="shared" si="29"/>
        <v>0.30049710553261555</v>
      </c>
      <c r="AF50" s="35">
        <f t="shared" si="29"/>
        <v>0.27862795811925967</v>
      </c>
      <c r="AG50" s="35">
        <f t="shared" si="29"/>
        <v>0.25858614862142026</v>
      </c>
      <c r="AH50" s="35">
        <f t="shared" si="29"/>
        <v>0.23839707637064445</v>
      </c>
      <c r="AI50" s="35">
        <f t="shared" si="29"/>
        <v>0.21990693527512706</v>
      </c>
      <c r="AJ50" s="35">
        <f t="shared" si="29"/>
        <v>0.20309003403177206</v>
      </c>
      <c r="AK50" s="35">
        <f t="shared" si="29"/>
        <v>0.18789474399286688</v>
      </c>
      <c r="AL50" s="35">
        <f t="shared" si="29"/>
        <v>0.17424944807435949</v>
      </c>
      <c r="AM50" s="35">
        <f t="shared" si="29"/>
        <v>0.16010108445529414</v>
      </c>
      <c r="AN50" s="35">
        <f t="shared" si="29"/>
        <v>0.14738318008557516</v>
      </c>
      <c r="AO50" s="35">
        <f t="shared" si="29"/>
        <v>0.13601832397964198</v>
      </c>
      <c r="AP50" s="35">
        <f t="shared" si="29"/>
        <v>0.12592007134934469</v>
      </c>
      <c r="AQ50" s="35">
        <f t="shared" si="29"/>
        <v>0.11699709191722585</v>
      </c>
    </row>
    <row r="51" spans="1:43" ht="10.15" customHeight="1">
      <c r="A51" s="31">
        <f>A53-$C$12</f>
        <v>49.95</v>
      </c>
      <c r="B51" s="31" t="s">
        <v>71</v>
      </c>
      <c r="C51" s="32">
        <f t="shared" ref="C51:AQ51" si="30">EBlackScholesForward("p",C$20,$A$51,C$22,$C$6,$C$6,$C$7,C$21)</f>
        <v>6.4529904055183621E-2</v>
      </c>
      <c r="D51" s="32">
        <f t="shared" si="30"/>
        <v>9.1463719332189705E-2</v>
      </c>
      <c r="E51" s="32">
        <f t="shared" si="30"/>
        <v>0.12737309628064897</v>
      </c>
      <c r="F51" s="32">
        <f t="shared" si="30"/>
        <v>0.17441063783506333</v>
      </c>
      <c r="G51" s="32">
        <f t="shared" si="30"/>
        <v>0.23498392666901641</v>
      </c>
      <c r="H51" s="32">
        <f t="shared" si="30"/>
        <v>0.31171694000100841</v>
      </c>
      <c r="I51" s="32">
        <f t="shared" si="30"/>
        <v>0.40187307432721592</v>
      </c>
      <c r="J51" s="32">
        <f t="shared" si="30"/>
        <v>0.51196221325583058</v>
      </c>
      <c r="K51" s="32">
        <f t="shared" si="30"/>
        <v>0.64471520094038648</v>
      </c>
      <c r="L51" s="32">
        <f t="shared" si="30"/>
        <v>0.80285590907519</v>
      </c>
      <c r="M51" s="32">
        <f t="shared" si="30"/>
        <v>0.98902160060313116</v>
      </c>
      <c r="N51" s="32">
        <f t="shared" si="30"/>
        <v>1.195234251380302</v>
      </c>
      <c r="O51" s="32">
        <f t="shared" si="30"/>
        <v>1.4322084770385228</v>
      </c>
      <c r="P51" s="32">
        <f t="shared" si="30"/>
        <v>1.7019945598334785</v>
      </c>
      <c r="Q51" s="32">
        <f t="shared" si="30"/>
        <v>2.0063485841239808</v>
      </c>
      <c r="R51" s="32">
        <f t="shared" si="30"/>
        <v>2.3466790298992186</v>
      </c>
      <c r="S51" s="32">
        <f t="shared" si="30"/>
        <v>2.709353365586332</v>
      </c>
      <c r="T51" s="32">
        <f t="shared" si="30"/>
        <v>3.1084836918711742</v>
      </c>
      <c r="U51" s="32">
        <f t="shared" si="30"/>
        <v>3.5446020620568452</v>
      </c>
      <c r="V51" s="32">
        <f t="shared" si="30"/>
        <v>4.0178477914307482</v>
      </c>
      <c r="W51" s="76">
        <f t="shared" si="30"/>
        <v>4.5279706996069207</v>
      </c>
      <c r="X51" s="32">
        <f t="shared" si="30"/>
        <v>4.0689530004487207</v>
      </c>
      <c r="Y51" s="32">
        <f t="shared" si="30"/>
        <v>3.6971047512075401</v>
      </c>
      <c r="Z51" s="32">
        <f t="shared" si="30"/>
        <v>3.3621110684438915</v>
      </c>
      <c r="AA51" s="32">
        <f t="shared" si="30"/>
        <v>3.061991487258485</v>
      </c>
      <c r="AB51" s="32">
        <f t="shared" si="30"/>
        <v>2.7945342847878569</v>
      </c>
      <c r="AC51" s="32">
        <f t="shared" si="30"/>
        <v>2.5266785521582715</v>
      </c>
      <c r="AD51" s="32">
        <f t="shared" si="30"/>
        <v>2.2883209351846494</v>
      </c>
      <c r="AE51" s="32">
        <f t="shared" si="30"/>
        <v>2.0772563146084742</v>
      </c>
      <c r="AF51" s="32">
        <f t="shared" si="30"/>
        <v>1.8912372817247416</v>
      </c>
      <c r="AG51" s="32">
        <f t="shared" si="30"/>
        <v>1.7280343309488362</v>
      </c>
      <c r="AH51" s="32">
        <f t="shared" si="30"/>
        <v>1.559597175158363</v>
      </c>
      <c r="AI51" s="32">
        <f t="shared" si="30"/>
        <v>1.4118654104424861</v>
      </c>
      <c r="AJ51" s="32">
        <f t="shared" si="30"/>
        <v>1.2828472186906337</v>
      </c>
      <c r="AK51" s="32">
        <f t="shared" si="30"/>
        <v>1.1706452400921343</v>
      </c>
      <c r="AL51" s="32">
        <f t="shared" si="30"/>
        <v>1.0734829392013723</v>
      </c>
      <c r="AM51" s="32">
        <f t="shared" si="30"/>
        <v>0.96925935491446902</v>
      </c>
      <c r="AN51" s="32">
        <f t="shared" si="30"/>
        <v>0.87892420116814063</v>
      </c>
      <c r="AO51" s="32">
        <f t="shared" si="30"/>
        <v>0.80093890088757114</v>
      </c>
      <c r="AP51" s="32">
        <f t="shared" si="30"/>
        <v>0.73389645410878013</v>
      </c>
      <c r="AQ51" s="32">
        <f t="shared" si="30"/>
        <v>0.67652668145317307</v>
      </c>
    </row>
    <row r="52" spans="1:43" ht="10.15" customHeight="1" outlineLevel="1">
      <c r="A52" s="33"/>
      <c r="B52" s="31" t="s">
        <v>74</v>
      </c>
      <c r="C52" s="32">
        <f t="shared" ref="C52:AQ52" si="31">EBlackScholesForward($FA$3,C$20,$A$51,C$22,$C$6,$C$6,$C$7,C$21)</f>
        <v>-1.3728274776232674E-2</v>
      </c>
      <c r="D52" s="32">
        <f t="shared" si="31"/>
        <v>-1.8774807880481137E-2</v>
      </c>
      <c r="E52" s="32">
        <f t="shared" si="31"/>
        <v>-2.5197481104401176E-2</v>
      </c>
      <c r="F52" s="32">
        <f t="shared" si="31"/>
        <v>-3.3211588758763622E-2</v>
      </c>
      <c r="G52" s="32">
        <f t="shared" si="31"/>
        <v>-4.3021371616086546E-2</v>
      </c>
      <c r="H52" s="32">
        <f t="shared" si="31"/>
        <v>-5.4807501892839561E-2</v>
      </c>
      <c r="I52" s="32">
        <f t="shared" si="31"/>
        <v>-6.815257324047086E-2</v>
      </c>
      <c r="J52" s="32">
        <f t="shared" si="31"/>
        <v>-8.363964676633695E-2</v>
      </c>
      <c r="K52" s="32">
        <f t="shared" si="31"/>
        <v>-0.10134540157828442</v>
      </c>
      <c r="L52" s="32">
        <f t="shared" si="31"/>
        <v>-0.12129266542416639</v>
      </c>
      <c r="M52" s="32">
        <f t="shared" si="31"/>
        <v>-0.14344475457226946</v>
      </c>
      <c r="N52" s="32">
        <f t="shared" si="31"/>
        <v>-0.16708352570747875</v>
      </c>
      <c r="O52" s="32">
        <f t="shared" si="31"/>
        <v>-0.19274147521212148</v>
      </c>
      <c r="P52" s="32">
        <f t="shared" si="31"/>
        <v>-0.22025517774465486</v>
      </c>
      <c r="Q52" s="32">
        <f t="shared" si="31"/>
        <v>-0.24940910037136721</v>
      </c>
      <c r="R52" s="32">
        <f t="shared" si="31"/>
        <v>-0.27994241390292274</v>
      </c>
      <c r="S52" s="32">
        <f t="shared" si="31"/>
        <v>-0.31126902340059548</v>
      </c>
      <c r="T52" s="32">
        <f t="shared" si="31"/>
        <v>-0.34356801693340433</v>
      </c>
      <c r="U52" s="32">
        <f t="shared" si="31"/>
        <v>-0.37652893298498746</v>
      </c>
      <c r="V52" s="32">
        <f t="shared" si="31"/>
        <v>-0.40982822787207773</v>
      </c>
      <c r="W52" s="76">
        <f t="shared" si="31"/>
        <v>-0.44314061286478967</v>
      </c>
      <c r="X52" s="32">
        <f t="shared" si="31"/>
        <v>0.49722018027220649</v>
      </c>
      <c r="Y52" s="32">
        <f t="shared" si="31"/>
        <v>0.46541126701111768</v>
      </c>
      <c r="Z52" s="32">
        <f t="shared" si="31"/>
        <v>0.43482466781388229</v>
      </c>
      <c r="AA52" s="32">
        <f t="shared" si="31"/>
        <v>0.40571621287492921</v>
      </c>
      <c r="AB52" s="32">
        <f t="shared" si="31"/>
        <v>0.37828251461669016</v>
      </c>
      <c r="AC52" s="32">
        <f t="shared" si="31"/>
        <v>0.35114260137449893</v>
      </c>
      <c r="AD52" s="32">
        <f t="shared" si="31"/>
        <v>0.3256516129413134</v>
      </c>
      <c r="AE52" s="32">
        <f t="shared" si="31"/>
        <v>0.30191430910868622</v>
      </c>
      <c r="AF52" s="32">
        <f t="shared" si="31"/>
        <v>0.27998781406980422</v>
      </c>
      <c r="AG52" s="32">
        <f t="shared" si="31"/>
        <v>0.25988642474076284</v>
      </c>
      <c r="AH52" s="32">
        <f t="shared" si="31"/>
        <v>0.2396400031355217</v>
      </c>
      <c r="AI52" s="32">
        <f t="shared" si="31"/>
        <v>0.22109098296915208</v>
      </c>
      <c r="AJ52" s="32">
        <f t="shared" si="31"/>
        <v>0.20421490982389656</v>
      </c>
      <c r="AK52" s="32">
        <f t="shared" si="31"/>
        <v>0.1889612187469969</v>
      </c>
      <c r="AL52" s="32">
        <f t="shared" si="31"/>
        <v>0.17525916814948861</v>
      </c>
      <c r="AM52" s="32">
        <f t="shared" si="31"/>
        <v>0.16105519526056766</v>
      </c>
      <c r="AN52" s="32">
        <f t="shared" si="31"/>
        <v>0.1482833178946763</v>
      </c>
      <c r="AO52" s="32">
        <f t="shared" si="31"/>
        <v>0.13686675669212778</v>
      </c>
      <c r="AP52" s="32">
        <f t="shared" si="31"/>
        <v>0.12671954126568519</v>
      </c>
      <c r="AQ52" s="32">
        <f t="shared" si="31"/>
        <v>0.11775067011678408</v>
      </c>
    </row>
    <row r="53" spans="1:43" ht="10.15" customHeight="1">
      <c r="A53" s="79">
        <f>C11</f>
        <v>50</v>
      </c>
      <c r="B53" s="80" t="s">
        <v>71</v>
      </c>
      <c r="C53" s="81">
        <f t="shared" ref="C53:AQ53" si="32">EBlackScholesForward("p",C$20,$A$53,C$22,$C$6,$C$6,$C$7,C$21)</f>
        <v>6.3847032988555499E-2</v>
      </c>
      <c r="D53" s="81">
        <f t="shared" si="32"/>
        <v>9.0529630069500183E-2</v>
      </c>
      <c r="E53" s="81">
        <f t="shared" si="32"/>
        <v>0.12611920492325668</v>
      </c>
      <c r="F53" s="81">
        <f t="shared" si="32"/>
        <v>0.17275760346892746</v>
      </c>
      <c r="G53" s="81">
        <f t="shared" si="32"/>
        <v>0.23284219408917944</v>
      </c>
      <c r="H53" s="81">
        <f t="shared" si="32"/>
        <v>0.30898790678619342</v>
      </c>
      <c r="I53" s="81">
        <f t="shared" si="32"/>
        <v>0.39847894436940695</v>
      </c>
      <c r="J53" s="81">
        <f t="shared" si="32"/>
        <v>0.50779605716944898</v>
      </c>
      <c r="K53" s="81">
        <f t="shared" si="32"/>
        <v>0.63966621659420597</v>
      </c>
      <c r="L53" s="81">
        <f t="shared" si="32"/>
        <v>0.7968121049480843</v>
      </c>
      <c r="M53" s="81">
        <f t="shared" si="32"/>
        <v>0.98187276422919734</v>
      </c>
      <c r="N53" s="81">
        <f t="shared" si="32"/>
        <v>1.1869060480394227</v>
      </c>
      <c r="O53" s="81">
        <f t="shared" si="32"/>
        <v>1.4225998934243769</v>
      </c>
      <c r="P53" s="81">
        <f t="shared" si="32"/>
        <v>1.6910126954891838</v>
      </c>
      <c r="Q53" s="81">
        <f t="shared" si="32"/>
        <v>1.993911258818442</v>
      </c>
      <c r="R53" s="81">
        <f t="shared" si="32"/>
        <v>2.3327170533597239</v>
      </c>
      <c r="S53" s="81">
        <f t="shared" si="32"/>
        <v>2.6938269261259005</v>
      </c>
      <c r="T53" s="81">
        <f t="shared" si="32"/>
        <v>3.0913438966806268</v>
      </c>
      <c r="U53" s="81">
        <f t="shared" si="32"/>
        <v>3.5258155089961845</v>
      </c>
      <c r="V53" s="81">
        <f t="shared" si="32"/>
        <v>3.9973972334074119</v>
      </c>
      <c r="W53" s="82">
        <f t="shared" si="32"/>
        <v>4.5058551428661451</v>
      </c>
      <c r="X53" s="81">
        <f t="shared" si="32"/>
        <v>4.0938556129256467</v>
      </c>
      <c r="Y53" s="81">
        <f t="shared" si="32"/>
        <v>3.720416697364592</v>
      </c>
      <c r="Z53" s="81">
        <f t="shared" si="32"/>
        <v>3.3838931470588589</v>
      </c>
      <c r="AA53" s="81">
        <f t="shared" si="32"/>
        <v>3.0823173306234111</v>
      </c>
      <c r="AB53" s="81">
        <f t="shared" si="32"/>
        <v>2.81348740309432</v>
      </c>
      <c r="AC53" s="81">
        <f t="shared" si="32"/>
        <v>2.5442736658122551</v>
      </c>
      <c r="AD53" s="81">
        <f t="shared" si="32"/>
        <v>2.3046403075007627</v>
      </c>
      <c r="AE53" s="81">
        <f t="shared" si="32"/>
        <v>2.0923874905303284</v>
      </c>
      <c r="AF53" s="81">
        <f t="shared" si="32"/>
        <v>1.9052707050087911</v>
      </c>
      <c r="AG53" s="81">
        <f t="shared" si="32"/>
        <v>1.7410611998730829</v>
      </c>
      <c r="AH53" s="81">
        <f t="shared" si="32"/>
        <v>1.5716102939775258</v>
      </c>
      <c r="AI53" s="81">
        <f t="shared" si="32"/>
        <v>1.4229496099132515</v>
      </c>
      <c r="AJ53" s="81">
        <f t="shared" si="32"/>
        <v>1.2930861378311669</v>
      </c>
      <c r="AK53" s="81">
        <f t="shared" si="32"/>
        <v>1.1801200163541152</v>
      </c>
      <c r="AL53" s="81">
        <f t="shared" si="32"/>
        <v>1.0822711949515225</v>
      </c>
      <c r="AM53" s="81">
        <f t="shared" si="32"/>
        <v>0.97733602302570033</v>
      </c>
      <c r="AN53" s="81">
        <f t="shared" si="32"/>
        <v>0.88636092660168175</v>
      </c>
      <c r="AO53" s="81">
        <f t="shared" si="32"/>
        <v>0.8078035055277385</v>
      </c>
      <c r="AP53" s="81">
        <f t="shared" si="32"/>
        <v>0.74025247328411459</v>
      </c>
      <c r="AQ53" s="83">
        <f t="shared" si="32"/>
        <v>0.68243310873767571</v>
      </c>
    </row>
    <row r="54" spans="1:43" ht="10.15" customHeight="1" outlineLevel="1">
      <c r="A54" s="84"/>
      <c r="B54" s="85" t="s">
        <v>74</v>
      </c>
      <c r="C54" s="86">
        <f t="shared" ref="C54:AQ54" si="33">EBlackScholesForward($FA$3,C$20,$A$53,C$22,$C$6,$C$6,$C$7,C$21)</f>
        <v>-1.358682066150349E-2</v>
      </c>
      <c r="D54" s="86">
        <f t="shared" si="33"/>
        <v>-1.8589078596580738E-2</v>
      </c>
      <c r="E54" s="86">
        <f t="shared" si="33"/>
        <v>-2.4958559128307467E-2</v>
      </c>
      <c r="F54" s="86">
        <f t="shared" si="33"/>
        <v>-3.2910246763362405E-2</v>
      </c>
      <c r="G54" s="86">
        <f t="shared" si="33"/>
        <v>-4.2648469935289979E-2</v>
      </c>
      <c r="H54" s="86">
        <f t="shared" si="33"/>
        <v>-5.4354442132942271E-2</v>
      </c>
      <c r="I54" s="86">
        <f t="shared" si="33"/>
        <v>-6.761331571168705E-2</v>
      </c>
      <c r="J54" s="86">
        <f t="shared" si="33"/>
        <v>-8.3007357206449361E-2</v>
      </c>
      <c r="K54" s="86">
        <f t="shared" si="33"/>
        <v>-0.10061479408264851</v>
      </c>
      <c r="L54" s="86">
        <f t="shared" si="33"/>
        <v>-0.12046037112083963</v>
      </c>
      <c r="M54" s="86">
        <f t="shared" si="33"/>
        <v>-0.14250960719566219</v>
      </c>
      <c r="N54" s="86">
        <f t="shared" si="33"/>
        <v>-0.16604553941808042</v>
      </c>
      <c r="O54" s="86">
        <f t="shared" si="33"/>
        <v>-0.19160280870568203</v>
      </c>
      <c r="P54" s="86">
        <f t="shared" si="33"/>
        <v>-0.21902032537683969</v>
      </c>
      <c r="Q54" s="86">
        <f t="shared" si="33"/>
        <v>-0.24808481311393571</v>
      </c>
      <c r="R54" s="86">
        <f t="shared" si="33"/>
        <v>-0.27853750340096628</v>
      </c>
      <c r="S54" s="86">
        <f t="shared" si="33"/>
        <v>-0.30978935456982271</v>
      </c>
      <c r="T54" s="86">
        <f t="shared" si="33"/>
        <v>-0.3420245187328419</v>
      </c>
      <c r="U54" s="86">
        <f t="shared" si="33"/>
        <v>-0.37493383276654413</v>
      </c>
      <c r="V54" s="86">
        <f t="shared" si="33"/>
        <v>-0.40819464111829795</v>
      </c>
      <c r="W54" s="87">
        <f t="shared" si="33"/>
        <v>-0.44148210202803462</v>
      </c>
      <c r="X54" s="86">
        <f t="shared" si="33"/>
        <v>0.49888398108697274</v>
      </c>
      <c r="Y54" s="86">
        <f t="shared" si="33"/>
        <v>0.46706634775306455</v>
      </c>
      <c r="Z54" s="86">
        <f t="shared" si="33"/>
        <v>0.43645834671086625</v>
      </c>
      <c r="AA54" s="86">
        <f t="shared" si="33"/>
        <v>0.40731748556712688</v>
      </c>
      <c r="AB54" s="86">
        <f t="shared" si="33"/>
        <v>0.37984226585239256</v>
      </c>
      <c r="AC54" s="86">
        <f t="shared" si="33"/>
        <v>0.35266207472730571</v>
      </c>
      <c r="AD54" s="86">
        <f t="shared" si="33"/>
        <v>0.32712348190633289</v>
      </c>
      <c r="AE54" s="86">
        <f t="shared" si="33"/>
        <v>0.30333299184397422</v>
      </c>
      <c r="AF54" s="86">
        <f t="shared" si="33"/>
        <v>0.28134943253129707</v>
      </c>
      <c r="AG54" s="86">
        <f t="shared" si="33"/>
        <v>0.26118868808699958</v>
      </c>
      <c r="AH54" s="86">
        <f t="shared" si="33"/>
        <v>0.2408851470271145</v>
      </c>
      <c r="AI54" s="86">
        <f t="shared" si="33"/>
        <v>0.22227742539153716</v>
      </c>
      <c r="AJ54" s="86">
        <f t="shared" si="33"/>
        <v>0.20534230857550684</v>
      </c>
      <c r="AK54" s="86">
        <f t="shared" si="33"/>
        <v>0.1900302996450498</v>
      </c>
      <c r="AL54" s="86">
        <f t="shared" si="33"/>
        <v>0.17627153772640236</v>
      </c>
      <c r="AM54" s="86">
        <f t="shared" si="33"/>
        <v>0.16201201610182014</v>
      </c>
      <c r="AN54" s="86">
        <f t="shared" si="33"/>
        <v>0.14918619105552811</v>
      </c>
      <c r="AO54" s="86">
        <f t="shared" si="33"/>
        <v>0.13771791974913627</v>
      </c>
      <c r="AP54" s="86">
        <f t="shared" si="33"/>
        <v>0.12752171124594258</v>
      </c>
      <c r="AQ54" s="88">
        <f t="shared" si="33"/>
        <v>0.11850689774859369</v>
      </c>
    </row>
    <row r="55" spans="1:43" ht="10.15" customHeight="1">
      <c r="A55" s="31">
        <f>A53+C12</f>
        <v>50.05</v>
      </c>
      <c r="B55" s="31" t="s">
        <v>71</v>
      </c>
      <c r="C55" s="32">
        <f t="shared" ref="C55:AQ55" si="34">EBlackScholesForward("p",C$20,$A$55,C$22,$C$6,$C$6,$C$7,C$21)</f>
        <v>6.3171199624182869E-2</v>
      </c>
      <c r="D55" s="32">
        <f t="shared" si="34"/>
        <v>8.9604783508119887E-2</v>
      </c>
      <c r="E55" s="32">
        <f t="shared" si="34"/>
        <v>0.12487720620106876</v>
      </c>
      <c r="F55" s="32">
        <f t="shared" si="34"/>
        <v>0.17111957234553007</v>
      </c>
      <c r="G55" s="32">
        <f t="shared" si="34"/>
        <v>0.23071903198653487</v>
      </c>
      <c r="H55" s="32">
        <f t="shared" si="34"/>
        <v>0.30628144125457674</v>
      </c>
      <c r="I55" s="32">
        <f t="shared" si="34"/>
        <v>0.39511168154092197</v>
      </c>
      <c r="J55" s="32">
        <f t="shared" si="34"/>
        <v>0.50366141010600629</v>
      </c>
      <c r="K55" s="32">
        <f t="shared" si="34"/>
        <v>0.6346536486454496</v>
      </c>
      <c r="L55" s="32">
        <f t="shared" si="34"/>
        <v>0.79080979464808054</v>
      </c>
      <c r="M55" s="32">
        <f t="shared" si="34"/>
        <v>0.97477055940512802</v>
      </c>
      <c r="N55" s="32">
        <f t="shared" si="34"/>
        <v>1.1786296147411357</v>
      </c>
      <c r="O55" s="32">
        <f t="shared" si="34"/>
        <v>1.4130481127418366</v>
      </c>
      <c r="P55" s="32">
        <f t="shared" si="34"/>
        <v>1.6800924447251231</v>
      </c>
      <c r="Q55" s="32">
        <f t="shared" si="34"/>
        <v>1.981540022702418</v>
      </c>
      <c r="R55" s="32">
        <f t="shared" si="34"/>
        <v>2.3188252034600332</v>
      </c>
      <c r="S55" s="32">
        <f t="shared" si="34"/>
        <v>2.6783743589861491</v>
      </c>
      <c r="T55" s="32">
        <f t="shared" si="34"/>
        <v>3.0742811751751691</v>
      </c>
      <c r="U55" s="32">
        <f t="shared" si="34"/>
        <v>3.5071086214546678</v>
      </c>
      <c r="V55" s="32">
        <f t="shared" si="34"/>
        <v>3.9770282784320798</v>
      </c>
      <c r="W55" s="76">
        <f t="shared" si="34"/>
        <v>4.4838224496297912</v>
      </c>
      <c r="X55" s="32">
        <f t="shared" si="34"/>
        <v>4.1188413683257146</v>
      </c>
      <c r="Y55" s="32">
        <f t="shared" si="34"/>
        <v>3.7438113651808482</v>
      </c>
      <c r="Z55" s="32">
        <f t="shared" si="34"/>
        <v>3.4057568913260639</v>
      </c>
      <c r="AA55" s="32">
        <f t="shared" si="34"/>
        <v>3.1027232323758809</v>
      </c>
      <c r="AB55" s="32">
        <f t="shared" si="34"/>
        <v>2.8325185154389572</v>
      </c>
      <c r="AC55" s="32">
        <f t="shared" si="34"/>
        <v>2.5619447709674361</v>
      </c>
      <c r="AD55" s="32">
        <f t="shared" si="34"/>
        <v>2.3210333011440309</v>
      </c>
      <c r="AE55" s="32">
        <f t="shared" si="34"/>
        <v>2.1075896370736689</v>
      </c>
      <c r="AF55" s="32">
        <f t="shared" si="34"/>
        <v>1.9193722528201693</v>
      </c>
      <c r="AG55" s="32">
        <f t="shared" si="34"/>
        <v>1.754153231225337</v>
      </c>
      <c r="AH55" s="32">
        <f t="shared" si="34"/>
        <v>1.5836857250350975</v>
      </c>
      <c r="AI55" s="32">
        <f t="shared" si="34"/>
        <v>1.4340931910265187</v>
      </c>
      <c r="AJ55" s="32">
        <f t="shared" si="34"/>
        <v>1.3033814896742895</v>
      </c>
      <c r="AK55" s="32">
        <f t="shared" si="34"/>
        <v>1.1896483115424545</v>
      </c>
      <c r="AL55" s="32">
        <f t="shared" si="34"/>
        <v>1.091110135180712</v>
      </c>
      <c r="AM55" s="32">
        <f t="shared" si="34"/>
        <v>0.9854605997260002</v>
      </c>
      <c r="AN55" s="32">
        <f t="shared" si="34"/>
        <v>0.89384286390470791</v>
      </c>
      <c r="AO55" s="32">
        <f t="shared" si="34"/>
        <v>0.81471073643604697</v>
      </c>
      <c r="AP55" s="32">
        <f t="shared" si="34"/>
        <v>0.74664866834278887</v>
      </c>
      <c r="AQ55" s="32">
        <f t="shared" si="34"/>
        <v>0.68837741354520898</v>
      </c>
    </row>
    <row r="56" spans="1:43" ht="10.15" customHeight="1" outlineLevel="1">
      <c r="A56" s="33"/>
      <c r="B56" s="31" t="s">
        <v>74</v>
      </c>
      <c r="C56" s="32">
        <f t="shared" ref="C56:AQ56" si="35">EBlackScholesForward($FA$3,C$20,$A$55,C$22,$C$6,$C$6,$C$7,C$21)</f>
        <v>-1.3446764353890889E-2</v>
      </c>
      <c r="D56" s="32">
        <f t="shared" si="35"/>
        <v>-1.840509709271701E-2</v>
      </c>
      <c r="E56" s="32">
        <f t="shared" si="35"/>
        <v>-2.4721772578300411E-2</v>
      </c>
      <c r="F56" s="32">
        <f t="shared" si="35"/>
        <v>-3.2611455596971706E-2</v>
      </c>
      <c r="G56" s="32">
        <f t="shared" si="35"/>
        <v>-4.2278548817510642E-2</v>
      </c>
      <c r="H56" s="32">
        <f t="shared" si="35"/>
        <v>-5.3904790697129057E-2</v>
      </c>
      <c r="I56" s="32">
        <f t="shared" si="35"/>
        <v>-6.7077884130312126E-2</v>
      </c>
      <c r="J56" s="32">
        <f t="shared" si="35"/>
        <v>-8.2379281971323159E-2</v>
      </c>
      <c r="K56" s="32">
        <f t="shared" si="35"/>
        <v>-9.9888742003939601E-2</v>
      </c>
      <c r="L56" s="32">
        <f t="shared" si="35"/>
        <v>-0.11963290900449675</v>
      </c>
      <c r="M56" s="32">
        <f t="shared" si="35"/>
        <v>-0.1415794897183853</v>
      </c>
      <c r="N56" s="32">
        <f t="shared" si="35"/>
        <v>-0.16501272170875714</v>
      </c>
      <c r="O56" s="32">
        <f t="shared" si="35"/>
        <v>-0.19046935632569539</v>
      </c>
      <c r="P56" s="32">
        <f t="shared" si="35"/>
        <v>-0.21779063366893503</v>
      </c>
      <c r="Q56" s="32">
        <f t="shared" si="35"/>
        <v>-0.24676553273416113</v>
      </c>
      <c r="R56" s="32">
        <f t="shared" si="35"/>
        <v>-0.27713734908338949</v>
      </c>
      <c r="S56" s="32">
        <f t="shared" si="35"/>
        <v>-0.308314132179488</v>
      </c>
      <c r="T56" s="32">
        <f t="shared" si="35"/>
        <v>-0.3404850719435748</v>
      </c>
      <c r="U56" s="32">
        <f t="shared" si="35"/>
        <v>-0.3733423153843507</v>
      </c>
      <c r="V56" s="32">
        <f t="shared" si="35"/>
        <v>-0.40656410978379132</v>
      </c>
      <c r="W56" s="76">
        <f t="shared" si="35"/>
        <v>-0.43982607708001886</v>
      </c>
      <c r="X56" s="32">
        <f t="shared" si="35"/>
        <v>0.50054589242649605</v>
      </c>
      <c r="Y56" s="32">
        <f t="shared" si="35"/>
        <v>0.4687201283746889</v>
      </c>
      <c r="Z56" s="32">
        <f t="shared" si="35"/>
        <v>0.43809128880432091</v>
      </c>
      <c r="AA56" s="32">
        <f t="shared" si="35"/>
        <v>0.40891854330644684</v>
      </c>
      <c r="AB56" s="32">
        <f t="shared" si="35"/>
        <v>0.38140227120651016</v>
      </c>
      <c r="AC56" s="32">
        <f t="shared" si="35"/>
        <v>0.35418225660814873</v>
      </c>
      <c r="AD56" s="32">
        <f t="shared" si="35"/>
        <v>0.32859646141869536</v>
      </c>
      <c r="AE56" s="32">
        <f t="shared" si="35"/>
        <v>0.30475312962805479</v>
      </c>
      <c r="AF56" s="32">
        <f t="shared" si="35"/>
        <v>0.2827127911348648</v>
      </c>
      <c r="AG56" s="32">
        <f t="shared" si="35"/>
        <v>0.26249291816931031</v>
      </c>
      <c r="AH56" s="32">
        <f t="shared" si="35"/>
        <v>0.2421324892923904</v>
      </c>
      <c r="AI56" s="32">
        <f t="shared" si="35"/>
        <v>0.22346624561772055</v>
      </c>
      <c r="AJ56" s="32">
        <f t="shared" si="35"/>
        <v>0.20647221520743164</v>
      </c>
      <c r="AK56" s="32">
        <f t="shared" si="35"/>
        <v>0.1911019734041175</v>
      </c>
      <c r="AL56" s="32">
        <f t="shared" si="35"/>
        <v>0.17728654521909082</v>
      </c>
      <c r="AM56" s="32">
        <f t="shared" si="35"/>
        <v>0.16297153702420908</v>
      </c>
      <c r="AN56" s="32">
        <f t="shared" si="35"/>
        <v>0.15009179115193505</v>
      </c>
      <c r="AO56" s="32">
        <f t="shared" si="35"/>
        <v>0.13857180615069464</v>
      </c>
      <c r="AP56" s="32">
        <f t="shared" si="35"/>
        <v>0.12832657556147709</v>
      </c>
      <c r="AQ56" s="32">
        <f t="shared" si="35"/>
        <v>0.11926577020119344</v>
      </c>
    </row>
    <row r="57" spans="1:43" ht="10.15" customHeight="1">
      <c r="A57" s="34">
        <f>A55+$C$12</f>
        <v>50.099999999999994</v>
      </c>
      <c r="B57" s="34" t="s">
        <v>71</v>
      </c>
      <c r="C57" s="35">
        <f t="shared" ref="C57:AQ57" si="36">EBlackScholesForward("p",C$20,$A$57,C$22,$C$6,$C$6,$C$7,C$21)</f>
        <v>6.2502334394765408E-2</v>
      </c>
      <c r="D57" s="35">
        <f t="shared" si="36"/>
        <v>8.868909263806167E-2</v>
      </c>
      <c r="E57" s="35">
        <f t="shared" si="36"/>
        <v>0.12364699377490902</v>
      </c>
      <c r="F57" s="35">
        <f t="shared" si="36"/>
        <v>0.16949641740202087</v>
      </c>
      <c r="G57" s="35">
        <f t="shared" si="36"/>
        <v>0.22861429184753163</v>
      </c>
      <c r="H57" s="35">
        <f t="shared" si="36"/>
        <v>0.30359737352649818</v>
      </c>
      <c r="I57" s="35">
        <f t="shared" si="36"/>
        <v>0.39177109509077063</v>
      </c>
      <c r="J57" s="35">
        <f t="shared" si="36"/>
        <v>0.49955806188752755</v>
      </c>
      <c r="K57" s="35">
        <f t="shared" si="36"/>
        <v>0.62967726983402894</v>
      </c>
      <c r="L57" s="35">
        <f t="shared" si="36"/>
        <v>0.78484873702940638</v>
      </c>
      <c r="M57" s="35">
        <f t="shared" si="36"/>
        <v>0.96771473503368666</v>
      </c>
      <c r="N57" s="35">
        <f t="shared" si="36"/>
        <v>1.1704046933761143</v>
      </c>
      <c r="O57" s="35">
        <f t="shared" si="36"/>
        <v>1.4035528745110772</v>
      </c>
      <c r="P57" s="35">
        <f t="shared" si="36"/>
        <v>1.6692335496299771</v>
      </c>
      <c r="Q57" s="35">
        <f t="shared" si="36"/>
        <v>1.9692346254415105</v>
      </c>
      <c r="R57" s="35">
        <f t="shared" si="36"/>
        <v>2.3050032422854412</v>
      </c>
      <c r="S57" s="35">
        <f t="shared" si="36"/>
        <v>2.6629954416239254</v>
      </c>
      <c r="T57" s="35">
        <f t="shared" si="36"/>
        <v>3.057295324450894</v>
      </c>
      <c r="U57" s="35">
        <f t="shared" si="36"/>
        <v>3.4884812198528081</v>
      </c>
      <c r="V57" s="35">
        <f t="shared" si="36"/>
        <v>3.9567407732034625</v>
      </c>
      <c r="W57" s="77">
        <f t="shared" si="36"/>
        <v>4.4618724949950259</v>
      </c>
      <c r="X57" s="35">
        <f t="shared" si="36"/>
        <v>4.1439101715139737</v>
      </c>
      <c r="Y57" s="35">
        <f t="shared" si="36"/>
        <v>3.7672886889564232</v>
      </c>
      <c r="Z57" s="35">
        <f t="shared" si="36"/>
        <v>3.427702263698023</v>
      </c>
      <c r="AA57" s="35">
        <f t="shared" si="36"/>
        <v>3.123209181064774</v>
      </c>
      <c r="AB57" s="35">
        <f t="shared" si="36"/>
        <v>2.8516276338425315</v>
      </c>
      <c r="AC57" s="35">
        <f t="shared" si="36"/>
        <v>2.5796919023819322</v>
      </c>
      <c r="AD57" s="35">
        <f t="shared" si="36"/>
        <v>2.3374999710018773</v>
      </c>
      <c r="AE57" s="35">
        <f t="shared" si="36"/>
        <v>2.122862826388114</v>
      </c>
      <c r="AF57" s="35">
        <f t="shared" si="36"/>
        <v>1.9335420116063464</v>
      </c>
      <c r="AG57" s="35">
        <f t="shared" si="36"/>
        <v>1.767310522829433</v>
      </c>
      <c r="AH57" s="35">
        <f t="shared" si="36"/>
        <v>1.5958235777799672</v>
      </c>
      <c r="AI57" s="35">
        <f t="shared" si="36"/>
        <v>1.4452962722482368</v>
      </c>
      <c r="AJ57" s="35">
        <f t="shared" si="36"/>
        <v>1.3137333992357187</v>
      </c>
      <c r="AK57" s="35">
        <f t="shared" si="36"/>
        <v>1.1992302549666536</v>
      </c>
      <c r="AL57" s="35">
        <f t="shared" si="36"/>
        <v>1.0999998914935571</v>
      </c>
      <c r="AM57" s="35">
        <f t="shared" si="36"/>
        <v>0.99363321976896102</v>
      </c>
      <c r="AN57" s="35">
        <f t="shared" si="36"/>
        <v>0.90137014921199698</v>
      </c>
      <c r="AO57" s="35">
        <f t="shared" si="36"/>
        <v>0.82166072960311864</v>
      </c>
      <c r="AP57" s="35">
        <f t="shared" si="36"/>
        <v>0.75308517385677887</v>
      </c>
      <c r="AQ57" s="35">
        <f t="shared" si="36"/>
        <v>0.69435972800000489</v>
      </c>
    </row>
    <row r="58" spans="1:43" ht="10.15" customHeight="1" outlineLevel="1">
      <c r="A58" s="36"/>
      <c r="B58" s="34" t="s">
        <v>74</v>
      </c>
      <c r="C58" s="35">
        <f t="shared" ref="C58:AQ58" si="37">EBlackScholesForward($FA$3,C$20,$A$57,C$22,$C$6,$C$6,$C$7,C$21)</f>
        <v>-1.3308092950246181E-2</v>
      </c>
      <c r="D58" s="35">
        <f t="shared" si="37"/>
        <v>-1.8222848228495458E-2</v>
      </c>
      <c r="E58" s="35">
        <f t="shared" si="37"/>
        <v>-2.4487104189937353E-2</v>
      </c>
      <c r="F58" s="35">
        <f t="shared" si="37"/>
        <v>-3.2315196135344892E-2</v>
      </c>
      <c r="G58" s="35">
        <f t="shared" si="37"/>
        <v>-4.1911587696810693E-2</v>
      </c>
      <c r="H58" s="35">
        <f t="shared" si="37"/>
        <v>-5.3458526138305817E-2</v>
      </c>
      <c r="I58" s="35">
        <f t="shared" si="37"/>
        <v>-6.6546256651645042E-2</v>
      </c>
      <c r="J58" s="35">
        <f t="shared" si="37"/>
        <v>-8.1755399536251327E-2</v>
      </c>
      <c r="K58" s="35">
        <f t="shared" si="37"/>
        <v>-9.9167224911794749E-2</v>
      </c>
      <c r="L58" s="35">
        <f t="shared" si="37"/>
        <v>-0.11881026052592003</v>
      </c>
      <c r="M58" s="35">
        <f t="shared" si="37"/>
        <v>-0.14065438621804205</v>
      </c>
      <c r="N58" s="35">
        <f t="shared" si="37"/>
        <v>-0.16398505977287536</v>
      </c>
      <c r="O58" s="35">
        <f t="shared" si="37"/>
        <v>-0.18934110898600753</v>
      </c>
      <c r="P58" s="35">
        <f t="shared" si="37"/>
        <v>-0.21656609772251478</v>
      </c>
      <c r="Q58" s="35">
        <f t="shared" si="37"/>
        <v>-0.24545125881646479</v>
      </c>
      <c r="R58" s="35">
        <f t="shared" si="37"/>
        <v>-0.27574195512991562</v>
      </c>
      <c r="S58" s="35">
        <f t="shared" si="37"/>
        <v>-0.30684336503314924</v>
      </c>
      <c r="T58" s="35">
        <f t="shared" si="37"/>
        <v>-0.33894968985579421</v>
      </c>
      <c r="U58" s="35">
        <f t="shared" si="37"/>
        <v>-0.37175439830239299</v>
      </c>
      <c r="V58" s="35">
        <f t="shared" si="37"/>
        <v>-0.404936655040955</v>
      </c>
      <c r="W58" s="77">
        <f t="shared" si="37"/>
        <v>-0.43817256231930557</v>
      </c>
      <c r="X58" s="35">
        <f t="shared" si="37"/>
        <v>0.502205887877194</v>
      </c>
      <c r="Y58" s="35">
        <f t="shared" si="37"/>
        <v>0.47037258114950298</v>
      </c>
      <c r="Z58" s="35">
        <f t="shared" si="37"/>
        <v>0.43972346582397126</v>
      </c>
      <c r="AA58" s="35">
        <f t="shared" si="37"/>
        <v>0.41051935797058459</v>
      </c>
      <c r="AB58" s="35">
        <f t="shared" si="37"/>
        <v>0.38296250328544446</v>
      </c>
      <c r="AC58" s="35">
        <f t="shared" si="37"/>
        <v>0.35570312029369333</v>
      </c>
      <c r="AD58" s="35">
        <f t="shared" si="37"/>
        <v>0.33007052588367447</v>
      </c>
      <c r="AE58" s="35">
        <f t="shared" si="37"/>
        <v>0.30617469834797184</v>
      </c>
      <c r="AF58" s="35">
        <f t="shared" si="37"/>
        <v>0.28407786749179431</v>
      </c>
      <c r="AG58" s="35">
        <f t="shared" si="37"/>
        <v>0.26379909446323513</v>
      </c>
      <c r="AH58" s="35">
        <f t="shared" si="37"/>
        <v>0.24338201113092151</v>
      </c>
      <c r="AI58" s="35">
        <f t="shared" si="37"/>
        <v>0.22465742666748501</v>
      </c>
      <c r="AJ58" s="35">
        <f t="shared" si="37"/>
        <v>0.20760461457531854</v>
      </c>
      <c r="AK58" s="35">
        <f t="shared" si="37"/>
        <v>0.19217622666916068</v>
      </c>
      <c r="AL58" s="35">
        <f t="shared" si="37"/>
        <v>0.1783041789671258</v>
      </c>
      <c r="AM58" s="35">
        <f t="shared" si="37"/>
        <v>0.1639337479956926</v>
      </c>
      <c r="AN58" s="35">
        <f t="shared" si="37"/>
        <v>0.15100010969004707</v>
      </c>
      <c r="AO58" s="35">
        <f t="shared" si="37"/>
        <v>0.13942840881833174</v>
      </c>
      <c r="AP58" s="35">
        <f t="shared" si="37"/>
        <v>0.12913412840652172</v>
      </c>
      <c r="AQ58" s="35">
        <f t="shared" si="37"/>
        <v>0.12002728278916464</v>
      </c>
    </row>
    <row r="59" spans="1:43" ht="10.15" customHeight="1">
      <c r="A59" s="31">
        <f>A57+$C$12</f>
        <v>50.149999999999991</v>
      </c>
      <c r="B59" s="31" t="s">
        <v>71</v>
      </c>
      <c r="C59" s="32">
        <f t="shared" ref="C59:AQ59" si="38">EBlackScholesForward("p",C$20,$A$59,C$22,$C$6,$C$6,$C$7,C$21)</f>
        <v>6.1840368375523924E-2</v>
      </c>
      <c r="D59" s="32">
        <f t="shared" si="38"/>
        <v>8.7782471203550871E-2</v>
      </c>
      <c r="E59" s="32">
        <f t="shared" si="38"/>
        <v>0.1224284621659628</v>
      </c>
      <c r="F59" s="32">
        <f t="shared" si="38"/>
        <v>0.16788801252900903</v>
      </c>
      <c r="G59" s="32">
        <f t="shared" si="38"/>
        <v>0.22652782618442027</v>
      </c>
      <c r="H59" s="32">
        <f t="shared" si="38"/>
        <v>0.30093553479259882</v>
      </c>
      <c r="I59" s="32">
        <f t="shared" si="38"/>
        <v>0.38845699535868178</v>
      </c>
      <c r="J59" s="32">
        <f t="shared" si="38"/>
        <v>0.49548580341148762</v>
      </c>
      <c r="K59" s="32">
        <f t="shared" si="38"/>
        <v>0.62473685392138212</v>
      </c>
      <c r="L59" s="32">
        <f t="shared" si="38"/>
        <v>0.77892869187463776</v>
      </c>
      <c r="M59" s="32">
        <f t="shared" si="38"/>
        <v>0.96070504081556984</v>
      </c>
      <c r="N59" s="32">
        <f t="shared" si="38"/>
        <v>1.1622310264780542</v>
      </c>
      <c r="O59" s="32">
        <f t="shared" si="38"/>
        <v>1.3941139187101681</v>
      </c>
      <c r="P59" s="32">
        <f t="shared" si="38"/>
        <v>1.6584357525417606</v>
      </c>
      <c r="Q59" s="32">
        <f t="shared" si="38"/>
        <v>1.956994816727097</v>
      </c>
      <c r="R59" s="32">
        <f t="shared" si="38"/>
        <v>2.2912509317176792</v>
      </c>
      <c r="S59" s="32">
        <f t="shared" si="38"/>
        <v>2.6476899510616732</v>
      </c>
      <c r="T59" s="32">
        <f t="shared" si="38"/>
        <v>3.0403861409453334</v>
      </c>
      <c r="U59" s="32">
        <f t="shared" si="38"/>
        <v>3.4699331237437843</v>
      </c>
      <c r="V59" s="32">
        <f t="shared" si="38"/>
        <v>3.9365345633671698</v>
      </c>
      <c r="W59" s="76">
        <f t="shared" si="38"/>
        <v>4.4400051528493654</v>
      </c>
      <c r="X59" s="32">
        <f t="shared" si="38"/>
        <v>4.1690619260394479</v>
      </c>
      <c r="Y59" s="32">
        <f t="shared" si="38"/>
        <v>3.790848601609075</v>
      </c>
      <c r="Z59" s="32">
        <f t="shared" si="38"/>
        <v>3.4497292252169571</v>
      </c>
      <c r="AA59" s="32">
        <f t="shared" si="38"/>
        <v>3.1437751638353117</v>
      </c>
      <c r="AB59" s="32">
        <f t="shared" si="38"/>
        <v>2.8708147689578682</v>
      </c>
      <c r="AC59" s="32">
        <f t="shared" si="38"/>
        <v>2.5975150934787234</v>
      </c>
      <c r="AD59" s="32">
        <f t="shared" si="38"/>
        <v>2.3540403706824358</v>
      </c>
      <c r="AE59" s="32">
        <f t="shared" si="38"/>
        <v>2.1382071294176122</v>
      </c>
      <c r="AF59" s="32">
        <f t="shared" si="38"/>
        <v>1.9477800666949088</v>
      </c>
      <c r="AG59" s="32">
        <f t="shared" si="38"/>
        <v>1.7805331714821733</v>
      </c>
      <c r="AH59" s="32">
        <f t="shared" si="38"/>
        <v>1.6080239607198614</v>
      </c>
      <c r="AI59" s="32">
        <f t="shared" si="38"/>
        <v>1.4565589711938631</v>
      </c>
      <c r="AJ59" s="32">
        <f t="shared" si="38"/>
        <v>1.3241419907722713</v>
      </c>
      <c r="AK59" s="32">
        <f t="shared" si="38"/>
        <v>1.2088659752667097</v>
      </c>
      <c r="AL59" s="32">
        <f t="shared" si="38"/>
        <v>1.1089405949098441</v>
      </c>
      <c r="AM59" s="32">
        <f t="shared" si="38"/>
        <v>1.0018540174046631</v>
      </c>
      <c r="AN59" s="32">
        <f t="shared" si="38"/>
        <v>0.90894291823165652</v>
      </c>
      <c r="AO59" s="32">
        <f t="shared" si="38"/>
        <v>0.82865362066366965</v>
      </c>
      <c r="AP59" s="32">
        <f t="shared" si="38"/>
        <v>0.75956212410585278</v>
      </c>
      <c r="AQ59" s="32">
        <f t="shared" si="38"/>
        <v>0.7003801839901701</v>
      </c>
    </row>
    <row r="60" spans="1:43" ht="10.15" customHeight="1" outlineLevel="1">
      <c r="A60" s="33"/>
      <c r="B60" s="31" t="s">
        <v>74</v>
      </c>
      <c r="C60" s="32">
        <f t="shared" ref="C60:AQ60" si="39">EBlackScholesForward($FA$3,C$20,$A$59,C$22,$C$6,$C$6,$C$7,C$21)</f>
        <v>-1.3170793652742332E-2</v>
      </c>
      <c r="D60" s="32">
        <f t="shared" si="39"/>
        <v>-1.8042316975844241E-2</v>
      </c>
      <c r="E60" s="32">
        <f t="shared" si="39"/>
        <v>-2.4254536812950284E-2</v>
      </c>
      <c r="F60" s="32">
        <f t="shared" si="39"/>
        <v>-3.2021449364470767E-2</v>
      </c>
      <c r="G60" s="32">
        <f t="shared" si="39"/>
        <v>-4.1547566106892031E-2</v>
      </c>
      <c r="H60" s="32">
        <f t="shared" si="39"/>
        <v>-5.3015627091806961E-2</v>
      </c>
      <c r="I60" s="32">
        <f t="shared" si="39"/>
        <v>-6.601841149215526E-2</v>
      </c>
      <c r="J60" s="32">
        <f t="shared" si="39"/>
        <v>-8.1135688407960038E-2</v>
      </c>
      <c r="K60" s="32">
        <f t="shared" si="39"/>
        <v>-9.845022237553458E-2</v>
      </c>
      <c r="L60" s="32">
        <f t="shared" si="39"/>
        <v>-0.11799240709978731</v>
      </c>
      <c r="M60" s="32">
        <f t="shared" si="39"/>
        <v>-0.13973428069966043</v>
      </c>
      <c r="N60" s="32">
        <f t="shared" si="39"/>
        <v>-0.16296254069548821</v>
      </c>
      <c r="O60" s="32">
        <f t="shared" si="39"/>
        <v>-0.18821805745752318</v>
      </c>
      <c r="P60" s="32">
        <f t="shared" si="39"/>
        <v>-0.21534671246296044</v>
      </c>
      <c r="Q60" s="32">
        <f t="shared" si="39"/>
        <v>-0.24414199074573872</v>
      </c>
      <c r="R60" s="32">
        <f t="shared" si="39"/>
        <v>-0.27435132550361896</v>
      </c>
      <c r="S60" s="32">
        <f t="shared" si="39"/>
        <v>-0.3053770617028384</v>
      </c>
      <c r="T60" s="32">
        <f t="shared" si="39"/>
        <v>-0.33741838552363568</v>
      </c>
      <c r="U60" s="32">
        <f t="shared" si="39"/>
        <v>-0.37017009875133233</v>
      </c>
      <c r="V60" s="32">
        <f t="shared" si="39"/>
        <v>-0.40331229784031919</v>
      </c>
      <c r="W60" s="76">
        <f t="shared" si="39"/>
        <v>-0.4365215818324053</v>
      </c>
      <c r="X60" s="32">
        <f t="shared" si="39"/>
        <v>0.50386394120995881</v>
      </c>
      <c r="Y60" s="32">
        <f t="shared" si="39"/>
        <v>0.47202367850927018</v>
      </c>
      <c r="Z60" s="32">
        <f t="shared" si="39"/>
        <v>0.44135484962877225</v>
      </c>
      <c r="AA60" s="32">
        <f t="shared" si="39"/>
        <v>0.41211990153597888</v>
      </c>
      <c r="AB60" s="32">
        <f t="shared" si="39"/>
        <v>0.384522934765541</v>
      </c>
      <c r="AC60" s="32">
        <f t="shared" si="39"/>
        <v>0.35722463910157209</v>
      </c>
      <c r="AD60" s="32">
        <f t="shared" si="39"/>
        <v>0.33154564972635026</v>
      </c>
      <c r="AE60" s="32">
        <f t="shared" si="39"/>
        <v>0.30759767389008097</v>
      </c>
      <c r="AF60" s="32">
        <f t="shared" si="39"/>
        <v>0.28544463919585317</v>
      </c>
      <c r="AG60" s="32">
        <f t="shared" si="39"/>
        <v>0.2651071964123064</v>
      </c>
      <c r="AH60" s="32">
        <f t="shared" si="39"/>
        <v>0.2446336936967608</v>
      </c>
      <c r="AI60" s="32">
        <f t="shared" si="39"/>
        <v>0.22585095150211565</v>
      </c>
      <c r="AJ60" s="32">
        <f t="shared" si="39"/>
        <v>0.20873949146896775</v>
      </c>
      <c r="AK60" s="32">
        <f t="shared" si="39"/>
        <v>0.19325304601540694</v>
      </c>
      <c r="AL60" s="32">
        <f t="shared" si="39"/>
        <v>0.17932442723811448</v>
      </c>
      <c r="AM60" s="32">
        <f t="shared" si="39"/>
        <v>0.16489863890736256</v>
      </c>
      <c r="AN60" s="32">
        <f t="shared" si="39"/>
        <v>0.15191113809679413</v>
      </c>
      <c r="AO60" s="32">
        <f t="shared" si="39"/>
        <v>0.14028772059484496</v>
      </c>
      <c r="AP60" s="32">
        <f t="shared" si="39"/>
        <v>0.12994436389922592</v>
      </c>
      <c r="AQ60" s="32">
        <f t="shared" si="39"/>
        <v>0.12079143075259258</v>
      </c>
    </row>
    <row r="61" spans="1:43" ht="10.15" customHeight="1">
      <c r="A61" s="34">
        <f>A59+$C$12</f>
        <v>50.199999999999989</v>
      </c>
      <c r="B61" s="34" t="s">
        <v>71</v>
      </c>
      <c r="C61" s="35">
        <f t="shared" ref="C61:AQ61" si="40">EBlackScholesForward("p",C$20,$A$61,C$22,$C$6,$C$6,$C$7,C$21)</f>
        <v>6.1185233278942618E-2</v>
      </c>
      <c r="D61" s="35">
        <f t="shared" si="40"/>
        <v>8.6884833697424002E-2</v>
      </c>
      <c r="E61" s="35">
        <f t="shared" si="40"/>
        <v>0.12122150675007949</v>
      </c>
      <c r="F61" s="35">
        <f t="shared" si="40"/>
        <v>0.16629423256505568</v>
      </c>
      <c r="G61" s="35">
        <f t="shared" si="40"/>
        <v>0.22445948853027622</v>
      </c>
      <c r="H61" s="35">
        <f t="shared" si="40"/>
        <v>0.29829575730968333</v>
      </c>
      <c r="I61" s="35">
        <f t="shared" si="40"/>
        <v>0.38516919377207548</v>
      </c>
      <c r="J61" s="35">
        <f t="shared" si="40"/>
        <v>0.49144442664918364</v>
      </c>
      <c r="K61" s="35">
        <f t="shared" si="40"/>
        <v>0.61983217569046023</v>
      </c>
      <c r="L61" s="35">
        <f t="shared" si="40"/>
        <v>0.77304941989648635</v>
      </c>
      <c r="M61" s="35">
        <f t="shared" si="40"/>
        <v>0.95374122725300681</v>
      </c>
      <c r="N61" s="35">
        <f t="shared" si="40"/>
        <v>1.1541083572291087</v>
      </c>
      <c r="O61" s="35">
        <f t="shared" si="40"/>
        <v>1.3847309857822023</v>
      </c>
      <c r="P61" s="35">
        <f t="shared" si="40"/>
        <v>1.6476987960565106</v>
      </c>
      <c r="Q61" s="35">
        <f t="shared" si="40"/>
        <v>1.944820346286251</v>
      </c>
      <c r="R61" s="35">
        <f t="shared" si="40"/>
        <v>2.2775680334457724</v>
      </c>
      <c r="S61" s="35">
        <f t="shared" si="40"/>
        <v>2.6324576638989567</v>
      </c>
      <c r="T61" s="35">
        <f t="shared" si="40"/>
        <v>3.0235534204492729</v>
      </c>
      <c r="U61" s="35">
        <f t="shared" si="40"/>
        <v>3.4514641518251263</v>
      </c>
      <c r="V61" s="35">
        <f t="shared" si="40"/>
        <v>3.9164094935269707</v>
      </c>
      <c r="W61" s="77">
        <f t="shared" si="40"/>
        <v>4.4182202958811549</v>
      </c>
      <c r="X61" s="35">
        <f t="shared" si="40"/>
        <v>4.1942965341442768</v>
      </c>
      <c r="Y61" s="35">
        <f t="shared" si="40"/>
        <v>3.8144910346819652</v>
      </c>
      <c r="Z61" s="35">
        <f t="shared" si="40"/>
        <v>3.4718377355211687</v>
      </c>
      <c r="AA61" s="35">
        <f t="shared" si="40"/>
        <v>3.1644211664338977</v>
      </c>
      <c r="AB61" s="35">
        <f t="shared" si="40"/>
        <v>2.8900799300733597</v>
      </c>
      <c r="AC61" s="35">
        <f t="shared" si="40"/>
        <v>2.6154143763478856</v>
      </c>
      <c r="AD61" s="35">
        <f t="shared" si="40"/>
        <v>2.3706545525156733</v>
      </c>
      <c r="AE61" s="35">
        <f t="shared" si="40"/>
        <v>2.1536226159004341</v>
      </c>
      <c r="AF61" s="35">
        <f t="shared" si="40"/>
        <v>1.9620865022926983</v>
      </c>
      <c r="AG61" s="35">
        <f t="shared" si="40"/>
        <v>1.7938212729517533</v>
      </c>
      <c r="AH61" s="35">
        <f t="shared" si="40"/>
        <v>1.6202869814190475</v>
      </c>
      <c r="AI61" s="35">
        <f t="shared" si="40"/>
        <v>1.467881404625524</v>
      </c>
      <c r="AJ61" s="35">
        <f t="shared" si="40"/>
        <v>1.3346073877786697</v>
      </c>
      <c r="AK61" s="35">
        <f t="shared" si="40"/>
        <v>1.2185556004096312</v>
      </c>
      <c r="AL61" s="35">
        <f t="shared" si="40"/>
        <v>1.1179323758609081</v>
      </c>
      <c r="AM61" s="35">
        <f t="shared" si="40"/>
        <v>1.0101231263758368</v>
      </c>
      <c r="AN61" s="35">
        <f t="shared" si="40"/>
        <v>0.9165613062412169</v>
      </c>
      <c r="AO61" s="35">
        <f t="shared" si="40"/>
        <v>0.83568954489264502</v>
      </c>
      <c r="AP61" s="35">
        <f t="shared" si="40"/>
        <v>0.76607965307376868</v>
      </c>
      <c r="AQ61" s="35">
        <f t="shared" si="40"/>
        <v>0.70643891316398699</v>
      </c>
    </row>
    <row r="62" spans="1:43" ht="10.15" customHeight="1" outlineLevel="1">
      <c r="A62" s="36"/>
      <c r="B62" s="34" t="s">
        <v>74</v>
      </c>
      <c r="C62" s="35">
        <f t="shared" ref="C62:AQ62" si="41">EBlackScholesForward($FA$3,C$20,$A$61,C$22,$C$6,$C$6,$C$7,C$21)</f>
        <v>-1.3034853768483651E-2</v>
      </c>
      <c r="D62" s="35">
        <f t="shared" si="41"/>
        <v>-1.7863488418230072E-2</v>
      </c>
      <c r="E62" s="35">
        <f t="shared" si="41"/>
        <v>-2.4024053411027951E-2</v>
      </c>
      <c r="F62" s="35">
        <f t="shared" si="41"/>
        <v>-3.1730196380196085E-2</v>
      </c>
      <c r="G62" s="35">
        <f t="shared" si="41"/>
        <v>-4.1186463681172625E-2</v>
      </c>
      <c r="H62" s="35">
        <f t="shared" si="41"/>
        <v>-5.2576072275756225E-2</v>
      </c>
      <c r="I62" s="35">
        <f t="shared" si="41"/>
        <v>-6.5494326927748037E-2</v>
      </c>
      <c r="J62" s="35">
        <f t="shared" si="41"/>
        <v>-8.0520127127170493E-2</v>
      </c>
      <c r="K62" s="35">
        <f t="shared" si="41"/>
        <v>-9.7737713965295736E-2</v>
      </c>
      <c r="L62" s="35">
        <f t="shared" si="41"/>
        <v>-0.11717933010667592</v>
      </c>
      <c r="M62" s="35">
        <f t="shared" si="41"/>
        <v>-0.13881915709759718</v>
      </c>
      <c r="N62" s="35">
        <f t="shared" si="41"/>
        <v>-0.16194515145462329</v>
      </c>
      <c r="O62" s="35">
        <f t="shared" si="41"/>
        <v>-0.18710019236888309</v>
      </c>
      <c r="P62" s="35">
        <f t="shared" si="41"/>
        <v>-0.2141324726443683</v>
      </c>
      <c r="Q62" s="35">
        <f t="shared" si="41"/>
        <v>-0.24283772770997691</v>
      </c>
      <c r="R62" s="35">
        <f t="shared" si="41"/>
        <v>-0.27296546395063626</v>
      </c>
      <c r="S62" s="35">
        <f t="shared" si="41"/>
        <v>-0.30391523053192593</v>
      </c>
      <c r="T62" s="35">
        <f t="shared" si="41"/>
        <v>-0.33589117176169303</v>
      </c>
      <c r="U62" s="35">
        <f t="shared" si="41"/>
        <v>-0.36858943372617414</v>
      </c>
      <c r="V62" s="35">
        <f t="shared" si="41"/>
        <v>-0.40169105890781598</v>
      </c>
      <c r="W62" s="77">
        <f t="shared" si="41"/>
        <v>-0.43487315950114791</v>
      </c>
      <c r="X62" s="35">
        <f t="shared" si="41"/>
        <v>0.50552002637989091</v>
      </c>
      <c r="Y62" s="35">
        <f t="shared" si="41"/>
        <v>0.47367339303918676</v>
      </c>
      <c r="Z62" s="35">
        <f t="shared" si="41"/>
        <v>0.44298541220366694</v>
      </c>
      <c r="AA62" s="35">
        <f t="shared" si="41"/>
        <v>0.41372014607516938</v>
      </c>
      <c r="AB62" s="35">
        <f t="shared" si="41"/>
        <v>0.38608353839266751</v>
      </c>
      <c r="AC62" s="35">
        <f t="shared" si="41"/>
        <v>0.35874678639804536</v>
      </c>
      <c r="AD62" s="35">
        <f t="shared" si="41"/>
        <v>0.3330218073934299</v>
      </c>
      <c r="AE62" s="35">
        <f t="shared" si="41"/>
        <v>0.30902203214071555</v>
      </c>
      <c r="AF62" s="35">
        <f t="shared" si="41"/>
        <v>0.28681308382275672</v>
      </c>
      <c r="AG62" s="35">
        <f t="shared" si="41"/>
        <v>0.26641720342834851</v>
      </c>
      <c r="AH62" s="35">
        <f t="shared" si="41"/>
        <v>0.24588751809825338</v>
      </c>
      <c r="AI62" s="35">
        <f t="shared" si="41"/>
        <v>0.22704680302668701</v>
      </c>
      <c r="AJ62" s="35">
        <f t="shared" si="41"/>
        <v>0.20987683061398643</v>
      </c>
      <c r="AK62" s="35">
        <f t="shared" si="41"/>
        <v>0.19433241794879486</v>
      </c>
      <c r="AL62" s="35">
        <f t="shared" si="41"/>
        <v>0.18034727822697771</v>
      </c>
      <c r="AM62" s="35">
        <f t="shared" si="41"/>
        <v>0.16586619957457138</v>
      </c>
      <c r="AN62" s="35">
        <f t="shared" si="41"/>
        <v>0.15282486772194015</v>
      </c>
      <c r="AO62" s="35">
        <f t="shared" si="41"/>
        <v>0.14114973424591004</v>
      </c>
      <c r="AP62" s="35">
        <f t="shared" si="41"/>
        <v>0.13075727608076737</v>
      </c>
      <c r="AQ62" s="35">
        <f t="shared" si="41"/>
        <v>0.12155820925866534</v>
      </c>
    </row>
    <row r="63" spans="1:43" ht="10.15" customHeight="1">
      <c r="A63" s="31">
        <f>A61+$C$12</f>
        <v>50.249999999999986</v>
      </c>
      <c r="B63" s="31" t="s">
        <v>71</v>
      </c>
      <c r="C63" s="32">
        <f t="shared" ref="C63:AQ63" si="42">EBlackScholesForward("p",C$20,$A$63,C$22,$C$6,$C$6,$C$7,C$21)</f>
        <v>6.0536861449546536E-2</v>
      </c>
      <c r="D63" s="32">
        <f t="shared" si="42"/>
        <v>8.5996095355558508E-2</v>
      </c>
      <c r="E63" s="32">
        <f t="shared" si="42"/>
        <v>0.12002602375209366</v>
      </c>
      <c r="F63" s="32">
        <f t="shared" si="42"/>
        <v>0.16471495329117702</v>
      </c>
      <c r="G63" s="32">
        <f t="shared" si="42"/>
        <v>0.22240913343400376</v>
      </c>
      <c r="H63" s="32">
        <f t="shared" si="42"/>
        <v>0.29567787439657345</v>
      </c>
      <c r="I63" s="32">
        <f t="shared" si="42"/>
        <v>0.38190750284300601</v>
      </c>
      <c r="J63" s="32">
        <f t="shared" si="42"/>
        <v>0.48743372464404328</v>
      </c>
      <c r="K63" s="32">
        <f t="shared" si="42"/>
        <v>0.61496301094566475</v>
      </c>
      <c r="L63" s="32">
        <f t="shared" si="42"/>
        <v>0.76721068273946846</v>
      </c>
      <c r="M63" s="32">
        <f t="shared" si="42"/>
        <v>0.94682304565324782</v>
      </c>
      <c r="N63" s="32">
        <f t="shared" si="42"/>
        <v>1.1460364294651801</v>
      </c>
      <c r="O63" s="32">
        <f t="shared" si="42"/>
        <v>1.375403816642341</v>
      </c>
      <c r="P63" s="32">
        <f t="shared" si="42"/>
        <v>1.6370224230368369</v>
      </c>
      <c r="Q63" s="32">
        <f t="shared" si="42"/>
        <v>1.9327109638915663</v>
      </c>
      <c r="R63" s="32">
        <f t="shared" si="42"/>
        <v>2.263954308976774</v>
      </c>
      <c r="S63" s="32">
        <f t="shared" si="42"/>
        <v>2.6172983563239587</v>
      </c>
      <c r="T63" s="32">
        <f t="shared" si="42"/>
        <v>3.0067969581185454</v>
      </c>
      <c r="U63" s="32">
        <f t="shared" si="42"/>
        <v>3.4330741219504186</v>
      </c>
      <c r="V63" s="32">
        <f t="shared" si="42"/>
        <v>3.8963654072559835</v>
      </c>
      <c r="W63" s="76">
        <f t="shared" si="42"/>
        <v>4.396517795589884</v>
      </c>
      <c r="X63" s="32">
        <f t="shared" si="42"/>
        <v>4.2196138967729153</v>
      </c>
      <c r="Y63" s="32">
        <f t="shared" si="42"/>
        <v>3.8382159183515365</v>
      </c>
      <c r="Z63" s="32">
        <f t="shared" si="42"/>
        <v>3.4940277528513817</v>
      </c>
      <c r="AA63" s="32">
        <f t="shared" si="42"/>
        <v>3.1851471732131196</v>
      </c>
      <c r="AB63" s="32">
        <f t="shared" si="42"/>
        <v>2.9094231251165792</v>
      </c>
      <c r="AC63" s="32">
        <f t="shared" si="42"/>
        <v>2.633389781748888</v>
      </c>
      <c r="AD63" s="32">
        <f t="shared" si="42"/>
        <v>2.3873425675544637</v>
      </c>
      <c r="AE63" s="32">
        <f t="shared" si="42"/>
        <v>2.169109354369263</v>
      </c>
      <c r="AF63" s="32">
        <f t="shared" si="42"/>
        <v>1.9764614014849606</v>
      </c>
      <c r="AG63" s="32">
        <f t="shared" si="42"/>
        <v>1.8071749219762101</v>
      </c>
      <c r="AH63" s="32">
        <f t="shared" si="42"/>
        <v>1.6326127464961167</v>
      </c>
      <c r="AI63" s="32">
        <f t="shared" si="42"/>
        <v>1.4792636884492241</v>
      </c>
      <c r="AJ63" s="32">
        <f t="shared" si="42"/>
        <v>1.3451297129843485</v>
      </c>
      <c r="AK63" s="32">
        <f t="shared" si="42"/>
        <v>1.2282992576859961</v>
      </c>
      <c r="AL63" s="32">
        <f t="shared" si="42"/>
        <v>1.1269753641860434</v>
      </c>
      <c r="AM63" s="32">
        <f t="shared" si="42"/>
        <v>1.0184406799140733</v>
      </c>
      <c r="AN63" s="32">
        <f t="shared" si="42"/>
        <v>0.92422544808374529</v>
      </c>
      <c r="AO63" s="32">
        <f t="shared" si="42"/>
        <v>0.84276863720131878</v>
      </c>
      <c r="AP63" s="32">
        <f t="shared" si="42"/>
        <v>0.77263789444447073</v>
      </c>
      <c r="AQ63" s="32">
        <f t="shared" si="42"/>
        <v>0.71253604692625749</v>
      </c>
    </row>
    <row r="64" spans="1:43" ht="10.15" customHeight="1" outlineLevel="1">
      <c r="A64" s="33"/>
      <c r="B64" s="31" t="s">
        <v>74</v>
      </c>
      <c r="C64" s="32">
        <f t="shared" ref="C64:AQ64" si="43">EBlackScholesForward($FA$3,C$20,$A$63,C$22,$C$6,$C$6,$C$7,C$21)</f>
        <v>-1.2900260708698791E-2</v>
      </c>
      <c r="D64" s="32">
        <f t="shared" si="43"/>
        <v>-1.7686347750435483E-2</v>
      </c>
      <c r="E64" s="32">
        <f t="shared" si="43"/>
        <v>-2.3795637061136549E-2</v>
      </c>
      <c r="F64" s="32">
        <f t="shared" si="43"/>
        <v>-3.1441418388400422E-2</v>
      </c>
      <c r="G64" s="32">
        <f t="shared" si="43"/>
        <v>-4.0828260152986351E-2</v>
      </c>
      <c r="H64" s="32">
        <f t="shared" si="43"/>
        <v>-5.2139840491211009E-2</v>
      </c>
      <c r="I64" s="32">
        <f t="shared" si="43"/>
        <v>-6.4973981297028471E-2</v>
      </c>
      <c r="J64" s="32">
        <f t="shared" si="43"/>
        <v>-7.9908694268079894E-2</v>
      </c>
      <c r="K64" s="32">
        <f t="shared" si="43"/>
        <v>-9.7029679253834988E-2</v>
      </c>
      <c r="L64" s="32">
        <f t="shared" si="43"/>
        <v>-0.11637101089396196</v>
      </c>
      <c r="M64" s="32">
        <f t="shared" si="43"/>
        <v>-0.13790899927715872</v>
      </c>
      <c r="N64" s="32">
        <f t="shared" si="43"/>
        <v>-0.16093287892232633</v>
      </c>
      <c r="O64" s="32">
        <f t="shared" si="43"/>
        <v>-0.18598750420888432</v>
      </c>
      <c r="P64" s="32">
        <f t="shared" si="43"/>
        <v>-0.21292337284936069</v>
      </c>
      <c r="Q64" s="32">
        <f t="shared" si="43"/>
        <v>-0.24153846870020867</v>
      </c>
      <c r="R64" s="32">
        <f t="shared" si="43"/>
        <v>-0.27158437400398583</v>
      </c>
      <c r="S64" s="32">
        <f t="shared" si="43"/>
        <v>-0.30245787963412152</v>
      </c>
      <c r="T64" s="32">
        <f t="shared" si="43"/>
        <v>-0.33436806115314521</v>
      </c>
      <c r="U64" s="32">
        <f t="shared" si="43"/>
        <v>-0.36701241998913225</v>
      </c>
      <c r="V64" s="32">
        <f t="shared" si="43"/>
        <v>-0.40007295874224802</v>
      </c>
      <c r="W64" s="76">
        <f t="shared" si="43"/>
        <v>-0.43322731899677613</v>
      </c>
      <c r="X64" s="32">
        <f t="shared" si="43"/>
        <v>0.50717411752443375</v>
      </c>
      <c r="Y64" s="32">
        <f t="shared" si="43"/>
        <v>0.47532169748427666</v>
      </c>
      <c r="Z64" s="32">
        <f t="shared" si="43"/>
        <v>0.44461512566129624</v>
      </c>
      <c r="AA64" s="32">
        <f t="shared" si="43"/>
        <v>0.4153200637615706</v>
      </c>
      <c r="AB64" s="32">
        <f t="shared" si="43"/>
        <v>0.38764428698814246</v>
      </c>
      <c r="AC64" s="32">
        <f t="shared" si="43"/>
        <v>0.36026953559327168</v>
      </c>
      <c r="AD64" s="32">
        <f t="shared" si="43"/>
        <v>0.33449897335497969</v>
      </c>
      <c r="AE64" s="32">
        <f t="shared" si="43"/>
        <v>0.31044774899045002</v>
      </c>
      <c r="AF64" s="32">
        <f t="shared" si="43"/>
        <v>0.28818317893439804</v>
      </c>
      <c r="AG64" s="32">
        <f t="shared" si="43"/>
        <v>0.2677290948935096</v>
      </c>
      <c r="AH64" s="32">
        <f t="shared" si="43"/>
        <v>0.2471434653998239</v>
      </c>
      <c r="AI64" s="32">
        <f t="shared" si="43"/>
        <v>0.22824496409163952</v>
      </c>
      <c r="AJ64" s="32">
        <f t="shared" si="43"/>
        <v>0.21101661667315419</v>
      </c>
      <c r="AK64" s="32">
        <f t="shared" si="43"/>
        <v>0.19541432890569643</v>
      </c>
      <c r="AL64" s="32">
        <f t="shared" si="43"/>
        <v>0.18137272005672722</v>
      </c>
      <c r="AM64" s="32">
        <f t="shared" si="43"/>
        <v>0.16683641973652685</v>
      </c>
      <c r="AN64" s="32">
        <f t="shared" si="43"/>
        <v>0.15374128983757229</v>
      </c>
      <c r="AO64" s="32">
        <f t="shared" si="43"/>
        <v>0.14201444245974804</v>
      </c>
      <c r="AP64" s="32">
        <f t="shared" si="43"/>
        <v>0.13157285891759463</v>
      </c>
      <c r="AQ64" s="32">
        <f t="shared" si="43"/>
        <v>0.12232761340075227</v>
      </c>
    </row>
    <row r="65" spans="1:43" ht="10.15" customHeight="1">
      <c r="A65" s="34">
        <f>A63+$C$12</f>
        <v>50.299999999999983</v>
      </c>
      <c r="B65" s="34" t="s">
        <v>71</v>
      </c>
      <c r="C65" s="35">
        <f t="shared" ref="C65:AQ65" si="44">EBlackScholesForward("p",C$20,$A$65,C$22,$C$6,$C$6,$C$7,C$21)</f>
        <v>5.9895185858708448E-2</v>
      </c>
      <c r="D65" s="35">
        <f t="shared" si="44"/>
        <v>8.5116172151327538E-2</v>
      </c>
      <c r="E65" s="35">
        <f t="shared" si="44"/>
        <v>0.11884191024015914</v>
      </c>
      <c r="F65" s="35">
        <f t="shared" si="44"/>
        <v>0.16315005142535435</v>
      </c>
      <c r="G65" s="35">
        <f t="shared" si="44"/>
        <v>0.22037661645534626</v>
      </c>
      <c r="H65" s="35">
        <f t="shared" si="44"/>
        <v>0.29308172042994918</v>
      </c>
      <c r="I65" s="35">
        <f t="shared" si="44"/>
        <v>0.37867173616506694</v>
      </c>
      <c r="J65" s="35">
        <f t="shared" si="44"/>
        <v>0.48345349150990069</v>
      </c>
      <c r="K65" s="35">
        <f t="shared" si="44"/>
        <v>0.6101291365127004</v>
      </c>
      <c r="L65" s="35">
        <f t="shared" si="44"/>
        <v>0.76141224298152022</v>
      </c>
      <c r="M65" s="35">
        <f t="shared" si="44"/>
        <v>0.93995024813199202</v>
      </c>
      <c r="N65" s="35">
        <f t="shared" si="44"/>
        <v>1.1380149876811685</v>
      </c>
      <c r="O65" s="35">
        <f t="shared" si="44"/>
        <v>1.3661321526847559</v>
      </c>
      <c r="P65" s="35">
        <f t="shared" si="44"/>
        <v>1.6264063766204402</v>
      </c>
      <c r="Q65" s="35">
        <f t="shared" si="44"/>
        <v>1.9206664193709362</v>
      </c>
      <c r="R65" s="35">
        <f t="shared" si="44"/>
        <v>2.2504095196464688</v>
      </c>
      <c r="S65" s="35">
        <f t="shared" si="44"/>
        <v>2.6022118041248476</v>
      </c>
      <c r="T65" s="35">
        <f t="shared" si="44"/>
        <v>2.9901165484857746</v>
      </c>
      <c r="U65" s="35">
        <f t="shared" si="44"/>
        <v>3.4147628511410155</v>
      </c>
      <c r="V65" s="35">
        <f t="shared" si="44"/>
        <v>3.876402147107922</v>
      </c>
      <c r="W65" s="77">
        <f t="shared" si="44"/>
        <v>4.3748975222966884</v>
      </c>
      <c r="X65" s="35">
        <f t="shared" si="44"/>
        <v>4.2450139135814293</v>
      </c>
      <c r="Y65" s="35">
        <f t="shared" si="44"/>
        <v>3.8620231814353896</v>
      </c>
      <c r="Z65" s="35">
        <f t="shared" si="44"/>
        <v>3.516299234057235</v>
      </c>
      <c r="AA65" s="35">
        <f t="shared" si="44"/>
        <v>3.2059531671367116</v>
      </c>
      <c r="AB65" s="35">
        <f t="shared" si="44"/>
        <v>2.9288443606579029</v>
      </c>
      <c r="AC65" s="35">
        <f t="shared" si="44"/>
        <v>2.6514413391129406</v>
      </c>
      <c r="AD65" s="35">
        <f t="shared" si="44"/>
        <v>2.4041044655757471</v>
      </c>
      <c r="AE65" s="35">
        <f t="shared" si="44"/>
        <v>2.1846674121513048</v>
      </c>
      <c r="AF65" s="35">
        <f t="shared" si="44"/>
        <v>1.9909048462346319</v>
      </c>
      <c r="AG65" s="35">
        <f t="shared" si="44"/>
        <v>1.8205942122619814</v>
      </c>
      <c r="AH65" s="35">
        <f t="shared" si="44"/>
        <v>1.6450013616217898</v>
      </c>
      <c r="AI65" s="35">
        <f t="shared" si="44"/>
        <v>1.490705937712115</v>
      </c>
      <c r="AJ65" s="35">
        <f t="shared" si="44"/>
        <v>1.3557090883502654</v>
      </c>
      <c r="AK65" s="35">
        <f t="shared" si="44"/>
        <v>1.2380970737065309</v>
      </c>
      <c r="AL65" s="35">
        <f t="shared" si="44"/>
        <v>1.136069689128913</v>
      </c>
      <c r="AM65" s="35">
        <f t="shared" si="44"/>
        <v>1.0268068107360706</v>
      </c>
      <c r="AN65" s="35">
        <f t="shared" si="44"/>
        <v>0.93193547816399636</v>
      </c>
      <c r="AO65" s="35">
        <f t="shared" si="44"/>
        <v>0.84989103213345774</v>
      </c>
      <c r="AP65" s="35">
        <f t="shared" si="44"/>
        <v>0.77923698159830057</v>
      </c>
      <c r="AQ65" s="35">
        <f t="shared" si="44"/>
        <v>0.71867171643461392</v>
      </c>
    </row>
    <row r="66" spans="1:43" ht="10.15" customHeight="1" outlineLevel="1">
      <c r="A66" s="36"/>
      <c r="B66" s="34" t="s">
        <v>74</v>
      </c>
      <c r="C66" s="35">
        <f>EBlackScholesForward("d",C$20,$A$65,C$22,$C$6,$C$6,$C$7,C$21)</f>
        <v>-1.2767001988053805E-2</v>
      </c>
      <c r="D66" s="35">
        <f t="shared" ref="D66:AQ66" si="45">EBlackScholesForward($FA$3,D$20,$A$65,D$22,$C$6,$C$6,$C$7,D$21)</f>
        <v>-1.7510880277771257E-2</v>
      </c>
      <c r="E66" s="35">
        <f t="shared" si="45"/>
        <v>-2.3569270953349014E-2</v>
      </c>
      <c r="F66" s="35">
        <f t="shared" si="45"/>
        <v>-3.1155096704640894E-2</v>
      </c>
      <c r="G66" s="35">
        <f t="shared" si="45"/>
        <v>-4.0472935355558015E-2</v>
      </c>
      <c r="H66" s="35">
        <f t="shared" si="45"/>
        <v>-5.1706910623081082E-2</v>
      </c>
      <c r="I66" s="35">
        <f t="shared" si="45"/>
        <v>-6.4457353000219042E-2</v>
      </c>
      <c r="J66" s="35">
        <f t="shared" si="45"/>
        <v>-7.9301368440157227E-2</v>
      </c>
      <c r="K66" s="35">
        <f t="shared" si="45"/>
        <v>-9.6326097816129552E-2</v>
      </c>
      <c r="L66" s="35">
        <f t="shared" si="45"/>
        <v>-0.11556743077784093</v>
      </c>
      <c r="M66" s="35">
        <f t="shared" si="45"/>
        <v>-0.13700379103535609</v>
      </c>
      <c r="N66" s="35">
        <f t="shared" si="45"/>
        <v>-0.15992570986750332</v>
      </c>
      <c r="O66" s="35">
        <f t="shared" si="45"/>
        <v>-0.1848799833287007</v>
      </c>
      <c r="P66" s="35">
        <f t="shared" si="45"/>
        <v>-0.21171940749279416</v>
      </c>
      <c r="Q66" s="35">
        <f t="shared" si="45"/>
        <v>-0.24024421251389594</v>
      </c>
      <c r="R66" s="35">
        <f t="shared" si="45"/>
        <v>-0.2702080589811251</v>
      </c>
      <c r="S66" s="35">
        <f t="shared" si="45"/>
        <v>-0.30100501689522829</v>
      </c>
      <c r="T66" s="35">
        <f t="shared" si="45"/>
        <v>-0.33284906604547082</v>
      </c>
      <c r="U66" s="35">
        <f t="shared" si="45"/>
        <v>-0.36543907406836329</v>
      </c>
      <c r="V66" s="35">
        <f t="shared" si="45"/>
        <v>-0.39845801761972943</v>
      </c>
      <c r="W66" s="77">
        <f t="shared" si="45"/>
        <v>-0.43158408378261015</v>
      </c>
      <c r="X66" s="35">
        <f t="shared" si="45"/>
        <v>0.50882618896928022</v>
      </c>
      <c r="Y66" s="35">
        <f t="shared" si="45"/>
        <v>0.47696856474690463</v>
      </c>
      <c r="Z66" s="35">
        <f t="shared" si="45"/>
        <v>0.44624396224448581</v>
      </c>
      <c r="AA66" s="35">
        <f t="shared" si="45"/>
        <v>0.41691962686838391</v>
      </c>
      <c r="AB66" s="35">
        <f t="shared" si="45"/>
        <v>0.38920515344416096</v>
      </c>
      <c r="AC66" s="35">
        <f t="shared" si="45"/>
        <v>0.36179286014741407</v>
      </c>
      <c r="AD66" s="35">
        <f t="shared" si="45"/>
        <v>0.33597712210442499</v>
      </c>
      <c r="AE66" s="35">
        <f t="shared" si="45"/>
        <v>0.31187480033012527</v>
      </c>
      <c r="AF66" s="35">
        <f t="shared" si="45"/>
        <v>0.28955490207629442</v>
      </c>
      <c r="AG66" s="35">
        <f t="shared" si="45"/>
        <v>0.26904285016180474</v>
      </c>
      <c r="AH66" s="35">
        <f t="shared" si="45"/>
        <v>0.24840151662263166</v>
      </c>
      <c r="AI66" s="35">
        <f t="shared" si="45"/>
        <v>0.22944541749263525</v>
      </c>
      <c r="AJ66" s="35">
        <f t="shared" si="45"/>
        <v>0.21215883424663406</v>
      </c>
      <c r="AK66" s="35">
        <f t="shared" si="45"/>
        <v>0.19649876525564824</v>
      </c>
      <c r="AL66" s="35">
        <f t="shared" si="45"/>
        <v>0.18240074077955359</v>
      </c>
      <c r="AM66" s="35">
        <f t="shared" si="45"/>
        <v>0.16780928905787418</v>
      </c>
      <c r="AN66" s="35">
        <f t="shared" si="45"/>
        <v>0.15466039563931111</v>
      </c>
      <c r="AO66" s="35">
        <f t="shared" si="45"/>
        <v>0.14288183784766373</v>
      </c>
      <c r="AP66" s="35">
        <f t="shared" si="45"/>
        <v>0.13239110629950646</v>
      </c>
      <c r="AQ66" s="35">
        <f t="shared" si="45"/>
        <v>0.12309963819934766</v>
      </c>
    </row>
    <row r="67" spans="1:43" ht="10.15" customHeight="1">
      <c r="A67" s="31">
        <f>A65+$C$12</f>
        <v>50.34999999999998</v>
      </c>
      <c r="B67" s="31" t="s">
        <v>71</v>
      </c>
      <c r="C67" s="32">
        <f t="shared" ref="C67:AQ67" si="46">EBlackScholesForward("p",C$20,$A$67,C$22,$C$6,$C$6,$C$7,C$21)</f>
        <v>5.9260140099493923E-2</v>
      </c>
      <c r="D67" s="32">
        <f t="shared" si="46"/>
        <v>8.4244980790081372E-2</v>
      </c>
      <c r="E67" s="32">
        <f t="shared" si="46"/>
        <v>0.11766906412010912</v>
      </c>
      <c r="F67" s="32">
        <f t="shared" si="46"/>
        <v>0.16159940461705508</v>
      </c>
      <c r="G67" s="32">
        <f t="shared" si="46"/>
        <v>0.21836179415988743</v>
      </c>
      <c r="H67" s="32">
        <f t="shared" si="46"/>
        <v>0.29050713084015672</v>
      </c>
      <c r="I67" s="32">
        <f t="shared" si="46"/>
        <v>0.37546170841026577</v>
      </c>
      <c r="J67" s="32">
        <f t="shared" si="46"/>
        <v>0.47950352242921351</v>
      </c>
      <c r="K67" s="32">
        <f t="shared" si="46"/>
        <v>0.60533033023837757</v>
      </c>
      <c r="L67" s="32">
        <f t="shared" si="46"/>
        <v>0.75565386413553726</v>
      </c>
      <c r="M67" s="32">
        <f t="shared" si="46"/>
        <v>0.93312258761668943</v>
      </c>
      <c r="N67" s="32">
        <f t="shared" si="46"/>
        <v>1.1300437770360778</v>
      </c>
      <c r="O67" s="32">
        <f t="shared" si="46"/>
        <v>1.356915735789481</v>
      </c>
      <c r="P67" s="32">
        <f t="shared" si="46"/>
        <v>1.6158504002284759</v>
      </c>
      <c r="Q67" s="32">
        <f t="shared" si="46"/>
        <v>1.9086864626172135</v>
      </c>
      <c r="R67" s="32">
        <f t="shared" si="46"/>
        <v>2.2369334266300149</v>
      </c>
      <c r="S67" s="32">
        <f t="shared" si="46"/>
        <v>2.5871977827011627</v>
      </c>
      <c r="T67" s="32">
        <f t="shared" si="46"/>
        <v>2.9735119854720433</v>
      </c>
      <c r="U67" s="32">
        <f t="shared" si="46"/>
        <v>3.3965301555976235</v>
      </c>
      <c r="V67" s="32">
        <f t="shared" si="46"/>
        <v>3.8565195546283277</v>
      </c>
      <c r="W67" s="76">
        <f t="shared" si="46"/>
        <v>4.3533593451547485</v>
      </c>
      <c r="X67" s="32">
        <f t="shared" si="46"/>
        <v>4.2704964829467036</v>
      </c>
      <c r="Y67" s="32">
        <f t="shared" si="46"/>
        <v>3.8859127514001752</v>
      </c>
      <c r="Z67" s="32">
        <f t="shared" si="46"/>
        <v>3.5386521346037183</v>
      </c>
      <c r="AA67" s="32">
        <f t="shared" si="46"/>
        <v>3.2268391297846528</v>
      </c>
      <c r="AB67" s="32">
        <f t="shared" si="46"/>
        <v>2.9483436419142026</v>
      </c>
      <c r="AC67" s="32">
        <f t="shared" si="46"/>
        <v>2.6695690765454509</v>
      </c>
      <c r="AD67" s="32">
        <f t="shared" si="46"/>
        <v>2.4209402950818104</v>
      </c>
      <c r="AE67" s="32">
        <f t="shared" si="46"/>
        <v>2.2002968553684723</v>
      </c>
      <c r="AF67" s="32">
        <f t="shared" si="46"/>
        <v>2.0054169173815919</v>
      </c>
      <c r="AG67" s="32">
        <f t="shared" si="46"/>
        <v>1.8340792364824585</v>
      </c>
      <c r="AH67" s="32">
        <f t="shared" si="46"/>
        <v>1.6574529315168163</v>
      </c>
      <c r="AI67" s="32">
        <f t="shared" si="46"/>
        <v>1.5022082665997973</v>
      </c>
      <c r="AJ67" s="32">
        <f t="shared" si="46"/>
        <v>1.3663456350658811</v>
      </c>
      <c r="AK67" s="32">
        <f t="shared" si="46"/>
        <v>1.2479491743987152</v>
      </c>
      <c r="AL67" s="32">
        <f t="shared" si="46"/>
        <v>1.1452154793340454</v>
      </c>
      <c r="AM67" s="32">
        <f t="shared" si="46"/>
        <v>1.0352216510399004</v>
      </c>
      <c r="AN67" s="32">
        <f t="shared" si="46"/>
        <v>0.93969153044459552</v>
      </c>
      <c r="AO67" s="32">
        <f t="shared" si="46"/>
        <v>0.85705686386147995</v>
      </c>
      <c r="AP67" s="32">
        <f t="shared" si="46"/>
        <v>0.78587704760822896</v>
      </c>
      <c r="AQ67" s="32">
        <f t="shared" si="46"/>
        <v>0.72484605259590518</v>
      </c>
    </row>
    <row r="68" spans="1:43" ht="10.15" customHeight="1" outlineLevel="1">
      <c r="A68" s="33"/>
      <c r="B68" s="31" t="s">
        <v>74</v>
      </c>
      <c r="C68" s="32">
        <f t="shared" ref="C68:AQ68" si="47">EBlackScholesForward($FA$3,C$20,$A$67,C$22,$C$6,$C$6,$C$7,C$21)</f>
        <v>-1.2635065224146994E-2</v>
      </c>
      <c r="D68" s="32">
        <f t="shared" si="47"/>
        <v>-1.7337071415637895E-2</v>
      </c>
      <c r="E68" s="32">
        <f t="shared" si="47"/>
        <v>-2.334493839033433E-2</v>
      </c>
      <c r="F68" s="32">
        <f t="shared" si="47"/>
        <v>-3.0871212753798283E-2</v>
      </c>
      <c r="G68" s="32">
        <f t="shared" si="47"/>
        <v>-4.0120469221972821E-2</v>
      </c>
      <c r="H68" s="32">
        <f t="shared" si="47"/>
        <v>-5.1277261639831595E-2</v>
      </c>
      <c r="I68" s="32">
        <f t="shared" si="47"/>
        <v>-6.3944420500627874E-2</v>
      </c>
      <c r="J68" s="32">
        <f t="shared" si="47"/>
        <v>-7.8698128289272917E-2</v>
      </c>
      <c r="K68" s="32">
        <f t="shared" si="47"/>
        <v>-9.5626949233157399E-2</v>
      </c>
      <c r="L68" s="32">
        <f t="shared" si="47"/>
        <v>-0.11476857104432137</v>
      </c>
      <c r="M68" s="32">
        <f t="shared" si="47"/>
        <v>-0.13610351610454097</v>
      </c>
      <c r="N68" s="32">
        <f t="shared" si="47"/>
        <v>-0.15892363095642015</v>
      </c>
      <c r="O68" s="32">
        <f t="shared" si="47"/>
        <v>-0.18377761994300412</v>
      </c>
      <c r="P68" s="32">
        <f t="shared" si="47"/>
        <v>-0.21052057082171505</v>
      </c>
      <c r="Q68" s="32">
        <f t="shared" si="47"/>
        <v>-0.23895495775538844</v>
      </c>
      <c r="R68" s="32">
        <f t="shared" si="47"/>
        <v>-0.2688365219899902</v>
      </c>
      <c r="S68" s="32">
        <f t="shared" si="47"/>
        <v>-0.29955664997554088</v>
      </c>
      <c r="T68" s="32">
        <f t="shared" si="47"/>
        <v>-0.33133419855164714</v>
      </c>
      <c r="U68" s="32">
        <f t="shared" si="47"/>
        <v>-0.36386941226054237</v>
      </c>
      <c r="V68" s="32">
        <f t="shared" si="47"/>
        <v>-0.39684625559270881</v>
      </c>
      <c r="W68" s="76">
        <f t="shared" si="47"/>
        <v>-0.42994347711400316</v>
      </c>
      <c r="X68" s="32">
        <f t="shared" si="47"/>
        <v>0.51047621522393172</v>
      </c>
      <c r="Y68" s="32">
        <f t="shared" si="47"/>
        <v>0.47861396788699828</v>
      </c>
      <c r="Z68" s="32">
        <f t="shared" si="47"/>
        <v>0.44787189432544672</v>
      </c>
      <c r="AA68" s="32">
        <f t="shared" si="47"/>
        <v>0.41851880777183936</v>
      </c>
      <c r="AB68" s="32">
        <f t="shared" si="47"/>
        <v>0.39076611072819123</v>
      </c>
      <c r="AC68" s="32">
        <f t="shared" si="47"/>
        <v>0.36331673356777561</v>
      </c>
      <c r="AD68" s="32">
        <f t="shared" si="47"/>
        <v>0.33745622816141463</v>
      </c>
      <c r="AE68" s="32">
        <f t="shared" si="47"/>
        <v>0.31330316205744335</v>
      </c>
      <c r="AF68" s="32">
        <f t="shared" si="47"/>
        <v>0.29092823078107344</v>
      </c>
      <c r="AG68" s="32">
        <f t="shared" si="47"/>
        <v>0.27035844855771707</v>
      </c>
      <c r="AH68" s="32">
        <f t="shared" si="47"/>
        <v>0.24966165274595831</v>
      </c>
      <c r="AI68" s="32">
        <f t="shared" si="47"/>
        <v>0.23064814597226757</v>
      </c>
      <c r="AJ68" s="32">
        <f t="shared" si="47"/>
        <v>0.2133034678723944</v>
      </c>
      <c r="AK68" s="32">
        <f t="shared" si="47"/>
        <v>0.19758571330024122</v>
      </c>
      <c r="AL68" s="32">
        <f t="shared" si="47"/>
        <v>0.18343132837759235</v>
      </c>
      <c r="AM68" s="32">
        <f t="shared" si="47"/>
        <v>0.16878479712891803</v>
      </c>
      <c r="AN68" s="32">
        <f t="shared" si="47"/>
        <v>0.15558217624576098</v>
      </c>
      <c r="AO68" s="32">
        <f t="shared" si="47"/>
        <v>0.14375191294443423</v>
      </c>
      <c r="AP68" s="32">
        <f t="shared" si="47"/>
        <v>0.13321201204142263</v>
      </c>
      <c r="AQ68" s="32">
        <f t="shared" si="47"/>
        <v>0.1238742786021596</v>
      </c>
    </row>
    <row r="69" spans="1:43" ht="10.15" customHeight="1">
      <c r="A69" s="34">
        <f>A67+$C$12</f>
        <v>50.399999999999977</v>
      </c>
      <c r="B69" s="34" t="s">
        <v>71</v>
      </c>
      <c r="C69" s="35">
        <f t="shared" ref="C69:AQ69" si="48">EBlackScholesForward("p",C$20,$A$69,C$22,$C$6,$C$6,$C$7,C$21)</f>
        <v>5.8631658381532538E-2</v>
      </c>
      <c r="D69" s="35">
        <f t="shared" si="48"/>
        <v>8.3382438703663644E-2</v>
      </c>
      <c r="E69" s="35">
        <f t="shared" si="48"/>
        <v>0.1165073841298378</v>
      </c>
      <c r="F69" s="35">
        <f t="shared" si="48"/>
        <v>0.16006289144176275</v>
      </c>
      <c r="G69" s="35">
        <f t="shared" si="48"/>
        <v>0.21636452411405832</v>
      </c>
      <c r="H69" s="35">
        <f t="shared" si="48"/>
        <v>0.2879539421070138</v>
      </c>
      <c r="I69" s="35">
        <f t="shared" si="48"/>
        <v>0.37227723532585605</v>
      </c>
      <c r="J69" s="35">
        <f t="shared" si="48"/>
        <v>0.47558361365123014</v>
      </c>
      <c r="K69" s="35">
        <f t="shared" si="48"/>
        <v>0.60056637099034926</v>
      </c>
      <c r="L69" s="35">
        <f t="shared" si="48"/>
        <v>0.74993531065082819</v>
      </c>
      <c r="M69" s="35">
        <f t="shared" si="48"/>
        <v>0.92633981784983321</v>
      </c>
      <c r="N69" s="35">
        <f t="shared" si="48"/>
        <v>1.1221225433580764</v>
      </c>
      <c r="O69" s="35">
        <f t="shared" si="48"/>
        <v>1.3477543083291759</v>
      </c>
      <c r="P69" s="35">
        <f t="shared" si="48"/>
        <v>1.6053542375738812</v>
      </c>
      <c r="Q69" s="35">
        <f t="shared" si="48"/>
        <v>1.8967708435977977</v>
      </c>
      <c r="R69" s="35">
        <f t="shared" si="48"/>
        <v>2.2235257909524551</v>
      </c>
      <c r="S69" s="35">
        <f t="shared" si="48"/>
        <v>2.5722560670750578</v>
      </c>
      <c r="T69" s="35">
        <f t="shared" si="48"/>
        <v>2.956983062398562</v>
      </c>
      <c r="U69" s="35">
        <f t="shared" si="48"/>
        <v>3.3783758507119623</v>
      </c>
      <c r="V69" s="35">
        <f t="shared" si="48"/>
        <v>3.836717470365723</v>
      </c>
      <c r="W69" s="77">
        <f t="shared" si="48"/>
        <v>4.3319031321597201</v>
      </c>
      <c r="X69" s="35">
        <f t="shared" si="48"/>
        <v>4.2960615019757942</v>
      </c>
      <c r="Y69" s="35">
        <f t="shared" si="48"/>
        <v>3.9098845543695817</v>
      </c>
      <c r="Z69" s="35">
        <f t="shared" si="48"/>
        <v>3.5610864085777432</v>
      </c>
      <c r="AA69" s="35">
        <f t="shared" si="48"/>
        <v>3.2478050413582116</v>
      </c>
      <c r="AB69" s="35">
        <f t="shared" si="48"/>
        <v>2.967920972752629</v>
      </c>
      <c r="AC69" s="35">
        <f t="shared" si="48"/>
        <v>2.687773020828458</v>
      </c>
      <c r="AD69" s="35">
        <f t="shared" si="48"/>
        <v>2.4378501033015403</v>
      </c>
      <c r="AE69" s="35">
        <f t="shared" si="48"/>
        <v>2.2159977489376539</v>
      </c>
      <c r="AF69" s="35">
        <f t="shared" si="48"/>
        <v>2.0199976946420706</v>
      </c>
      <c r="AG69" s="35">
        <f t="shared" si="48"/>
        <v>1.8476300862766406</v>
      </c>
      <c r="AH69" s="35">
        <f t="shared" si="48"/>
        <v>1.6699675599498391</v>
      </c>
      <c r="AI69" s="35">
        <f t="shared" si="48"/>
        <v>1.51377078843369</v>
      </c>
      <c r="AJ69" s="35">
        <f t="shared" si="48"/>
        <v>1.3770394735460092</v>
      </c>
      <c r="AK69" s="35">
        <f t="shared" si="48"/>
        <v>1.2578556850034757</v>
      </c>
      <c r="AL69" s="35">
        <f t="shared" si="48"/>
        <v>1.1544128628433277</v>
      </c>
      <c r="AM69" s="35">
        <f t="shared" si="48"/>
        <v>1.0436853325012889</v>
      </c>
      <c r="AN69" s="35">
        <f t="shared" si="48"/>
        <v>0.9474937384422033</v>
      </c>
      <c r="AO69" s="35">
        <f t="shared" si="48"/>
        <v>0.86426626618262925</v>
      </c>
      <c r="AP69" s="35">
        <f t="shared" si="48"/>
        <v>0.79255822523610653</v>
      </c>
      <c r="AQ69" s="35">
        <f t="shared" si="48"/>
        <v>0.73105918606253972</v>
      </c>
    </row>
    <row r="70" spans="1:43" ht="10.15" customHeight="1" outlineLevel="1">
      <c r="A70" s="36"/>
      <c r="B70" s="34" t="s">
        <v>74</v>
      </c>
      <c r="C70" s="35">
        <f t="shared" ref="C70:AQ70" si="49">EBlackScholesForward($FA$3,C$20,$A$69,C$22,$C$6,$C$6,$C$7,C$21)</f>
        <v>-1.2504438136672069E-2</v>
      </c>
      <c r="D70" s="35">
        <f t="shared" si="49"/>
        <v>-1.7164906688939274E-2</v>
      </c>
      <c r="E70" s="35">
        <f t="shared" si="49"/>
        <v>-2.3122622786948127E-2</v>
      </c>
      <c r="F70" s="35">
        <f t="shared" si="49"/>
        <v>-3.0589748070319889E-2</v>
      </c>
      <c r="G70" s="35">
        <f t="shared" si="49"/>
        <v>-3.9770841785467803E-2</v>
      </c>
      <c r="H70" s="35">
        <f t="shared" si="49"/>
        <v>-5.085087259416865E-2</v>
      </c>
      <c r="I70" s="35">
        <f t="shared" si="49"/>
        <v>-6.3435162325073402E-2</v>
      </c>
      <c r="J70" s="35">
        <f t="shared" si="49"/>
        <v>-7.8098952498309449E-2</v>
      </c>
      <c r="K70" s="35">
        <f t="shared" si="49"/>
        <v>-9.4932213090609396E-2</v>
      </c>
      <c r="L70" s="35">
        <f t="shared" si="49"/>
        <v>-0.11397441295098454</v>
      </c>
      <c r="M70" s="35">
        <f t="shared" si="49"/>
        <v>-0.13520815815240561</v>
      </c>
      <c r="N70" s="35">
        <f t="shared" si="49"/>
        <v>-0.15792662875682151</v>
      </c>
      <c r="O70" s="35">
        <f t="shared" si="49"/>
        <v>-0.18268040413250697</v>
      </c>
      <c r="P70" s="35">
        <f t="shared" si="49"/>
        <v>-0.20932685691795738</v>
      </c>
      <c r="Q70" s="35">
        <f t="shared" si="49"/>
        <v>-0.23767070283893243</v>
      </c>
      <c r="R70" s="35">
        <f t="shared" si="49"/>
        <v>-0.2674697659281744</v>
      </c>
      <c r="S70" s="35">
        <f t="shared" si="49"/>
        <v>-0.29811278631026727</v>
      </c>
      <c r="T70" s="35">
        <f t="shared" si="49"/>
        <v>-0.32982347055348082</v>
      </c>
      <c r="U70" s="35">
        <f t="shared" si="49"/>
        <v>-0.36230345062964187</v>
      </c>
      <c r="V70" s="35">
        <f t="shared" si="49"/>
        <v>-0.39523769248932528</v>
      </c>
      <c r="W70" s="77">
        <f t="shared" si="49"/>
        <v>-0.42830552203576566</v>
      </c>
      <c r="X70" s="35">
        <f t="shared" si="49"/>
        <v>0.51212417098311924</v>
      </c>
      <c r="Y70" s="35">
        <f t="shared" si="49"/>
        <v>0.480257880125734</v>
      </c>
      <c r="Z70" s="35">
        <f t="shared" si="49"/>
        <v>0.44949889440875079</v>
      </c>
      <c r="AA70" s="35">
        <f t="shared" si="49"/>
        <v>0.42011757894870883</v>
      </c>
      <c r="AB70" s="35">
        <f t="shared" si="49"/>
        <v>0.39232713188401824</v>
      </c>
      <c r="AC70" s="35">
        <f t="shared" si="49"/>
        <v>0.36484112941221891</v>
      </c>
      <c r="AD70" s="35">
        <f t="shared" si="49"/>
        <v>0.3389362660717099</v>
      </c>
      <c r="AE70" s="35">
        <f t="shared" si="49"/>
        <v>0.31473281007348142</v>
      </c>
      <c r="AF70" s="35">
        <f t="shared" si="49"/>
        <v>0.29230314256909473</v>
      </c>
      <c r="AG70" s="35">
        <f t="shared" si="49"/>
        <v>0.27167586938139365</v>
      </c>
      <c r="AH70" s="35">
        <f t="shared" si="49"/>
        <v>0.25092385470811829</v>
      </c>
      <c r="AI70" s="35">
        <f t="shared" si="49"/>
        <v>0.23185313222082726</v>
      </c>
      <c r="AJ70" s="35">
        <f t="shared" si="49"/>
        <v>0.2144505020279297</v>
      </c>
      <c r="AK70" s="35">
        <f t="shared" si="49"/>
        <v>0.19867515927480817</v>
      </c>
      <c r="AL70" s="35">
        <f t="shared" si="49"/>
        <v>0.18446447076326811</v>
      </c>
      <c r="AM70" s="35">
        <f t="shared" si="49"/>
        <v>0.16976293346667726</v>
      </c>
      <c r="AN70" s="35">
        <f t="shared" si="49"/>
        <v>0.15650662270077498</v>
      </c>
      <c r="AO70" s="35">
        <f t="shared" si="49"/>
        <v>0.14462466020868092</v>
      </c>
      <c r="AP70" s="35">
        <f t="shared" si="49"/>
        <v>0.13403556988392795</v>
      </c>
      <c r="AQ70" s="35">
        <f t="shared" si="49"/>
        <v>0.12465152948430425</v>
      </c>
    </row>
    <row r="71" spans="1:43" ht="10.15" customHeight="1">
      <c r="A71" s="31">
        <f>A69+$C$12</f>
        <v>50.449999999999974</v>
      </c>
      <c r="B71" s="31" t="s">
        <v>71</v>
      </c>
      <c r="C71" s="32">
        <f t="shared" ref="C71:AQ71" si="50">EBlackScholesForward("p",C$20,$A$71,C$22,$C$6,$C$6,$C$7,C$21)</f>
        <v>5.8009675525925022E-2</v>
      </c>
      <c r="D71" s="32">
        <f t="shared" si="50"/>
        <v>8.2528464044948555E-2</v>
      </c>
      <c r="E71" s="32">
        <f t="shared" si="50"/>
        <v>0.1153567698336985</v>
      </c>
      <c r="F71" s="32">
        <f t="shared" si="50"/>
        <v>0.15854039139551843</v>
      </c>
      <c r="G71" s="32">
        <f t="shared" si="50"/>
        <v>0.21438466488012314</v>
      </c>
      <c r="H71" s="32">
        <f t="shared" si="50"/>
        <v>0.28542199175558519</v>
      </c>
      <c r="I71" s="32">
        <f t="shared" si="50"/>
        <v>0.36911813373115954</v>
      </c>
      <c r="J71" s="32">
        <f t="shared" si="50"/>
        <v>0.47169356249011513</v>
      </c>
      <c r="K71" s="32">
        <f t="shared" si="50"/>
        <v>0.59583703865677873</v>
      </c>
      <c r="L71" s="32">
        <f t="shared" si="50"/>
        <v>0.74425634791449258</v>
      </c>
      <c r="M71" s="32">
        <f t="shared" si="50"/>
        <v>0.91960169339207187</v>
      </c>
      <c r="N71" s="32">
        <f t="shared" si="50"/>
        <v>1.1142510331494409</v>
      </c>
      <c r="O71" s="32">
        <f t="shared" si="50"/>
        <v>1.3386476131757894</v>
      </c>
      <c r="P71" s="32">
        <f t="shared" si="50"/>
        <v>1.5949176326695598</v>
      </c>
      <c r="Q71" s="32">
        <f t="shared" si="50"/>
        <v>1.8849193123641326</v>
      </c>
      <c r="R71" s="32">
        <f t="shared" si="50"/>
        <v>2.2101863734991962</v>
      </c>
      <c r="S71" s="32">
        <f t="shared" si="50"/>
        <v>2.5573864319025641</v>
      </c>
      <c r="T71" s="32">
        <f t="shared" si="50"/>
        <v>2.9405295719982512</v>
      </c>
      <c r="U71" s="32">
        <f t="shared" si="50"/>
        <v>3.3602997510783115</v>
      </c>
      <c r="V71" s="32">
        <f t="shared" si="50"/>
        <v>3.8169957338828238</v>
      </c>
      <c r="W71" s="76">
        <f t="shared" si="50"/>
        <v>4.3105287501602145</v>
      </c>
      <c r="X71" s="32">
        <f t="shared" si="50"/>
        <v>4.3217088665151584</v>
      </c>
      <c r="Y71" s="32">
        <f t="shared" si="50"/>
        <v>3.933938515132307</v>
      </c>
      <c r="Z71" s="32">
        <f t="shared" si="50"/>
        <v>3.5836020086946991</v>
      </c>
      <c r="AA71" s="32">
        <f t="shared" si="50"/>
        <v>3.2688508806851648</v>
      </c>
      <c r="AB71" s="32">
        <f t="shared" si="50"/>
        <v>2.9875763556944013</v>
      </c>
      <c r="AC71" s="32">
        <f t="shared" si="50"/>
        <v>2.7060531974232065</v>
      </c>
      <c r="AD71" s="32">
        <f t="shared" si="50"/>
        <v>2.4548339361918039</v>
      </c>
      <c r="AE71" s="32">
        <f t="shared" si="50"/>
        <v>2.2317701565709878</v>
      </c>
      <c r="AF71" s="32">
        <f t="shared" si="50"/>
        <v>2.0346472566080038</v>
      </c>
      <c r="AG71" s="32">
        <f t="shared" si="50"/>
        <v>1.8612468522478394</v>
      </c>
      <c r="AH71" s="32">
        <f t="shared" si="50"/>
        <v>1.6825453497354446</v>
      </c>
      <c r="AI71" s="32">
        <f t="shared" si="50"/>
        <v>1.5253936156684287</v>
      </c>
      <c r="AJ71" s="32">
        <f t="shared" si="50"/>
        <v>1.3877907234278708</v>
      </c>
      <c r="AK71" s="32">
        <f t="shared" si="50"/>
        <v>1.2678167300718481</v>
      </c>
      <c r="AL71" s="32">
        <f t="shared" si="50"/>
        <v>1.1636619670925239</v>
      </c>
      <c r="AM71" s="32">
        <f t="shared" si="50"/>
        <v>1.0521979862699773</v>
      </c>
      <c r="AN71" s="32">
        <f t="shared" si="50"/>
        <v>0.95534223522378514</v>
      </c>
      <c r="AO71" s="32">
        <f t="shared" si="50"/>
        <v>0.87151937251519906</v>
      </c>
      <c r="AP71" s="32">
        <f t="shared" si="50"/>
        <v>0.79928064692893031</v>
      </c>
      <c r="AQ71" s="32">
        <f t="shared" si="50"/>
        <v>0.73731124722888075</v>
      </c>
    </row>
    <row r="72" spans="1:43" ht="10.15" customHeight="1" outlineLevel="1">
      <c r="A72" s="33"/>
      <c r="B72" s="31" t="s">
        <v>74</v>
      </c>
      <c r="C72" s="32">
        <f t="shared" ref="C72:AQ72" si="51">EBlackScholesForward($FA$3,C$20,$A$71,C$22,$C$6,$C$6,$C$7,C$21)</f>
        <v>-1.2375108546906072E-2</v>
      </c>
      <c r="D72" s="32">
        <f t="shared" si="51"/>
        <v>-1.6994371731404723E-2</v>
      </c>
      <c r="E72" s="32">
        <f t="shared" si="51"/>
        <v>-2.2902307669934313E-2</v>
      </c>
      <c r="F72" s="32">
        <f t="shared" si="51"/>
        <v>-3.0310684297492341E-2</v>
      </c>
      <c r="G72" s="32">
        <f t="shared" si="51"/>
        <v>-3.9424033179151496E-2</v>
      </c>
      <c r="H72" s="32">
        <f t="shared" si="51"/>
        <v>-5.0427722623605509E-2</v>
      </c>
      <c r="I72" s="32">
        <f t="shared" si="51"/>
        <v>-6.292955706437009E-2</v>
      </c>
      <c r="J72" s="32">
        <f t="shared" si="51"/>
        <v>-7.7503819787894113E-2</v>
      </c>
      <c r="K72" s="32">
        <f t="shared" si="51"/>
        <v>-9.4241868982208876E-2</v>
      </c>
      <c r="L72" s="32">
        <f t="shared" si="51"/>
        <v>-0.11318493772856653</v>
      </c>
      <c r="M72" s="32">
        <f t="shared" si="51"/>
        <v>-0.13431770078409788</v>
      </c>
      <c r="N72" s="32">
        <f t="shared" si="51"/>
        <v>-0.15693468973730917</v>
      </c>
      <c r="O72" s="32">
        <f t="shared" si="51"/>
        <v>-0.18158832584509454</v>
      </c>
      <c r="P72" s="32">
        <f t="shared" si="51"/>
        <v>-0.2081382597015069</v>
      </c>
      <c r="Q72" s="32">
        <f t="shared" si="51"/>
        <v>-0.23639144598917028</v>
      </c>
      <c r="R72" s="32">
        <f t="shared" si="51"/>
        <v>-0.26610779348352764</v>
      </c>
      <c r="S72" s="32">
        <f t="shared" si="51"/>
        <v>-0.29667343310983973</v>
      </c>
      <c r="T72" s="32">
        <f t="shared" si="51"/>
        <v>-0.32831689370076411</v>
      </c>
      <c r="U72" s="32">
        <f t="shared" si="51"/>
        <v>-0.36074120500975138</v>
      </c>
      <c r="V72" s="32">
        <f t="shared" si="51"/>
        <v>-0.39363234791329749</v>
      </c>
      <c r="W72" s="76">
        <f t="shared" si="51"/>
        <v>-0.4266702413853185</v>
      </c>
      <c r="X72" s="32">
        <f t="shared" si="51"/>
        <v>0.51377003113062258</v>
      </c>
      <c r="Y72" s="32">
        <f t="shared" si="51"/>
        <v>0.481900274842606</v>
      </c>
      <c r="Z72" s="32">
        <f t="shared" si="51"/>
        <v>0.45112493512888818</v>
      </c>
      <c r="AA72" s="32">
        <f t="shared" si="51"/>
        <v>0.42171591298165723</v>
      </c>
      <c r="AB72" s="32">
        <f t="shared" si="51"/>
        <v>0.39388819003101094</v>
      </c>
      <c r="AC72" s="32">
        <f t="shared" si="51"/>
        <v>0.36636602129156426</v>
      </c>
      <c r="AD72" s="32">
        <f t="shared" si="51"/>
        <v>0.34041721040882766</v>
      </c>
      <c r="AE72" s="32">
        <f t="shared" si="51"/>
        <v>0.31616372028757667</v>
      </c>
      <c r="AF72" s="32">
        <f t="shared" si="51"/>
        <v>0.29367961495045947</v>
      </c>
      <c r="AG72" s="32">
        <f t="shared" si="51"/>
        <v>0.27299509190545912</v>
      </c>
      <c r="AH72" s="32">
        <f t="shared" si="51"/>
        <v>0.25218810340738029</v>
      </c>
      <c r="AI72" s="32">
        <f t="shared" si="51"/>
        <v>0.23306035887675769</v>
      </c>
      <c r="AJ72" s="32">
        <f t="shared" si="51"/>
        <v>0.21559992113130422</v>
      </c>
      <c r="AK72" s="32">
        <f t="shared" si="51"/>
        <v>0.19976708934961174</v>
      </c>
      <c r="AL72" s="32">
        <f t="shared" si="51"/>
        <v>0.18550015577997181</v>
      </c>
      <c r="AM72" s="32">
        <f t="shared" si="51"/>
        <v>0.17074368751428537</v>
      </c>
      <c r="AN72" s="32">
        <f t="shared" si="51"/>
        <v>0.15743372597220029</v>
      </c>
      <c r="AO72" s="32">
        <f t="shared" si="51"/>
        <v>0.14550007202361326</v>
      </c>
      <c r="AP72" s="32">
        <f t="shared" si="51"/>
        <v>0.13486177349246176</v>
      </c>
      <c r="AQ72" s="32">
        <f t="shared" si="51"/>
        <v>0.12543138564837797</v>
      </c>
    </row>
    <row r="73" spans="1:43" ht="10.15" customHeight="1">
      <c r="A73" s="34">
        <f>A71+$C$12</f>
        <v>50.499999999999972</v>
      </c>
      <c r="B73" s="34" t="s">
        <v>71</v>
      </c>
      <c r="C73" s="35">
        <f t="shared" ref="C73:AQ73" si="52">EBlackScholesForward("p",C$20,$A$73,C$22,$C$6,$C$6,$C$7,C$21)</f>
        <v>5.7394126960184901E-2</v>
      </c>
      <c r="D73" s="35">
        <f t="shared" si="52"/>
        <v>8.1682975682408412E-2</v>
      </c>
      <c r="E73" s="35">
        <f t="shared" si="52"/>
        <v>0.11421712161692357</v>
      </c>
      <c r="F73" s="35">
        <f t="shared" si="52"/>
        <v>0.15703178488947245</v>
      </c>
      <c r="G73" s="35">
        <f t="shared" si="52"/>
        <v>0.21242207601118462</v>
      </c>
      <c r="H73" s="35">
        <f t="shared" si="52"/>
        <v>0.28291111835194988</v>
      </c>
      <c r="I73" s="35">
        <f t="shared" si="52"/>
        <v>0.36598422151431748</v>
      </c>
      <c r="J73" s="35">
        <f t="shared" si="52"/>
        <v>0.46783316732301489</v>
      </c>
      <c r="K73" s="35">
        <f t="shared" si="52"/>
        <v>0.59114211414594853</v>
      </c>
      <c r="L73" s="35">
        <f t="shared" si="52"/>
        <v>0.7386167422527361</v>
      </c>
      <c r="M73" s="35">
        <f t="shared" si="52"/>
        <v>0.91290796962533227</v>
      </c>
      <c r="N73" s="35">
        <f t="shared" si="52"/>
        <v>1.106428993591436</v>
      </c>
      <c r="O73" s="35">
        <f t="shared" si="52"/>
        <v>1.329595393707133</v>
      </c>
      <c r="P73" s="35">
        <f t="shared" si="52"/>
        <v>1.5845403298365386</v>
      </c>
      <c r="Q73" s="35">
        <f t="shared" si="52"/>
        <v>1.8731316190611282</v>
      </c>
      <c r="R73" s="35">
        <f t="shared" si="52"/>
        <v>2.1969149350264079</v>
      </c>
      <c r="S73" s="35">
        <f t="shared" si="52"/>
        <v>2.5425886514847091</v>
      </c>
      <c r="T73" s="35">
        <f t="shared" si="52"/>
        <v>2.9241513064272904</v>
      </c>
      <c r="U73" s="35">
        <f t="shared" si="52"/>
        <v>3.3423016705050812</v>
      </c>
      <c r="V73" s="35">
        <f t="shared" si="52"/>
        <v>3.7973541837677169</v>
      </c>
      <c r="W73" s="77">
        <f t="shared" si="52"/>
        <v>4.2892360648682093</v>
      </c>
      <c r="X73" s="35">
        <f t="shared" si="52"/>
        <v>4.3474384711600385</v>
      </c>
      <c r="Y73" s="35">
        <f t="shared" si="52"/>
        <v>3.9580745571500753</v>
      </c>
      <c r="Z73" s="35">
        <f t="shared" si="52"/>
        <v>3.6061988863050662</v>
      </c>
      <c r="AA73" s="35">
        <f t="shared" si="52"/>
        <v>3.2899766252249885</v>
      </c>
      <c r="AB73" s="35">
        <f t="shared" si="52"/>
        <v>3.0073097919187024</v>
      </c>
      <c r="AC73" s="35">
        <f t="shared" si="52"/>
        <v>2.7244096304727403</v>
      </c>
      <c r="AD73" s="35">
        <f t="shared" si="52"/>
        <v>2.4718918384388617</v>
      </c>
      <c r="AE73" s="35">
        <f t="shared" si="52"/>
        <v>2.2476141407762662</v>
      </c>
      <c r="AF73" s="35">
        <f t="shared" si="52"/>
        <v>2.0493656807465812</v>
      </c>
      <c r="AG73" s="35">
        <f t="shared" si="52"/>
        <v>1.8749296239623974</v>
      </c>
      <c r="AH73" s="35">
        <f t="shared" si="52"/>
        <v>1.6951864027321306</v>
      </c>
      <c r="AI73" s="35">
        <f t="shared" si="52"/>
        <v>1.5370768598893296</v>
      </c>
      <c r="AJ73" s="35">
        <f t="shared" si="52"/>
        <v>1.3985995035680745</v>
      </c>
      <c r="AK73" s="35">
        <f t="shared" si="52"/>
        <v>1.2778324334617521</v>
      </c>
      <c r="AL73" s="35">
        <f t="shared" si="52"/>
        <v>1.1729629189078821</v>
      </c>
      <c r="AM73" s="35">
        <f t="shared" si="52"/>
        <v>1.0607597429660542</v>
      </c>
      <c r="AN73" s="35">
        <f t="shared" si="52"/>
        <v>0.96323715340282312</v>
      </c>
      <c r="AO73" s="35">
        <f t="shared" si="52"/>
        <v>0.87881631589476306</v>
      </c>
      <c r="AP73" s="35">
        <f t="shared" si="52"/>
        <v>0.80604444481512705</v>
      </c>
      <c r="AQ73" s="35">
        <f t="shared" si="52"/>
        <v>0.7436023662276291</v>
      </c>
    </row>
    <row r="74" spans="1:43" ht="10.15" customHeight="1" outlineLevel="1">
      <c r="A74" s="36"/>
      <c r="B74" s="34" t="s">
        <v>74</v>
      </c>
      <c r="C74" s="35">
        <f t="shared" ref="C74:AQ74" si="53">EBlackScholesForward($FA$3,C$20,$A$73,C$22,$C$6,$C$6,$C$7,C$21)</f>
        <v>-1.2247064376996741E-2</v>
      </c>
      <c r="D74" s="35">
        <f t="shared" si="53"/>
        <v>-1.6825452285209458E-2</v>
      </c>
      <c r="E74" s="35">
        <f t="shared" si="53"/>
        <v>-2.2683976677214529E-2</v>
      </c>
      <c r="F74" s="35">
        <f t="shared" si="53"/>
        <v>-3.0034003187606739E-2</v>
      </c>
      <c r="G74" s="35">
        <f t="shared" si="53"/>
        <v>-3.9080023636509087E-2</v>
      </c>
      <c r="H74" s="35">
        <f t="shared" si="53"/>
        <v>-5.0007790950115649E-2</v>
      </c>
      <c r="I74" s="35">
        <f t="shared" si="53"/>
        <v>-6.2427583374688456E-2</v>
      </c>
      <c r="J74" s="35">
        <f t="shared" si="53"/>
        <v>-7.6912708917992179E-2</v>
      </c>
      <c r="K74" s="35">
        <f t="shared" si="53"/>
        <v>-9.3555896510000291E-2</v>
      </c>
      <c r="L74" s="35">
        <f t="shared" si="53"/>
        <v>-0.11240012658233489</v>
      </c>
      <c r="M74" s="35">
        <f t="shared" si="53"/>
        <v>-0.13343212754422518</v>
      </c>
      <c r="N74" s="35">
        <f t="shared" si="53"/>
        <v>-0.15594780027042843</v>
      </c>
      <c r="O74" s="35">
        <f t="shared" si="53"/>
        <v>-0.18050137489856732</v>
      </c>
      <c r="P74" s="35">
        <f t="shared" si="53"/>
        <v>-0.2069547729284249</v>
      </c>
      <c r="Q74" s="35">
        <f t="shared" si="53"/>
        <v>-0.23511718524236169</v>
      </c>
      <c r="R74" s="35">
        <f t="shared" si="53"/>
        <v>-0.2647506071373984</v>
      </c>
      <c r="S74" s="35">
        <f t="shared" si="53"/>
        <v>-0.2952385973626459</v>
      </c>
      <c r="T74" s="35">
        <f t="shared" si="53"/>
        <v>-0.32681447941376174</v>
      </c>
      <c r="U74" s="35">
        <f t="shared" si="53"/>
        <v>-0.35918269100139177</v>
      </c>
      <c r="V74" s="35">
        <f t="shared" si="53"/>
        <v>-0.39203024124616626</v>
      </c>
      <c r="W74" s="77">
        <f t="shared" si="53"/>
        <v>-0.42503765778962865</v>
      </c>
      <c r="X74" s="35">
        <f t="shared" si="53"/>
        <v>0.51541377073371919</v>
      </c>
      <c r="Y74" s="35">
        <f t="shared" si="53"/>
        <v>0.48354112557924545</v>
      </c>
      <c r="Z74" s="35">
        <f t="shared" si="53"/>
        <v>0.45274998925555199</v>
      </c>
      <c r="AA74" s="35">
        <f t="shared" si="53"/>
        <v>0.42331378255664465</v>
      </c>
      <c r="AB74" s="35">
        <f t="shared" si="53"/>
        <v>0.39544925836763056</v>
      </c>
      <c r="AC74" s="35">
        <f t="shared" si="53"/>
        <v>0.36789138286779099</v>
      </c>
      <c r="AD74" s="35">
        <f t="shared" si="53"/>
        <v>0.34189903577472869</v>
      </c>
      <c r="AE74" s="35">
        <f t="shared" si="53"/>
        <v>0.31759586861708211</v>
      </c>
      <c r="AF74" s="35">
        <f t="shared" si="53"/>
        <v>0.29505762542421099</v>
      </c>
      <c r="AG74" s="35">
        <f t="shared" si="53"/>
        <v>0.2743160953786461</v>
      </c>
      <c r="AH74" s="35">
        <f t="shared" si="53"/>
        <v>0.25345437970250018</v>
      </c>
      <c r="AI74" s="35">
        <f t="shared" si="53"/>
        <v>0.23426980852880863</v>
      </c>
      <c r="AJ74" s="35">
        <f t="shared" si="53"/>
        <v>0.21675170954112977</v>
      </c>
      <c r="AK74" s="35">
        <f t="shared" si="53"/>
        <v>0.20086148962900063</v>
      </c>
      <c r="AL74" s="35">
        <f t="shared" si="53"/>
        <v>0.18653837120303773</v>
      </c>
      <c r="AM74" s="35">
        <f t="shared" si="53"/>
        <v>0.17172704864246713</v>
      </c>
      <c r="AN74" s="35">
        <f t="shared" si="53"/>
        <v>0.15836347695304953</v>
      </c>
      <c r="AO74" s="35">
        <f t="shared" si="53"/>
        <v>0.14637814069705102</v>
      </c>
      <c r="AP74" s="35">
        <f t="shared" si="53"/>
        <v>0.13569061645865577</v>
      </c>
      <c r="AQ74" s="35">
        <f t="shared" si="53"/>
        <v>0.12621384182583406</v>
      </c>
    </row>
    <row r="75" spans="1:43" ht="10.15" customHeight="1">
      <c r="A75" s="31">
        <f>A73+$C$12</f>
        <v>50.549999999999969</v>
      </c>
      <c r="B75" s="31" t="s">
        <v>71</v>
      </c>
      <c r="C75" s="32">
        <f t="shared" ref="C75:AQ75" si="54">EBlackScholesForward("p",C$20,$A$75,C$22,$C$6,$C$6,$C$7,C$21)</f>
        <v>5.6784948713208265E-2</v>
      </c>
      <c r="D75" s="32">
        <f t="shared" si="54"/>
        <v>8.0845893194712359E-2</v>
      </c>
      <c r="E75" s="32">
        <f t="shared" si="54"/>
        <v>0.11308834068006904</v>
      </c>
      <c r="F75" s="32">
        <f t="shared" si="54"/>
        <v>0.15553695324444727</v>
      </c>
      <c r="G75" s="32">
        <f t="shared" si="54"/>
        <v>0.2104766180461777</v>
      </c>
      <c r="H75" s="32">
        <f t="shared" si="54"/>
        <v>0.28042116149895258</v>
      </c>
      <c r="I75" s="32">
        <f t="shared" si="54"/>
        <v>0.36287531762906267</v>
      </c>
      <c r="J75" s="32">
        <f t="shared" si="54"/>
        <v>0.46400222758810139</v>
      </c>
      <c r="K75" s="32">
        <f t="shared" si="54"/>
        <v>0.58648137938583</v>
      </c>
      <c r="L75" s="32">
        <f t="shared" si="54"/>
        <v>0.73301626093211625</v>
      </c>
      <c r="M75" s="32">
        <f t="shared" si="54"/>
        <v>0.90625840275578051</v>
      </c>
      <c r="N75" s="32">
        <f t="shared" si="54"/>
        <v>1.0986561725490624</v>
      </c>
      <c r="O75" s="32">
        <f t="shared" si="54"/>
        <v>1.3205973938133828</v>
      </c>
      <c r="P75" s="32">
        <f t="shared" si="54"/>
        <v>1.5742220737119625</v>
      </c>
      <c r="Q75" s="32">
        <f t="shared" si="54"/>
        <v>1.8614075139365027</v>
      </c>
      <c r="R75" s="32">
        <f t="shared" si="54"/>
        <v>2.1837112361713427</v>
      </c>
      <c r="S75" s="32">
        <f t="shared" si="54"/>
        <v>2.5278624997786299</v>
      </c>
      <c r="T75" s="32">
        <f t="shared" si="54"/>
        <v>2.9078480572766372</v>
      </c>
      <c r="U75" s="32">
        <f t="shared" si="54"/>
        <v>3.3243814220263213</v>
      </c>
      <c r="V75" s="32">
        <f t="shared" si="54"/>
        <v>3.7777926576449943</v>
      </c>
      <c r="W75" s="76">
        <f t="shared" si="54"/>
        <v>4.2680249408695303</v>
      </c>
      <c r="X75" s="32">
        <f t="shared" si="54"/>
        <v>4.3732502092638095</v>
      </c>
      <c r="Y75" s="32">
        <f t="shared" si="54"/>
        <v>3.9822926025657019</v>
      </c>
      <c r="Z75" s="32">
        <f t="shared" si="54"/>
        <v>3.6288769914010923</v>
      </c>
      <c r="AA75" s="32">
        <f t="shared" si="54"/>
        <v>3.311182251074118</v>
      </c>
      <c r="AB75" s="32">
        <f t="shared" si="54"/>
        <v>3.0271212812665742</v>
      </c>
      <c r="AC75" s="32">
        <f t="shared" si="54"/>
        <v>2.7428423428045474</v>
      </c>
      <c r="AD75" s="32">
        <f t="shared" si="54"/>
        <v>2.4890238534598761</v>
      </c>
      <c r="AE75" s="32">
        <f t="shared" si="54"/>
        <v>2.2635297628573645</v>
      </c>
      <c r="AF75" s="32">
        <f t="shared" si="54"/>
        <v>2.0641530433997408</v>
      </c>
      <c r="AG75" s="32">
        <f t="shared" si="54"/>
        <v>1.888678489948511</v>
      </c>
      <c r="AH75" s="32">
        <f t="shared" si="54"/>
        <v>1.7078908198404257</v>
      </c>
      <c r="AI75" s="32">
        <f t="shared" si="54"/>
        <v>1.5488206318098763</v>
      </c>
      <c r="AJ75" s="32">
        <f t="shared" si="54"/>
        <v>1.4094659320397274</v>
      </c>
      <c r="AK75" s="32">
        <f t="shared" si="54"/>
        <v>1.2879029183347357</v>
      </c>
      <c r="AL75" s="32">
        <f t="shared" si="54"/>
        <v>1.1823158445027002</v>
      </c>
      <c r="AM75" s="32">
        <f t="shared" si="54"/>
        <v>1.0693707326763364</v>
      </c>
      <c r="AN75" s="32">
        <f t="shared" si="54"/>
        <v>0.97117862513560627</v>
      </c>
      <c r="AO75" s="32">
        <f t="shared" si="54"/>
        <v>0.88615722897041205</v>
      </c>
      <c r="AP75" s="32">
        <f t="shared" si="54"/>
        <v>0.81284975070085197</v>
      </c>
      <c r="AQ75" s="32">
        <f t="shared" si="54"/>
        <v>0.74993267292625954</v>
      </c>
    </row>
    <row r="76" spans="1:43" ht="11.25" customHeight="1" outlineLevel="1">
      <c r="A76" s="33"/>
      <c r="B76" s="31" t="s">
        <v>74</v>
      </c>
      <c r="C76" s="32">
        <f t="shared" ref="C76:AQ76" si="55">EBlackScholesForward($FA$3,C$20,$A$75,C$22,$C$6,$C$6,$C$7,C$21)</f>
        <v>-1.2120293649384162E-2</v>
      </c>
      <c r="D76" s="32">
        <f t="shared" si="55"/>
        <v>-1.6658134200292496E-2</v>
      </c>
      <c r="E76" s="32">
        <f t="shared" si="55"/>
        <v>-2.2467613557878435E-2</v>
      </c>
      <c r="F76" s="32">
        <f t="shared" si="55"/>
        <v>-2.9759686601404933E-2</v>
      </c>
      <c r="G76" s="32">
        <f t="shared" si="55"/>
        <v>-3.8738793491052692E-2</v>
      </c>
      <c r="H76" s="32">
        <f t="shared" si="55"/>
        <v>-4.9591056881162499E-2</v>
      </c>
      <c r="I76" s="32">
        <f t="shared" si="55"/>
        <v>-6.1929219976836203E-2</v>
      </c>
      <c r="J76" s="32">
        <f t="shared" si="55"/>
        <v>-7.6325598688090079E-2</v>
      </c>
      <c r="K76" s="32">
        <f t="shared" si="55"/>
        <v>-9.2874275285015351E-2</v>
      </c>
      <c r="L76" s="32">
        <f t="shared" si="55"/>
        <v>-0.11161996069363189</v>
      </c>
      <c r="M76" s="32">
        <f t="shared" si="55"/>
        <v>-0.13255142191854752</v>
      </c>
      <c r="N76" s="32">
        <f t="shared" si="55"/>
        <v>-0.15496594663364505</v>
      </c>
      <c r="O76" s="32">
        <f t="shared" si="55"/>
        <v>-0.179419540981407</v>
      </c>
      <c r="P76" s="32">
        <f t="shared" si="55"/>
        <v>-0.20577639019693228</v>
      </c>
      <c r="Q76" s="32">
        <f t="shared" si="55"/>
        <v>-0.2338479184505915</v>
      </c>
      <c r="R76" s="32">
        <f t="shared" si="55"/>
        <v>-0.26339820916585488</v>
      </c>
      <c r="S76" s="32">
        <f t="shared" si="55"/>
        <v>-0.29380828583658314</v>
      </c>
      <c r="T76" s="32">
        <f t="shared" si="55"/>
        <v>-0.32531623888203409</v>
      </c>
      <c r="U76" s="32">
        <f t="shared" si="55"/>
        <v>-0.35762792397699972</v>
      </c>
      <c r="V76" s="32">
        <f t="shared" si="55"/>
        <v>-0.39043139164571805</v>
      </c>
      <c r="W76" s="76">
        <f t="shared" si="55"/>
        <v>-0.4234077936681846</v>
      </c>
      <c r="X76" s="32">
        <f t="shared" si="55"/>
        <v>0.5170553650493126</v>
      </c>
      <c r="Y76" s="32">
        <f t="shared" si="55"/>
        <v>0.48518040603786616</v>
      </c>
      <c r="Z76" s="32">
        <f t="shared" si="55"/>
        <v>0.45437402969032981</v>
      </c>
      <c r="AA76" s="32">
        <f t="shared" si="55"/>
        <v>0.42491116046561306</v>
      </c>
      <c r="AB76" s="32">
        <f t="shared" si="55"/>
        <v>0.39701031017100874</v>
      </c>
      <c r="AC76" s="32">
        <f t="shared" si="55"/>
        <v>0.36941718785656885</v>
      </c>
      <c r="AD76" s="32">
        <f t="shared" si="55"/>
        <v>0.34338171680330376</v>
      </c>
      <c r="AE76" s="32">
        <f t="shared" si="55"/>
        <v>0.31902923098789948</v>
      </c>
      <c r="AF76" s="32">
        <f t="shared" si="55"/>
        <v>0.29643715148088834</v>
      </c>
      <c r="AG76" s="32">
        <f t="shared" si="55"/>
        <v>0.27563885902662788</v>
      </c>
      <c r="AH76" s="32">
        <f t="shared" si="55"/>
        <v>0.25472266441577407</v>
      </c>
      <c r="AI76" s="32">
        <f t="shared" si="55"/>
        <v>0.23548146371542567</v>
      </c>
      <c r="AJ76" s="32">
        <f t="shared" si="55"/>
        <v>0.21790585155809783</v>
      </c>
      <c r="AK76" s="32">
        <f t="shared" si="55"/>
        <v>0.20195834615450714</v>
      </c>
      <c r="AL76" s="32">
        <f t="shared" si="55"/>
        <v>0.18757910473991002</v>
      </c>
      <c r="AM76" s="32">
        <f t="shared" si="55"/>
        <v>0.17271300615010476</v>
      </c>
      <c r="AN76" s="32">
        <f t="shared" si="55"/>
        <v>0.15929586646288296</v>
      </c>
      <c r="AO76" s="32">
        <f t="shared" si="55"/>
        <v>0.14725885846218478</v>
      </c>
      <c r="AP76" s="32">
        <f t="shared" si="55"/>
        <v>0.13652209230021195</v>
      </c>
      <c r="AQ76" s="32">
        <f t="shared" si="55"/>
        <v>0.12699889267580589</v>
      </c>
    </row>
    <row r="77" spans="1:43" ht="10.15" customHeight="1">
      <c r="A77" s="34">
        <f>A75+$C$12</f>
        <v>50.599999999999966</v>
      </c>
      <c r="B77" s="34" t="s">
        <v>71</v>
      </c>
      <c r="C77" s="35">
        <f t="shared" ref="C77:AQ77" si="56">EBlackScholesForward("p",C$20,$A$77,C$22,$C$6,$C$6,$C$7,C$21)</f>
        <v>5.6182077410278627E-2</v>
      </c>
      <c r="D77" s="35">
        <f t="shared" si="56"/>
        <v>8.0017136865349114E-2</v>
      </c>
      <c r="E77" s="35">
        <f t="shared" si="56"/>
        <v>0.11197032903347517</v>
      </c>
      <c r="F77" s="35">
        <f t="shared" si="56"/>
        <v>0.1540557786855051</v>
      </c>
      <c r="G77" s="35">
        <f t="shared" si="56"/>
        <v>0.20854815250485198</v>
      </c>
      <c r="H77" s="35">
        <f t="shared" si="56"/>
        <v>0.27795196183193077</v>
      </c>
      <c r="I77" s="35">
        <f t="shared" si="56"/>
        <v>0.35979124209141117</v>
      </c>
      <c r="J77" s="35">
        <f t="shared" si="56"/>
        <v>0.46020054378254099</v>
      </c>
      <c r="K77" s="35">
        <f t="shared" si="56"/>
        <v>0.58185461732354238</v>
      </c>
      <c r="L77" s="35">
        <f t="shared" si="56"/>
        <v>0.72745467216069681</v>
      </c>
      <c r="M77" s="35">
        <f t="shared" si="56"/>
        <v>0.8996527498167769</v>
      </c>
      <c r="N77" s="35">
        <f t="shared" si="56"/>
        <v>1.0909323185757518</v>
      </c>
      <c r="O77" s="35">
        <f t="shared" si="56"/>
        <v>1.3116533579034451</v>
      </c>
      <c r="P77" s="35">
        <f t="shared" si="56"/>
        <v>1.5639626092570582</v>
      </c>
      <c r="Q77" s="35">
        <f t="shared" si="56"/>
        <v>1.8497467473499987</v>
      </c>
      <c r="R77" s="35">
        <f t="shared" si="56"/>
        <v>2.1705750374625628</v>
      </c>
      <c r="S77" s="35">
        <f t="shared" si="56"/>
        <v>2.5132077504085992</v>
      </c>
      <c r="T77" s="35">
        <f t="shared" si="56"/>
        <v>2.8916196155834402</v>
      </c>
      <c r="U77" s="35">
        <f t="shared" si="56"/>
        <v>3.3065388179132023</v>
      </c>
      <c r="V77" s="35">
        <f t="shared" si="56"/>
        <v>3.7583109921869204</v>
      </c>
      <c r="W77" s="77">
        <f t="shared" si="56"/>
        <v>4.2468952416342853</v>
      </c>
      <c r="X77" s="35">
        <f t="shared" si="56"/>
        <v>4.3991439729473374</v>
      </c>
      <c r="Y77" s="35">
        <f t="shared" si="56"/>
        <v>4.006592572211165</v>
      </c>
      <c r="Z77" s="35">
        <f t="shared" si="56"/>
        <v>3.6516362726235125</v>
      </c>
      <c r="AA77" s="35">
        <f t="shared" si="56"/>
        <v>3.3324677329712462</v>
      </c>
      <c r="AB77" s="35">
        <f t="shared" si="56"/>
        <v>3.0470108222449257</v>
      </c>
      <c r="AC77" s="35">
        <f t="shared" si="56"/>
        <v>2.7613513559333005</v>
      </c>
      <c r="AD77" s="35">
        <f t="shared" si="56"/>
        <v>2.5062300234044104</v>
      </c>
      <c r="AE77" s="35">
        <f t="shared" si="56"/>
        <v>2.2795170829146998</v>
      </c>
      <c r="AF77" s="35">
        <f t="shared" si="56"/>
        <v>2.0790094197837483</v>
      </c>
      <c r="AG77" s="35">
        <f t="shared" si="56"/>
        <v>1.9024935376950964</v>
      </c>
      <c r="AH77" s="35">
        <f t="shared" si="56"/>
        <v>1.7206587010009888</v>
      </c>
      <c r="AI77" s="35">
        <f t="shared" si="56"/>
        <v>1.5606250412692868</v>
      </c>
      <c r="AJ77" s="35">
        <f t="shared" si="56"/>
        <v>1.4203901261295235</v>
      </c>
      <c r="AK77" s="35">
        <f t="shared" si="56"/>
        <v>1.2980283071528178</v>
      </c>
      <c r="AL77" s="35">
        <f t="shared" si="56"/>
        <v>1.1917208694739947</v>
      </c>
      <c r="AM77" s="35">
        <f t="shared" si="56"/>
        <v>1.0780310849508132</v>
      </c>
      <c r="AN77" s="35">
        <f t="shared" si="56"/>
        <v>0.97916678211752906</v>
      </c>
      <c r="AO77" s="35">
        <f t="shared" si="56"/>
        <v>0.89354224400104243</v>
      </c>
      <c r="AP77" s="35">
        <f t="shared" si="56"/>
        <v>0.81969669606632489</v>
      </c>
      <c r="AQ77" s="35">
        <f t="shared" si="56"/>
        <v>0.75630229692341611</v>
      </c>
    </row>
    <row r="78" spans="1:43" ht="10.15" customHeight="1" outlineLevel="1">
      <c r="A78" s="36"/>
      <c r="B78" s="34" t="s">
        <v>74</v>
      </c>
      <c r="C78" s="35">
        <f t="shared" ref="C78:AQ78" si="57">EBlackScholesForward($FA$3,C$20,$A$77,C$22,$C$6,$C$6,$C$7,C$21)</f>
        <v>-1.1994784486014584E-2</v>
      </c>
      <c r="D78" s="35">
        <f t="shared" si="57"/>
        <v>-1.6492403433824437E-2</v>
      </c>
      <c r="E78" s="35">
        <f t="shared" si="57"/>
        <v>-2.2253202171464148E-2</v>
      </c>
      <c r="F78" s="35">
        <f t="shared" si="57"/>
        <v>-2.9487716508352912E-2</v>
      </c>
      <c r="G78" s="35">
        <f t="shared" si="57"/>
        <v>-3.8400323176217277E-2</v>
      </c>
      <c r="H78" s="35">
        <f t="shared" si="57"/>
        <v>-4.9177499809519021E-2</v>
      </c>
      <c r="I78" s="35">
        <f t="shared" si="57"/>
        <v>-6.1434445658148373E-2</v>
      </c>
      <c r="J78" s="35">
        <f t="shared" si="57"/>
        <v>-7.5742467938832991E-2</v>
      </c>
      <c r="K78" s="35">
        <f t="shared" si="57"/>
        <v>-9.21969849296711E-2</v>
      </c>
      <c r="L78" s="35">
        <f t="shared" si="57"/>
        <v>-0.11084442122101801</v>
      </c>
      <c r="M78" s="35">
        <f t="shared" si="57"/>
        <v>-0.13167556733461039</v>
      </c>
      <c r="N78" s="35">
        <f t="shared" si="57"/>
        <v>-0.15398911501257606</v>
      </c>
      <c r="O78" s="35">
        <f t="shared" si="57"/>
        <v>-0.17834281365575189</v>
      </c>
      <c r="P78" s="35">
        <f t="shared" si="57"/>
        <v>-0.20460310494635481</v>
      </c>
      <c r="Q78" s="35">
        <f t="shared" si="57"/>
        <v>-0.23258364328133663</v>
      </c>
      <c r="R78" s="35">
        <f t="shared" si="57"/>
        <v>-0.2620506016403068</v>
      </c>
      <c r="S78" s="35">
        <f t="shared" si="57"/>
        <v>-0.29238250507941377</v>
      </c>
      <c r="T78" s="35">
        <f t="shared" si="57"/>
        <v>-0.3238221830678123</v>
      </c>
      <c r="U78" s="35">
        <f t="shared" si="57"/>
        <v>-0.35607691908023931</v>
      </c>
      <c r="V78" s="35">
        <f t="shared" si="57"/>
        <v>-0.38883581804864953</v>
      </c>
      <c r="W78" s="77">
        <f t="shared" si="57"/>
        <v>-0.42178067123077589</v>
      </c>
      <c r="X78" s="35">
        <f t="shared" si="57"/>
        <v>0.51869478952055736</v>
      </c>
      <c r="Y78" s="35">
        <f t="shared" si="57"/>
        <v>0.48681809008326304</v>
      </c>
      <c r="Z78" s="35">
        <f t="shared" si="57"/>
        <v>0.45599702946923504</v>
      </c>
      <c r="AA78" s="35">
        <f t="shared" si="57"/>
        <v>0.42650801960848472</v>
      </c>
      <c r="AB78" s="35">
        <f t="shared" si="57"/>
        <v>0.39857131879781349</v>
      </c>
      <c r="AC78" s="35">
        <f t="shared" si="57"/>
        <v>0.37094341002914533</v>
      </c>
      <c r="AD78" s="35">
        <f t="shared" si="57"/>
        <v>0.34486522815837528</v>
      </c>
      <c r="AE78" s="35">
        <f t="shared" si="57"/>
        <v>0.32046378333667747</v>
      </c>
      <c r="AF78" s="35">
        <f t="shared" si="57"/>
        <v>0.29781817060445803</v>
      </c>
      <c r="AG78" s="35">
        <f t="shared" si="57"/>
        <v>0.27696336205176308</v>
      </c>
      <c r="AH78" s="35">
        <f t="shared" si="57"/>
        <v>0.25599293833147296</v>
      </c>
      <c r="AI78" s="35">
        <f t="shared" si="57"/>
        <v>0.23669530692705942</v>
      </c>
      <c r="AJ78" s="35">
        <f t="shared" si="57"/>
        <v>0.21906233142552356</v>
      </c>
      <c r="AK78" s="35">
        <f t="shared" si="57"/>
        <v>0.20305764490350375</v>
      </c>
      <c r="AL78" s="35">
        <f t="shared" si="57"/>
        <v>0.18862234403173028</v>
      </c>
      <c r="AM78" s="35">
        <f t="shared" si="57"/>
        <v>0.17370154926474868</v>
      </c>
      <c r="AN78" s="35">
        <f t="shared" si="57"/>
        <v>0.16023088524608764</v>
      </c>
      <c r="AO78" s="35">
        <f t="shared" si="57"/>
        <v>0.1481422174780811</v>
      </c>
      <c r="AP78" s="35">
        <f t="shared" si="57"/>
        <v>0.13735619446181846</v>
      </c>
      <c r="AQ78" s="35">
        <f t="shared" si="57"/>
        <v>0.12778653278631702</v>
      </c>
    </row>
    <row r="79" spans="1:43" ht="10.15" customHeight="1">
      <c r="A79" s="31">
        <f>A77+$C$12</f>
        <v>50.649999999999963</v>
      </c>
      <c r="B79" s="31" t="s">
        <v>71</v>
      </c>
      <c r="C79" s="32">
        <f t="shared" ref="C79:AQ79" si="58">EBlackScholesForward("p",C$20,$A$79,C$22,$C$6,$C$6,$C$7,C$21)</f>
        <v>5.5585450268103791E-2</v>
      </c>
      <c r="D79" s="32">
        <f t="shared" si="58"/>
        <v>7.9196627677280668E-2</v>
      </c>
      <c r="E79" s="32">
        <f t="shared" si="58"/>
        <v>0.11086298949175163</v>
      </c>
      <c r="F79" s="32">
        <f t="shared" si="58"/>
        <v>0.1525881443365438</v>
      </c>
      <c r="G79" s="32">
        <f t="shared" si="58"/>
        <v>0.20663654188277694</v>
      </c>
      <c r="H79" s="32">
        <f t="shared" si="58"/>
        <v>0.27550336101443729</v>
      </c>
      <c r="I79" s="32">
        <f t="shared" si="58"/>
        <v>0.35673181597635478</v>
      </c>
      <c r="J79" s="32">
        <f t="shared" si="58"/>
        <v>0.45642791746043804</v>
      </c>
      <c r="K79" s="32">
        <f t="shared" si="58"/>
        <v>0.57726161192481873</v>
      </c>
      <c r="L79" s="32">
        <f t="shared" si="58"/>
        <v>0.72193174508913838</v>
      </c>
      <c r="M79" s="32">
        <f t="shared" si="58"/>
        <v>0.89309076867166526</v>
      </c>
      <c r="N79" s="32">
        <f t="shared" si="58"/>
        <v>1.0832571809179878</v>
      </c>
      <c r="O79" s="32">
        <f t="shared" si="58"/>
        <v>1.3027630309112705</v>
      </c>
      <c r="P79" s="32">
        <f t="shared" si="58"/>
        <v>1.5537616817649831</v>
      </c>
      <c r="Q79" s="32">
        <f t="shared" si="58"/>
        <v>1.8381490697825826</v>
      </c>
      <c r="R79" s="32">
        <f t="shared" si="58"/>
        <v>2.1575060993301234</v>
      </c>
      <c r="S79" s="32">
        <f t="shared" si="58"/>
        <v>2.4986241766770014</v>
      </c>
      <c r="T79" s="32">
        <f t="shared" si="58"/>
        <v>2.8754657718424741</v>
      </c>
      <c r="U79" s="32">
        <f t="shared" si="58"/>
        <v>3.2887736696854835</v>
      </c>
      <c r="V79" s="32">
        <f t="shared" si="58"/>
        <v>3.7389090231245499</v>
      </c>
      <c r="W79" s="76">
        <f t="shared" si="58"/>
        <v>4.2258468295273346</v>
      </c>
      <c r="X79" s="32">
        <f t="shared" si="58"/>
        <v>4.4251196531083581</v>
      </c>
      <c r="Y79" s="32">
        <f t="shared" si="58"/>
        <v>4.0309743856157558</v>
      </c>
      <c r="Z79" s="32">
        <f t="shared" si="58"/>
        <v>3.6744766772682484</v>
      </c>
      <c r="AA79" s="32">
        <f t="shared" si="58"/>
        <v>3.3538330443027271</v>
      </c>
      <c r="AB79" s="32">
        <f t="shared" si="58"/>
        <v>3.0669784120305277</v>
      </c>
      <c r="AC79" s="32">
        <f t="shared" si="58"/>
        <v>2.7799366900636295</v>
      </c>
      <c r="AD79" s="32">
        <f t="shared" si="58"/>
        <v>2.52351038915607</v>
      </c>
      <c r="AE79" s="32">
        <f t="shared" si="58"/>
        <v>2.2955761598458433</v>
      </c>
      <c r="AF79" s="32">
        <f t="shared" si="58"/>
        <v>2.0939348839888776</v>
      </c>
      <c r="AG79" s="32">
        <f t="shared" si="58"/>
        <v>1.916374853650689</v>
      </c>
      <c r="AH79" s="32">
        <f t="shared" si="58"/>
        <v>1.7334901451928209</v>
      </c>
      <c r="AI79" s="32">
        <f t="shared" si="58"/>
        <v>1.572490197230108</v>
      </c>
      <c r="AJ79" s="32">
        <f t="shared" si="58"/>
        <v>1.4313722023349074</v>
      </c>
      <c r="AK79" s="32">
        <f t="shared" si="58"/>
        <v>1.3082087216753404</v>
      </c>
      <c r="AL79" s="32">
        <f t="shared" si="58"/>
        <v>1.2011781187991719</v>
      </c>
      <c r="AM79" s="32">
        <f t="shared" si="58"/>
        <v>1.0867409287990786</v>
      </c>
      <c r="AN79" s="32">
        <f t="shared" si="58"/>
        <v>0.98720175557939982</v>
      </c>
      <c r="AO79" s="32">
        <f t="shared" si="58"/>
        <v>0.90097149285163625</v>
      </c>
      <c r="AP79" s="32">
        <f t="shared" si="58"/>
        <v>0.82658541206214742</v>
      </c>
      <c r="AQ79" s="32">
        <f t="shared" si="58"/>
        <v>0.76271136754537627</v>
      </c>
    </row>
    <row r="80" spans="1:43" ht="10.15" customHeight="1" outlineLevel="1">
      <c r="A80" s="33"/>
      <c r="B80" s="31" t="s">
        <v>74</v>
      </c>
      <c r="C80" s="32">
        <f t="shared" ref="C80:AQ80" si="59">EBlackScholesForward($FA$3,C$20,$A$79,C$22,$C$6,$C$6,$C$7,C$21)</f>
        <v>-1.1870525107811336E-2</v>
      </c>
      <c r="D80" s="32">
        <f t="shared" si="59"/>
        <v>-1.6328246049582273E-2</v>
      </c>
      <c r="E80" s="32">
        <f t="shared" si="59"/>
        <v>-2.2040726487498191E-2</v>
      </c>
      <c r="F80" s="32">
        <f t="shared" si="59"/>
        <v>-2.9218074985938591E-2</v>
      </c>
      <c r="G80" s="32">
        <f t="shared" si="59"/>
        <v>-3.8064593226057319E-2</v>
      </c>
      <c r="H80" s="32">
        <f t="shared" si="59"/>
        <v>-4.8767099213822829E-2</v>
      </c>
      <c r="I80" s="32">
        <f t="shared" si="59"/>
        <v>-6.094323927271772E-2</v>
      </c>
      <c r="J80" s="32">
        <f t="shared" si="59"/>
        <v>-7.5163295552294063E-2</v>
      </c>
      <c r="K80" s="32">
        <f t="shared" si="59"/>
        <v>-9.1524005077847637E-2</v>
      </c>
      <c r="L80" s="32">
        <f t="shared" si="59"/>
        <v>-0.11007348930200389</v>
      </c>
      <c r="M80" s="32">
        <f t="shared" si="59"/>
        <v>-0.1308045471643815</v>
      </c>
      <c r="N80" s="32">
        <f t="shared" si="59"/>
        <v>-0.15301729150094534</v>
      </c>
      <c r="O80" s="32">
        <f t="shared" si="59"/>
        <v>-0.17727118235836281</v>
      </c>
      <c r="P80" s="32">
        <f t="shared" si="59"/>
        <v>-0.20343491046082018</v>
      </c>
      <c r="Q80" s="32">
        <f t="shared" si="59"/>
        <v>-0.23132435721795463</v>
      </c>
      <c r="R80" s="32">
        <f t="shared" si="59"/>
        <v>-0.26070778643063619</v>
      </c>
      <c r="S80" s="32">
        <f t="shared" si="59"/>
        <v>-0.2909612614192536</v>
      </c>
      <c r="T80" s="32">
        <f t="shared" si="59"/>
        <v>-0.3223323227049768</v>
      </c>
      <c r="U80" s="32">
        <f t="shared" si="59"/>
        <v>-0.35452969122486966</v>
      </c>
      <c r="V80" s="32">
        <f t="shared" si="59"/>
        <v>-0.38724353916632648</v>
      </c>
      <c r="W80" s="76">
        <f t="shared" si="59"/>
        <v>-0.42015631247847018</v>
      </c>
      <c r="X80" s="32">
        <f t="shared" si="59"/>
        <v>0.52033201977903509</v>
      </c>
      <c r="Y80" s="32">
        <f t="shared" si="59"/>
        <v>0.48845415174270101</v>
      </c>
      <c r="Z80" s="32">
        <f t="shared" si="59"/>
        <v>0.45761896176643724</v>
      </c>
      <c r="AA80" s="32">
        <f t="shared" si="59"/>
        <v>0.42810433299058648</v>
      </c>
      <c r="AB80" s="32">
        <f t="shared" si="59"/>
        <v>0.40013225768704697</v>
      </c>
      <c r="AC80" s="32">
        <f t="shared" si="59"/>
        <v>0.37247002321350031</v>
      </c>
      <c r="AD80" s="32">
        <f t="shared" si="59"/>
        <v>0.34634954453671707</v>
      </c>
      <c r="AE80" s="32">
        <f t="shared" si="59"/>
        <v>0.32189950161150005</v>
      </c>
      <c r="AF80" s="32">
        <f t="shared" si="59"/>
        <v>0.29920066027115944</v>
      </c>
      <c r="AG80" s="32">
        <f t="shared" si="59"/>
        <v>0.27828958363742551</v>
      </c>
      <c r="AH80" s="32">
        <f t="shared" si="59"/>
        <v>0.25726518219797434</v>
      </c>
      <c r="AI80" s="32">
        <f t="shared" si="59"/>
        <v>0.23791132060713149</v>
      </c>
      <c r="AJ80" s="32">
        <f t="shared" si="59"/>
        <v>0.22022113333036719</v>
      </c>
      <c r="AK80" s="32">
        <f t="shared" si="59"/>
        <v>0.20415937179091292</v>
      </c>
      <c r="AL80" s="32">
        <f t="shared" si="59"/>
        <v>0.18966807665247165</v>
      </c>
      <c r="AM80" s="32">
        <f t="shared" si="59"/>
        <v>0.17469266714329468</v>
      </c>
      <c r="AN80" s="32">
        <f t="shared" si="59"/>
        <v>0.16116852397521364</v>
      </c>
      <c r="AO80" s="32">
        <f t="shared" si="59"/>
        <v>0.14902820982943821</v>
      </c>
      <c r="AP80" s="32">
        <f t="shared" si="59"/>
        <v>0.1381929163145057</v>
      </c>
      <c r="AQ80" s="32">
        <f t="shared" si="59"/>
        <v>0.1285767566745144</v>
      </c>
    </row>
    <row r="81" spans="1:43" ht="10.15" customHeight="1">
      <c r="A81" s="34">
        <f>A79+$C$12</f>
        <v>50.69999999999996</v>
      </c>
      <c r="B81" s="34" t="s">
        <v>71</v>
      </c>
      <c r="C81" s="35">
        <f t="shared" ref="C81:AQ81" si="60">EBlackScholesForward("p",C$20,$A$81,C$22,$C$6,$C$6,$C$7,C$21)</f>
        <v>5.4995005089884925E-2</v>
      </c>
      <c r="D81" s="35">
        <f t="shared" si="60"/>
        <v>7.8384287307622882E-2</v>
      </c>
      <c r="E81" s="35">
        <f t="shared" si="60"/>
        <v>0.10976622566828312</v>
      </c>
      <c r="F81" s="35">
        <f t="shared" si="60"/>
        <v>0.15113393421488339</v>
      </c>
      <c r="G81" s="35">
        <f t="shared" si="60"/>
        <v>0.20474164964632649</v>
      </c>
      <c r="H81" s="35">
        <f t="shared" si="60"/>
        <v>0.27307520173394778</v>
      </c>
      <c r="I81" s="35">
        <f t="shared" si="60"/>
        <v>0.35369686141451634</v>
      </c>
      <c r="J81" s="35">
        <f t="shared" si="60"/>
        <v>0.45268415123073452</v>
      </c>
      <c r="K81" s="35">
        <f t="shared" si="60"/>
        <v>0.57270214817335685</v>
      </c>
      <c r="L81" s="35">
        <f t="shared" si="60"/>
        <v>0.71644724981174424</v>
      </c>
      <c r="M81" s="35">
        <f t="shared" si="60"/>
        <v>0.88657221801657871</v>
      </c>
      <c r="N81" s="35">
        <f t="shared" si="60"/>
        <v>1.0756305095197758</v>
      </c>
      <c r="O81" s="35">
        <f t="shared" si="60"/>
        <v>1.2939261583020696</v>
      </c>
      <c r="P81" s="35">
        <f t="shared" si="60"/>
        <v>1.5436190368685818</v>
      </c>
      <c r="Q81" s="35">
        <f t="shared" si="60"/>
        <v>1.8266142318454877</v>
      </c>
      <c r="R81" s="35">
        <f t="shared" si="60"/>
        <v>2.1445041821156474</v>
      </c>
      <c r="S81" s="35">
        <f t="shared" si="60"/>
        <v>2.4841115515752166</v>
      </c>
      <c r="T81" s="35">
        <f t="shared" si="60"/>
        <v>2.8593863160174706</v>
      </c>
      <c r="U81" s="35">
        <f t="shared" si="60"/>
        <v>3.2710857881229183</v>
      </c>
      <c r="V81" s="35">
        <f t="shared" si="60"/>
        <v>3.7195865852588339</v>
      </c>
      <c r="W81" s="77">
        <f t="shared" si="60"/>
        <v>4.2048795658187492</v>
      </c>
      <c r="X81" s="35">
        <f t="shared" si="60"/>
        <v>4.4511771394308726</v>
      </c>
      <c r="Y81" s="35">
        <f t="shared" si="60"/>
        <v>4.0554379610141948</v>
      </c>
      <c r="Z81" s="35">
        <f t="shared" si="60"/>
        <v>3.6973981512932594</v>
      </c>
      <c r="AA81" s="35">
        <f t="shared" si="60"/>
        <v>3.3752781571079584</v>
      </c>
      <c r="AB81" s="35">
        <f t="shared" si="60"/>
        <v>3.0870240464741445</v>
      </c>
      <c r="AC81" s="35">
        <f t="shared" si="60"/>
        <v>2.7985983640929568</v>
      </c>
      <c r="AD81" s="35">
        <f t="shared" si="60"/>
        <v>2.540864990334136</v>
      </c>
      <c r="AE81" s="35">
        <f t="shared" si="60"/>
        <v>2.3117070513460476</v>
      </c>
      <c r="AF81" s="35">
        <f t="shared" si="60"/>
        <v>2.1089295089791111</v>
      </c>
      <c r="AG81" s="35">
        <f t="shared" si="60"/>
        <v>1.9303225232223966</v>
      </c>
      <c r="AH81" s="35">
        <f t="shared" si="60"/>
        <v>1.7463852504314727</v>
      </c>
      <c r="AI81" s="35">
        <f t="shared" si="60"/>
        <v>1.5844162077758561</v>
      </c>
      <c r="AJ81" s="35">
        <f t="shared" si="60"/>
        <v>1.4424122763612874</v>
      </c>
      <c r="AK81" s="35">
        <f t="shared" si="60"/>
        <v>1.3184442829558367</v>
      </c>
      <c r="AL81" s="35">
        <f t="shared" si="60"/>
        <v>1.2106877168327059</v>
      </c>
      <c r="AM81" s="35">
        <f t="shared" si="60"/>
        <v>1.0955003926867937</v>
      </c>
      <c r="AN81" s="35">
        <f t="shared" si="60"/>
        <v>0.99528367628383396</v>
      </c>
      <c r="AO81" s="35">
        <f t="shared" si="60"/>
        <v>0.9084451069895948</v>
      </c>
      <c r="AP81" s="35">
        <f t="shared" si="60"/>
        <v>0.83351602950567383</v>
      </c>
      <c r="AQ81" s="35">
        <f t="shared" si="60"/>
        <v>0.76916001384249588</v>
      </c>
    </row>
    <row r="82" spans="1:43" ht="10.15" customHeight="1" outlineLevel="1">
      <c r="A82" s="36"/>
      <c r="B82" s="34" t="s">
        <v>74</v>
      </c>
      <c r="C82" s="35">
        <f t="shared" ref="C82:AQ82" si="61">EBlackScholesForward($FA$3,C$20,$A$81,C$22,$C$6,$C$6,$C$7,C$21)</f>
        <v>-1.1747503834061424E-2</v>
      </c>
      <c r="D82" s="35">
        <f t="shared" si="61"/>
        <v>-1.6165648217461581E-2</v>
      </c>
      <c r="E82" s="35">
        <f t="shared" si="61"/>
        <v>-2.183017058532688E-2</v>
      </c>
      <c r="F82" s="35">
        <f t="shared" si="61"/>
        <v>-2.8950744219412294E-2</v>
      </c>
      <c r="G82" s="35">
        <f t="shared" si="61"/>
        <v>-3.7731584274469654E-2</v>
      </c>
      <c r="H82" s="35">
        <f t="shared" si="61"/>
        <v>-4.8359834658806555E-2</v>
      </c>
      <c r="I82" s="35">
        <f t="shared" si="61"/>
        <v>-6.0455579741289234E-2</v>
      </c>
      <c r="J82" s="35">
        <f t="shared" si="61"/>
        <v>-7.4588060453195659E-2</v>
      </c>
      <c r="K82" s="35">
        <f t="shared" si="61"/>
        <v>-9.0855315376958679E-2</v>
      </c>
      <c r="L82" s="35">
        <f t="shared" si="61"/>
        <v>-0.10930714605408287</v>
      </c>
      <c r="M82" s="35">
        <f t="shared" si="61"/>
        <v>-0.12993834472613264</v>
      </c>
      <c r="N82" s="35">
        <f t="shared" si="61"/>
        <v>-0.15205046210344797</v>
      </c>
      <c r="O82" s="35">
        <f t="shared" si="61"/>
        <v>-0.17620463640239947</v>
      </c>
      <c r="P82" s="35">
        <f t="shared" si="61"/>
        <v>-0.20227179986904709</v>
      </c>
      <c r="Q82" s="35">
        <f t="shared" si="61"/>
        <v>-0.23007005756634502</v>
      </c>
      <c r="R82" s="35">
        <f t="shared" si="61"/>
        <v>-0.25936976520417598</v>
      </c>
      <c r="S82" s="35">
        <f t="shared" si="61"/>
        <v>-0.28954456096728087</v>
      </c>
      <c r="T82" s="35">
        <f t="shared" si="61"/>
        <v>-0.32084666830050068</v>
      </c>
      <c r="U82" s="35">
        <f t="shared" si="61"/>
        <v>-0.35298625509709858</v>
      </c>
      <c r="V82" s="35">
        <f t="shared" si="61"/>
        <v>-0.38565457349057919</v>
      </c>
      <c r="W82" s="77">
        <f t="shared" si="61"/>
        <v>-0.41853473920050455</v>
      </c>
      <c r="X82" s="35">
        <f t="shared" si="61"/>
        <v>0.52196703164484326</v>
      </c>
      <c r="Y82" s="35">
        <f t="shared" si="61"/>
        <v>0.49008856520602606</v>
      </c>
      <c r="Z82" s="35">
        <f t="shared" si="61"/>
        <v>0.45923979988828911</v>
      </c>
      <c r="AA82" s="35">
        <f t="shared" si="61"/>
        <v>0.42970007372891139</v>
      </c>
      <c r="AB82" s="35">
        <f t="shared" si="61"/>
        <v>0.40169310035966799</v>
      </c>
      <c r="AC82" s="35">
        <f t="shared" si="61"/>
        <v>0.37399700129332469</v>
      </c>
      <c r="AD82" s="35">
        <f t="shared" si="61"/>
        <v>0.34783464066951986</v>
      </c>
      <c r="AE82" s="35">
        <f t="shared" si="61"/>
        <v>0.32333636177368508</v>
      </c>
      <c r="AF82" s="35">
        <f t="shared" si="61"/>
        <v>0.30058459795294645</v>
      </c>
      <c r="AG82" s="35">
        <f t="shared" si="61"/>
        <v>0.27961750294400733</v>
      </c>
      <c r="AH82" s="35">
        <f t="shared" si="61"/>
        <v>0.2585393767299049</v>
      </c>
      <c r="AI82" s="35">
        <f t="shared" si="61"/>
        <v>0.23912948715137938</v>
      </c>
      <c r="AJ82" s="35">
        <f t="shared" si="61"/>
        <v>0.2213822414040556</v>
      </c>
      <c r="AK82" s="35">
        <f t="shared" si="61"/>
        <v>0.20526351267076137</v>
      </c>
      <c r="AL82" s="35">
        <f t="shared" si="61"/>
        <v>0.19071629011192526</v>
      </c>
      <c r="AM82" s="35">
        <f t="shared" si="61"/>
        <v>0.17568634887221712</v>
      </c>
      <c r="AN82" s="35">
        <f t="shared" si="61"/>
        <v>0.16210877324980277</v>
      </c>
      <c r="AO82" s="35">
        <f t="shared" si="61"/>
        <v>0.14991682752807378</v>
      </c>
      <c r="AP82" s="35">
        <f t="shared" si="61"/>
        <v>0.13903225115719509</v>
      </c>
      <c r="AQ82" s="35">
        <f t="shared" si="61"/>
        <v>0.12936955878665168</v>
      </c>
    </row>
    <row r="83" spans="1:43" ht="10.15" customHeight="1">
      <c r="A83" s="31">
        <f>A81+$C$12</f>
        <v>50.749999999999957</v>
      </c>
      <c r="B83" s="31" t="s">
        <v>71</v>
      </c>
      <c r="C83" s="32">
        <f t="shared" ref="C83:AQ83" si="62">EBlackScholesForward("p",C$20,$A$83,C$22,$C$6,$C$6,$C$7,C$21)</f>
        <v>5.44106802604164E-2</v>
      </c>
      <c r="D83" s="32">
        <f t="shared" si="62"/>
        <v>7.7580038122357295E-2</v>
      </c>
      <c r="E83" s="32">
        <f t="shared" si="62"/>
        <v>0.10867994196976065</v>
      </c>
      <c r="F83" s="32">
        <f t="shared" si="62"/>
        <v>0.14969303322588201</v>
      </c>
      <c r="G83" s="32">
        <f t="shared" si="62"/>
        <v>0.20286334022767</v>
      </c>
      <c r="H83" s="32">
        <f t="shared" si="62"/>
        <v>0.27066732769754637</v>
      </c>
      <c r="I83" s="32">
        <f t="shared" si="62"/>
        <v>0.35068620158877817</v>
      </c>
      <c r="J83" s="32">
        <f t="shared" si="62"/>
        <v>0.44896904875504728</v>
      </c>
      <c r="K83" s="32">
        <f t="shared" si="62"/>
        <v>0.56817601207014368</v>
      </c>
      <c r="L83" s="32">
        <f t="shared" si="62"/>
        <v>0.71100095736738611</v>
      </c>
      <c r="M83" s="32">
        <f t="shared" si="62"/>
        <v>0.88009685738308174</v>
      </c>
      <c r="N83" s="32">
        <f t="shared" si="62"/>
        <v>1.0680520550271022</v>
      </c>
      <c r="O83" s="32">
        <f t="shared" si="62"/>
        <v>1.2851424860784226</v>
      </c>
      <c r="P83" s="32">
        <f t="shared" si="62"/>
        <v>1.5335344205480572</v>
      </c>
      <c r="Q83" s="32">
        <f t="shared" si="62"/>
        <v>1.81514198428925</v>
      </c>
      <c r="R83" s="32">
        <f t="shared" si="62"/>
        <v>2.1315690460823618</v>
      </c>
      <c r="S83" s="32">
        <f t="shared" si="62"/>
        <v>2.4696696477944777</v>
      </c>
      <c r="T83" s="32">
        <f t="shared" si="62"/>
        <v>2.8433810375524291</v>
      </c>
      <c r="U83" s="32">
        <f t="shared" si="62"/>
        <v>3.2534749832766483</v>
      </c>
      <c r="V83" s="32">
        <f t="shared" si="62"/>
        <v>3.7003435124717217</v>
      </c>
      <c r="W83" s="76">
        <f t="shared" si="62"/>
        <v>4.1839933106942553</v>
      </c>
      <c r="X83" s="32">
        <f t="shared" si="62"/>
        <v>4.47731632039459</v>
      </c>
      <c r="Y83" s="32">
        <f t="shared" si="62"/>
        <v>4.0799832153548055</v>
      </c>
      <c r="Z83" s="32">
        <f t="shared" si="62"/>
        <v>3.7204006393253359</v>
      </c>
      <c r="AA83" s="32">
        <f t="shared" si="62"/>
        <v>3.3968030420848105</v>
      </c>
      <c r="AB83" s="32">
        <f t="shared" si="62"/>
        <v>3.1071477201046336</v>
      </c>
      <c r="AC83" s="32">
        <f t="shared" si="62"/>
        <v>2.8173363956143578</v>
      </c>
      <c r="AD83" s="32">
        <f t="shared" si="62"/>
        <v>2.5582938652953158</v>
      </c>
      <c r="AE83" s="32">
        <f t="shared" si="62"/>
        <v>2.3279098139090082</v>
      </c>
      <c r="AF83" s="32">
        <f t="shared" si="62"/>
        <v>2.1239933665918973</v>
      </c>
      <c r="AG83" s="32">
        <f t="shared" si="62"/>
        <v>1.9443366307749528</v>
      </c>
      <c r="AH83" s="32">
        <f t="shared" si="62"/>
        <v>1.7593441137673598</v>
      </c>
      <c r="AI83" s="32">
        <f t="shared" si="62"/>
        <v>1.5964031801087131</v>
      </c>
      <c r="AJ83" s="32">
        <f t="shared" si="62"/>
        <v>1.4535104631192788</v>
      </c>
      <c r="AK83" s="32">
        <f t="shared" si="62"/>
        <v>1.3287351113390062</v>
      </c>
      <c r="AL83" s="32">
        <f t="shared" si="62"/>
        <v>1.220249787302925</v>
      </c>
      <c r="AM83" s="32">
        <f t="shared" si="62"/>
        <v>1.104309604532222</v>
      </c>
      <c r="AN83" s="32">
        <f t="shared" si="62"/>
        <v>1.0034126745215841</v>
      </c>
      <c r="AO83" s="32">
        <f t="shared" si="62"/>
        <v>0.91596321748106035</v>
      </c>
      <c r="AP83" s="32">
        <f t="shared" si="62"/>
        <v>0.84048867887738288</v>
      </c>
      <c r="AQ83" s="32">
        <f t="shared" si="62"/>
        <v>0.77564836458568476</v>
      </c>
    </row>
    <row r="84" spans="1:43" ht="10.15" customHeight="1" outlineLevel="1">
      <c r="A84" s="33"/>
      <c r="B84" s="31" t="s">
        <v>74</v>
      </c>
      <c r="C84" s="32">
        <f t="shared" ref="C84:AQ84" si="63">EBlackScholesForward($FA$3,C$20,$A$83,C$22,$C$6,$C$6,$C$7,C$21)</f>
        <v>-1.162570908157419E-2</v>
      </c>
      <c r="D84" s="32">
        <f t="shared" si="63"/>
        <v>-1.6004596212912392E-2</v>
      </c>
      <c r="E84" s="32">
        <f t="shared" si="63"/>
        <v>-2.1621518653444638E-2</v>
      </c>
      <c r="F84" s="32">
        <f t="shared" si="63"/>
        <v>-2.8685706502035169E-2</v>
      </c>
      <c r="G84" s="32">
        <f t="shared" si="63"/>
        <v>-3.7401277055462701E-2</v>
      </c>
      <c r="H84" s="32">
        <f t="shared" si="63"/>
        <v>-4.7955685795361691E-2</v>
      </c>
      <c r="I84" s="32">
        <f t="shared" si="63"/>
        <v>-5.9971446052803357E-2</v>
      </c>
      <c r="J84" s="32">
        <f t="shared" si="63"/>
        <v>-7.4016741609853054E-2</v>
      </c>
      <c r="K84" s="32">
        <f t="shared" si="63"/>
        <v>-9.0190895488279077E-2</v>
      </c>
      <c r="L84" s="32">
        <f t="shared" si="63"/>
        <v>-0.10854537257684038</v>
      </c>
      <c r="M84" s="32">
        <f t="shared" si="63"/>
        <v>-0.12907694328407882</v>
      </c>
      <c r="N84" s="32">
        <f t="shared" si="63"/>
        <v>-0.15108861273679386</v>
      </c>
      <c r="O84" s="32">
        <f t="shared" si="63"/>
        <v>-0.17514316497995175</v>
      </c>
      <c r="P84" s="32">
        <f t="shared" si="63"/>
        <v>-0.20111376614777576</v>
      </c>
      <c r="Q84" s="32">
        <f t="shared" si="63"/>
        <v>-0.22882074145065268</v>
      </c>
      <c r="R84" s="32">
        <f t="shared" si="63"/>
        <v>-0.25803653942928495</v>
      </c>
      <c r="S84" s="32">
        <f t="shared" si="63"/>
        <v>-0.28813240961937936</v>
      </c>
      <c r="T84" s="32">
        <f t="shared" si="63"/>
        <v>-0.31936523013718077</v>
      </c>
      <c r="U84" s="32">
        <f t="shared" si="63"/>
        <v>-0.35144662515547154</v>
      </c>
      <c r="V84" s="32">
        <f t="shared" si="63"/>
        <v>-0.3840689392904828</v>
      </c>
      <c r="W84" s="78">
        <f t="shared" si="63"/>
        <v>-0.41691597297979222</v>
      </c>
      <c r="X84" s="32">
        <f t="shared" si="63"/>
        <v>0.52359980112610671</v>
      </c>
      <c r="Y84" s="32">
        <f t="shared" si="63"/>
        <v>0.49172130482828535</v>
      </c>
      <c r="Z84" s="32">
        <f t="shared" si="63"/>
        <v>0.46085951728107588</v>
      </c>
      <c r="AA84" s="32">
        <f t="shared" si="63"/>
        <v>0.43129521504663426</v>
      </c>
      <c r="AB84" s="32">
        <f t="shared" si="63"/>
        <v>0.40325382041865865</v>
      </c>
      <c r="AC84" s="32">
        <f t="shared" si="63"/>
        <v>0.37552431821195054</v>
      </c>
      <c r="AD84" s="32">
        <f t="shared" si="63"/>
        <v>0.34932049132203602</v>
      </c>
      <c r="AE84" s="32">
        <f t="shared" si="63"/>
        <v>0.32477433979822834</v>
      </c>
      <c r="AF84" s="32">
        <f t="shared" si="63"/>
        <v>0.30196996111697683</v>
      </c>
      <c r="AG84" s="32">
        <f t="shared" si="63"/>
        <v>0.28094709911516969</v>
      </c>
      <c r="AH84" s="32">
        <f t="shared" si="63"/>
        <v>0.25981550260699704</v>
      </c>
      <c r="AI84" s="32">
        <f t="shared" si="63"/>
        <v>0.24034978891053216</v>
      </c>
      <c r="AJ84" s="32">
        <f t="shared" si="63"/>
        <v>0.22254563972353703</v>
      </c>
      <c r="AK84" s="32">
        <f t="shared" si="63"/>
        <v>0.20637005333504765</v>
      </c>
      <c r="AL84" s="32">
        <f t="shared" si="63"/>
        <v>0.19176697185410152</v>
      </c>
      <c r="AM84" s="32">
        <f t="shared" si="63"/>
        <v>0.17668258346864585</v>
      </c>
      <c r="AN84" s="32">
        <f t="shared" si="63"/>
        <v>0.16305162359654402</v>
      </c>
      <c r="AO84" s="32">
        <f t="shared" si="63"/>
        <v>0.15080806251248635</v>
      </c>
      <c r="AP84" s="32">
        <f t="shared" si="63"/>
        <v>0.13987419221632158</v>
      </c>
      <c r="AQ84" s="32">
        <f t="shared" si="63"/>
        <v>0.13016493349859437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8" r:id="rId4" name="Drop Down 2">
              <controlPr locked="0" defaultSize="0" autoLine="0" autoPict="0">
                <anchor moveWithCells="1">
                  <from>
                    <xdr:col>6</xdr:col>
                    <xdr:colOff>47625</xdr:colOff>
                    <xdr:row>13</xdr:row>
                    <xdr:rowOff>95250</xdr:rowOff>
                  </from>
                  <to>
                    <xdr:col>7</xdr:col>
                    <xdr:colOff>323850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64"/>
  <sheetViews>
    <sheetView workbookViewId="0">
      <selection activeCell="D37" sqref="D37"/>
    </sheetView>
  </sheetViews>
  <sheetFormatPr defaultRowHeight="12"/>
  <cols>
    <col min="1" max="1" width="19.5703125" customWidth="1"/>
    <col min="2" max="2" width="0.7109375" customWidth="1"/>
    <col min="3" max="4" width="10.28515625" bestFit="1" customWidth="1"/>
    <col min="5" max="5" width="10" bestFit="1" customWidth="1"/>
    <col min="7" max="8" width="11" bestFit="1" customWidth="1"/>
    <col min="10" max="10" width="11.140625" bestFit="1" customWidth="1"/>
  </cols>
  <sheetData>
    <row r="1" spans="1:17">
      <c r="A1" s="8" t="s">
        <v>23</v>
      </c>
      <c r="B1" s="8"/>
    </row>
    <row r="2" spans="1:17">
      <c r="E2" s="15"/>
      <c r="F2" s="15"/>
    </row>
    <row r="3" spans="1:17" s="10" customFormat="1" ht="12.75" thickBot="1">
      <c r="A3" s="39" t="s">
        <v>56</v>
      </c>
      <c r="B3" s="39"/>
      <c r="C3" s="39" t="s">
        <v>24</v>
      </c>
      <c r="D3" s="39" t="s">
        <v>25</v>
      </c>
      <c r="E3" s="39" t="s">
        <v>62</v>
      </c>
      <c r="F3" s="39" t="s">
        <v>63</v>
      </c>
      <c r="G3" s="40" t="s">
        <v>57</v>
      </c>
      <c r="H3" s="40" t="s">
        <v>58</v>
      </c>
      <c r="I3" s="9"/>
      <c r="J3" s="9"/>
      <c r="K3" s="9"/>
      <c r="L3" s="9"/>
      <c r="M3" s="9"/>
      <c r="N3" s="9"/>
      <c r="O3" s="9"/>
      <c r="P3" s="9"/>
      <c r="Q3" s="9"/>
    </row>
    <row r="4" spans="1:17">
      <c r="A4" s="45">
        <v>39508</v>
      </c>
      <c r="B4" s="58"/>
      <c r="C4" s="46" t="s">
        <v>27</v>
      </c>
      <c r="D4" s="47">
        <v>39504</v>
      </c>
      <c r="E4" s="46">
        <v>744</v>
      </c>
      <c r="F4" s="46">
        <f t="shared" ref="F4:F37" si="0">E4/24</f>
        <v>31</v>
      </c>
      <c r="G4" s="48">
        <v>39508</v>
      </c>
      <c r="H4" s="49">
        <f>G4+F4-1</f>
        <v>39538</v>
      </c>
      <c r="I4" s="5"/>
      <c r="J4" s="5"/>
      <c r="K4" s="5"/>
      <c r="L4" s="5"/>
      <c r="M4" s="5"/>
      <c r="N4" s="5"/>
      <c r="O4" s="5"/>
      <c r="P4" s="5"/>
      <c r="Q4" s="5"/>
    </row>
    <row r="5" spans="1:17" ht="12.75">
      <c r="A5" s="50">
        <v>39539</v>
      </c>
      <c r="B5" s="59"/>
      <c r="C5" s="41" t="s">
        <v>30</v>
      </c>
      <c r="D5" s="42">
        <v>39533</v>
      </c>
      <c r="E5" s="41">
        <v>720</v>
      </c>
      <c r="F5" s="41">
        <f t="shared" si="0"/>
        <v>30</v>
      </c>
      <c r="G5" s="43">
        <v>39539</v>
      </c>
      <c r="H5" s="51">
        <f t="shared" ref="H5:H37" si="1">G5+F5-1</f>
        <v>39568</v>
      </c>
      <c r="I5" s="7"/>
      <c r="J5" s="7"/>
      <c r="K5" s="7"/>
      <c r="L5" s="7"/>
      <c r="M5" s="7"/>
      <c r="N5" s="7"/>
      <c r="O5" s="7"/>
      <c r="P5" s="7"/>
      <c r="Q5" s="7"/>
    </row>
    <row r="6" spans="1:17">
      <c r="A6" s="50">
        <v>39569</v>
      </c>
      <c r="B6" s="59"/>
      <c r="C6" s="41" t="s">
        <v>28</v>
      </c>
      <c r="D6" s="42">
        <v>39563</v>
      </c>
      <c r="E6" s="41">
        <v>744</v>
      </c>
      <c r="F6" s="41">
        <f t="shared" si="0"/>
        <v>31</v>
      </c>
      <c r="G6" s="43">
        <v>39569</v>
      </c>
      <c r="H6" s="51">
        <f t="shared" si="1"/>
        <v>39599</v>
      </c>
      <c r="I6" s="5"/>
      <c r="J6" s="5"/>
      <c r="K6" s="5"/>
      <c r="L6" s="5"/>
      <c r="M6" s="5"/>
      <c r="N6" s="5"/>
      <c r="O6" s="5"/>
      <c r="P6" s="5"/>
      <c r="Q6" s="5"/>
    </row>
    <row r="7" spans="1:17" ht="12.75">
      <c r="A7" s="50">
        <v>39600</v>
      </c>
      <c r="B7" s="59"/>
      <c r="C7" s="41" t="s">
        <v>27</v>
      </c>
      <c r="D7" s="42">
        <v>39595</v>
      </c>
      <c r="E7" s="41">
        <v>720</v>
      </c>
      <c r="F7" s="41">
        <f t="shared" si="0"/>
        <v>30</v>
      </c>
      <c r="G7" s="43">
        <v>39600</v>
      </c>
      <c r="H7" s="51">
        <f t="shared" si="1"/>
        <v>39629</v>
      </c>
      <c r="I7" s="7"/>
      <c r="J7" s="5"/>
      <c r="K7" s="5"/>
      <c r="L7" s="5"/>
      <c r="M7" s="5"/>
      <c r="N7" s="5"/>
      <c r="O7" s="5"/>
      <c r="P7" s="5"/>
      <c r="Q7" s="5"/>
    </row>
    <row r="8" spans="1:17">
      <c r="A8" s="50">
        <v>39630</v>
      </c>
      <c r="B8" s="59"/>
      <c r="C8" s="41" t="s">
        <v>30</v>
      </c>
      <c r="D8" s="42">
        <v>39624</v>
      </c>
      <c r="E8" s="41">
        <v>744</v>
      </c>
      <c r="F8" s="41">
        <f t="shared" si="0"/>
        <v>31</v>
      </c>
      <c r="G8" s="43">
        <v>39630</v>
      </c>
      <c r="H8" s="51">
        <f t="shared" si="1"/>
        <v>39660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0">
        <v>39661</v>
      </c>
      <c r="B9" s="59"/>
      <c r="C9" s="41" t="s">
        <v>29</v>
      </c>
      <c r="D9" s="42">
        <v>39657</v>
      </c>
      <c r="E9" s="41">
        <v>744</v>
      </c>
      <c r="F9" s="41">
        <f t="shared" si="0"/>
        <v>31</v>
      </c>
      <c r="G9" s="43">
        <v>39661</v>
      </c>
      <c r="H9" s="51">
        <f t="shared" si="1"/>
        <v>39691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0">
        <v>39692</v>
      </c>
      <c r="B10" s="59"/>
      <c r="C10" s="41" t="s">
        <v>27</v>
      </c>
      <c r="D10" s="42">
        <v>39686</v>
      </c>
      <c r="E10" s="41">
        <v>720</v>
      </c>
      <c r="F10" s="41">
        <f t="shared" si="0"/>
        <v>30</v>
      </c>
      <c r="G10" s="43">
        <v>39692</v>
      </c>
      <c r="H10" s="51">
        <f t="shared" si="1"/>
        <v>39721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0">
        <v>39722</v>
      </c>
      <c r="B11" s="59"/>
      <c r="C11" s="41" t="s">
        <v>26</v>
      </c>
      <c r="D11" s="42">
        <v>39716</v>
      </c>
      <c r="E11" s="41">
        <v>744</v>
      </c>
      <c r="F11" s="41">
        <f t="shared" si="0"/>
        <v>31</v>
      </c>
      <c r="G11" s="43">
        <v>39722</v>
      </c>
      <c r="H11" s="51">
        <f t="shared" si="1"/>
        <v>39752</v>
      </c>
    </row>
    <row r="12" spans="1:17">
      <c r="A12" s="50">
        <v>39753</v>
      </c>
      <c r="B12" s="59"/>
      <c r="C12" s="41" t="s">
        <v>27</v>
      </c>
      <c r="D12" s="42">
        <v>39749</v>
      </c>
      <c r="E12" s="41">
        <v>720</v>
      </c>
      <c r="F12" s="41">
        <f t="shared" si="0"/>
        <v>30</v>
      </c>
      <c r="G12" s="43">
        <v>39753</v>
      </c>
      <c r="H12" s="51">
        <f t="shared" si="1"/>
        <v>39782</v>
      </c>
    </row>
    <row r="13" spans="1:17">
      <c r="A13" s="50">
        <v>39783</v>
      </c>
      <c r="B13" s="59"/>
      <c r="C13" s="41" t="s">
        <v>27</v>
      </c>
      <c r="D13" s="42">
        <v>39777</v>
      </c>
      <c r="E13" s="41">
        <v>744</v>
      </c>
      <c r="F13" s="41">
        <f t="shared" si="0"/>
        <v>31</v>
      </c>
      <c r="G13" s="43">
        <v>39783</v>
      </c>
      <c r="H13" s="51">
        <f t="shared" si="1"/>
        <v>39813</v>
      </c>
    </row>
    <row r="14" spans="1:17">
      <c r="A14" s="50">
        <v>39814</v>
      </c>
      <c r="B14" s="59"/>
      <c r="C14" s="41" t="s">
        <v>26</v>
      </c>
      <c r="D14" s="42">
        <v>39797</v>
      </c>
      <c r="E14" s="41">
        <v>744</v>
      </c>
      <c r="F14" s="41">
        <f t="shared" si="0"/>
        <v>31</v>
      </c>
      <c r="G14" s="43">
        <v>39814</v>
      </c>
      <c r="H14" s="51">
        <f t="shared" si="1"/>
        <v>39844</v>
      </c>
    </row>
    <row r="15" spans="1:17">
      <c r="A15" s="50">
        <v>39845</v>
      </c>
      <c r="B15" s="59"/>
      <c r="C15" s="41" t="s">
        <v>27</v>
      </c>
      <c r="D15" s="42">
        <v>39840</v>
      </c>
      <c r="E15" s="41">
        <v>672</v>
      </c>
      <c r="F15" s="41">
        <f t="shared" si="0"/>
        <v>28</v>
      </c>
      <c r="G15" s="43">
        <v>39845</v>
      </c>
      <c r="H15" s="51">
        <f t="shared" si="1"/>
        <v>39872</v>
      </c>
    </row>
    <row r="16" spans="1:17">
      <c r="A16" s="50">
        <v>39873</v>
      </c>
      <c r="B16" s="59"/>
      <c r="C16" s="41" t="s">
        <v>27</v>
      </c>
      <c r="D16" s="42">
        <v>39868</v>
      </c>
      <c r="E16" s="41">
        <v>744</v>
      </c>
      <c r="F16" s="41">
        <f t="shared" si="0"/>
        <v>31</v>
      </c>
      <c r="G16" s="43">
        <v>39873</v>
      </c>
      <c r="H16" s="51">
        <f t="shared" si="1"/>
        <v>39903</v>
      </c>
    </row>
    <row r="17" spans="1:8">
      <c r="A17" s="50">
        <v>39904</v>
      </c>
      <c r="B17" s="59"/>
      <c r="C17" s="41" t="s">
        <v>26</v>
      </c>
      <c r="D17" s="42">
        <v>39898</v>
      </c>
      <c r="E17" s="41">
        <v>720</v>
      </c>
      <c r="F17" s="41">
        <f t="shared" si="0"/>
        <v>30</v>
      </c>
      <c r="G17" s="43">
        <v>39904</v>
      </c>
      <c r="H17" s="51">
        <f t="shared" si="1"/>
        <v>39933</v>
      </c>
    </row>
    <row r="18" spans="1:8">
      <c r="A18" s="50">
        <v>39934</v>
      </c>
      <c r="B18" s="59"/>
      <c r="C18" s="41" t="s">
        <v>29</v>
      </c>
      <c r="D18" s="42">
        <v>39930</v>
      </c>
      <c r="E18" s="41">
        <v>744</v>
      </c>
      <c r="F18" s="41">
        <f t="shared" si="0"/>
        <v>31</v>
      </c>
      <c r="G18" s="43">
        <v>39934</v>
      </c>
      <c r="H18" s="51">
        <f t="shared" si="1"/>
        <v>39964</v>
      </c>
    </row>
    <row r="19" spans="1:8">
      <c r="A19" s="50">
        <v>39965</v>
      </c>
      <c r="B19" s="59"/>
      <c r="C19" s="41" t="s">
        <v>27</v>
      </c>
      <c r="D19" s="42">
        <v>39959</v>
      </c>
      <c r="E19" s="41">
        <v>720</v>
      </c>
      <c r="F19" s="41">
        <f t="shared" si="0"/>
        <v>30</v>
      </c>
      <c r="G19" s="43">
        <v>39965</v>
      </c>
      <c r="H19" s="51">
        <f t="shared" si="1"/>
        <v>39994</v>
      </c>
    </row>
    <row r="20" spans="1:8">
      <c r="A20" s="50">
        <v>39995</v>
      </c>
      <c r="B20" s="59"/>
      <c r="C20" s="41" t="s">
        <v>26</v>
      </c>
      <c r="D20" s="42">
        <v>39989</v>
      </c>
      <c r="E20" s="41">
        <v>744</v>
      </c>
      <c r="F20" s="41">
        <f t="shared" si="0"/>
        <v>31</v>
      </c>
      <c r="G20" s="43">
        <v>39995</v>
      </c>
      <c r="H20" s="51">
        <f t="shared" si="1"/>
        <v>40025</v>
      </c>
    </row>
    <row r="21" spans="1:8">
      <c r="A21" s="50">
        <v>40026</v>
      </c>
      <c r="B21" s="59"/>
      <c r="C21" s="41" t="s">
        <v>27</v>
      </c>
      <c r="D21" s="42">
        <v>40022</v>
      </c>
      <c r="E21" s="41">
        <v>744</v>
      </c>
      <c r="F21" s="41">
        <f t="shared" si="0"/>
        <v>31</v>
      </c>
      <c r="G21" s="43">
        <v>40026</v>
      </c>
      <c r="H21" s="51">
        <f t="shared" si="1"/>
        <v>40056</v>
      </c>
    </row>
    <row r="22" spans="1:8">
      <c r="A22" s="50">
        <v>40057</v>
      </c>
      <c r="B22" s="59"/>
      <c r="C22" s="41" t="s">
        <v>30</v>
      </c>
      <c r="D22" s="44" t="s">
        <v>31</v>
      </c>
      <c r="E22" s="41">
        <v>720</v>
      </c>
      <c r="F22" s="41">
        <f t="shared" si="0"/>
        <v>30</v>
      </c>
      <c r="G22" s="43">
        <v>40057</v>
      </c>
      <c r="H22" s="51">
        <f t="shared" si="1"/>
        <v>40086</v>
      </c>
    </row>
    <row r="23" spans="1:8">
      <c r="A23" s="50">
        <v>40087</v>
      </c>
      <c r="B23" s="59"/>
      <c r="C23" s="41" t="s">
        <v>28</v>
      </c>
      <c r="D23" s="42">
        <v>40081</v>
      </c>
      <c r="E23" s="41">
        <v>744</v>
      </c>
      <c r="F23" s="41">
        <f t="shared" si="0"/>
        <v>31</v>
      </c>
      <c r="G23" s="43">
        <v>40087</v>
      </c>
      <c r="H23" s="51">
        <f t="shared" si="1"/>
        <v>40117</v>
      </c>
    </row>
    <row r="24" spans="1:8">
      <c r="A24" s="50">
        <v>40118</v>
      </c>
      <c r="B24" s="59"/>
      <c r="C24" s="41" t="s">
        <v>27</v>
      </c>
      <c r="D24" s="42">
        <v>40113</v>
      </c>
      <c r="E24" s="41">
        <v>720</v>
      </c>
      <c r="F24" s="41">
        <f t="shared" si="0"/>
        <v>30</v>
      </c>
      <c r="G24" s="43">
        <v>40118</v>
      </c>
      <c r="H24" s="51">
        <f t="shared" si="1"/>
        <v>40147</v>
      </c>
    </row>
    <row r="25" spans="1:8">
      <c r="A25" s="50">
        <v>40148</v>
      </c>
      <c r="B25" s="59"/>
      <c r="C25" s="41" t="s">
        <v>30</v>
      </c>
      <c r="D25" s="42">
        <v>40142</v>
      </c>
      <c r="E25" s="41">
        <v>744</v>
      </c>
      <c r="F25" s="41">
        <f t="shared" si="0"/>
        <v>31</v>
      </c>
      <c r="G25" s="43">
        <v>40148</v>
      </c>
      <c r="H25" s="51">
        <f t="shared" si="1"/>
        <v>40178</v>
      </c>
    </row>
    <row r="26" spans="1:8">
      <c r="A26" s="50">
        <v>40179</v>
      </c>
      <c r="B26" s="59"/>
      <c r="C26" s="41" t="s">
        <v>26</v>
      </c>
      <c r="D26" s="42">
        <v>40164</v>
      </c>
      <c r="E26" s="41">
        <v>744</v>
      </c>
      <c r="F26" s="41">
        <v>31</v>
      </c>
      <c r="G26" s="43">
        <v>39814</v>
      </c>
      <c r="H26" s="51">
        <f>G26+F26-1</f>
        <v>39844</v>
      </c>
    </row>
    <row r="27" spans="1:8">
      <c r="A27" s="52" t="s">
        <v>19</v>
      </c>
      <c r="B27" s="60"/>
      <c r="C27" s="41" t="s">
        <v>30</v>
      </c>
      <c r="D27" s="42">
        <v>39533</v>
      </c>
      <c r="E27" s="41">
        <v>2184</v>
      </c>
      <c r="F27" s="41">
        <f t="shared" si="0"/>
        <v>91</v>
      </c>
      <c r="G27" s="43">
        <v>39539</v>
      </c>
      <c r="H27" s="51">
        <f t="shared" si="1"/>
        <v>39629</v>
      </c>
    </row>
    <row r="28" spans="1:8">
      <c r="A28" s="52" t="s">
        <v>20</v>
      </c>
      <c r="B28" s="60"/>
      <c r="C28" s="41" t="s">
        <v>30</v>
      </c>
      <c r="D28" s="42">
        <v>39624</v>
      </c>
      <c r="E28" s="41">
        <v>2208</v>
      </c>
      <c r="F28" s="41">
        <f t="shared" si="0"/>
        <v>92</v>
      </c>
      <c r="G28" s="43">
        <v>39630</v>
      </c>
      <c r="H28" s="51">
        <f t="shared" si="1"/>
        <v>39721</v>
      </c>
    </row>
    <row r="29" spans="1:8">
      <c r="A29" s="52" t="s">
        <v>21</v>
      </c>
      <c r="B29" s="60"/>
      <c r="C29" s="41" t="s">
        <v>26</v>
      </c>
      <c r="D29" s="42">
        <v>39716</v>
      </c>
      <c r="E29" s="41">
        <v>2208</v>
      </c>
      <c r="F29" s="41">
        <f t="shared" si="0"/>
        <v>92</v>
      </c>
      <c r="G29" s="43">
        <v>39722</v>
      </c>
      <c r="H29" s="51">
        <f t="shared" si="1"/>
        <v>39813</v>
      </c>
    </row>
    <row r="30" spans="1:8">
      <c r="A30" s="52" t="s">
        <v>32</v>
      </c>
      <c r="B30" s="60"/>
      <c r="C30" s="41" t="s">
        <v>26</v>
      </c>
      <c r="D30" s="42">
        <v>39800</v>
      </c>
      <c r="E30" s="41">
        <v>2160</v>
      </c>
      <c r="F30" s="41">
        <f t="shared" si="0"/>
        <v>90</v>
      </c>
      <c r="G30" s="43">
        <v>39814</v>
      </c>
      <c r="H30" s="51">
        <f t="shared" si="1"/>
        <v>39903</v>
      </c>
    </row>
    <row r="31" spans="1:8">
      <c r="A31" s="52" t="s">
        <v>33</v>
      </c>
      <c r="B31" s="60"/>
      <c r="C31" s="41" t="s">
        <v>26</v>
      </c>
      <c r="D31" s="42">
        <v>39898</v>
      </c>
      <c r="E31" s="41">
        <v>2184</v>
      </c>
      <c r="F31" s="41">
        <f t="shared" si="0"/>
        <v>91</v>
      </c>
      <c r="G31" s="43">
        <v>39904</v>
      </c>
      <c r="H31" s="51">
        <f t="shared" si="1"/>
        <v>39994</v>
      </c>
    </row>
    <row r="32" spans="1:8">
      <c r="A32" s="52" t="s">
        <v>34</v>
      </c>
      <c r="B32" s="60"/>
      <c r="C32" s="41" t="s">
        <v>26</v>
      </c>
      <c r="D32" s="42">
        <v>39989</v>
      </c>
      <c r="E32" s="41">
        <v>2208</v>
      </c>
      <c r="F32" s="41">
        <f t="shared" si="0"/>
        <v>92</v>
      </c>
      <c r="G32" s="43">
        <v>39995</v>
      </c>
      <c r="H32" s="51">
        <f t="shared" si="1"/>
        <v>40086</v>
      </c>
    </row>
    <row r="33" spans="1:8">
      <c r="A33" s="52" t="s">
        <v>35</v>
      </c>
      <c r="B33" s="60"/>
      <c r="C33" s="41" t="s">
        <v>28</v>
      </c>
      <c r="D33" s="42">
        <v>40081</v>
      </c>
      <c r="E33" s="41">
        <v>2208</v>
      </c>
      <c r="F33" s="41">
        <f t="shared" si="0"/>
        <v>92</v>
      </c>
      <c r="G33" s="43">
        <v>40087</v>
      </c>
      <c r="H33" s="51">
        <f t="shared" si="1"/>
        <v>40178</v>
      </c>
    </row>
    <row r="34" spans="1:8">
      <c r="A34" s="52" t="s">
        <v>18</v>
      </c>
      <c r="B34" s="60"/>
      <c r="C34" s="41" t="s">
        <v>26</v>
      </c>
      <c r="D34" s="42">
        <v>39793</v>
      </c>
      <c r="E34" s="41">
        <v>8760</v>
      </c>
      <c r="F34" s="41">
        <f t="shared" si="0"/>
        <v>365</v>
      </c>
      <c r="G34" s="43">
        <v>39814</v>
      </c>
      <c r="H34" s="51">
        <f t="shared" si="1"/>
        <v>40178</v>
      </c>
    </row>
    <row r="35" spans="1:8">
      <c r="A35" s="52" t="s">
        <v>22</v>
      </c>
      <c r="B35" s="60"/>
      <c r="C35" s="41" t="s">
        <v>26</v>
      </c>
      <c r="D35" s="42">
        <v>40157</v>
      </c>
      <c r="E35" s="41">
        <v>8760</v>
      </c>
      <c r="F35" s="41">
        <f t="shared" si="0"/>
        <v>365</v>
      </c>
      <c r="G35" s="43">
        <v>40179</v>
      </c>
      <c r="H35" s="51">
        <f t="shared" si="1"/>
        <v>40543</v>
      </c>
    </row>
    <row r="36" spans="1:8">
      <c r="A36" s="52" t="s">
        <v>36</v>
      </c>
      <c r="B36" s="60"/>
      <c r="C36" s="41" t="s">
        <v>26</v>
      </c>
      <c r="D36" s="42">
        <v>40521</v>
      </c>
      <c r="E36" s="41">
        <v>8760</v>
      </c>
      <c r="F36" s="41">
        <f t="shared" si="0"/>
        <v>365</v>
      </c>
      <c r="G36" s="43">
        <v>40544</v>
      </c>
      <c r="H36" s="51">
        <f t="shared" si="1"/>
        <v>40908</v>
      </c>
    </row>
    <row r="37" spans="1:8">
      <c r="A37" s="52" t="s">
        <v>37</v>
      </c>
      <c r="B37" s="60"/>
      <c r="C37" s="41" t="s">
        <v>26</v>
      </c>
      <c r="D37" s="42">
        <v>40885</v>
      </c>
      <c r="E37" s="41">
        <v>8784</v>
      </c>
      <c r="F37" s="41">
        <f t="shared" si="0"/>
        <v>366</v>
      </c>
      <c r="G37" s="43">
        <v>40909</v>
      </c>
      <c r="H37" s="51">
        <f t="shared" si="1"/>
        <v>41274</v>
      </c>
    </row>
    <row r="38" spans="1:8">
      <c r="A38" s="52" t="s">
        <v>38</v>
      </c>
      <c r="B38" s="60"/>
      <c r="C38" s="41" t="s">
        <v>30</v>
      </c>
      <c r="D38" s="42">
        <v>39792</v>
      </c>
      <c r="E38" s="41">
        <v>1000</v>
      </c>
      <c r="F38" s="41">
        <v>1000</v>
      </c>
      <c r="G38" s="43">
        <v>39792</v>
      </c>
      <c r="H38" s="51">
        <f>G38</f>
        <v>39792</v>
      </c>
    </row>
    <row r="39" spans="1:8">
      <c r="A39" s="52" t="s">
        <v>39</v>
      </c>
      <c r="B39" s="60"/>
      <c r="C39" s="41" t="s">
        <v>30</v>
      </c>
      <c r="D39" s="42">
        <v>40156</v>
      </c>
      <c r="E39" s="41">
        <v>1000</v>
      </c>
      <c r="F39" s="41">
        <v>1000</v>
      </c>
      <c r="G39" s="43">
        <v>40156</v>
      </c>
      <c r="H39" s="51">
        <f>G39</f>
        <v>40156</v>
      </c>
    </row>
    <row r="40" spans="1:8">
      <c r="A40" s="52" t="s">
        <v>40</v>
      </c>
      <c r="B40" s="60"/>
      <c r="C40" s="41" t="s">
        <v>30</v>
      </c>
      <c r="D40" s="42">
        <v>40527</v>
      </c>
      <c r="E40" s="41">
        <v>1000</v>
      </c>
      <c r="F40" s="41">
        <v>1000</v>
      </c>
      <c r="G40" s="43">
        <v>40527</v>
      </c>
      <c r="H40" s="51">
        <f>G40</f>
        <v>40527</v>
      </c>
    </row>
    <row r="41" spans="1:8">
      <c r="A41" s="52" t="s">
        <v>41</v>
      </c>
      <c r="B41" s="60"/>
      <c r="C41" s="41" t="s">
        <v>30</v>
      </c>
      <c r="D41" s="42">
        <v>40891</v>
      </c>
      <c r="E41" s="41">
        <v>1000</v>
      </c>
      <c r="F41" s="41">
        <v>1000</v>
      </c>
      <c r="G41" s="43">
        <v>40891</v>
      </c>
      <c r="H41" s="51">
        <f>G41</f>
        <v>40891</v>
      </c>
    </row>
    <row r="42" spans="1:8" ht="12.75" thickBot="1">
      <c r="A42" s="53" t="s">
        <v>42</v>
      </c>
      <c r="B42" s="61"/>
      <c r="C42" s="54" t="s">
        <v>30</v>
      </c>
      <c r="D42" s="55">
        <v>41255</v>
      </c>
      <c r="E42" s="54">
        <v>1000</v>
      </c>
      <c r="F42" s="54">
        <v>1000</v>
      </c>
      <c r="G42" s="56">
        <v>41255</v>
      </c>
      <c r="H42" s="57">
        <f>G42</f>
        <v>41255</v>
      </c>
    </row>
    <row r="44" spans="1:8">
      <c r="E44" s="6"/>
      <c r="F44" s="6"/>
      <c r="G44" s="6"/>
    </row>
    <row r="45" spans="1:8">
      <c r="E45" s="6"/>
      <c r="F45" s="6"/>
      <c r="G45" s="6"/>
    </row>
    <row r="46" spans="1:8">
      <c r="E46" s="6"/>
      <c r="F46" s="6"/>
      <c r="G46" s="6"/>
    </row>
    <row r="47" spans="1:8">
      <c r="E47" s="6"/>
      <c r="F47" s="6"/>
      <c r="G47" s="6"/>
    </row>
    <row r="48" spans="1:8">
      <c r="E48" s="6"/>
      <c r="F48" s="6"/>
      <c r="G48" s="6"/>
    </row>
    <row r="49" spans="5:7">
      <c r="E49" s="6"/>
      <c r="F49" s="6"/>
      <c r="G49" s="6"/>
    </row>
    <row r="50" spans="5:7">
      <c r="E50" s="6"/>
      <c r="F50" s="6"/>
      <c r="G50" s="6"/>
    </row>
    <row r="51" spans="5:7">
      <c r="E51" s="6"/>
      <c r="F51" s="6"/>
      <c r="G51" s="6"/>
    </row>
    <row r="52" spans="5:7">
      <c r="E52" s="6"/>
      <c r="F52" s="6"/>
      <c r="G52" s="6"/>
    </row>
    <row r="53" spans="5:7">
      <c r="E53" s="6"/>
      <c r="F53" s="6"/>
      <c r="G53" s="6"/>
    </row>
    <row r="54" spans="5:7">
      <c r="E54" s="6"/>
      <c r="F54" s="6"/>
      <c r="G54" s="6"/>
    </row>
    <row r="55" spans="5:7">
      <c r="E55" s="6"/>
      <c r="F55" s="6"/>
      <c r="G55" s="6"/>
    </row>
    <row r="56" spans="5:7">
      <c r="E56" s="6"/>
      <c r="F56" s="6"/>
      <c r="G56" s="6"/>
    </row>
    <row r="57" spans="5:7">
      <c r="E57" s="6"/>
      <c r="F57" s="6"/>
      <c r="G57" s="6"/>
    </row>
    <row r="58" spans="5:7">
      <c r="E58" s="6"/>
      <c r="F58" s="6"/>
      <c r="G58" s="6"/>
    </row>
    <row r="59" spans="5:7">
      <c r="E59" s="6"/>
      <c r="F59" s="6"/>
      <c r="G59" s="6"/>
    </row>
    <row r="60" spans="5:7">
      <c r="E60" s="6"/>
      <c r="F60" s="6"/>
      <c r="G60" s="6"/>
    </row>
    <row r="61" spans="5:7">
      <c r="E61" s="6"/>
      <c r="F61" s="6"/>
      <c r="G61" s="6"/>
    </row>
    <row r="62" spans="5:7">
      <c r="E62" s="6"/>
      <c r="F62" s="6"/>
      <c r="G62" s="6"/>
    </row>
    <row r="63" spans="5:7">
      <c r="E63" s="6"/>
      <c r="F63" s="6"/>
      <c r="G63" s="6"/>
    </row>
    <row r="64" spans="5:7">
      <c r="E64" s="6"/>
      <c r="F64" s="6"/>
      <c r="G64" s="6"/>
    </row>
  </sheetData>
  <phoneticPr fontId="1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Option Model</vt:lpstr>
      <vt:lpstr>Opt grid 11</vt:lpstr>
      <vt:lpstr>Opt grid 12</vt:lpstr>
      <vt:lpstr>DEPower Expiry Dates</vt:lpstr>
      <vt:lpstr>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Espen</dc:creator>
  <cp:lastModifiedBy>Alex</cp:lastModifiedBy>
  <cp:lastPrinted>1999-04-10T01:55:03Z</cp:lastPrinted>
  <dcterms:created xsi:type="dcterms:W3CDTF">1999-04-09T15:40:11Z</dcterms:created>
  <dcterms:modified xsi:type="dcterms:W3CDTF">2019-06-24T01:50:00Z</dcterms:modified>
</cp:coreProperties>
</file>