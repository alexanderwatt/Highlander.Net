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727" codeName="{9351B8E1-9728-8E5E-8161-817DCB669FF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ex\Documents\Visual Studio 2019\Projects\Highlander\FpML.V5r3.Applications\ExcelAPI\Spreadsheets\Pedersen\"/>
    </mc:Choice>
  </mc:AlternateContent>
  <xr:revisionPtr revIDLastSave="0" documentId="13_ncr:1_{7F32DCCC-E684-4AFA-8C7B-A458CE02D0AD}" xr6:coauthVersionLast="43" xr6:coauthVersionMax="43" xr10:uidLastSave="{00000000-0000-0000-0000-000000000000}"/>
  <bookViews>
    <workbookView xWindow="1230" yWindow="285" windowWidth="26370" windowHeight="14820" tabRatio="699" xr2:uid="{00000000-000D-0000-FFFF-FFFF00000000}"/>
  </bookViews>
  <sheets>
    <sheet name="Data (Live - YieldCurve)" sheetId="6" r:id="rId1"/>
    <sheet name="Data (Live - Vols)" sheetId="7" r:id="rId2"/>
    <sheet name="Data (Custom)" sheetId="5" r:id="rId3"/>
    <sheet name="Data (Correlation)" sheetId="8" r:id="rId4"/>
    <sheet name="Calibration" sheetId="1" r:id="rId5"/>
    <sheet name="Vol Surface" sheetId="2" r:id="rId6"/>
    <sheet name="Vol Factors" sheetId="4" r:id="rId7"/>
    <sheet name="Simulation" sheetId="3" r:id="rId8"/>
  </sheets>
  <definedNames>
    <definedName name="cal">Calibration!$B$12:$B$13</definedName>
    <definedName name="CurveList">'Data (Live - YieldCurve)'!$A$3:$A$80</definedName>
    <definedName name="sim">Simulation!$B$9</definedName>
    <definedName name="VolList">'Data (Live - Vols)'!$A$3:$A$19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9" i="3" l="1" a="1"/>
  <c r="B9" i="3" s="1"/>
  <c r="E10" i="6"/>
  <c r="B11" i="3" l="1" a="1"/>
  <c r="A1" i="4" a="1"/>
  <c r="A1" i="2" a="1"/>
  <c r="B32" i="1" a="1"/>
  <c r="B15" i="1" a="1"/>
  <c r="A1" i="8"/>
  <c r="M1" i="5"/>
  <c r="H1" i="5"/>
  <c r="A1" i="5"/>
  <c r="C23" i="7"/>
  <c r="C22" i="7"/>
  <c r="C10" i="6"/>
  <c r="B11" i="3" l="1"/>
  <c r="B12" i="3"/>
  <c r="B13" i="3"/>
  <c r="B14" i="3"/>
  <c r="B15" i="3"/>
  <c r="A1" i="4"/>
  <c r="I1" i="4"/>
  <c r="Q1" i="4"/>
  <c r="Y1" i="4"/>
  <c r="AG1" i="4"/>
  <c r="AO1" i="4"/>
  <c r="AW1" i="4"/>
  <c r="BE1" i="4"/>
  <c r="D2" i="4"/>
  <c r="L2" i="4"/>
  <c r="T2" i="4"/>
  <c r="AB2" i="4"/>
  <c r="AJ2" i="4"/>
  <c r="AR2" i="4"/>
  <c r="AZ2" i="4"/>
  <c r="BH2" i="4"/>
  <c r="G3" i="4"/>
  <c r="O3" i="4"/>
  <c r="W3" i="4"/>
  <c r="AE3" i="4"/>
  <c r="AM3" i="4"/>
  <c r="AU3" i="4"/>
  <c r="BC3" i="4"/>
  <c r="B4" i="4"/>
  <c r="J4" i="4"/>
  <c r="R4" i="4"/>
  <c r="Z4" i="4"/>
  <c r="AH4" i="4"/>
  <c r="AP4" i="4"/>
  <c r="AX4" i="4"/>
  <c r="BF4" i="4"/>
  <c r="E5" i="4"/>
  <c r="M5" i="4"/>
  <c r="U5" i="4"/>
  <c r="AC5" i="4"/>
  <c r="AK5" i="4"/>
  <c r="AS5" i="4"/>
  <c r="BA5" i="4"/>
  <c r="BI5" i="4"/>
  <c r="H6" i="4"/>
  <c r="P6" i="4"/>
  <c r="X6" i="4"/>
  <c r="AF6" i="4"/>
  <c r="AN6" i="4"/>
  <c r="AV6" i="4"/>
  <c r="BD6" i="4"/>
  <c r="C7" i="4"/>
  <c r="K7" i="4"/>
  <c r="S7" i="4"/>
  <c r="AA7" i="4"/>
  <c r="AI7" i="4"/>
  <c r="AQ7" i="4"/>
  <c r="AY7" i="4"/>
  <c r="BG7" i="4"/>
  <c r="F8" i="4"/>
  <c r="N8" i="4"/>
  <c r="V8" i="4"/>
  <c r="AD8" i="4"/>
  <c r="AL8" i="4"/>
  <c r="AT8" i="4"/>
  <c r="BB8" i="4"/>
  <c r="A9" i="4"/>
  <c r="I9" i="4"/>
  <c r="Q9" i="4"/>
  <c r="Y9" i="4"/>
  <c r="AG9" i="4"/>
  <c r="AO9" i="4"/>
  <c r="AW9" i="4"/>
  <c r="BE9" i="4"/>
  <c r="D10" i="4"/>
  <c r="L10" i="4"/>
  <c r="T10" i="4"/>
  <c r="AB10" i="4"/>
  <c r="AJ10" i="4"/>
  <c r="AR10" i="4"/>
  <c r="AZ10" i="4"/>
  <c r="BH10" i="4"/>
  <c r="G11" i="4"/>
  <c r="O11" i="4"/>
  <c r="W11" i="4"/>
  <c r="AE11" i="4"/>
  <c r="AM11" i="4"/>
  <c r="AU11" i="4"/>
  <c r="BC11" i="4"/>
  <c r="B12" i="4"/>
  <c r="B1" i="4"/>
  <c r="J1" i="4"/>
  <c r="R1" i="4"/>
  <c r="Z1" i="4"/>
  <c r="AH1" i="4"/>
  <c r="AP1" i="4"/>
  <c r="AX1" i="4"/>
  <c r="BF1" i="4"/>
  <c r="E2" i="4"/>
  <c r="M2" i="4"/>
  <c r="U2" i="4"/>
  <c r="AC2" i="4"/>
  <c r="AK2" i="4"/>
  <c r="AS2" i="4"/>
  <c r="BA2" i="4"/>
  <c r="BI2" i="4"/>
  <c r="H3" i="4"/>
  <c r="P3" i="4"/>
  <c r="X3" i="4"/>
  <c r="AF3" i="4"/>
  <c r="AN3" i="4"/>
  <c r="AV3" i="4"/>
  <c r="BD3" i="4"/>
  <c r="C4" i="4"/>
  <c r="K4" i="4"/>
  <c r="S4" i="4"/>
  <c r="AA4" i="4"/>
  <c r="AI4" i="4"/>
  <c r="AQ4" i="4"/>
  <c r="AY4" i="4"/>
  <c r="BG4" i="4"/>
  <c r="F5" i="4"/>
  <c r="N5" i="4"/>
  <c r="V5" i="4"/>
  <c r="AD5" i="4"/>
  <c r="AL5" i="4"/>
  <c r="AT5" i="4"/>
  <c r="BB5" i="4"/>
  <c r="A6" i="4"/>
  <c r="I6" i="4"/>
  <c r="Q6" i="4"/>
  <c r="Y6" i="4"/>
  <c r="AG6" i="4"/>
  <c r="AO6" i="4"/>
  <c r="AW6" i="4"/>
  <c r="BE6" i="4"/>
  <c r="D7" i="4"/>
  <c r="L7" i="4"/>
  <c r="T7" i="4"/>
  <c r="AB7" i="4"/>
  <c r="AJ7" i="4"/>
  <c r="AR7" i="4"/>
  <c r="AZ7" i="4"/>
  <c r="BH7" i="4"/>
  <c r="G8" i="4"/>
  <c r="O8" i="4"/>
  <c r="W8" i="4"/>
  <c r="AE8" i="4"/>
  <c r="AM8" i="4"/>
  <c r="AU8" i="4"/>
  <c r="BC8" i="4"/>
  <c r="B9" i="4"/>
  <c r="J9" i="4"/>
  <c r="R9" i="4"/>
  <c r="Z9" i="4"/>
  <c r="AH9" i="4"/>
  <c r="AP9" i="4"/>
  <c r="AX9" i="4"/>
  <c r="BF9" i="4"/>
  <c r="E10" i="4"/>
  <c r="M10" i="4"/>
  <c r="U10" i="4"/>
  <c r="AC10" i="4"/>
  <c r="AK10" i="4"/>
  <c r="AS10" i="4"/>
  <c r="BA10" i="4"/>
  <c r="BI10" i="4"/>
  <c r="C1" i="4"/>
  <c r="K1" i="4"/>
  <c r="S1" i="4"/>
  <c r="AA1" i="4"/>
  <c r="AI1" i="4"/>
  <c r="AQ1" i="4"/>
  <c r="AY1" i="4"/>
  <c r="BG1" i="4"/>
  <c r="F2" i="4"/>
  <c r="N2" i="4"/>
  <c r="V2" i="4"/>
  <c r="AD2" i="4"/>
  <c r="AL2" i="4"/>
  <c r="AT2" i="4"/>
  <c r="BB2" i="4"/>
  <c r="A3" i="4"/>
  <c r="I3" i="4"/>
  <c r="Q3" i="4"/>
  <c r="Y3" i="4"/>
  <c r="AG3" i="4"/>
  <c r="AO3" i="4"/>
  <c r="AW3" i="4"/>
  <c r="BE3" i="4"/>
  <c r="D4" i="4"/>
  <c r="L4" i="4"/>
  <c r="T4" i="4"/>
  <c r="AB4" i="4"/>
  <c r="AJ4" i="4"/>
  <c r="AR4" i="4"/>
  <c r="AZ4" i="4"/>
  <c r="BH4" i="4"/>
  <c r="G5" i="4"/>
  <c r="O5" i="4"/>
  <c r="W5" i="4"/>
  <c r="AE5" i="4"/>
  <c r="AM5" i="4"/>
  <c r="AU5" i="4"/>
  <c r="BC5" i="4"/>
  <c r="B6" i="4"/>
  <c r="J6" i="4"/>
  <c r="R6" i="4"/>
  <c r="Z6" i="4"/>
  <c r="AH6" i="4"/>
  <c r="AP6" i="4"/>
  <c r="AX6" i="4"/>
  <c r="BF6" i="4"/>
  <c r="E7" i="4"/>
  <c r="M7" i="4"/>
  <c r="U7" i="4"/>
  <c r="AC7" i="4"/>
  <c r="AK7" i="4"/>
  <c r="AS7" i="4"/>
  <c r="BA7" i="4"/>
  <c r="BI7" i="4"/>
  <c r="H8" i="4"/>
  <c r="P8" i="4"/>
  <c r="X8" i="4"/>
  <c r="AF8" i="4"/>
  <c r="AN8" i="4"/>
  <c r="AV8" i="4"/>
  <c r="BD8" i="4"/>
  <c r="C9" i="4"/>
  <c r="K9" i="4"/>
  <c r="S9" i="4"/>
  <c r="AA9" i="4"/>
  <c r="AI9" i="4"/>
  <c r="AQ9" i="4"/>
  <c r="AY9" i="4"/>
  <c r="BG9" i="4"/>
  <c r="F10" i="4"/>
  <c r="N10" i="4"/>
  <c r="V10" i="4"/>
  <c r="D1" i="4"/>
  <c r="E1" i="4"/>
  <c r="P1" i="4"/>
  <c r="AD1" i="4"/>
  <c r="AR1" i="4"/>
  <c r="BC1" i="4"/>
  <c r="H2" i="4"/>
  <c r="S2" i="4"/>
  <c r="AG2" i="4"/>
  <c r="AU2" i="4"/>
  <c r="BF2" i="4"/>
  <c r="K3" i="4"/>
  <c r="V3" i="4"/>
  <c r="AJ3" i="4"/>
  <c r="AX3" i="4"/>
  <c r="BI3" i="4"/>
  <c r="N4" i="4"/>
  <c r="Y4" i="4"/>
  <c r="AM4" i="4"/>
  <c r="BA4" i="4"/>
  <c r="C5" i="4"/>
  <c r="Q5" i="4"/>
  <c r="AB5" i="4"/>
  <c r="AP5" i="4"/>
  <c r="BD5" i="4"/>
  <c r="F6" i="4"/>
  <c r="T6" i="4"/>
  <c r="AE6" i="4"/>
  <c r="AS6" i="4"/>
  <c r="BG6" i="4"/>
  <c r="I7" i="4"/>
  <c r="W7" i="4"/>
  <c r="AH7" i="4"/>
  <c r="AV7" i="4"/>
  <c r="A8" i="4"/>
  <c r="L8" i="4"/>
  <c r="Z8" i="4"/>
  <c r="AK8" i="4"/>
  <c r="AY8" i="4"/>
  <c r="D9" i="4"/>
  <c r="O9" i="4"/>
  <c r="AC9" i="4"/>
  <c r="AN9" i="4"/>
  <c r="BB9" i="4"/>
  <c r="G10" i="4"/>
  <c r="R10" i="4"/>
  <c r="AE10" i="4"/>
  <c r="AO10" i="4"/>
  <c r="AY10" i="4"/>
  <c r="B11" i="4"/>
  <c r="K11" i="4"/>
  <c r="T11" i="4"/>
  <c r="AC11" i="4"/>
  <c r="AL11" i="4"/>
  <c r="AV11" i="4"/>
  <c r="BE11" i="4"/>
  <c r="E12" i="4"/>
  <c r="M12" i="4"/>
  <c r="U12" i="4"/>
  <c r="AC12" i="4"/>
  <c r="AK12" i="4"/>
  <c r="AS12" i="4"/>
  <c r="BA12" i="4"/>
  <c r="BI12" i="4"/>
  <c r="H13" i="4"/>
  <c r="P13" i="4"/>
  <c r="X13" i="4"/>
  <c r="AF13" i="4"/>
  <c r="AN13" i="4"/>
  <c r="AV13" i="4"/>
  <c r="BD13" i="4"/>
  <c r="C14" i="4"/>
  <c r="K14" i="4"/>
  <c r="S14" i="4"/>
  <c r="AA14" i="4"/>
  <c r="AI14" i="4"/>
  <c r="AQ14" i="4"/>
  <c r="AY14" i="4"/>
  <c r="BG14" i="4"/>
  <c r="F15" i="4"/>
  <c r="N15" i="4"/>
  <c r="V15" i="4"/>
  <c r="AD15" i="4"/>
  <c r="AL15" i="4"/>
  <c r="AT15" i="4"/>
  <c r="BB15" i="4"/>
  <c r="G1" i="4"/>
  <c r="U1" i="4"/>
  <c r="AF1" i="4"/>
  <c r="AT1" i="4"/>
  <c r="BH1" i="4"/>
  <c r="J2" i="4"/>
  <c r="X2" i="4"/>
  <c r="AI2" i="4"/>
  <c r="AW2" i="4"/>
  <c r="B3" i="4"/>
  <c r="M3" i="4"/>
  <c r="AA3" i="4"/>
  <c r="AL3" i="4"/>
  <c r="AZ3" i="4"/>
  <c r="E4" i="4"/>
  <c r="P4" i="4"/>
  <c r="AD4" i="4"/>
  <c r="AO4" i="4"/>
  <c r="BC4" i="4"/>
  <c r="H5" i="4"/>
  <c r="S5" i="4"/>
  <c r="AG5" i="4"/>
  <c r="AR5" i="4"/>
  <c r="BF5" i="4"/>
  <c r="H1" i="4"/>
  <c r="V1" i="4"/>
  <c r="AJ1" i="4"/>
  <c r="AU1" i="4"/>
  <c r="BI1" i="4"/>
  <c r="K2" i="4"/>
  <c r="Y2" i="4"/>
  <c r="AM2" i="4"/>
  <c r="AX2" i="4"/>
  <c r="C3" i="4"/>
  <c r="N3" i="4"/>
  <c r="AB3" i="4"/>
  <c r="AP3" i="4"/>
  <c r="BA3" i="4"/>
  <c r="F4" i="4"/>
  <c r="Q4" i="4"/>
  <c r="AE4" i="4"/>
  <c r="AS4" i="4"/>
  <c r="BD4" i="4"/>
  <c r="I5" i="4"/>
  <c r="T5" i="4"/>
  <c r="AH5" i="4"/>
  <c r="AV5" i="4"/>
  <c r="BG5" i="4"/>
  <c r="L6" i="4"/>
  <c r="W6" i="4"/>
  <c r="AK6" i="4"/>
  <c r="AY6" i="4"/>
  <c r="A7" i="4"/>
  <c r="O7" i="4"/>
  <c r="Z7" i="4"/>
  <c r="AN7" i="4"/>
  <c r="BB7" i="4"/>
  <c r="D8" i="4"/>
  <c r="R8" i="4"/>
  <c r="AC8" i="4"/>
  <c r="AQ8" i="4"/>
  <c r="BE8" i="4"/>
  <c r="G9" i="4"/>
  <c r="U9" i="4"/>
  <c r="AF9" i="4"/>
  <c r="AT9" i="4"/>
  <c r="BH9" i="4"/>
  <c r="J10" i="4"/>
  <c r="X10" i="4"/>
  <c r="AH10" i="4"/>
  <c r="AT10" i="4"/>
  <c r="L1" i="4"/>
  <c r="W1" i="4"/>
  <c r="AK1" i="4"/>
  <c r="AV1" i="4"/>
  <c r="A2" i="4"/>
  <c r="O2" i="4"/>
  <c r="Z2" i="4"/>
  <c r="AN2" i="4"/>
  <c r="AY2" i="4"/>
  <c r="D3" i="4"/>
  <c r="F1" i="4"/>
  <c r="AE1" i="4"/>
  <c r="BD1" i="4"/>
  <c r="W2" i="4"/>
  <c r="AV2" i="4"/>
  <c r="L3" i="4"/>
  <c r="AH3" i="4"/>
  <c r="BB3" i="4"/>
  <c r="M4" i="4"/>
  <c r="AG4" i="4"/>
  <c r="BB4" i="4"/>
  <c r="L5" i="4"/>
  <c r="AI5" i="4"/>
  <c r="AZ5" i="4"/>
  <c r="M6" i="4"/>
  <c r="AC6" i="4"/>
  <c r="AT6" i="4"/>
  <c r="B7" i="4"/>
  <c r="R7" i="4"/>
  <c r="AL7" i="4"/>
  <c r="BC7" i="4"/>
  <c r="J8" i="4"/>
  <c r="AA8" i="4"/>
  <c r="AR8" i="4"/>
  <c r="BH8" i="4"/>
  <c r="P9" i="4"/>
  <c r="AJ9" i="4"/>
  <c r="AZ9" i="4"/>
  <c r="H10" i="4"/>
  <c r="Y10" i="4"/>
  <c r="AM10" i="4"/>
  <c r="BB10" i="4"/>
  <c r="D11" i="4"/>
  <c r="N11" i="4"/>
  <c r="Y11" i="4"/>
  <c r="AI11" i="4"/>
  <c r="AS11" i="4"/>
  <c r="BD11" i="4"/>
  <c r="F12" i="4"/>
  <c r="O12" i="4"/>
  <c r="X12" i="4"/>
  <c r="AG12" i="4"/>
  <c r="AP12" i="4"/>
  <c r="AY12" i="4"/>
  <c r="BH12" i="4"/>
  <c r="I13" i="4"/>
  <c r="R13" i="4"/>
  <c r="AA13" i="4"/>
  <c r="AJ13" i="4"/>
  <c r="AS13" i="4"/>
  <c r="BB13" i="4"/>
  <c r="B14" i="4"/>
  <c r="L14" i="4"/>
  <c r="U14" i="4"/>
  <c r="AD14" i="4"/>
  <c r="AM14" i="4"/>
  <c r="AV14" i="4"/>
  <c r="BE14" i="4"/>
  <c r="E15" i="4"/>
  <c r="O15" i="4"/>
  <c r="X15" i="4"/>
  <c r="AG15" i="4"/>
  <c r="AP15" i="4"/>
  <c r="AY15" i="4"/>
  <c r="BH15" i="4"/>
  <c r="G16" i="4"/>
  <c r="O16" i="4"/>
  <c r="W16" i="4"/>
  <c r="AE16" i="4"/>
  <c r="AM16" i="4"/>
  <c r="AU16" i="4"/>
  <c r="BC16" i="4"/>
  <c r="B17" i="4"/>
  <c r="J17" i="4"/>
  <c r="R17" i="4"/>
  <c r="Z17" i="4"/>
  <c r="AH17" i="4"/>
  <c r="AP17" i="4"/>
  <c r="AX17" i="4"/>
  <c r="BF17" i="4"/>
  <c r="E18" i="4"/>
  <c r="M18" i="4"/>
  <c r="U18" i="4"/>
  <c r="AC18" i="4"/>
  <c r="AK18" i="4"/>
  <c r="AS18" i="4"/>
  <c r="BA18" i="4"/>
  <c r="BI18" i="4"/>
  <c r="H19" i="4"/>
  <c r="P19" i="4"/>
  <c r="X19" i="4"/>
  <c r="AF19" i="4"/>
  <c r="AN19" i="4"/>
  <c r="AV19" i="4"/>
  <c r="BD19" i="4"/>
  <c r="C20" i="4"/>
  <c r="K20" i="4"/>
  <c r="S20" i="4"/>
  <c r="AA20" i="4"/>
  <c r="AI20" i="4"/>
  <c r="AQ20" i="4"/>
  <c r="AY20" i="4"/>
  <c r="BG20" i="4"/>
  <c r="F21" i="4"/>
  <c r="N21" i="4"/>
  <c r="V21" i="4"/>
  <c r="AD21" i="4"/>
  <c r="AL21" i="4"/>
  <c r="AT21" i="4"/>
  <c r="BB21" i="4"/>
  <c r="A22" i="4"/>
  <c r="I22" i="4"/>
  <c r="Q22" i="4"/>
  <c r="Y22" i="4"/>
  <c r="AG22" i="4"/>
  <c r="AO22" i="4"/>
  <c r="AW22" i="4"/>
  <c r="BE22" i="4"/>
  <c r="D23" i="4"/>
  <c r="L23" i="4"/>
  <c r="T23" i="4"/>
  <c r="AB23" i="4"/>
  <c r="AJ23" i="4"/>
  <c r="AR23" i="4"/>
  <c r="AZ23" i="4"/>
  <c r="BH23" i="4"/>
  <c r="G24" i="4"/>
  <c r="O24" i="4"/>
  <c r="W24" i="4"/>
  <c r="AE24" i="4"/>
  <c r="AM24" i="4"/>
  <c r="AU24" i="4"/>
  <c r="BC24" i="4"/>
  <c r="B25" i="4"/>
  <c r="J25" i="4"/>
  <c r="R25" i="4"/>
  <c r="Z25" i="4"/>
  <c r="AH25" i="4"/>
  <c r="AP25" i="4"/>
  <c r="AX25" i="4"/>
  <c r="BF25" i="4"/>
  <c r="E26" i="4"/>
  <c r="M26" i="4"/>
  <c r="U26" i="4"/>
  <c r="AC26" i="4"/>
  <c r="AK26" i="4"/>
  <c r="AS26" i="4"/>
  <c r="BA26" i="4"/>
  <c r="BI26" i="4"/>
  <c r="H27" i="4"/>
  <c r="P27" i="4"/>
  <c r="X27" i="4"/>
  <c r="AF27" i="4"/>
  <c r="AN27" i="4"/>
  <c r="AV27" i="4"/>
  <c r="BD27" i="4"/>
  <c r="C28" i="4"/>
  <c r="K28" i="4"/>
  <c r="S28" i="4"/>
  <c r="AA28" i="4"/>
  <c r="AI28" i="4"/>
  <c r="M1" i="4"/>
  <c r="AL1" i="4"/>
  <c r="B2" i="4"/>
  <c r="AA2" i="4"/>
  <c r="BC2" i="4"/>
  <c r="R3" i="4"/>
  <c r="AI3" i="4"/>
  <c r="BF3" i="4"/>
  <c r="O4" i="4"/>
  <c r="AK4" i="4"/>
  <c r="BE4" i="4"/>
  <c r="P5" i="4"/>
  <c r="AJ5" i="4"/>
  <c r="BE5" i="4"/>
  <c r="N6" i="4"/>
  <c r="AD6" i="4"/>
  <c r="AU6" i="4"/>
  <c r="F7" i="4"/>
  <c r="V7" i="4"/>
  <c r="AM7" i="4"/>
  <c r="BD7" i="4"/>
  <c r="K8" i="4"/>
  <c r="AB8" i="4"/>
  <c r="AS8" i="4"/>
  <c r="BI8" i="4"/>
  <c r="T9" i="4"/>
  <c r="AK9" i="4"/>
  <c r="BA9" i="4"/>
  <c r="I10" i="4"/>
  <c r="Z10" i="4"/>
  <c r="AN10" i="4"/>
  <c r="BC10" i="4"/>
  <c r="E11" i="4"/>
  <c r="P11" i="4"/>
  <c r="Z11" i="4"/>
  <c r="AJ11" i="4"/>
  <c r="AT11" i="4"/>
  <c r="BF11" i="4"/>
  <c r="G12" i="4"/>
  <c r="P12" i="4"/>
  <c r="Y12" i="4"/>
  <c r="AH12" i="4"/>
  <c r="AQ12" i="4"/>
  <c r="AZ12" i="4"/>
  <c r="A13" i="4"/>
  <c r="J13" i="4"/>
  <c r="S13" i="4"/>
  <c r="AB13" i="4"/>
  <c r="AK13" i="4"/>
  <c r="AT13" i="4"/>
  <c r="BC13" i="4"/>
  <c r="D14" i="4"/>
  <c r="M14" i="4"/>
  <c r="V14" i="4"/>
  <c r="AE14" i="4"/>
  <c r="AN14" i="4"/>
  <c r="AW14" i="4"/>
  <c r="BF14" i="4"/>
  <c r="G15" i="4"/>
  <c r="P15" i="4"/>
  <c r="Y15" i="4"/>
  <c r="AH15" i="4"/>
  <c r="AQ15" i="4"/>
  <c r="AZ15" i="4"/>
  <c r="BI15" i="4"/>
  <c r="H16" i="4"/>
  <c r="P16" i="4"/>
  <c r="X16" i="4"/>
  <c r="AF16" i="4"/>
  <c r="AN16" i="4"/>
  <c r="AV16" i="4"/>
  <c r="BD16" i="4"/>
  <c r="C17" i="4"/>
  <c r="K17" i="4"/>
  <c r="S17" i="4"/>
  <c r="AA17" i="4"/>
  <c r="AI17" i="4"/>
  <c r="AQ17" i="4"/>
  <c r="AY17" i="4"/>
  <c r="N1" i="4"/>
  <c r="AM1" i="4"/>
  <c r="C2" i="4"/>
  <c r="AE2" i="4"/>
  <c r="BD2" i="4"/>
  <c r="S3" i="4"/>
  <c r="AK3" i="4"/>
  <c r="BG3" i="4"/>
  <c r="U4" i="4"/>
  <c r="AL4" i="4"/>
  <c r="BI4" i="4"/>
  <c r="R5" i="4"/>
  <c r="AN5" i="4"/>
  <c r="BH5" i="4"/>
  <c r="O6" i="4"/>
  <c r="AI6" i="4"/>
  <c r="AZ6" i="4"/>
  <c r="G7" i="4"/>
  <c r="X7" i="4"/>
  <c r="AO7" i="4"/>
  <c r="BE7" i="4"/>
  <c r="M8" i="4"/>
  <c r="AG8" i="4"/>
  <c r="AW8" i="4"/>
  <c r="E9" i="4"/>
  <c r="V9" i="4"/>
  <c r="AL9" i="4"/>
  <c r="BC9" i="4"/>
  <c r="K10" i="4"/>
  <c r="AA10" i="4"/>
  <c r="AP10" i="4"/>
  <c r="BD10" i="4"/>
  <c r="F11" i="4"/>
  <c r="Q11" i="4"/>
  <c r="AA11" i="4"/>
  <c r="AK11" i="4"/>
  <c r="AW11" i="4"/>
  <c r="BG11" i="4"/>
  <c r="H12" i="4"/>
  <c r="Q12" i="4"/>
  <c r="Z12" i="4"/>
  <c r="AI12" i="4"/>
  <c r="AR12" i="4"/>
  <c r="BB12" i="4"/>
  <c r="B13" i="4"/>
  <c r="K13" i="4"/>
  <c r="T13" i="4"/>
  <c r="AC13" i="4"/>
  <c r="AL13" i="4"/>
  <c r="AU13" i="4"/>
  <c r="BE13" i="4"/>
  <c r="E14" i="4"/>
  <c r="N14" i="4"/>
  <c r="W14" i="4"/>
  <c r="AF14" i="4"/>
  <c r="AO14" i="4"/>
  <c r="AX14" i="4"/>
  <c r="BH14" i="4"/>
  <c r="H15" i="4"/>
  <c r="Q15" i="4"/>
  <c r="Z15" i="4"/>
  <c r="AI15" i="4"/>
  <c r="AR15" i="4"/>
  <c r="BA15" i="4"/>
  <c r="A16" i="4"/>
  <c r="I16" i="4"/>
  <c r="Q16" i="4"/>
  <c r="Y16" i="4"/>
  <c r="AG16" i="4"/>
  <c r="AO16" i="4"/>
  <c r="AW16" i="4"/>
  <c r="BE16" i="4"/>
  <c r="D17" i="4"/>
  <c r="L17" i="4"/>
  <c r="T17" i="4"/>
  <c r="AB17" i="4"/>
  <c r="AJ17" i="4"/>
  <c r="AR17" i="4"/>
  <c r="AZ17" i="4"/>
  <c r="BH17" i="4"/>
  <c r="G18" i="4"/>
  <c r="O18" i="4"/>
  <c r="W18" i="4"/>
  <c r="AE18" i="4"/>
  <c r="AM18" i="4"/>
  <c r="O1" i="4"/>
  <c r="AN1" i="4"/>
  <c r="G2" i="4"/>
  <c r="AF2" i="4"/>
  <c r="BE2" i="4"/>
  <c r="T3" i="4"/>
  <c r="AQ3" i="4"/>
  <c r="BH3" i="4"/>
  <c r="V4" i="4"/>
  <c r="AN4" i="4"/>
  <c r="A5" i="4"/>
  <c r="X5" i="4"/>
  <c r="AO5" i="4"/>
  <c r="C6" i="4"/>
  <c r="S6" i="4"/>
  <c r="AJ6" i="4"/>
  <c r="BA6" i="4"/>
  <c r="H7" i="4"/>
  <c r="Y7" i="4"/>
  <c r="AP7" i="4"/>
  <c r="BF7" i="4"/>
  <c r="Q8" i="4"/>
  <c r="AH8" i="4"/>
  <c r="AX8" i="4"/>
  <c r="F9" i="4"/>
  <c r="W9" i="4"/>
  <c r="AM9" i="4"/>
  <c r="BD9" i="4"/>
  <c r="O10" i="4"/>
  <c r="AD10" i="4"/>
  <c r="AQ10" i="4"/>
  <c r="BE10" i="4"/>
  <c r="H11" i="4"/>
  <c r="R11" i="4"/>
  <c r="AB11" i="4"/>
  <c r="AN11" i="4"/>
  <c r="T1" i="4"/>
  <c r="AS1" i="4"/>
  <c r="I2" i="4"/>
  <c r="AH2" i="4"/>
  <c r="BG2" i="4"/>
  <c r="U3" i="4"/>
  <c r="AR3" i="4"/>
  <c r="A4" i="4"/>
  <c r="W4" i="4"/>
  <c r="AT4" i="4"/>
  <c r="B5" i="4"/>
  <c r="Y5" i="4"/>
  <c r="AQ5" i="4"/>
  <c r="D6" i="4"/>
  <c r="U6" i="4"/>
  <c r="AL6" i="4"/>
  <c r="BB6" i="4"/>
  <c r="J7" i="4"/>
  <c r="AD7" i="4"/>
  <c r="AT7" i="4"/>
  <c r="B8" i="4"/>
  <c r="S8" i="4"/>
  <c r="AI8" i="4"/>
  <c r="AZ8" i="4"/>
  <c r="H9" i="4"/>
  <c r="X9" i="4"/>
  <c r="AR9" i="4"/>
  <c r="BI9" i="4"/>
  <c r="P10" i="4"/>
  <c r="AF10" i="4"/>
  <c r="AU10" i="4"/>
  <c r="BF10" i="4"/>
  <c r="I11" i="4"/>
  <c r="S11" i="4"/>
  <c r="AD11" i="4"/>
  <c r="AO11" i="4"/>
  <c r="AY11" i="4"/>
  <c r="BI11" i="4"/>
  <c r="J12" i="4"/>
  <c r="S12" i="4"/>
  <c r="AB12" i="4"/>
  <c r="AL12" i="4"/>
  <c r="AU12" i="4"/>
  <c r="BD12" i="4"/>
  <c r="D13" i="4"/>
  <c r="M13" i="4"/>
  <c r="V13" i="4"/>
  <c r="AE13" i="4"/>
  <c r="AO13" i="4"/>
  <c r="AX13" i="4"/>
  <c r="BG13" i="4"/>
  <c r="G14" i="4"/>
  <c r="X1" i="4"/>
  <c r="AZ1" i="4"/>
  <c r="AC1" i="4"/>
  <c r="AQ2" i="4"/>
  <c r="AT3" i="4"/>
  <c r="AU4" i="4"/>
  <c r="AF5" i="4"/>
  <c r="AA6" i="4"/>
  <c r="N7" i="4"/>
  <c r="AX7" i="4"/>
  <c r="AO8" i="4"/>
  <c r="AB9" i="4"/>
  <c r="C10" i="4"/>
  <c r="AW10" i="4"/>
  <c r="U11" i="4"/>
  <c r="AR11" i="4"/>
  <c r="D12" i="4"/>
  <c r="W12" i="4"/>
  <c r="AO12" i="4"/>
  <c r="BG12" i="4"/>
  <c r="Q13" i="4"/>
  <c r="AI13" i="4"/>
  <c r="BA13" i="4"/>
  <c r="J14" i="4"/>
  <c r="Z14" i="4"/>
  <c r="AP14" i="4"/>
  <c r="BC14" i="4"/>
  <c r="J15" i="4"/>
  <c r="W15" i="4"/>
  <c r="AM15" i="4"/>
  <c r="BC15" i="4"/>
  <c r="E16" i="4"/>
  <c r="S16" i="4"/>
  <c r="AD16" i="4"/>
  <c r="AR16" i="4"/>
  <c r="BF16" i="4"/>
  <c r="H17" i="4"/>
  <c r="V17" i="4"/>
  <c r="AG17" i="4"/>
  <c r="AU17" i="4"/>
  <c r="BG17" i="4"/>
  <c r="I18" i="4"/>
  <c r="S18" i="4"/>
  <c r="AD18" i="4"/>
  <c r="AO18" i="4"/>
  <c r="AX18" i="4"/>
  <c r="BG18" i="4"/>
  <c r="G19" i="4"/>
  <c r="Q19" i="4"/>
  <c r="Z19" i="4"/>
  <c r="AI19" i="4"/>
  <c r="AR19" i="4"/>
  <c r="BA19" i="4"/>
  <c r="A20" i="4"/>
  <c r="J20" i="4"/>
  <c r="T20" i="4"/>
  <c r="AC20" i="4"/>
  <c r="AL20" i="4"/>
  <c r="AU20" i="4"/>
  <c r="BD20" i="4"/>
  <c r="D21" i="4"/>
  <c r="M21" i="4"/>
  <c r="W21" i="4"/>
  <c r="AF21" i="4"/>
  <c r="AO21" i="4"/>
  <c r="AX21" i="4"/>
  <c r="BG21" i="4"/>
  <c r="G22" i="4"/>
  <c r="P22" i="4"/>
  <c r="Z22" i="4"/>
  <c r="AI22" i="4"/>
  <c r="AR22" i="4"/>
  <c r="BA22" i="4"/>
  <c r="A23" i="4"/>
  <c r="J23" i="4"/>
  <c r="S23" i="4"/>
  <c r="AC23" i="4"/>
  <c r="AL23" i="4"/>
  <c r="AU23" i="4"/>
  <c r="BD23" i="4"/>
  <c r="D24" i="4"/>
  <c r="M24" i="4"/>
  <c r="V24" i="4"/>
  <c r="AF24" i="4"/>
  <c r="AO24" i="4"/>
  <c r="AX24" i="4"/>
  <c r="BG24" i="4"/>
  <c r="G25" i="4"/>
  <c r="P25" i="4"/>
  <c r="Y25" i="4"/>
  <c r="AI25" i="4"/>
  <c r="AR25" i="4"/>
  <c r="BA25" i="4"/>
  <c r="A26" i="4"/>
  <c r="J26" i="4"/>
  <c r="S26" i="4"/>
  <c r="AB26" i="4"/>
  <c r="AL26" i="4"/>
  <c r="AU26" i="4"/>
  <c r="BD26" i="4"/>
  <c r="D27" i="4"/>
  <c r="M27" i="4"/>
  <c r="V27" i="4"/>
  <c r="AE27" i="4"/>
  <c r="AO27" i="4"/>
  <c r="AX27" i="4"/>
  <c r="BG27" i="4"/>
  <c r="G28" i="4"/>
  <c r="P28" i="4"/>
  <c r="Y28" i="4"/>
  <c r="AH28" i="4"/>
  <c r="AQ28" i="4"/>
  <c r="AY28" i="4"/>
  <c r="BG28" i="4"/>
  <c r="F29" i="4"/>
  <c r="N29" i="4"/>
  <c r="V29" i="4"/>
  <c r="BB1" i="4"/>
  <c r="F3" i="4"/>
  <c r="G4" i="4"/>
  <c r="AW4" i="4"/>
  <c r="AX5" i="4"/>
  <c r="AM6" i="4"/>
  <c r="Q7" i="4"/>
  <c r="E8" i="4"/>
  <c r="BA8" i="4"/>
  <c r="AE9" i="4"/>
  <c r="S10" i="4"/>
  <c r="BG10" i="4"/>
  <c r="X11" i="4"/>
  <c r="AZ11" i="4"/>
  <c r="K12" i="4"/>
  <c r="AD12" i="4"/>
  <c r="AV12" i="4"/>
  <c r="E13" i="4"/>
  <c r="W13" i="4"/>
  <c r="AP13" i="4"/>
  <c r="BH13" i="4"/>
  <c r="P14" i="4"/>
  <c r="AC14" i="4"/>
  <c r="AS14" i="4"/>
  <c r="BI14" i="4"/>
  <c r="L15" i="4"/>
  <c r="AB15" i="4"/>
  <c r="AO15" i="4"/>
  <c r="BE15" i="4"/>
  <c r="J16" i="4"/>
  <c r="U16" i="4"/>
  <c r="AI16" i="4"/>
  <c r="AT16" i="4"/>
  <c r="BH16" i="4"/>
  <c r="M17" i="4"/>
  <c r="X17" i="4"/>
  <c r="AL17" i="4"/>
  <c r="AW17" i="4"/>
  <c r="A18" i="4"/>
  <c r="K18" i="4"/>
  <c r="V18" i="4"/>
  <c r="AG18" i="4"/>
  <c r="AQ18" i="4"/>
  <c r="AZ18" i="4"/>
  <c r="A19" i="4"/>
  <c r="J19" i="4"/>
  <c r="S19" i="4"/>
  <c r="AB19" i="4"/>
  <c r="AK19" i="4"/>
  <c r="AT19" i="4"/>
  <c r="BC19" i="4"/>
  <c r="D20" i="4"/>
  <c r="M20" i="4"/>
  <c r="V20" i="4"/>
  <c r="AE20" i="4"/>
  <c r="AN20" i="4"/>
  <c r="AW20" i="4"/>
  <c r="BF20" i="4"/>
  <c r="G21" i="4"/>
  <c r="P21" i="4"/>
  <c r="Y21" i="4"/>
  <c r="AH21" i="4"/>
  <c r="AQ21" i="4"/>
  <c r="AZ21" i="4"/>
  <c r="BI21" i="4"/>
  <c r="J22" i="4"/>
  <c r="S22" i="4"/>
  <c r="AB22" i="4"/>
  <c r="AK22" i="4"/>
  <c r="AT22" i="4"/>
  <c r="BC22" i="4"/>
  <c r="C23" i="4"/>
  <c r="M23" i="4"/>
  <c r="V23" i="4"/>
  <c r="AE23" i="4"/>
  <c r="AN23" i="4"/>
  <c r="AW23" i="4"/>
  <c r="BF23" i="4"/>
  <c r="F24" i="4"/>
  <c r="P24" i="4"/>
  <c r="P2" i="4"/>
  <c r="J3" i="4"/>
  <c r="H4" i="4"/>
  <c r="D5" i="4"/>
  <c r="AY5" i="4"/>
  <c r="AQ6" i="4"/>
  <c r="AE7" i="4"/>
  <c r="I8" i="4"/>
  <c r="BF8" i="4"/>
  <c r="AS9" i="4"/>
  <c r="W10" i="4"/>
  <c r="A11" i="4"/>
  <c r="AF11" i="4"/>
  <c r="BA11" i="4"/>
  <c r="L12" i="4"/>
  <c r="AE12" i="4"/>
  <c r="AW12" i="4"/>
  <c r="F13" i="4"/>
  <c r="Y13" i="4"/>
  <c r="AQ13" i="4"/>
  <c r="BI13" i="4"/>
  <c r="Q14" i="4"/>
  <c r="AG14" i="4"/>
  <c r="AT14" i="4"/>
  <c r="A15" i="4"/>
  <c r="M15" i="4"/>
  <c r="AC15" i="4"/>
  <c r="AS15" i="4"/>
  <c r="BF15" i="4"/>
  <c r="K16" i="4"/>
  <c r="V16" i="4"/>
  <c r="AJ16" i="4"/>
  <c r="AX16" i="4"/>
  <c r="BI16" i="4"/>
  <c r="N17" i="4"/>
  <c r="Y17" i="4"/>
  <c r="AM17" i="4"/>
  <c r="BA17" i="4"/>
  <c r="B18" i="4"/>
  <c r="L18" i="4"/>
  <c r="X18" i="4"/>
  <c r="AH18" i="4"/>
  <c r="AR18" i="4"/>
  <c r="BB18" i="4"/>
  <c r="B19" i="4"/>
  <c r="K19" i="4"/>
  <c r="T19" i="4"/>
  <c r="AC19" i="4"/>
  <c r="AL19" i="4"/>
  <c r="AU19" i="4"/>
  <c r="BE19" i="4"/>
  <c r="E20" i="4"/>
  <c r="N20" i="4"/>
  <c r="W20" i="4"/>
  <c r="AF20" i="4"/>
  <c r="AO20" i="4"/>
  <c r="AX20" i="4"/>
  <c r="BH20" i="4"/>
  <c r="H21" i="4"/>
  <c r="Q21" i="4"/>
  <c r="Z21" i="4"/>
  <c r="AI21" i="4"/>
  <c r="AR21" i="4"/>
  <c r="BA21" i="4"/>
  <c r="B22" i="4"/>
  <c r="K22" i="4"/>
  <c r="T22" i="4"/>
  <c r="AC22" i="4"/>
  <c r="AL22" i="4"/>
  <c r="AU22" i="4"/>
  <c r="BD22" i="4"/>
  <c r="E23" i="4"/>
  <c r="N23" i="4"/>
  <c r="W23" i="4"/>
  <c r="AF23" i="4"/>
  <c r="AO23" i="4"/>
  <c r="AX23" i="4"/>
  <c r="BG23" i="4"/>
  <c r="H24" i="4"/>
  <c r="Q24" i="4"/>
  <c r="Z24" i="4"/>
  <c r="AI24" i="4"/>
  <c r="AR24" i="4"/>
  <c r="BA24" i="4"/>
  <c r="A25" i="4"/>
  <c r="AO2" i="4"/>
  <c r="AB1" i="4"/>
  <c r="AD3" i="4"/>
  <c r="J5" i="4"/>
  <c r="V6" i="4"/>
  <c r="AG7" i="4"/>
  <c r="AP8" i="4"/>
  <c r="A10" i="4"/>
  <c r="C11" i="4"/>
  <c r="AQ11" i="4"/>
  <c r="R12" i="4"/>
  <c r="AT12" i="4"/>
  <c r="N13" i="4"/>
  <c r="AR13" i="4"/>
  <c r="I14" i="4"/>
  <c r="AJ14" i="4"/>
  <c r="BD14" i="4"/>
  <c r="T15" i="4"/>
  <c r="AU15" i="4"/>
  <c r="D16" i="4"/>
  <c r="AA16" i="4"/>
  <c r="AS16" i="4"/>
  <c r="F17" i="4"/>
  <c r="AC17" i="4"/>
  <c r="AT17" i="4"/>
  <c r="D18" i="4"/>
  <c r="T18" i="4"/>
  <c r="AL18" i="4"/>
  <c r="BC18" i="4"/>
  <c r="F19" i="4"/>
  <c r="V19" i="4"/>
  <c r="AJ19" i="4"/>
  <c r="AY19" i="4"/>
  <c r="F20" i="4"/>
  <c r="R20" i="4"/>
  <c r="AH20" i="4"/>
  <c r="AV20" i="4"/>
  <c r="B21" i="4"/>
  <c r="R21" i="4"/>
  <c r="AE21" i="4"/>
  <c r="AU21" i="4"/>
  <c r="BH21" i="4"/>
  <c r="N22" i="4"/>
  <c r="AD22" i="4"/>
  <c r="AQ22" i="4"/>
  <c r="BG22" i="4"/>
  <c r="K23" i="4"/>
  <c r="Z23" i="4"/>
  <c r="AP23" i="4"/>
  <c r="BC23" i="4"/>
  <c r="J24" i="4"/>
  <c r="X24" i="4"/>
  <c r="AJ24" i="4"/>
  <c r="AV24" i="4"/>
  <c r="BH24" i="4"/>
  <c r="K25" i="4"/>
  <c r="U25" i="4"/>
  <c r="AE25" i="4"/>
  <c r="AO25" i="4"/>
  <c r="AZ25" i="4"/>
  <c r="B26" i="4"/>
  <c r="L26" i="4"/>
  <c r="W26" i="4"/>
  <c r="AG26" i="4"/>
  <c r="AQ26" i="4"/>
  <c r="BB26" i="4"/>
  <c r="C27" i="4"/>
  <c r="N27" i="4"/>
  <c r="Y27" i="4"/>
  <c r="AI27" i="4"/>
  <c r="AS27" i="4"/>
  <c r="BC27" i="4"/>
  <c r="E28" i="4"/>
  <c r="O28" i="4"/>
  <c r="Z28" i="4"/>
  <c r="AK28" i="4"/>
  <c r="AT28" i="4"/>
  <c r="BC28" i="4"/>
  <c r="C29" i="4"/>
  <c r="L29" i="4"/>
  <c r="U29" i="4"/>
  <c r="AD29" i="4"/>
  <c r="AL29" i="4"/>
  <c r="AT29" i="4"/>
  <c r="BB29" i="4"/>
  <c r="A30" i="4"/>
  <c r="I30" i="4"/>
  <c r="Q30" i="4"/>
  <c r="Y30" i="4"/>
  <c r="AG30" i="4"/>
  <c r="AO30" i="4"/>
  <c r="AW30" i="4"/>
  <c r="BE30" i="4"/>
  <c r="D31" i="4"/>
  <c r="L31" i="4"/>
  <c r="T31" i="4"/>
  <c r="AB31" i="4"/>
  <c r="AJ31" i="4"/>
  <c r="AR31" i="4"/>
  <c r="AZ31" i="4"/>
  <c r="BH31" i="4"/>
  <c r="G32" i="4"/>
  <c r="O32" i="4"/>
  <c r="W32" i="4"/>
  <c r="AE32" i="4"/>
  <c r="AM32" i="4"/>
  <c r="AU32" i="4"/>
  <c r="BC32" i="4"/>
  <c r="B33" i="4"/>
  <c r="J33" i="4"/>
  <c r="R33" i="4"/>
  <c r="Z33" i="4"/>
  <c r="AH33" i="4"/>
  <c r="AP33" i="4"/>
  <c r="AX33" i="4"/>
  <c r="BF33" i="4"/>
  <c r="E34" i="4"/>
  <c r="M34" i="4"/>
  <c r="U34" i="4"/>
  <c r="AC34" i="4"/>
  <c r="AK34" i="4"/>
  <c r="AS34" i="4"/>
  <c r="BA34" i="4"/>
  <c r="BI34" i="4"/>
  <c r="H35" i="4"/>
  <c r="P35" i="4"/>
  <c r="X35" i="4"/>
  <c r="AF35" i="4"/>
  <c r="AN35" i="4"/>
  <c r="AV35" i="4"/>
  <c r="BD35" i="4"/>
  <c r="C36" i="4"/>
  <c r="K36" i="4"/>
  <c r="S36" i="4"/>
  <c r="AA36" i="4"/>
  <c r="AI36" i="4"/>
  <c r="AQ36" i="4"/>
  <c r="AY36" i="4"/>
  <c r="BG36" i="4"/>
  <c r="F37" i="4"/>
  <c r="N37" i="4"/>
  <c r="V37" i="4"/>
  <c r="AD37" i="4"/>
  <c r="AL37" i="4"/>
  <c r="AT37" i="4"/>
  <c r="BB37" i="4"/>
  <c r="A38" i="4"/>
  <c r="I38" i="4"/>
  <c r="Q38" i="4"/>
  <c r="Y38" i="4"/>
  <c r="AG38" i="4"/>
  <c r="AO38" i="4"/>
  <c r="AW38" i="4"/>
  <c r="BE38" i="4"/>
  <c r="D39" i="4"/>
  <c r="L39" i="4"/>
  <c r="T39" i="4"/>
  <c r="AB39" i="4"/>
  <c r="AJ39" i="4"/>
  <c r="AR39" i="4"/>
  <c r="AZ39" i="4"/>
  <c r="BH39" i="4"/>
  <c r="G40" i="4"/>
  <c r="O40" i="4"/>
  <c r="W40" i="4"/>
  <c r="AE40" i="4"/>
  <c r="AM40" i="4"/>
  <c r="AU40" i="4"/>
  <c r="BC40" i="4"/>
  <c r="B41" i="4"/>
  <c r="J41" i="4"/>
  <c r="BA1" i="4"/>
  <c r="AS3" i="4"/>
  <c r="K5" i="4"/>
  <c r="AB6" i="4"/>
  <c r="AU7" i="4"/>
  <c r="BG8" i="4"/>
  <c r="B10" i="4"/>
  <c r="J11" i="4"/>
  <c r="AX11" i="4"/>
  <c r="T12" i="4"/>
  <c r="AX12" i="4"/>
  <c r="O13" i="4"/>
  <c r="AW13" i="4"/>
  <c r="O14" i="4"/>
  <c r="AK14" i="4"/>
  <c r="B15" i="4"/>
  <c r="U15" i="4"/>
  <c r="AV15" i="4"/>
  <c r="F16" i="4"/>
  <c r="AB16" i="4"/>
  <c r="AY16" i="4"/>
  <c r="G17" i="4"/>
  <c r="AD17" i="4"/>
  <c r="AV17" i="4"/>
  <c r="F18" i="4"/>
  <c r="Y18" i="4"/>
  <c r="AN18" i="4"/>
  <c r="BD18" i="4"/>
  <c r="I19" i="4"/>
  <c r="W19" i="4"/>
  <c r="AM19" i="4"/>
  <c r="AZ19" i="4"/>
  <c r="G20" i="4"/>
  <c r="U20" i="4"/>
  <c r="AJ20" i="4"/>
  <c r="AZ20" i="4"/>
  <c r="C21" i="4"/>
  <c r="S21" i="4"/>
  <c r="AG21" i="4"/>
  <c r="AV21" i="4"/>
  <c r="C22" i="4"/>
  <c r="O22" i="4"/>
  <c r="AE22" i="4"/>
  <c r="AS22" i="4"/>
  <c r="BH22" i="4"/>
  <c r="O23" i="4"/>
  <c r="AA23" i="4"/>
  <c r="AQ23" i="4"/>
  <c r="BE23" i="4"/>
  <c r="K24" i="4"/>
  <c r="Y24" i="4"/>
  <c r="AK24" i="4"/>
  <c r="AW24" i="4"/>
  <c r="BI24" i="4"/>
  <c r="L25" i="4"/>
  <c r="V25" i="4"/>
  <c r="AF25" i="4"/>
  <c r="AQ25" i="4"/>
  <c r="BB25" i="4"/>
  <c r="C26" i="4"/>
  <c r="N26" i="4"/>
  <c r="X26" i="4"/>
  <c r="AH26" i="4"/>
  <c r="AR26" i="4"/>
  <c r="BC26" i="4"/>
  <c r="E27" i="4"/>
  <c r="O27" i="4"/>
  <c r="Z27" i="4"/>
  <c r="AJ27" i="4"/>
  <c r="AT27" i="4"/>
  <c r="BE27" i="4"/>
  <c r="F28" i="4"/>
  <c r="Q28" i="4"/>
  <c r="AB28" i="4"/>
  <c r="AL28" i="4"/>
  <c r="AU28" i="4"/>
  <c r="BD28" i="4"/>
  <c r="D29" i="4"/>
  <c r="M29" i="4"/>
  <c r="W29" i="4"/>
  <c r="AE29" i="4"/>
  <c r="AM29" i="4"/>
  <c r="AU29" i="4"/>
  <c r="BC29" i="4"/>
  <c r="B30" i="4"/>
  <c r="J30" i="4"/>
  <c r="R30" i="4"/>
  <c r="Z30" i="4"/>
  <c r="AH30" i="4"/>
  <c r="AP30" i="4"/>
  <c r="AX30" i="4"/>
  <c r="BF30" i="4"/>
  <c r="E31" i="4"/>
  <c r="M31" i="4"/>
  <c r="U31" i="4"/>
  <c r="AC31" i="4"/>
  <c r="AK31" i="4"/>
  <c r="AS31" i="4"/>
  <c r="BA31" i="4"/>
  <c r="BI31" i="4"/>
  <c r="H32" i="4"/>
  <c r="P32" i="4"/>
  <c r="X32" i="4"/>
  <c r="AF32" i="4"/>
  <c r="AN32" i="4"/>
  <c r="AV32" i="4"/>
  <c r="BD32" i="4"/>
  <c r="C33" i="4"/>
  <c r="K33" i="4"/>
  <c r="S33" i="4"/>
  <c r="AA33" i="4"/>
  <c r="AI33" i="4"/>
  <c r="AQ33" i="4"/>
  <c r="AY33" i="4"/>
  <c r="BG33" i="4"/>
  <c r="F34" i="4"/>
  <c r="N34" i="4"/>
  <c r="V34" i="4"/>
  <c r="AD34" i="4"/>
  <c r="AL34" i="4"/>
  <c r="AT34" i="4"/>
  <c r="BB34" i="4"/>
  <c r="A35" i="4"/>
  <c r="I35" i="4"/>
  <c r="Q35" i="4"/>
  <c r="Y35" i="4"/>
  <c r="AG35" i="4"/>
  <c r="AO35" i="4"/>
  <c r="AW35" i="4"/>
  <c r="BE35" i="4"/>
  <c r="Q2" i="4"/>
  <c r="AY3" i="4"/>
  <c r="Z5" i="4"/>
  <c r="AR6" i="4"/>
  <c r="AW7" i="4"/>
  <c r="L9" i="4"/>
  <c r="Q10" i="4"/>
  <c r="L11" i="4"/>
  <c r="BB11" i="4"/>
  <c r="V12" i="4"/>
  <c r="BC12" i="4"/>
  <c r="U13" i="4"/>
  <c r="AY13" i="4"/>
  <c r="R14" i="4"/>
  <c r="AL14" i="4"/>
  <c r="C15" i="4"/>
  <c r="AA15" i="4"/>
  <c r="AW15" i="4"/>
  <c r="L16" i="4"/>
  <c r="AC16" i="4"/>
  <c r="AZ16" i="4"/>
  <c r="I17" i="4"/>
  <c r="AE17" i="4"/>
  <c r="BB17" i="4"/>
  <c r="H18" i="4"/>
  <c r="Z18" i="4"/>
  <c r="AP18" i="4"/>
  <c r="BE18" i="4"/>
  <c r="L19" i="4"/>
  <c r="Y19" i="4"/>
  <c r="AO19" i="4"/>
  <c r="BB19" i="4"/>
  <c r="H20" i="4"/>
  <c r="X20" i="4"/>
  <c r="AK20" i="4"/>
  <c r="BA20" i="4"/>
  <c r="E21" i="4"/>
  <c r="T21" i="4"/>
  <c r="AJ21" i="4"/>
  <c r="AW21" i="4"/>
  <c r="D22" i="4"/>
  <c r="R22" i="4"/>
  <c r="AF22" i="4"/>
  <c r="AV22" i="4"/>
  <c r="BI22" i="4"/>
  <c r="P23" i="4"/>
  <c r="AD23" i="4"/>
  <c r="AS23" i="4"/>
  <c r="BI23" i="4"/>
  <c r="L24" i="4"/>
  <c r="AA24" i="4"/>
  <c r="AL24" i="4"/>
  <c r="AY24" i="4"/>
  <c r="C25" i="4"/>
  <c r="M25" i="4"/>
  <c r="W25" i="4"/>
  <c r="AG25" i="4"/>
  <c r="AS25" i="4"/>
  <c r="BC25" i="4"/>
  <c r="D26" i="4"/>
  <c r="O26" i="4"/>
  <c r="Y26" i="4"/>
  <c r="AI26" i="4"/>
  <c r="AT26" i="4"/>
  <c r="BE26" i="4"/>
  <c r="F27" i="4"/>
  <c r="Q27" i="4"/>
  <c r="AA27" i="4"/>
  <c r="AK27" i="4"/>
  <c r="AU27" i="4"/>
  <c r="BF27" i="4"/>
  <c r="H28" i="4"/>
  <c r="R28" i="4"/>
  <c r="AC28" i="4"/>
  <c r="AM28" i="4"/>
  <c r="AV28" i="4"/>
  <c r="BE28" i="4"/>
  <c r="E29" i="4"/>
  <c r="O29" i="4"/>
  <c r="X29" i="4"/>
  <c r="AF29" i="4"/>
  <c r="AN29" i="4"/>
  <c r="AV29" i="4"/>
  <c r="BD29" i="4"/>
  <c r="C30" i="4"/>
  <c r="K30" i="4"/>
  <c r="S30" i="4"/>
  <c r="AA30" i="4"/>
  <c r="AI30" i="4"/>
  <c r="AQ30" i="4"/>
  <c r="AY30" i="4"/>
  <c r="R2" i="4"/>
  <c r="I4" i="4"/>
  <c r="AA5" i="4"/>
  <c r="BC6" i="4"/>
  <c r="C8" i="4"/>
  <c r="M9" i="4"/>
  <c r="AG10" i="4"/>
  <c r="M11" i="4"/>
  <c r="BH11" i="4"/>
  <c r="AA12" i="4"/>
  <c r="BE12" i="4"/>
  <c r="Z13" i="4"/>
  <c r="AZ13" i="4"/>
  <c r="T14" i="4"/>
  <c r="AR14" i="4"/>
  <c r="D15" i="4"/>
  <c r="AE15" i="4"/>
  <c r="AX15" i="4"/>
  <c r="M16" i="4"/>
  <c r="AH16" i="4"/>
  <c r="BA16" i="4"/>
  <c r="O17" i="4"/>
  <c r="AF17" i="4"/>
  <c r="BC17" i="4"/>
  <c r="J18" i="4"/>
  <c r="AA18" i="4"/>
  <c r="AT18" i="4"/>
  <c r="BF18" i="4"/>
  <c r="M19" i="4"/>
  <c r="AA19" i="4"/>
  <c r="AP19" i="4"/>
  <c r="BF19" i="4"/>
  <c r="I20" i="4"/>
  <c r="Y20" i="4"/>
  <c r="AM20" i="4"/>
  <c r="BB20" i="4"/>
  <c r="I21" i="4"/>
  <c r="U21" i="4"/>
  <c r="AK21" i="4"/>
  <c r="AY21" i="4"/>
  <c r="E22" i="4"/>
  <c r="U22" i="4"/>
  <c r="AH22" i="4"/>
  <c r="AX22" i="4"/>
  <c r="B23" i="4"/>
  <c r="Q23" i="4"/>
  <c r="AG23" i="4"/>
  <c r="AT23" i="4"/>
  <c r="A24" i="4"/>
  <c r="N24" i="4"/>
  <c r="AB24" i="4"/>
  <c r="AN24" i="4"/>
  <c r="AZ24" i="4"/>
  <c r="D25" i="4"/>
  <c r="N25" i="4"/>
  <c r="X25" i="4"/>
  <c r="AJ25" i="4"/>
  <c r="AT25" i="4"/>
  <c r="BD25" i="4"/>
  <c r="F26" i="4"/>
  <c r="P26" i="4"/>
  <c r="Z26" i="4"/>
  <c r="AJ26" i="4"/>
  <c r="AV26" i="4"/>
  <c r="BF26" i="4"/>
  <c r="G27" i="4"/>
  <c r="R27" i="4"/>
  <c r="AB27" i="4"/>
  <c r="AL27" i="4"/>
  <c r="AW27" i="4"/>
  <c r="BH27" i="4"/>
  <c r="I28" i="4"/>
  <c r="T28" i="4"/>
  <c r="AD28" i="4"/>
  <c r="AN28" i="4"/>
  <c r="AP2" i="4"/>
  <c r="X4" i="4"/>
  <c r="AW5" i="4"/>
  <c r="BH6" i="4"/>
  <c r="T8" i="4"/>
  <c r="N9" i="4"/>
  <c r="AI10" i="4"/>
  <c r="V11" i="4"/>
  <c r="A12" i="4"/>
  <c r="AF12" i="4"/>
  <c r="BF12" i="4"/>
  <c r="AD13" i="4"/>
  <c r="BF13" i="4"/>
  <c r="X14" i="4"/>
  <c r="AU14" i="4"/>
  <c r="I15" i="4"/>
  <c r="AF15" i="4"/>
  <c r="BD15" i="4"/>
  <c r="N16" i="4"/>
  <c r="AK16" i="4"/>
  <c r="BB16" i="4"/>
  <c r="P17" i="4"/>
  <c r="AK17" i="4"/>
  <c r="BD17" i="4"/>
  <c r="N18" i="4"/>
  <c r="AB18" i="4"/>
  <c r="AU18" i="4"/>
  <c r="BH18" i="4"/>
  <c r="N19" i="4"/>
  <c r="AD19" i="4"/>
  <c r="AQ19" i="4"/>
  <c r="BG19" i="4"/>
  <c r="L20" i="4"/>
  <c r="Z20" i="4"/>
  <c r="AP20" i="4"/>
  <c r="BC20" i="4"/>
  <c r="J21" i="4"/>
  <c r="X21" i="4"/>
  <c r="AM21" i="4"/>
  <c r="BC21" i="4"/>
  <c r="F22" i="4"/>
  <c r="V22" i="4"/>
  <c r="AJ22" i="4"/>
  <c r="AY22" i="4"/>
  <c r="F23" i="4"/>
  <c r="R23" i="4"/>
  <c r="AH23" i="4"/>
  <c r="AV23" i="4"/>
  <c r="B24" i="4"/>
  <c r="R24" i="4"/>
  <c r="AC24" i="4"/>
  <c r="AP24" i="4"/>
  <c r="BB24" i="4"/>
  <c r="E25" i="4"/>
  <c r="O25" i="4"/>
  <c r="AA25" i="4"/>
  <c r="AK25" i="4"/>
  <c r="AU25" i="4"/>
  <c r="BE25" i="4"/>
  <c r="G26" i="4"/>
  <c r="Q26" i="4"/>
  <c r="AA26" i="4"/>
  <c r="AM26" i="4"/>
  <c r="AW26" i="4"/>
  <c r="BG26" i="4"/>
  <c r="I27" i="4"/>
  <c r="S27" i="4"/>
  <c r="AC27" i="4"/>
  <c r="AM27" i="4"/>
  <c r="AY27" i="4"/>
  <c r="BI27" i="4"/>
  <c r="J28" i="4"/>
  <c r="U28" i="4"/>
  <c r="AE28" i="4"/>
  <c r="AO28" i="4"/>
  <c r="AX28" i="4"/>
  <c r="BH28" i="4"/>
  <c r="H29" i="4"/>
  <c r="Q29" i="4"/>
  <c r="Z29" i="4"/>
  <c r="AH29" i="4"/>
  <c r="AP29" i="4"/>
  <c r="AX29" i="4"/>
  <c r="BF29" i="4"/>
  <c r="E30" i="4"/>
  <c r="M30" i="4"/>
  <c r="U30" i="4"/>
  <c r="AC30" i="4"/>
  <c r="AK30" i="4"/>
  <c r="AS30" i="4"/>
  <c r="BA30" i="4"/>
  <c r="E3" i="4"/>
  <c r="AC4" i="4"/>
  <c r="E6" i="4"/>
  <c r="BI6" i="4"/>
  <c r="U8" i="4"/>
  <c r="AD9" i="4"/>
  <c r="AL10" i="4"/>
  <c r="AG11" i="4"/>
  <c r="C12" i="4"/>
  <c r="AJ12" i="4"/>
  <c r="C13" i="4"/>
  <c r="AC3" i="4"/>
  <c r="Z3" i="4"/>
  <c r="AJ8" i="4"/>
  <c r="N12" i="4"/>
  <c r="A14" i="4"/>
  <c r="BB14" i="4"/>
  <c r="B16" i="4"/>
  <c r="BG16" i="4"/>
  <c r="AS17" i="4"/>
  <c r="AI18" i="4"/>
  <c r="O19" i="4"/>
  <c r="AX19" i="4"/>
  <c r="AD20" i="4"/>
  <c r="K21" i="4"/>
  <c r="AS21" i="4"/>
  <c r="X22" i="4"/>
  <c r="G23" i="4"/>
  <c r="AM23" i="4"/>
  <c r="T24" i="4"/>
  <c r="BD24" i="4"/>
  <c r="T25" i="4"/>
  <c r="AW25" i="4"/>
  <c r="R26" i="4"/>
  <c r="AP26" i="4"/>
  <c r="K27" i="4"/>
  <c r="AP27" i="4"/>
  <c r="D28" i="4"/>
  <c r="AG28" i="4"/>
  <c r="BB28" i="4"/>
  <c r="K29" i="4"/>
  <c r="AC29" i="4"/>
  <c r="AS29" i="4"/>
  <c r="BI29" i="4"/>
  <c r="P30" i="4"/>
  <c r="AF30" i="4"/>
  <c r="AV30" i="4"/>
  <c r="A31" i="4"/>
  <c r="K31" i="4"/>
  <c r="W31" i="4"/>
  <c r="AG31" i="4"/>
  <c r="AQ31" i="4"/>
  <c r="BC31" i="4"/>
  <c r="D32" i="4"/>
  <c r="N32" i="4"/>
  <c r="Z32" i="4"/>
  <c r="AJ32" i="4"/>
  <c r="AT32" i="4"/>
  <c r="BF32" i="4"/>
  <c r="G33" i="4"/>
  <c r="Q33" i="4"/>
  <c r="AC33" i="4"/>
  <c r="AM33" i="4"/>
  <c r="AW33" i="4"/>
  <c r="BI33" i="4"/>
  <c r="J34" i="4"/>
  <c r="T34" i="4"/>
  <c r="AF34" i="4"/>
  <c r="AP34" i="4"/>
  <c r="AZ34" i="4"/>
  <c r="C35" i="4"/>
  <c r="M35" i="4"/>
  <c r="W35" i="4"/>
  <c r="AI35" i="4"/>
  <c r="AS35" i="4"/>
  <c r="BC35" i="4"/>
  <c r="E36" i="4"/>
  <c r="N36" i="4"/>
  <c r="W36" i="4"/>
  <c r="AF36" i="4"/>
  <c r="AO36" i="4"/>
  <c r="AX36" i="4"/>
  <c r="BH36" i="4"/>
  <c r="H37" i="4"/>
  <c r="Q37" i="4"/>
  <c r="Z37" i="4"/>
  <c r="AI37" i="4"/>
  <c r="AR37" i="4"/>
  <c r="BA37" i="4"/>
  <c r="B38" i="4"/>
  <c r="K38" i="4"/>
  <c r="T38" i="4"/>
  <c r="AC38" i="4"/>
  <c r="AL38" i="4"/>
  <c r="AU38" i="4"/>
  <c r="BD38" i="4"/>
  <c r="E39" i="4"/>
  <c r="N39" i="4"/>
  <c r="W39" i="4"/>
  <c r="AF39" i="4"/>
  <c r="AO39" i="4"/>
  <c r="AX39" i="4"/>
  <c r="BG39" i="4"/>
  <c r="H40" i="4"/>
  <c r="Q40" i="4"/>
  <c r="Z40" i="4"/>
  <c r="AI40" i="4"/>
  <c r="AR40" i="4"/>
  <c r="BA40" i="4"/>
  <c r="A41" i="4"/>
  <c r="K41" i="4"/>
  <c r="S41" i="4"/>
  <c r="AA41" i="4"/>
  <c r="AI41" i="4"/>
  <c r="AQ41" i="4"/>
  <c r="AY41" i="4"/>
  <c r="BG41" i="4"/>
  <c r="F42" i="4"/>
  <c r="N42" i="4"/>
  <c r="V42" i="4"/>
  <c r="AD42" i="4"/>
  <c r="AL42" i="4"/>
  <c r="AT42" i="4"/>
  <c r="BB42" i="4"/>
  <c r="A43" i="4"/>
  <c r="I43" i="4"/>
  <c r="Q43" i="4"/>
  <c r="Y43" i="4"/>
  <c r="AG43" i="4"/>
  <c r="AO43" i="4"/>
  <c r="AW43" i="4"/>
  <c r="BE43" i="4"/>
  <c r="D44" i="4"/>
  <c r="L44" i="4"/>
  <c r="T44" i="4"/>
  <c r="AB44" i="4"/>
  <c r="AJ44" i="4"/>
  <c r="AR44" i="4"/>
  <c r="AZ44" i="4"/>
  <c r="BH44" i="4"/>
  <c r="G45" i="4"/>
  <c r="O45" i="4"/>
  <c r="W45" i="4"/>
  <c r="AE45" i="4"/>
  <c r="AM45" i="4"/>
  <c r="AU45" i="4"/>
  <c r="BC45" i="4"/>
  <c r="B46" i="4"/>
  <c r="J46" i="4"/>
  <c r="R46" i="4"/>
  <c r="Z46" i="4"/>
  <c r="AH46" i="4"/>
  <c r="AP46" i="4"/>
  <c r="AX46" i="4"/>
  <c r="BF46" i="4"/>
  <c r="E47" i="4"/>
  <c r="M47" i="4"/>
  <c r="U47" i="4"/>
  <c r="AC47" i="4"/>
  <c r="AK47" i="4"/>
  <c r="AS47" i="4"/>
  <c r="BA47" i="4"/>
  <c r="BI47" i="4"/>
  <c r="H48" i="4"/>
  <c r="P48" i="4"/>
  <c r="X48" i="4"/>
  <c r="AF48" i="4"/>
  <c r="AN48" i="4"/>
  <c r="AV48" i="4"/>
  <c r="BD48" i="4"/>
  <c r="C49" i="4"/>
  <c r="K49" i="4"/>
  <c r="S49" i="4"/>
  <c r="AF4" i="4"/>
  <c r="AU9" i="4"/>
  <c r="AM12" i="4"/>
  <c r="F14" i="4"/>
  <c r="K15" i="4"/>
  <c r="C16" i="4"/>
  <c r="A17" i="4"/>
  <c r="BE17" i="4"/>
  <c r="AJ18" i="4"/>
  <c r="R19" i="4"/>
  <c r="BH19" i="4"/>
  <c r="AG20" i="4"/>
  <c r="L21" i="4"/>
  <c r="BD21" i="4"/>
  <c r="AA22" i="4"/>
  <c r="H23" i="4"/>
  <c r="AY23" i="4"/>
  <c r="U24" i="4"/>
  <c r="BE24" i="4"/>
  <c r="AB25" i="4"/>
  <c r="AY25" i="4"/>
  <c r="T26" i="4"/>
  <c r="AX26" i="4"/>
  <c r="L27" i="4"/>
  <c r="AQ27" i="4"/>
  <c r="L28" i="4"/>
  <c r="AJ28" i="4"/>
  <c r="BF28" i="4"/>
  <c r="P29" i="4"/>
  <c r="AG29" i="4"/>
  <c r="AW29" i="4"/>
  <c r="D30" i="4"/>
  <c r="T30" i="4"/>
  <c r="AJ30" i="4"/>
  <c r="AZ30" i="4"/>
  <c r="B31" i="4"/>
  <c r="N31" i="4"/>
  <c r="X31" i="4"/>
  <c r="AH31" i="4"/>
  <c r="AT31" i="4"/>
  <c r="BD31" i="4"/>
  <c r="E32" i="4"/>
  <c r="Q32" i="4"/>
  <c r="AA32" i="4"/>
  <c r="AK32" i="4"/>
  <c r="AW32" i="4"/>
  <c r="BG32" i="4"/>
  <c r="H33" i="4"/>
  <c r="T33" i="4"/>
  <c r="AD33" i="4"/>
  <c r="AN33" i="4"/>
  <c r="AZ33" i="4"/>
  <c r="A34" i="4"/>
  <c r="K34" i="4"/>
  <c r="W34" i="4"/>
  <c r="AG34" i="4"/>
  <c r="AQ34" i="4"/>
  <c r="BC34" i="4"/>
  <c r="D35" i="4"/>
  <c r="N35" i="4"/>
  <c r="Z35" i="4"/>
  <c r="AJ35" i="4"/>
  <c r="AT35" i="4"/>
  <c r="BF35" i="4"/>
  <c r="F36" i="4"/>
  <c r="O36" i="4"/>
  <c r="X36" i="4"/>
  <c r="AG36" i="4"/>
  <c r="AP36" i="4"/>
  <c r="AZ36" i="4"/>
  <c r="BI36" i="4"/>
  <c r="I37" i="4"/>
  <c r="R37" i="4"/>
  <c r="AA37" i="4"/>
  <c r="AJ37" i="4"/>
  <c r="AS37" i="4"/>
  <c r="BC37" i="4"/>
  <c r="C38" i="4"/>
  <c r="L38" i="4"/>
  <c r="U38" i="4"/>
  <c r="AD38" i="4"/>
  <c r="AM38" i="4"/>
  <c r="AV38" i="4"/>
  <c r="BF38" i="4"/>
  <c r="F39" i="4"/>
  <c r="O39" i="4"/>
  <c r="X39" i="4"/>
  <c r="AG39" i="4"/>
  <c r="AP39" i="4"/>
  <c r="AY39" i="4"/>
  <c r="BI39" i="4"/>
  <c r="I40" i="4"/>
  <c r="R40" i="4"/>
  <c r="AA40" i="4"/>
  <c r="AJ40" i="4"/>
  <c r="AS40" i="4"/>
  <c r="BB40" i="4"/>
  <c r="C41" i="4"/>
  <c r="L41" i="4"/>
  <c r="T41" i="4"/>
  <c r="AB41" i="4"/>
  <c r="AJ41" i="4"/>
  <c r="AR41" i="4"/>
  <c r="AZ41" i="4"/>
  <c r="BH41" i="4"/>
  <c r="G42" i="4"/>
  <c r="O42" i="4"/>
  <c r="W42" i="4"/>
  <c r="AE42" i="4"/>
  <c r="AM42" i="4"/>
  <c r="AU42" i="4"/>
  <c r="BC42" i="4"/>
  <c r="B43" i="4"/>
  <c r="J43" i="4"/>
  <c r="R43" i="4"/>
  <c r="Z43" i="4"/>
  <c r="AH43" i="4"/>
  <c r="AP43" i="4"/>
  <c r="AX43" i="4"/>
  <c r="BF43" i="4"/>
  <c r="E44" i="4"/>
  <c r="M44" i="4"/>
  <c r="U44" i="4"/>
  <c r="AC44" i="4"/>
  <c r="AK44" i="4"/>
  <c r="AS44" i="4"/>
  <c r="AV4" i="4"/>
  <c r="AV9" i="4"/>
  <c r="AN12" i="4"/>
  <c r="H14" i="4"/>
  <c r="R15" i="4"/>
  <c r="R16" i="4"/>
  <c r="E17" i="4"/>
  <c r="BI17" i="4"/>
  <c r="AV18" i="4"/>
  <c r="U19" i="4"/>
  <c r="BI19" i="4"/>
  <c r="AR20" i="4"/>
  <c r="O21" i="4"/>
  <c r="BE21" i="4"/>
  <c r="AM22" i="4"/>
  <c r="I23" i="4"/>
  <c r="BA23" i="4"/>
  <c r="AD24" i="4"/>
  <c r="BF24" i="4"/>
  <c r="AC25" i="4"/>
  <c r="BG25" i="4"/>
  <c r="V26" i="4"/>
  <c r="AY26" i="4"/>
  <c r="T27" i="4"/>
  <c r="AR27" i="4"/>
  <c r="M28" i="4"/>
  <c r="AP28" i="4"/>
  <c r="BI28" i="4"/>
  <c r="R29" i="4"/>
  <c r="AI29" i="4"/>
  <c r="AY29" i="4"/>
  <c r="F30" i="4"/>
  <c r="V30" i="4"/>
  <c r="AL30" i="4"/>
  <c r="BB30" i="4"/>
  <c r="C31" i="4"/>
  <c r="O31" i="4"/>
  <c r="Y31" i="4"/>
  <c r="AI31" i="4"/>
  <c r="AU31" i="4"/>
  <c r="BE31" i="4"/>
  <c r="F32" i="4"/>
  <c r="R32" i="4"/>
  <c r="AB32" i="4"/>
  <c r="AL32" i="4"/>
  <c r="AX32" i="4"/>
  <c r="BH32" i="4"/>
  <c r="I33" i="4"/>
  <c r="U33" i="4"/>
  <c r="AE33" i="4"/>
  <c r="AO33" i="4"/>
  <c r="BA33" i="4"/>
  <c r="B34" i="4"/>
  <c r="L34" i="4"/>
  <c r="X34" i="4"/>
  <c r="AH34" i="4"/>
  <c r="AR34" i="4"/>
  <c r="BD34" i="4"/>
  <c r="E35" i="4"/>
  <c r="O35" i="4"/>
  <c r="AA35" i="4"/>
  <c r="AK35" i="4"/>
  <c r="AU35" i="4"/>
  <c r="BG35" i="4"/>
  <c r="G36" i="4"/>
  <c r="P36" i="4"/>
  <c r="Y36" i="4"/>
  <c r="AH36" i="4"/>
  <c r="AR36" i="4"/>
  <c r="BA36" i="4"/>
  <c r="A37" i="4"/>
  <c r="J37" i="4"/>
  <c r="S37" i="4"/>
  <c r="AB37" i="4"/>
  <c r="AK37" i="4"/>
  <c r="AU37" i="4"/>
  <c r="BD37" i="4"/>
  <c r="D38" i="4"/>
  <c r="M38" i="4"/>
  <c r="V38" i="4"/>
  <c r="AE38" i="4"/>
  <c r="AN38" i="4"/>
  <c r="AX38" i="4"/>
  <c r="BG38" i="4"/>
  <c r="G39" i="4"/>
  <c r="P39" i="4"/>
  <c r="Y39" i="4"/>
  <c r="AH39" i="4"/>
  <c r="AQ39" i="4"/>
  <c r="BA39" i="4"/>
  <c r="A40" i="4"/>
  <c r="J40" i="4"/>
  <c r="S40" i="4"/>
  <c r="AB40" i="4"/>
  <c r="AK40" i="4"/>
  <c r="AT40" i="4"/>
  <c r="BD40" i="4"/>
  <c r="D41" i="4"/>
  <c r="M41" i="4"/>
  <c r="U41" i="4"/>
  <c r="AC41" i="4"/>
  <c r="AK41" i="4"/>
  <c r="AS41" i="4"/>
  <c r="BA41" i="4"/>
  <c r="BI41" i="4"/>
  <c r="H42" i="4"/>
  <c r="P42" i="4"/>
  <c r="X42" i="4"/>
  <c r="AF42" i="4"/>
  <c r="AN42" i="4"/>
  <c r="AV42" i="4"/>
  <c r="BD42" i="4"/>
  <c r="C43" i="4"/>
  <c r="K43" i="4"/>
  <c r="S43" i="4"/>
  <c r="AA43" i="4"/>
  <c r="AI43" i="4"/>
  <c r="AQ43" i="4"/>
  <c r="AY43" i="4"/>
  <c r="BG43" i="4"/>
  <c r="F44" i="4"/>
  <c r="N44" i="4"/>
  <c r="V44" i="4"/>
  <c r="AD44" i="4"/>
  <c r="AL44" i="4"/>
  <c r="AT44" i="4"/>
  <c r="BB44" i="4"/>
  <c r="A45" i="4"/>
  <c r="I45" i="4"/>
  <c r="Q45" i="4"/>
  <c r="Y45" i="4"/>
  <c r="AG45" i="4"/>
  <c r="AO45" i="4"/>
  <c r="AW45" i="4"/>
  <c r="BE45" i="4"/>
  <c r="D46" i="4"/>
  <c r="L46" i="4"/>
  <c r="T46" i="4"/>
  <c r="AB46" i="4"/>
  <c r="AJ46" i="4"/>
  <c r="AR46" i="4"/>
  <c r="AZ46" i="4"/>
  <c r="G6" i="4"/>
  <c r="AV10" i="4"/>
  <c r="G13" i="4"/>
  <c r="Y14" i="4"/>
  <c r="S15" i="4"/>
  <c r="T16" i="4"/>
  <c r="Q17" i="4"/>
  <c r="C18" i="4"/>
  <c r="AW18" i="4"/>
  <c r="AE19" i="4"/>
  <c r="B20" i="4"/>
  <c r="AS20" i="4"/>
  <c r="AA21" i="4"/>
  <c r="BF21" i="4"/>
  <c r="AN22" i="4"/>
  <c r="U23" i="4"/>
  <c r="BB23" i="4"/>
  <c r="AG24" i="4"/>
  <c r="F25" i="4"/>
  <c r="AD25" i="4"/>
  <c r="BH25" i="4"/>
  <c r="AD26" i="4"/>
  <c r="AZ26" i="4"/>
  <c r="U27" i="4"/>
  <c r="AZ27" i="4"/>
  <c r="N28" i="4"/>
  <c r="AR28" i="4"/>
  <c r="A29" i="4"/>
  <c r="S29" i="4"/>
  <c r="AJ29" i="4"/>
  <c r="AZ29" i="4"/>
  <c r="G30" i="4"/>
  <c r="W30" i="4"/>
  <c r="AM30" i="4"/>
  <c r="BC30" i="4"/>
  <c r="F31" i="4"/>
  <c r="P31" i="4"/>
  <c r="Z31" i="4"/>
  <c r="AL31" i="4"/>
  <c r="AV31" i="4"/>
  <c r="BF31" i="4"/>
  <c r="I32" i="4"/>
  <c r="S32" i="4"/>
  <c r="AC32" i="4"/>
  <c r="AO32" i="4"/>
  <c r="AY32" i="4"/>
  <c r="BI32" i="4"/>
  <c r="L33" i="4"/>
  <c r="V33" i="4"/>
  <c r="AF33" i="4"/>
  <c r="AR33" i="4"/>
  <c r="BB33" i="4"/>
  <c r="C34" i="4"/>
  <c r="O34" i="4"/>
  <c r="Y34" i="4"/>
  <c r="AI34" i="4"/>
  <c r="AU34" i="4"/>
  <c r="BE34" i="4"/>
  <c r="F35" i="4"/>
  <c r="R35" i="4"/>
  <c r="AB35" i="4"/>
  <c r="AL35" i="4"/>
  <c r="AX35" i="4"/>
  <c r="BH35" i="4"/>
  <c r="H36" i="4"/>
  <c r="Q36" i="4"/>
  <c r="Z36" i="4"/>
  <c r="AJ36" i="4"/>
  <c r="AS36" i="4"/>
  <c r="BB36" i="4"/>
  <c r="B37" i="4"/>
  <c r="K37" i="4"/>
  <c r="T37" i="4"/>
  <c r="AC37" i="4"/>
  <c r="AM37" i="4"/>
  <c r="AV37" i="4"/>
  <c r="BE37" i="4"/>
  <c r="E38" i="4"/>
  <c r="N38" i="4"/>
  <c r="W38" i="4"/>
  <c r="AF38" i="4"/>
  <c r="AP38" i="4"/>
  <c r="AY38" i="4"/>
  <c r="BH38" i="4"/>
  <c r="H39" i="4"/>
  <c r="K6" i="4"/>
  <c r="AX10" i="4"/>
  <c r="L13" i="4"/>
  <c r="AB14" i="4"/>
  <c r="AJ15" i="4"/>
  <c r="Z16" i="4"/>
  <c r="U17" i="4"/>
  <c r="P18" i="4"/>
  <c r="AY18" i="4"/>
  <c r="AG19" i="4"/>
  <c r="O20" i="4"/>
  <c r="AT20" i="4"/>
  <c r="AB21" i="4"/>
  <c r="H22" i="4"/>
  <c r="AP22" i="4"/>
  <c r="X23" i="4"/>
  <c r="C24" i="4"/>
  <c r="AH24" i="4"/>
  <c r="H25" i="4"/>
  <c r="AL25" i="4"/>
  <c r="BI25" i="4"/>
  <c r="AE26" i="4"/>
  <c r="BH26" i="4"/>
  <c r="W27" i="4"/>
  <c r="BA27" i="4"/>
  <c r="V28" i="4"/>
  <c r="AS28" i="4"/>
  <c r="B29" i="4"/>
  <c r="T29" i="4"/>
  <c r="AK29" i="4"/>
  <c r="BA29" i="4"/>
  <c r="H30" i="4"/>
  <c r="X30" i="4"/>
  <c r="AN30" i="4"/>
  <c r="BD30" i="4"/>
  <c r="G31" i="4"/>
  <c r="Q31" i="4"/>
  <c r="AA31" i="4"/>
  <c r="AM31" i="4"/>
  <c r="AW31" i="4"/>
  <c r="BG31" i="4"/>
  <c r="J32" i="4"/>
  <c r="T32" i="4"/>
  <c r="AD32" i="4"/>
  <c r="AP32" i="4"/>
  <c r="AZ32" i="4"/>
  <c r="A33" i="4"/>
  <c r="M33" i="4"/>
  <c r="W33" i="4"/>
  <c r="AG33" i="4"/>
  <c r="AS33" i="4"/>
  <c r="BC33" i="4"/>
  <c r="D34" i="4"/>
  <c r="P34" i="4"/>
  <c r="Z34" i="4"/>
  <c r="AJ34" i="4"/>
  <c r="AV34" i="4"/>
  <c r="BF34" i="4"/>
  <c r="G35" i="4"/>
  <c r="S35" i="4"/>
  <c r="AC35" i="4"/>
  <c r="AM35" i="4"/>
  <c r="AY35" i="4"/>
  <c r="BI35" i="4"/>
  <c r="I36" i="4"/>
  <c r="R36" i="4"/>
  <c r="AB36" i="4"/>
  <c r="AK36" i="4"/>
  <c r="AT36" i="4"/>
  <c r="BC36" i="4"/>
  <c r="C37" i="4"/>
  <c r="L37" i="4"/>
  <c r="U37" i="4"/>
  <c r="AE37" i="4"/>
  <c r="AN37" i="4"/>
  <c r="AW37" i="4"/>
  <c r="BF37" i="4"/>
  <c r="F38" i="4"/>
  <c r="O38" i="4"/>
  <c r="X38" i="4"/>
  <c r="AH38" i="4"/>
  <c r="AQ38" i="4"/>
  <c r="AZ38" i="4"/>
  <c r="BI38" i="4"/>
  <c r="I39" i="4"/>
  <c r="R39" i="4"/>
  <c r="AA39" i="4"/>
  <c r="AK39" i="4"/>
  <c r="AT39" i="4"/>
  <c r="BC39" i="4"/>
  <c r="C40" i="4"/>
  <c r="L40" i="4"/>
  <c r="U40" i="4"/>
  <c r="AD40" i="4"/>
  <c r="AN40" i="4"/>
  <c r="AW40" i="4"/>
  <c r="BF40" i="4"/>
  <c r="F41" i="4"/>
  <c r="O41" i="4"/>
  <c r="W41" i="4"/>
  <c r="AE41" i="4"/>
  <c r="AM41" i="4"/>
  <c r="AU41" i="4"/>
  <c r="BC41" i="4"/>
  <c r="B42" i="4"/>
  <c r="J42" i="4"/>
  <c r="R42" i="4"/>
  <c r="Z42" i="4"/>
  <c r="AH42" i="4"/>
  <c r="AP42" i="4"/>
  <c r="AX42" i="4"/>
  <c r="BF42" i="4"/>
  <c r="E43" i="4"/>
  <c r="M43" i="4"/>
  <c r="U43" i="4"/>
  <c r="AC43" i="4"/>
  <c r="AK43" i="4"/>
  <c r="AS43" i="4"/>
  <c r="BA43" i="4"/>
  <c r="BI43" i="4"/>
  <c r="H44" i="4"/>
  <c r="P44" i="4"/>
  <c r="X44" i="4"/>
  <c r="AF44" i="4"/>
  <c r="AN44" i="4"/>
  <c r="AV44" i="4"/>
  <c r="BD44" i="4"/>
  <c r="C45" i="4"/>
  <c r="K45" i="4"/>
  <c r="S45" i="4"/>
  <c r="AA45" i="4"/>
  <c r="AI45" i="4"/>
  <c r="AQ45" i="4"/>
  <c r="AY45" i="4"/>
  <c r="BG45" i="4"/>
  <c r="F46" i="4"/>
  <c r="N46" i="4"/>
  <c r="V46" i="4"/>
  <c r="AD46" i="4"/>
  <c r="AL46" i="4"/>
  <c r="AT46" i="4"/>
  <c r="BB46" i="4"/>
  <c r="P7" i="4"/>
  <c r="AH11" i="4"/>
  <c r="AG13" i="4"/>
  <c r="AH14" i="4"/>
  <c r="AK15" i="4"/>
  <c r="AL16" i="4"/>
  <c r="W17" i="4"/>
  <c r="Q18" i="4"/>
  <c r="C19" i="4"/>
  <c r="AH19" i="4"/>
  <c r="P20" i="4"/>
  <c r="BE20" i="4"/>
  <c r="AC21" i="4"/>
  <c r="L22" i="4"/>
  <c r="AZ22" i="4"/>
  <c r="Y23" i="4"/>
  <c r="E24" i="4"/>
  <c r="AQ24" i="4"/>
  <c r="I25" i="4"/>
  <c r="AM25" i="4"/>
  <c r="H26" i="4"/>
  <c r="AF26" i="4"/>
  <c r="A27" i="4"/>
  <c r="AD27" i="4"/>
  <c r="BB27" i="4"/>
  <c r="W28" i="4"/>
  <c r="AW28" i="4"/>
  <c r="G29" i="4"/>
  <c r="Y29" i="4"/>
  <c r="AO29" i="4"/>
  <c r="BE29" i="4"/>
  <c r="L30" i="4"/>
  <c r="AB30" i="4"/>
  <c r="AR30" i="4"/>
  <c r="BG30" i="4"/>
  <c r="H31" i="4"/>
  <c r="R31" i="4"/>
  <c r="AD31" i="4"/>
  <c r="AN31" i="4"/>
  <c r="AX31" i="4"/>
  <c r="A32" i="4"/>
  <c r="K32" i="4"/>
  <c r="U32" i="4"/>
  <c r="AG32" i="4"/>
  <c r="AQ32" i="4"/>
  <c r="BA32" i="4"/>
  <c r="D33" i="4"/>
  <c r="N33" i="4"/>
  <c r="X33" i="4"/>
  <c r="Y8" i="4"/>
  <c r="I12" i="4"/>
  <c r="AM13" i="4"/>
  <c r="BA14" i="4"/>
  <c r="BG15" i="4"/>
  <c r="AQ16" i="4"/>
  <c r="AO17" i="4"/>
  <c r="AF18" i="4"/>
  <c r="E19" i="4"/>
  <c r="AW19" i="4"/>
  <c r="AB20" i="4"/>
  <c r="A21" i="4"/>
  <c r="AP21" i="4"/>
  <c r="W22" i="4"/>
  <c r="BF22" i="4"/>
  <c r="AK23" i="4"/>
  <c r="S24" i="4"/>
  <c r="AT24" i="4"/>
  <c r="S25" i="4"/>
  <c r="AV25" i="4"/>
  <c r="K26" i="4"/>
  <c r="AO26" i="4"/>
  <c r="J27" i="4"/>
  <c r="AH27" i="4"/>
  <c r="B28" i="4"/>
  <c r="AF28" i="4"/>
  <c r="BA28" i="4"/>
  <c r="J29" i="4"/>
  <c r="AB29" i="4"/>
  <c r="AR29" i="4"/>
  <c r="AF7" i="4"/>
  <c r="D19" i="4"/>
  <c r="I24" i="4"/>
  <c r="A28" i="4"/>
  <c r="N30" i="4"/>
  <c r="I31" i="4"/>
  <c r="AY31" i="4"/>
  <c r="AH32" i="4"/>
  <c r="O33" i="4"/>
  <c r="AU33" i="4"/>
  <c r="Q34" i="4"/>
  <c r="AO34" i="4"/>
  <c r="K35" i="4"/>
  <c r="AP35" i="4"/>
  <c r="D36" i="4"/>
  <c r="AD36" i="4"/>
  <c r="BD36" i="4"/>
  <c r="P37" i="4"/>
  <c r="AP37" i="4"/>
  <c r="G38" i="4"/>
  <c r="AB38" i="4"/>
  <c r="BB38" i="4"/>
  <c r="Q39" i="4"/>
  <c r="AI39" i="4"/>
  <c r="BB39" i="4"/>
  <c r="K40" i="4"/>
  <c r="AC40" i="4"/>
  <c r="AV40" i="4"/>
  <c r="E41" i="4"/>
  <c r="V41" i="4"/>
  <c r="AL41" i="4"/>
  <c r="BB41" i="4"/>
  <c r="I42" i="4"/>
  <c r="Y42" i="4"/>
  <c r="AO42" i="4"/>
  <c r="BE42" i="4"/>
  <c r="L43" i="4"/>
  <c r="AB43" i="4"/>
  <c r="AR43" i="4"/>
  <c r="BH43" i="4"/>
  <c r="O44" i="4"/>
  <c r="AE44" i="4"/>
  <c r="AU44" i="4"/>
  <c r="BG44" i="4"/>
  <c r="L45" i="4"/>
  <c r="X45" i="4"/>
  <c r="AK45" i="4"/>
  <c r="AX45" i="4"/>
  <c r="A46" i="4"/>
  <c r="O46" i="4"/>
  <c r="AA46" i="4"/>
  <c r="AN46" i="4"/>
  <c r="BA46" i="4"/>
  <c r="B47" i="4"/>
  <c r="K47" i="4"/>
  <c r="T47" i="4"/>
  <c r="AD47" i="4"/>
  <c r="AM47" i="4"/>
  <c r="AV47" i="4"/>
  <c r="BE47" i="4"/>
  <c r="E48" i="4"/>
  <c r="N48" i="4"/>
  <c r="W48" i="4"/>
  <c r="AG48" i="4"/>
  <c r="AP48" i="4"/>
  <c r="AY48" i="4"/>
  <c r="BH48" i="4"/>
  <c r="H49" i="4"/>
  <c r="Q49" i="4"/>
  <c r="Z49" i="4"/>
  <c r="AH49" i="4"/>
  <c r="AP49" i="4"/>
  <c r="AX49" i="4"/>
  <c r="BF49" i="4"/>
  <c r="E50" i="4"/>
  <c r="M50" i="4"/>
  <c r="U50" i="4"/>
  <c r="AC50" i="4"/>
  <c r="AK50" i="4"/>
  <c r="AS50" i="4"/>
  <c r="BA50" i="4"/>
  <c r="BI50" i="4"/>
  <c r="H51" i="4"/>
  <c r="P51" i="4"/>
  <c r="X51" i="4"/>
  <c r="AF51" i="4"/>
  <c r="AN51" i="4"/>
  <c r="AV51" i="4"/>
  <c r="BD51" i="4"/>
  <c r="C52" i="4"/>
  <c r="K52" i="4"/>
  <c r="S52" i="4"/>
  <c r="AA52" i="4"/>
  <c r="AI52" i="4"/>
  <c r="AQ52" i="4"/>
  <c r="AY52" i="4"/>
  <c r="BG52" i="4"/>
  <c r="F53" i="4"/>
  <c r="N53" i="4"/>
  <c r="V53" i="4"/>
  <c r="AD53" i="4"/>
  <c r="AL53" i="4"/>
  <c r="AT53" i="4"/>
  <c r="BB53" i="4"/>
  <c r="A54" i="4"/>
  <c r="I54" i="4"/>
  <c r="Q54" i="4"/>
  <c r="Y54" i="4"/>
  <c r="AG54" i="4"/>
  <c r="AO54" i="4"/>
  <c r="AW54" i="4"/>
  <c r="BE54" i="4"/>
  <c r="D55" i="4"/>
  <c r="L55" i="4"/>
  <c r="T55" i="4"/>
  <c r="AB55" i="4"/>
  <c r="AJ55" i="4"/>
  <c r="AR55" i="4"/>
  <c r="AZ55" i="4"/>
  <c r="BH55" i="4"/>
  <c r="G56" i="4"/>
  <c r="O56" i="4"/>
  <c r="W56" i="4"/>
  <c r="AE56" i="4"/>
  <c r="AM56" i="4"/>
  <c r="AU56" i="4"/>
  <c r="BC56" i="4"/>
  <c r="B57" i="4"/>
  <c r="J57" i="4"/>
  <c r="R57" i="4"/>
  <c r="Z57" i="4"/>
  <c r="AH57" i="4"/>
  <c r="AP57" i="4"/>
  <c r="AX57" i="4"/>
  <c r="BF57" i="4"/>
  <c r="E58" i="4"/>
  <c r="M58" i="4"/>
  <c r="U58" i="4"/>
  <c r="AC58" i="4"/>
  <c r="AK58" i="4"/>
  <c r="AS58" i="4"/>
  <c r="BA58" i="4"/>
  <c r="BI58" i="4"/>
  <c r="H59" i="4"/>
  <c r="P59" i="4"/>
  <c r="X59" i="4"/>
  <c r="AF59" i="4"/>
  <c r="AN59" i="4"/>
  <c r="AV59" i="4"/>
  <c r="BD59" i="4"/>
  <c r="C60" i="4"/>
  <c r="K60" i="4"/>
  <c r="S60" i="4"/>
  <c r="AA60" i="4"/>
  <c r="AI60" i="4"/>
  <c r="AQ60" i="4"/>
  <c r="AY60" i="4"/>
  <c r="BG60" i="4"/>
  <c r="F61" i="4"/>
  <c r="N61" i="4"/>
  <c r="V61" i="4"/>
  <c r="AD61" i="4"/>
  <c r="AL61" i="4"/>
  <c r="AT61" i="4"/>
  <c r="BB61" i="4"/>
  <c r="A62" i="4"/>
  <c r="I62" i="4"/>
  <c r="Q62" i="4"/>
  <c r="Y62" i="4"/>
  <c r="AG62" i="4"/>
  <c r="AO62" i="4"/>
  <c r="AW62" i="4"/>
  <c r="BE62" i="4"/>
  <c r="D63" i="4"/>
  <c r="L63" i="4"/>
  <c r="T63" i="4"/>
  <c r="AB63" i="4"/>
  <c r="AJ63" i="4"/>
  <c r="AR63" i="4"/>
  <c r="AZ63" i="4"/>
  <c r="BH63" i="4"/>
  <c r="G64" i="4"/>
  <c r="O64" i="4"/>
  <c r="W64" i="4"/>
  <c r="AE64" i="4"/>
  <c r="AM64" i="4"/>
  <c r="AU64" i="4"/>
  <c r="BC64" i="4"/>
  <c r="B65" i="4"/>
  <c r="J65" i="4"/>
  <c r="R65" i="4"/>
  <c r="Z65" i="4"/>
  <c r="AH65" i="4"/>
  <c r="AP65" i="4"/>
  <c r="AX65" i="4"/>
  <c r="BF65" i="4"/>
  <c r="E66" i="4"/>
  <c r="AP11" i="4"/>
  <c r="AS19" i="4"/>
  <c r="AS24" i="4"/>
  <c r="X28" i="4"/>
  <c r="O30" i="4"/>
  <c r="J31" i="4"/>
  <c r="BB31" i="4"/>
  <c r="AI32" i="4"/>
  <c r="P33" i="4"/>
  <c r="AV33" i="4"/>
  <c r="R34" i="4"/>
  <c r="AW34" i="4"/>
  <c r="L35" i="4"/>
  <c r="AQ35" i="4"/>
  <c r="J36" i="4"/>
  <c r="AE36" i="4"/>
  <c r="BE36" i="4"/>
  <c r="W37" i="4"/>
  <c r="AQ37" i="4"/>
  <c r="H38" i="4"/>
  <c r="AI38" i="4"/>
  <c r="BC38" i="4"/>
  <c r="S39" i="4"/>
  <c r="AL39" i="4"/>
  <c r="BD39" i="4"/>
  <c r="M40" i="4"/>
  <c r="AF40" i="4"/>
  <c r="AX40" i="4"/>
  <c r="G41" i="4"/>
  <c r="X41" i="4"/>
  <c r="AN41" i="4"/>
  <c r="BD41" i="4"/>
  <c r="K42" i="4"/>
  <c r="AA42" i="4"/>
  <c r="AQ42" i="4"/>
  <c r="BG42" i="4"/>
  <c r="N43" i="4"/>
  <c r="AD43" i="4"/>
  <c r="AT43" i="4"/>
  <c r="A44" i="4"/>
  <c r="Q44" i="4"/>
  <c r="AG44" i="4"/>
  <c r="AW44" i="4"/>
  <c r="BI44" i="4"/>
  <c r="M45" i="4"/>
  <c r="Z45" i="4"/>
  <c r="AL45" i="4"/>
  <c r="AZ45" i="4"/>
  <c r="C46" i="4"/>
  <c r="P46" i="4"/>
  <c r="AC46" i="4"/>
  <c r="AO46" i="4"/>
  <c r="BC46" i="4"/>
  <c r="C47" i="4"/>
  <c r="L47" i="4"/>
  <c r="V47" i="4"/>
  <c r="AE47" i="4"/>
  <c r="AN47" i="4"/>
  <c r="AW47" i="4"/>
  <c r="BF47" i="4"/>
  <c r="F48" i="4"/>
  <c r="O48" i="4"/>
  <c r="Y48" i="4"/>
  <c r="AH48" i="4"/>
  <c r="AQ48" i="4"/>
  <c r="AZ48" i="4"/>
  <c r="BI48" i="4"/>
  <c r="I49" i="4"/>
  <c r="R49" i="4"/>
  <c r="AA49" i="4"/>
  <c r="AI49" i="4"/>
  <c r="AQ49" i="4"/>
  <c r="AY49" i="4"/>
  <c r="BG49" i="4"/>
  <c r="F50" i="4"/>
  <c r="N50" i="4"/>
  <c r="V50" i="4"/>
  <c r="AD50" i="4"/>
  <c r="AL50" i="4"/>
  <c r="AT50" i="4"/>
  <c r="BB50" i="4"/>
  <c r="A51" i="4"/>
  <c r="I51" i="4"/>
  <c r="Q51" i="4"/>
  <c r="Y51" i="4"/>
  <c r="AG51" i="4"/>
  <c r="AO51" i="4"/>
  <c r="AW51" i="4"/>
  <c r="BE51" i="4"/>
  <c r="D52" i="4"/>
  <c r="L52" i="4"/>
  <c r="T52" i="4"/>
  <c r="AB52" i="4"/>
  <c r="AJ52" i="4"/>
  <c r="AR52" i="4"/>
  <c r="AZ52" i="4"/>
  <c r="BH52" i="4"/>
  <c r="G53" i="4"/>
  <c r="O53" i="4"/>
  <c r="W53" i="4"/>
  <c r="AE53" i="4"/>
  <c r="AM53" i="4"/>
  <c r="AU53" i="4"/>
  <c r="BC53" i="4"/>
  <c r="B54" i="4"/>
  <c r="J54" i="4"/>
  <c r="R54" i="4"/>
  <c r="Z54" i="4"/>
  <c r="AH54" i="4"/>
  <c r="AP54" i="4"/>
  <c r="AX54" i="4"/>
  <c r="BF54" i="4"/>
  <c r="E55" i="4"/>
  <c r="M55" i="4"/>
  <c r="U55" i="4"/>
  <c r="AC55" i="4"/>
  <c r="AK55" i="4"/>
  <c r="AS55" i="4"/>
  <c r="BA55" i="4"/>
  <c r="BI55" i="4"/>
  <c r="H56" i="4"/>
  <c r="P56" i="4"/>
  <c r="X56" i="4"/>
  <c r="AF56" i="4"/>
  <c r="AN56" i="4"/>
  <c r="AV56" i="4"/>
  <c r="BD56" i="4"/>
  <c r="C57" i="4"/>
  <c r="K57" i="4"/>
  <c r="S57" i="4"/>
  <c r="AA57" i="4"/>
  <c r="AI57" i="4"/>
  <c r="AQ57" i="4"/>
  <c r="AY57" i="4"/>
  <c r="BG57" i="4"/>
  <c r="F58" i="4"/>
  <c r="N58" i="4"/>
  <c r="V58" i="4"/>
  <c r="AD58" i="4"/>
  <c r="AL58" i="4"/>
  <c r="AT58" i="4"/>
  <c r="BB58" i="4"/>
  <c r="A59" i="4"/>
  <c r="I59" i="4"/>
  <c r="Q59" i="4"/>
  <c r="Y59" i="4"/>
  <c r="AG59" i="4"/>
  <c r="AO59" i="4"/>
  <c r="AW59" i="4"/>
  <c r="BE59" i="4"/>
  <c r="D60" i="4"/>
  <c r="L60" i="4"/>
  <c r="T60" i="4"/>
  <c r="AB60" i="4"/>
  <c r="AJ60" i="4"/>
  <c r="AR60" i="4"/>
  <c r="AH13" i="4"/>
  <c r="Q20" i="4"/>
  <c r="Q25" i="4"/>
  <c r="AZ28" i="4"/>
  <c r="AD30" i="4"/>
  <c r="S31" i="4"/>
  <c r="B32" i="4"/>
  <c r="AR32" i="4"/>
  <c r="Y33" i="4"/>
  <c r="BD33" i="4"/>
  <c r="S34" i="4"/>
  <c r="AX34" i="4"/>
  <c r="T35" i="4"/>
  <c r="AR35" i="4"/>
  <c r="L36" i="4"/>
  <c r="AL36" i="4"/>
  <c r="BF36" i="4"/>
  <c r="X37" i="4"/>
  <c r="AX37" i="4"/>
  <c r="J38" i="4"/>
  <c r="AJ38" i="4"/>
  <c r="A39" i="4"/>
  <c r="U39" i="4"/>
  <c r="AM39" i="4"/>
  <c r="BE39" i="4"/>
  <c r="N40" i="4"/>
  <c r="AG40" i="4"/>
  <c r="AY40" i="4"/>
  <c r="H41" i="4"/>
  <c r="Y41" i="4"/>
  <c r="AO41" i="4"/>
  <c r="BE41" i="4"/>
  <c r="L42" i="4"/>
  <c r="AB42" i="4"/>
  <c r="AR42" i="4"/>
  <c r="BH42" i="4"/>
  <c r="O43" i="4"/>
  <c r="AE43" i="4"/>
  <c r="AU43" i="4"/>
  <c r="B44" i="4"/>
  <c r="R44" i="4"/>
  <c r="AH44" i="4"/>
  <c r="AX44" i="4"/>
  <c r="B45" i="4"/>
  <c r="N45" i="4"/>
  <c r="AB45" i="4"/>
  <c r="AN45" i="4"/>
  <c r="BA45" i="4"/>
  <c r="E46" i="4"/>
  <c r="Q46" i="4"/>
  <c r="AE46" i="4"/>
  <c r="AQ46" i="4"/>
  <c r="BD46" i="4"/>
  <c r="D47" i="4"/>
  <c r="N47" i="4"/>
  <c r="W47" i="4"/>
  <c r="AF47" i="4"/>
  <c r="AO47" i="4"/>
  <c r="AX47" i="4"/>
  <c r="BG47" i="4"/>
  <c r="G48" i="4"/>
  <c r="Q48" i="4"/>
  <c r="Z48" i="4"/>
  <c r="AI48" i="4"/>
  <c r="AR48" i="4"/>
  <c r="BA48" i="4"/>
  <c r="A49" i="4"/>
  <c r="J49" i="4"/>
  <c r="T49" i="4"/>
  <c r="AB49" i="4"/>
  <c r="AJ49" i="4"/>
  <c r="AR49" i="4"/>
  <c r="AZ49" i="4"/>
  <c r="BH49" i="4"/>
  <c r="G50" i="4"/>
  <c r="O50" i="4"/>
  <c r="W50" i="4"/>
  <c r="AE50" i="4"/>
  <c r="AM50" i="4"/>
  <c r="AU50" i="4"/>
  <c r="BC50" i="4"/>
  <c r="B51" i="4"/>
  <c r="J51" i="4"/>
  <c r="R51" i="4"/>
  <c r="Z51" i="4"/>
  <c r="AH51" i="4"/>
  <c r="AP51" i="4"/>
  <c r="AX51" i="4"/>
  <c r="BF51" i="4"/>
  <c r="E52" i="4"/>
  <c r="M52" i="4"/>
  <c r="U52" i="4"/>
  <c r="AC52" i="4"/>
  <c r="AK52" i="4"/>
  <c r="AS52" i="4"/>
  <c r="BA52" i="4"/>
  <c r="BI52" i="4"/>
  <c r="H53" i="4"/>
  <c r="P53" i="4"/>
  <c r="X53" i="4"/>
  <c r="AF53" i="4"/>
  <c r="AN53" i="4"/>
  <c r="AV53" i="4"/>
  <c r="BD53" i="4"/>
  <c r="C54" i="4"/>
  <c r="K54" i="4"/>
  <c r="S54" i="4"/>
  <c r="AA54" i="4"/>
  <c r="AI54" i="4"/>
  <c r="AQ54" i="4"/>
  <c r="AY54" i="4"/>
  <c r="BG54" i="4"/>
  <c r="F55" i="4"/>
  <c r="N55" i="4"/>
  <c r="V55" i="4"/>
  <c r="AD55" i="4"/>
  <c r="AL55" i="4"/>
  <c r="AT55" i="4"/>
  <c r="BB55" i="4"/>
  <c r="A56" i="4"/>
  <c r="I56" i="4"/>
  <c r="Q56" i="4"/>
  <c r="Y56" i="4"/>
  <c r="AG56" i="4"/>
  <c r="AO56" i="4"/>
  <c r="AW56" i="4"/>
  <c r="BE56" i="4"/>
  <c r="D57" i="4"/>
  <c r="L57" i="4"/>
  <c r="T57" i="4"/>
  <c r="AB57" i="4"/>
  <c r="AJ57" i="4"/>
  <c r="AR57" i="4"/>
  <c r="AZ57" i="4"/>
  <c r="BH57" i="4"/>
  <c r="G58" i="4"/>
  <c r="O58" i="4"/>
  <c r="W58" i="4"/>
  <c r="AE58" i="4"/>
  <c r="AM58" i="4"/>
  <c r="AU58" i="4"/>
  <c r="BC58" i="4"/>
  <c r="B59" i="4"/>
  <c r="J59" i="4"/>
  <c r="R59" i="4"/>
  <c r="Z59" i="4"/>
  <c r="AH59" i="4"/>
  <c r="AP59" i="4"/>
  <c r="AX59" i="4"/>
  <c r="BF59" i="4"/>
  <c r="E60" i="4"/>
  <c r="M60" i="4"/>
  <c r="U60" i="4"/>
  <c r="AC60" i="4"/>
  <c r="AK60" i="4"/>
  <c r="AS60" i="4"/>
  <c r="BA60" i="4"/>
  <c r="BI60" i="4"/>
  <c r="H61" i="4"/>
  <c r="P61" i="4"/>
  <c r="X61" i="4"/>
  <c r="AF61" i="4"/>
  <c r="AN61" i="4"/>
  <c r="AV61" i="4"/>
  <c r="BD61" i="4"/>
  <c r="C62" i="4"/>
  <c r="K62" i="4"/>
  <c r="S62" i="4"/>
  <c r="AA62" i="4"/>
  <c r="AI62" i="4"/>
  <c r="AZ14" i="4"/>
  <c r="BI20" i="4"/>
  <c r="AN25" i="4"/>
  <c r="I29" i="4"/>
  <c r="AE30" i="4"/>
  <c r="V31" i="4"/>
  <c r="C32" i="4"/>
  <c r="AS32" i="4"/>
  <c r="AB33" i="4"/>
  <c r="BE33" i="4"/>
  <c r="AA34" i="4"/>
  <c r="AY34" i="4"/>
  <c r="U35" i="4"/>
  <c r="AZ35" i="4"/>
  <c r="M36" i="4"/>
  <c r="AM36" i="4"/>
  <c r="D37" i="4"/>
  <c r="Y37" i="4"/>
  <c r="AY37" i="4"/>
  <c r="P38" i="4"/>
  <c r="AK38" i="4"/>
  <c r="B39" i="4"/>
  <c r="V39" i="4"/>
  <c r="AN39" i="4"/>
  <c r="BF39" i="4"/>
  <c r="P40" i="4"/>
  <c r="AH40" i="4"/>
  <c r="AZ40" i="4"/>
  <c r="I41" i="4"/>
  <c r="Z41" i="4"/>
  <c r="AP41" i="4"/>
  <c r="BF41" i="4"/>
  <c r="M42" i="4"/>
  <c r="AC42" i="4"/>
  <c r="AS42" i="4"/>
  <c r="BI42" i="4"/>
  <c r="P43" i="4"/>
  <c r="AF43" i="4"/>
  <c r="AV43" i="4"/>
  <c r="C44" i="4"/>
  <c r="S44" i="4"/>
  <c r="AI44" i="4"/>
  <c r="AY44" i="4"/>
  <c r="D45" i="4"/>
  <c r="P45" i="4"/>
  <c r="AC45" i="4"/>
  <c r="AP45" i="4"/>
  <c r="BB45" i="4"/>
  <c r="G46" i="4"/>
  <c r="S46" i="4"/>
  <c r="AF46" i="4"/>
  <c r="AS46" i="4"/>
  <c r="BE46" i="4"/>
  <c r="F47" i="4"/>
  <c r="O47" i="4"/>
  <c r="X47" i="4"/>
  <c r="AG47" i="4"/>
  <c r="AP47" i="4"/>
  <c r="AY47" i="4"/>
  <c r="BH47" i="4"/>
  <c r="I48" i="4"/>
  <c r="R48" i="4"/>
  <c r="AA48" i="4"/>
  <c r="AJ48" i="4"/>
  <c r="AS48" i="4"/>
  <c r="BB48" i="4"/>
  <c r="B49" i="4"/>
  <c r="L49" i="4"/>
  <c r="U49" i="4"/>
  <c r="AC49" i="4"/>
  <c r="AK49" i="4"/>
  <c r="AS49" i="4"/>
  <c r="BA49" i="4"/>
  <c r="BI49" i="4"/>
  <c r="H50" i="4"/>
  <c r="P50" i="4"/>
  <c r="X50" i="4"/>
  <c r="AF50" i="4"/>
  <c r="AN50" i="4"/>
  <c r="AV50" i="4"/>
  <c r="BD50" i="4"/>
  <c r="C51" i="4"/>
  <c r="K51" i="4"/>
  <c r="S51" i="4"/>
  <c r="AA51" i="4"/>
  <c r="AI51" i="4"/>
  <c r="AQ51" i="4"/>
  <c r="AY51" i="4"/>
  <c r="BG51" i="4"/>
  <c r="F52" i="4"/>
  <c r="N52" i="4"/>
  <c r="V52" i="4"/>
  <c r="AD52" i="4"/>
  <c r="AL52" i="4"/>
  <c r="AT52" i="4"/>
  <c r="BB52" i="4"/>
  <c r="A53" i="4"/>
  <c r="I53" i="4"/>
  <c r="AN15" i="4"/>
  <c r="AN21" i="4"/>
  <c r="I26" i="4"/>
  <c r="AA29" i="4"/>
  <c r="AT30" i="4"/>
  <c r="AE31" i="4"/>
  <c r="L32" i="4"/>
  <c r="BB32" i="4"/>
  <c r="AJ33" i="4"/>
  <c r="BH33" i="4"/>
  <c r="AB34" i="4"/>
  <c r="BG34" i="4"/>
  <c r="V35" i="4"/>
  <c r="BA35" i="4"/>
  <c r="T36" i="4"/>
  <c r="AN36" i="4"/>
  <c r="E37" i="4"/>
  <c r="AF37" i="4"/>
  <c r="AZ37" i="4"/>
  <c r="R38" i="4"/>
  <c r="AR38" i="4"/>
  <c r="C39" i="4"/>
  <c r="Z39" i="4"/>
  <c r="AS39" i="4"/>
  <c r="B40" i="4"/>
  <c r="T40" i="4"/>
  <c r="AL40" i="4"/>
  <c r="BE40" i="4"/>
  <c r="N41" i="4"/>
  <c r="AD41" i="4"/>
  <c r="AT41" i="4"/>
  <c r="A42" i="4"/>
  <c r="Q42" i="4"/>
  <c r="AG42" i="4"/>
  <c r="AW42" i="4"/>
  <c r="D43" i="4"/>
  <c r="T43" i="4"/>
  <c r="AJ43" i="4"/>
  <c r="AZ43" i="4"/>
  <c r="G44" i="4"/>
  <c r="W44" i="4"/>
  <c r="AM44" i="4"/>
  <c r="BA44" i="4"/>
  <c r="E45" i="4"/>
  <c r="R45" i="4"/>
  <c r="AD45" i="4"/>
  <c r="AR45" i="4"/>
  <c r="BD45" i="4"/>
  <c r="H46" i="4"/>
  <c r="U46" i="4"/>
  <c r="AG46" i="4"/>
  <c r="AU46" i="4"/>
  <c r="BG46" i="4"/>
  <c r="G47" i="4"/>
  <c r="P47" i="4"/>
  <c r="Y47" i="4"/>
  <c r="AH47" i="4"/>
  <c r="AQ47" i="4"/>
  <c r="AZ47" i="4"/>
  <c r="A48" i="4"/>
  <c r="J48" i="4"/>
  <c r="S48" i="4"/>
  <c r="AB48" i="4"/>
  <c r="AK48" i="4"/>
  <c r="AT48" i="4"/>
  <c r="BC48" i="4"/>
  <c r="D49" i="4"/>
  <c r="M49" i="4"/>
  <c r="V49" i="4"/>
  <c r="AD49" i="4"/>
  <c r="AL49" i="4"/>
  <c r="AT49" i="4"/>
  <c r="BB49" i="4"/>
  <c r="A50" i="4"/>
  <c r="I50" i="4"/>
  <c r="Q50" i="4"/>
  <c r="Y50" i="4"/>
  <c r="AG50" i="4"/>
  <c r="AO50" i="4"/>
  <c r="AW50" i="4"/>
  <c r="BE50" i="4"/>
  <c r="D51" i="4"/>
  <c r="L51" i="4"/>
  <c r="T51" i="4"/>
  <c r="AB51" i="4"/>
  <c r="AJ51" i="4"/>
  <c r="AR51" i="4"/>
  <c r="AZ51" i="4"/>
  <c r="BH51" i="4"/>
  <c r="G52" i="4"/>
  <c r="O52" i="4"/>
  <c r="W52" i="4"/>
  <c r="AE52" i="4"/>
  <c r="AM52" i="4"/>
  <c r="AU52" i="4"/>
  <c r="BC52" i="4"/>
  <c r="B53" i="4"/>
  <c r="J53" i="4"/>
  <c r="R53" i="4"/>
  <c r="Z53" i="4"/>
  <c r="AH53" i="4"/>
  <c r="AP53" i="4"/>
  <c r="AX53" i="4"/>
  <c r="BF53" i="4"/>
  <c r="E54" i="4"/>
  <c r="M54" i="4"/>
  <c r="U54" i="4"/>
  <c r="AC54" i="4"/>
  <c r="AK54" i="4"/>
  <c r="AS54" i="4"/>
  <c r="BA54" i="4"/>
  <c r="BI54" i="4"/>
  <c r="H55" i="4"/>
  <c r="P55" i="4"/>
  <c r="X55" i="4"/>
  <c r="AF55" i="4"/>
  <c r="AN55" i="4"/>
  <c r="AV55" i="4"/>
  <c r="BD55" i="4"/>
  <c r="C56" i="4"/>
  <c r="K56" i="4"/>
  <c r="S56" i="4"/>
  <c r="AA56" i="4"/>
  <c r="AI56" i="4"/>
  <c r="AQ56" i="4"/>
  <c r="AY56" i="4"/>
  <c r="BG56" i="4"/>
  <c r="F57" i="4"/>
  <c r="N57" i="4"/>
  <c r="V57" i="4"/>
  <c r="AD57" i="4"/>
  <c r="AL57" i="4"/>
  <c r="AT57" i="4"/>
  <c r="BB57" i="4"/>
  <c r="A58" i="4"/>
  <c r="I58" i="4"/>
  <c r="Q58" i="4"/>
  <c r="Y58" i="4"/>
  <c r="AG58" i="4"/>
  <c r="AO58" i="4"/>
  <c r="AW58" i="4"/>
  <c r="BE58" i="4"/>
  <c r="D59" i="4"/>
  <c r="L59" i="4"/>
  <c r="T59" i="4"/>
  <c r="AB59" i="4"/>
  <c r="AJ59" i="4"/>
  <c r="AR59" i="4"/>
  <c r="AZ59" i="4"/>
  <c r="BH59" i="4"/>
  <c r="G60" i="4"/>
  <c r="O60" i="4"/>
  <c r="W60" i="4"/>
  <c r="AE60" i="4"/>
  <c r="AM60" i="4"/>
  <c r="AU60" i="4"/>
  <c r="BC60" i="4"/>
  <c r="B61" i="4"/>
  <c r="J61" i="4"/>
  <c r="R61" i="4"/>
  <c r="Z61" i="4"/>
  <c r="AH61" i="4"/>
  <c r="AP61" i="4"/>
  <c r="AX61" i="4"/>
  <c r="BF61" i="4"/>
  <c r="E62" i="4"/>
  <c r="M62" i="4"/>
  <c r="U62" i="4"/>
  <c r="AC62" i="4"/>
  <c r="AK62" i="4"/>
  <c r="AP16" i="4"/>
  <c r="M22" i="4"/>
  <c r="AN26" i="4"/>
  <c r="AQ29" i="4"/>
  <c r="AU30" i="4"/>
  <c r="AF31" i="4"/>
  <c r="M32" i="4"/>
  <c r="BE32" i="4"/>
  <c r="AK33" i="4"/>
  <c r="G34" i="4"/>
  <c r="AE34" i="4"/>
  <c r="BH34" i="4"/>
  <c r="AD35" i="4"/>
  <c r="BB35" i="4"/>
  <c r="U36" i="4"/>
  <c r="AU36" i="4"/>
  <c r="G37" i="4"/>
  <c r="AG37" i="4"/>
  <c r="BG37" i="4"/>
  <c r="S38" i="4"/>
  <c r="AS38" i="4"/>
  <c r="J39" i="4"/>
  <c r="AC39" i="4"/>
  <c r="AU39" i="4"/>
  <c r="D40" i="4"/>
  <c r="V40" i="4"/>
  <c r="AO40" i="4"/>
  <c r="BG40" i="4"/>
  <c r="P41" i="4"/>
  <c r="AF41" i="4"/>
  <c r="AV41" i="4"/>
  <c r="C42" i="4"/>
  <c r="S42" i="4"/>
  <c r="AI42" i="4"/>
  <c r="AY42" i="4"/>
  <c r="F43" i="4"/>
  <c r="V43" i="4"/>
  <c r="AL43" i="4"/>
  <c r="BB43" i="4"/>
  <c r="I44" i="4"/>
  <c r="Y44" i="4"/>
  <c r="AO44" i="4"/>
  <c r="BC44" i="4"/>
  <c r="F45" i="4"/>
  <c r="T45" i="4"/>
  <c r="AF45" i="4"/>
  <c r="AS45" i="4"/>
  <c r="BF45" i="4"/>
  <c r="I46" i="4"/>
  <c r="W46" i="4"/>
  <c r="AI46" i="4"/>
  <c r="AV46" i="4"/>
  <c r="BH46" i="4"/>
  <c r="H47" i="4"/>
  <c r="Q47" i="4"/>
  <c r="Z47" i="4"/>
  <c r="AI47" i="4"/>
  <c r="AR47" i="4"/>
  <c r="BB47" i="4"/>
  <c r="B48" i="4"/>
  <c r="K48" i="4"/>
  <c r="T48" i="4"/>
  <c r="AC48" i="4"/>
  <c r="AL48" i="4"/>
  <c r="AU48" i="4"/>
  <c r="BE48" i="4"/>
  <c r="E49" i="4"/>
  <c r="N49" i="4"/>
  <c r="R18" i="4"/>
  <c r="AI23" i="4"/>
  <c r="AG27" i="4"/>
  <c r="BH29" i="4"/>
  <c r="BI30" i="4"/>
  <c r="AP31" i="4"/>
  <c r="Y32" i="4"/>
  <c r="F33" i="4"/>
  <c r="AT33" i="4"/>
  <c r="I34" i="4"/>
  <c r="AN34" i="4"/>
  <c r="J35" i="4"/>
  <c r="AH35" i="4"/>
  <c r="B36" i="4"/>
  <c r="AC36" i="4"/>
  <c r="AW36" i="4"/>
  <c r="O37" i="4"/>
  <c r="AO37" i="4"/>
  <c r="BI37" i="4"/>
  <c r="AA38" i="4"/>
  <c r="BA38" i="4"/>
  <c r="M39" i="4"/>
  <c r="AE39" i="4"/>
  <c r="AW39" i="4"/>
  <c r="F40" i="4"/>
  <c r="Y40" i="4"/>
  <c r="AQ40" i="4"/>
  <c r="BI40" i="4"/>
  <c r="R41" i="4"/>
  <c r="AH41" i="4"/>
  <c r="AX41" i="4"/>
  <c r="E42" i="4"/>
  <c r="U42" i="4"/>
  <c r="AK42" i="4"/>
  <c r="BA42" i="4"/>
  <c r="H43" i="4"/>
  <c r="X43" i="4"/>
  <c r="AN43" i="4"/>
  <c r="BD43" i="4"/>
  <c r="K44" i="4"/>
  <c r="AA44" i="4"/>
  <c r="AQ44" i="4"/>
  <c r="BF44" i="4"/>
  <c r="J45" i="4"/>
  <c r="V45" i="4"/>
  <c r="AJ45" i="4"/>
  <c r="AV45" i="4"/>
  <c r="BI45" i="4"/>
  <c r="M46" i="4"/>
  <c r="Y46" i="4"/>
  <c r="AN17" i="4"/>
  <c r="AL33" i="4"/>
  <c r="M37" i="4"/>
  <c r="E40" i="4"/>
  <c r="T42" i="4"/>
  <c r="Z44" i="4"/>
  <c r="K46" i="4"/>
  <c r="I47" i="4"/>
  <c r="AT47" i="4"/>
  <c r="U48" i="4"/>
  <c r="BF48" i="4"/>
  <c r="Y49" i="4"/>
  <c r="AV49" i="4"/>
  <c r="J50" i="4"/>
  <c r="AB50" i="4"/>
  <c r="AY50" i="4"/>
  <c r="M51" i="4"/>
  <c r="AE51" i="4"/>
  <c r="BB51" i="4"/>
  <c r="P52" i="4"/>
  <c r="AH52" i="4"/>
  <c r="BE52" i="4"/>
  <c r="Q53" i="4"/>
  <c r="AG53" i="4"/>
  <c r="AW53" i="4"/>
  <c r="D54" i="4"/>
  <c r="T54" i="4"/>
  <c r="AJ54" i="4"/>
  <c r="AZ54" i="4"/>
  <c r="G55" i="4"/>
  <c r="W55" i="4"/>
  <c r="AM55" i="4"/>
  <c r="BC55" i="4"/>
  <c r="J56" i="4"/>
  <c r="Z56" i="4"/>
  <c r="AP56" i="4"/>
  <c r="BF56" i="4"/>
  <c r="M57" i="4"/>
  <c r="AC57" i="4"/>
  <c r="AS57" i="4"/>
  <c r="BI57" i="4"/>
  <c r="P58" i="4"/>
  <c r="AF58" i="4"/>
  <c r="AV58" i="4"/>
  <c r="C59" i="4"/>
  <c r="S59" i="4"/>
  <c r="AI59" i="4"/>
  <c r="AY59" i="4"/>
  <c r="F60" i="4"/>
  <c r="V60" i="4"/>
  <c r="AL60" i="4"/>
  <c r="AZ60" i="4"/>
  <c r="D61" i="4"/>
  <c r="Q61" i="4"/>
  <c r="AC61" i="4"/>
  <c r="AQ61" i="4"/>
  <c r="BC61" i="4"/>
  <c r="G62" i="4"/>
  <c r="T62" i="4"/>
  <c r="AF62" i="4"/>
  <c r="AR62" i="4"/>
  <c r="BA62" i="4"/>
  <c r="A63" i="4"/>
  <c r="J63" i="4"/>
  <c r="S63" i="4"/>
  <c r="AC63" i="4"/>
  <c r="AL63" i="4"/>
  <c r="AU63" i="4"/>
  <c r="BD63" i="4"/>
  <c r="D64" i="4"/>
  <c r="M64" i="4"/>
  <c r="V64" i="4"/>
  <c r="AF64" i="4"/>
  <c r="AO64" i="4"/>
  <c r="AX64" i="4"/>
  <c r="BG64" i="4"/>
  <c r="G65" i="4"/>
  <c r="P65" i="4"/>
  <c r="Y65" i="4"/>
  <c r="AI65" i="4"/>
  <c r="AR65" i="4"/>
  <c r="BA65" i="4"/>
  <c r="A66" i="4"/>
  <c r="J66" i="4"/>
  <c r="R66" i="4"/>
  <c r="Z66" i="4"/>
  <c r="AH66" i="4"/>
  <c r="AP66" i="4"/>
  <c r="AX66" i="4"/>
  <c r="BF66" i="4"/>
  <c r="E67" i="4"/>
  <c r="M67" i="4"/>
  <c r="U67" i="4"/>
  <c r="AC67" i="4"/>
  <c r="AK67" i="4"/>
  <c r="AS67" i="4"/>
  <c r="BA67" i="4"/>
  <c r="BI67" i="4"/>
  <c r="H68" i="4"/>
  <c r="P68" i="4"/>
  <c r="X68" i="4"/>
  <c r="AF68" i="4"/>
  <c r="AN68" i="4"/>
  <c r="AV68" i="4"/>
  <c r="BD68" i="4"/>
  <c r="C69" i="4"/>
  <c r="K69" i="4"/>
  <c r="S69" i="4"/>
  <c r="AA69" i="4"/>
  <c r="AI69" i="4"/>
  <c r="AQ69" i="4"/>
  <c r="AY69" i="4"/>
  <c r="BG69" i="4"/>
  <c r="F70" i="4"/>
  <c r="N70" i="4"/>
  <c r="V70" i="4"/>
  <c r="AD70" i="4"/>
  <c r="AL70" i="4"/>
  <c r="AT70" i="4"/>
  <c r="BB70" i="4"/>
  <c r="A71" i="4"/>
  <c r="I71" i="4"/>
  <c r="Q71" i="4"/>
  <c r="Y71" i="4"/>
  <c r="AG71" i="4"/>
  <c r="AO71" i="4"/>
  <c r="AW71" i="4"/>
  <c r="BE71" i="4"/>
  <c r="D72" i="4"/>
  <c r="L72" i="4"/>
  <c r="T72" i="4"/>
  <c r="AB72" i="4"/>
  <c r="AJ72" i="4"/>
  <c r="AR72" i="4"/>
  <c r="AZ72" i="4"/>
  <c r="BH72" i="4"/>
  <c r="G73" i="4"/>
  <c r="O73" i="4"/>
  <c r="W73" i="4"/>
  <c r="AE73" i="4"/>
  <c r="AM73" i="4"/>
  <c r="AU73" i="4"/>
  <c r="BC73" i="4"/>
  <c r="B74" i="4"/>
  <c r="J74" i="4"/>
  <c r="R74" i="4"/>
  <c r="Z74" i="4"/>
  <c r="AH74" i="4"/>
  <c r="AP74" i="4"/>
  <c r="AX74" i="4"/>
  <c r="BF74" i="4"/>
  <c r="E75" i="4"/>
  <c r="M75" i="4"/>
  <c r="U75" i="4"/>
  <c r="AC75" i="4"/>
  <c r="AK75" i="4"/>
  <c r="AS75" i="4"/>
  <c r="BA75" i="4"/>
  <c r="BI75" i="4"/>
  <c r="H76" i="4"/>
  <c r="P76" i="4"/>
  <c r="X76" i="4"/>
  <c r="AF76" i="4"/>
  <c r="AN76" i="4"/>
  <c r="AV76" i="4"/>
  <c r="BD76" i="4"/>
  <c r="C77" i="4"/>
  <c r="K77" i="4"/>
  <c r="S77" i="4"/>
  <c r="AA77" i="4"/>
  <c r="AI77" i="4"/>
  <c r="AQ77" i="4"/>
  <c r="AY77" i="4"/>
  <c r="BG77" i="4"/>
  <c r="F78" i="4"/>
  <c r="N78" i="4"/>
  <c r="V78" i="4"/>
  <c r="AD78" i="4"/>
  <c r="AL78" i="4"/>
  <c r="AT78" i="4"/>
  <c r="BB78" i="4"/>
  <c r="BB22" i="4"/>
  <c r="H34" i="4"/>
  <c r="AH37" i="4"/>
  <c r="X40" i="4"/>
  <c r="AJ42" i="4"/>
  <c r="AP44" i="4"/>
  <c r="X46" i="4"/>
  <c r="J47" i="4"/>
  <c r="AU47" i="4"/>
  <c r="V48" i="4"/>
  <c r="BG48" i="4"/>
  <c r="AE49" i="4"/>
  <c r="AW49" i="4"/>
  <c r="K50" i="4"/>
  <c r="AH50" i="4"/>
  <c r="AZ50" i="4"/>
  <c r="N51" i="4"/>
  <c r="AK51" i="4"/>
  <c r="BC51" i="4"/>
  <c r="Q52" i="4"/>
  <c r="AN52" i="4"/>
  <c r="BF52" i="4"/>
  <c r="S53" i="4"/>
  <c r="AI53" i="4"/>
  <c r="AY53" i="4"/>
  <c r="F54" i="4"/>
  <c r="V54" i="4"/>
  <c r="AL54" i="4"/>
  <c r="BB54" i="4"/>
  <c r="I55" i="4"/>
  <c r="Y55" i="4"/>
  <c r="AO55" i="4"/>
  <c r="BE55" i="4"/>
  <c r="L56" i="4"/>
  <c r="AB56" i="4"/>
  <c r="AR56" i="4"/>
  <c r="BH56" i="4"/>
  <c r="O57" i="4"/>
  <c r="AE57" i="4"/>
  <c r="AU57" i="4"/>
  <c r="B58" i="4"/>
  <c r="R58" i="4"/>
  <c r="AH58" i="4"/>
  <c r="AX58" i="4"/>
  <c r="E59" i="4"/>
  <c r="U59" i="4"/>
  <c r="AK59" i="4"/>
  <c r="BA59" i="4"/>
  <c r="H60" i="4"/>
  <c r="X60" i="4"/>
  <c r="AN60" i="4"/>
  <c r="BB60" i="4"/>
  <c r="E61" i="4"/>
  <c r="S61" i="4"/>
  <c r="AE61" i="4"/>
  <c r="AR61" i="4"/>
  <c r="BE61" i="4"/>
  <c r="H62" i="4"/>
  <c r="V62" i="4"/>
  <c r="AH62" i="4"/>
  <c r="AS62" i="4"/>
  <c r="BB62" i="4"/>
  <c r="B63" i="4"/>
  <c r="K63" i="4"/>
  <c r="U63" i="4"/>
  <c r="AD63" i="4"/>
  <c r="AM63" i="4"/>
  <c r="AV63" i="4"/>
  <c r="BE63" i="4"/>
  <c r="E64" i="4"/>
  <c r="N64" i="4"/>
  <c r="X64" i="4"/>
  <c r="AG64" i="4"/>
  <c r="AP64" i="4"/>
  <c r="AY64" i="4"/>
  <c r="BH64" i="4"/>
  <c r="H65" i="4"/>
  <c r="Q65" i="4"/>
  <c r="AA65" i="4"/>
  <c r="AJ65" i="4"/>
  <c r="AS65" i="4"/>
  <c r="BB65" i="4"/>
  <c r="B66" i="4"/>
  <c r="K66" i="4"/>
  <c r="S66" i="4"/>
  <c r="AA66" i="4"/>
  <c r="AI66" i="4"/>
  <c r="AQ66" i="4"/>
  <c r="AY66" i="4"/>
  <c r="BG66" i="4"/>
  <c r="F67" i="4"/>
  <c r="N67" i="4"/>
  <c r="V67" i="4"/>
  <c r="AD67" i="4"/>
  <c r="AL67" i="4"/>
  <c r="AT67" i="4"/>
  <c r="BB67" i="4"/>
  <c r="A68" i="4"/>
  <c r="I68" i="4"/>
  <c r="Q68" i="4"/>
  <c r="Y68" i="4"/>
  <c r="AG68" i="4"/>
  <c r="AO68" i="4"/>
  <c r="AW68" i="4"/>
  <c r="BE68" i="4"/>
  <c r="D69" i="4"/>
  <c r="L69" i="4"/>
  <c r="T69" i="4"/>
  <c r="AB69" i="4"/>
  <c r="AJ69" i="4"/>
  <c r="AR69" i="4"/>
  <c r="AZ69" i="4"/>
  <c r="BH69" i="4"/>
  <c r="G70" i="4"/>
  <c r="O70" i="4"/>
  <c r="W70" i="4"/>
  <c r="AE70" i="4"/>
  <c r="AM70" i="4"/>
  <c r="AU70" i="4"/>
  <c r="BC70" i="4"/>
  <c r="B71" i="4"/>
  <c r="J71" i="4"/>
  <c r="R71" i="4"/>
  <c r="Z71" i="4"/>
  <c r="AH71" i="4"/>
  <c r="AP71" i="4"/>
  <c r="AX71" i="4"/>
  <c r="BF71" i="4"/>
  <c r="E72" i="4"/>
  <c r="M72" i="4"/>
  <c r="U72" i="4"/>
  <c r="AC72" i="4"/>
  <c r="AK72" i="4"/>
  <c r="AS72" i="4"/>
  <c r="BA72" i="4"/>
  <c r="BI72" i="4"/>
  <c r="H73" i="4"/>
  <c r="P73" i="4"/>
  <c r="X73" i="4"/>
  <c r="AF73" i="4"/>
  <c r="AN73" i="4"/>
  <c r="AV73" i="4"/>
  <c r="BD73" i="4"/>
  <c r="C74" i="4"/>
  <c r="K74" i="4"/>
  <c r="S74" i="4"/>
  <c r="AA74" i="4"/>
  <c r="AI74" i="4"/>
  <c r="AQ74" i="4"/>
  <c r="AY74" i="4"/>
  <c r="BG74" i="4"/>
  <c r="F75" i="4"/>
  <c r="N75" i="4"/>
  <c r="V75" i="4"/>
  <c r="AD75" i="4"/>
  <c r="AL75" i="4"/>
  <c r="AT75" i="4"/>
  <c r="BB75" i="4"/>
  <c r="A76" i="4"/>
  <c r="I76" i="4"/>
  <c r="Q76" i="4"/>
  <c r="Y76" i="4"/>
  <c r="AG76" i="4"/>
  <c r="AO76" i="4"/>
  <c r="AW76" i="4"/>
  <c r="BE76" i="4"/>
  <c r="D77" i="4"/>
  <c r="L77" i="4"/>
  <c r="B27" i="4"/>
  <c r="AM34" i="4"/>
  <c r="BH37" i="4"/>
  <c r="AP40" i="4"/>
  <c r="AZ42" i="4"/>
  <c r="BE44" i="4"/>
  <c r="AK46" i="4"/>
  <c r="R47" i="4"/>
  <c r="BC47" i="4"/>
  <c r="AD48" i="4"/>
  <c r="F49" i="4"/>
  <c r="AF49" i="4"/>
  <c r="BC49" i="4"/>
  <c r="L50" i="4"/>
  <c r="AI50" i="4"/>
  <c r="BF50" i="4"/>
  <c r="O51" i="4"/>
  <c r="AL51" i="4"/>
  <c r="BI51" i="4"/>
  <c r="R52" i="4"/>
  <c r="AO52" i="4"/>
  <c r="C53" i="4"/>
  <c r="T53" i="4"/>
  <c r="AJ53" i="4"/>
  <c r="AZ53" i="4"/>
  <c r="G54" i="4"/>
  <c r="W54" i="4"/>
  <c r="AM54" i="4"/>
  <c r="BC54" i="4"/>
  <c r="J55" i="4"/>
  <c r="Z55" i="4"/>
  <c r="AP55" i="4"/>
  <c r="BF55" i="4"/>
  <c r="M56" i="4"/>
  <c r="AC56" i="4"/>
  <c r="AS56" i="4"/>
  <c r="BI56" i="4"/>
  <c r="P57" i="4"/>
  <c r="AF57" i="4"/>
  <c r="AV57" i="4"/>
  <c r="C58" i="4"/>
  <c r="S58" i="4"/>
  <c r="AI58" i="4"/>
  <c r="AY58" i="4"/>
  <c r="F59" i="4"/>
  <c r="V59" i="4"/>
  <c r="AL59" i="4"/>
  <c r="BB59" i="4"/>
  <c r="I60" i="4"/>
  <c r="Y60" i="4"/>
  <c r="AO60" i="4"/>
  <c r="BD60" i="4"/>
  <c r="G61" i="4"/>
  <c r="T61" i="4"/>
  <c r="AG61" i="4"/>
  <c r="AS61" i="4"/>
  <c r="BG61" i="4"/>
  <c r="J62" i="4"/>
  <c r="W62" i="4"/>
  <c r="AJ62" i="4"/>
  <c r="AT62" i="4"/>
  <c r="BC62" i="4"/>
  <c r="C63" i="4"/>
  <c r="M63" i="4"/>
  <c r="V63" i="4"/>
  <c r="AE63" i="4"/>
  <c r="AN63" i="4"/>
  <c r="AW63" i="4"/>
  <c r="BF63" i="4"/>
  <c r="F64" i="4"/>
  <c r="P64" i="4"/>
  <c r="Y64" i="4"/>
  <c r="AH64" i="4"/>
  <c r="AQ64" i="4"/>
  <c r="AZ64" i="4"/>
  <c r="BI64" i="4"/>
  <c r="I65" i="4"/>
  <c r="S65" i="4"/>
  <c r="AB65" i="4"/>
  <c r="AK65" i="4"/>
  <c r="AT65" i="4"/>
  <c r="BC65" i="4"/>
  <c r="C66" i="4"/>
  <c r="L66" i="4"/>
  <c r="T66" i="4"/>
  <c r="AB66" i="4"/>
  <c r="AJ66" i="4"/>
  <c r="AR66" i="4"/>
  <c r="AZ66" i="4"/>
  <c r="BH66" i="4"/>
  <c r="G67" i="4"/>
  <c r="O67" i="4"/>
  <c r="W67" i="4"/>
  <c r="AE67" i="4"/>
  <c r="AM67" i="4"/>
  <c r="AU67" i="4"/>
  <c r="BC67" i="4"/>
  <c r="B68" i="4"/>
  <c r="J68" i="4"/>
  <c r="R68" i="4"/>
  <c r="Z68" i="4"/>
  <c r="AH68" i="4"/>
  <c r="AP68" i="4"/>
  <c r="AX68" i="4"/>
  <c r="BF68" i="4"/>
  <c r="E69" i="4"/>
  <c r="M69" i="4"/>
  <c r="U69" i="4"/>
  <c r="AC69" i="4"/>
  <c r="AK69" i="4"/>
  <c r="AS69" i="4"/>
  <c r="BA69" i="4"/>
  <c r="BI69" i="4"/>
  <c r="H70" i="4"/>
  <c r="P70" i="4"/>
  <c r="X70" i="4"/>
  <c r="AF70" i="4"/>
  <c r="AN70" i="4"/>
  <c r="AV70" i="4"/>
  <c r="BD70" i="4"/>
  <c r="C71" i="4"/>
  <c r="K71" i="4"/>
  <c r="S71" i="4"/>
  <c r="AA71" i="4"/>
  <c r="AI71" i="4"/>
  <c r="AQ71" i="4"/>
  <c r="AY71" i="4"/>
  <c r="BG71" i="4"/>
  <c r="F72" i="4"/>
  <c r="N72" i="4"/>
  <c r="V72" i="4"/>
  <c r="AD72" i="4"/>
  <c r="AL72" i="4"/>
  <c r="AT72" i="4"/>
  <c r="BB72" i="4"/>
  <c r="A73" i="4"/>
  <c r="I73" i="4"/>
  <c r="Q73" i="4"/>
  <c r="Y73" i="4"/>
  <c r="AG73" i="4"/>
  <c r="AO73" i="4"/>
  <c r="AW73" i="4"/>
  <c r="BE73" i="4"/>
  <c r="D74" i="4"/>
  <c r="L74" i="4"/>
  <c r="T74" i="4"/>
  <c r="AB74" i="4"/>
  <c r="AJ74" i="4"/>
  <c r="AR74" i="4"/>
  <c r="AZ74" i="4"/>
  <c r="BH74" i="4"/>
  <c r="G75" i="4"/>
  <c r="O75" i="4"/>
  <c r="W75" i="4"/>
  <c r="AE75" i="4"/>
  <c r="AM75" i="4"/>
  <c r="AU75" i="4"/>
  <c r="BC75" i="4"/>
  <c r="B76" i="4"/>
  <c r="J76" i="4"/>
  <c r="R76" i="4"/>
  <c r="Z76" i="4"/>
  <c r="AH76" i="4"/>
  <c r="AP76" i="4"/>
  <c r="AX76" i="4"/>
  <c r="BF76" i="4"/>
  <c r="E77" i="4"/>
  <c r="M77" i="4"/>
  <c r="U77" i="4"/>
  <c r="AC77" i="4"/>
  <c r="BG29" i="4"/>
  <c r="B35" i="4"/>
  <c r="Z38" i="4"/>
  <c r="BH40" i="4"/>
  <c r="G43" i="4"/>
  <c r="H45" i="4"/>
  <c r="AM46" i="4"/>
  <c r="S47" i="4"/>
  <c r="BD47" i="4"/>
  <c r="AE48" i="4"/>
  <c r="G49" i="4"/>
  <c r="AG49" i="4"/>
  <c r="BD49" i="4"/>
  <c r="R50" i="4"/>
  <c r="AJ50" i="4"/>
  <c r="BG50" i="4"/>
  <c r="U51" i="4"/>
  <c r="AM51" i="4"/>
  <c r="A52" i="4"/>
  <c r="X52" i="4"/>
  <c r="AP52" i="4"/>
  <c r="D53" i="4"/>
  <c r="U53" i="4"/>
  <c r="AK53" i="4"/>
  <c r="BA53" i="4"/>
  <c r="H54" i="4"/>
  <c r="X54" i="4"/>
  <c r="AN54" i="4"/>
  <c r="BD54" i="4"/>
  <c r="K55" i="4"/>
  <c r="AA55" i="4"/>
  <c r="AQ55" i="4"/>
  <c r="BG55" i="4"/>
  <c r="N56" i="4"/>
  <c r="AD56" i="4"/>
  <c r="AT56" i="4"/>
  <c r="A57" i="4"/>
  <c r="Q57" i="4"/>
  <c r="AG57" i="4"/>
  <c r="AW57" i="4"/>
  <c r="D58" i="4"/>
  <c r="T58" i="4"/>
  <c r="AJ58" i="4"/>
  <c r="AZ58" i="4"/>
  <c r="G59" i="4"/>
  <c r="W59" i="4"/>
  <c r="AM59" i="4"/>
  <c r="BC59" i="4"/>
  <c r="J60" i="4"/>
  <c r="Z60" i="4"/>
  <c r="AP60" i="4"/>
  <c r="BE60" i="4"/>
  <c r="I61" i="4"/>
  <c r="U61" i="4"/>
  <c r="AI61" i="4"/>
  <c r="AU61" i="4"/>
  <c r="BH61" i="4"/>
  <c r="L62" i="4"/>
  <c r="X62" i="4"/>
  <c r="AL62" i="4"/>
  <c r="AU62" i="4"/>
  <c r="BD62" i="4"/>
  <c r="E63" i="4"/>
  <c r="N63" i="4"/>
  <c r="W63" i="4"/>
  <c r="AF63" i="4"/>
  <c r="AO63" i="4"/>
  <c r="AX63" i="4"/>
  <c r="BG63" i="4"/>
  <c r="H64" i="4"/>
  <c r="Q64" i="4"/>
  <c r="Z64" i="4"/>
  <c r="AI64" i="4"/>
  <c r="AR64" i="4"/>
  <c r="BA64" i="4"/>
  <c r="A65" i="4"/>
  <c r="K65" i="4"/>
  <c r="T65" i="4"/>
  <c r="AC65" i="4"/>
  <c r="AL65" i="4"/>
  <c r="AU65" i="4"/>
  <c r="BD65" i="4"/>
  <c r="D66" i="4"/>
  <c r="M66" i="4"/>
  <c r="U66" i="4"/>
  <c r="AC66" i="4"/>
  <c r="AK66" i="4"/>
  <c r="AS66" i="4"/>
  <c r="BA66" i="4"/>
  <c r="BI66" i="4"/>
  <c r="H67" i="4"/>
  <c r="P67" i="4"/>
  <c r="X67" i="4"/>
  <c r="AF67" i="4"/>
  <c r="AN67" i="4"/>
  <c r="AV67" i="4"/>
  <c r="BH30" i="4"/>
  <c r="AE35" i="4"/>
  <c r="AT38" i="4"/>
  <c r="Q41" i="4"/>
  <c r="W43" i="4"/>
  <c r="U45" i="4"/>
  <c r="AW46" i="4"/>
  <c r="AA47" i="4"/>
  <c r="C48" i="4"/>
  <c r="AM48" i="4"/>
  <c r="O49" i="4"/>
  <c r="AM49" i="4"/>
  <c r="BE49" i="4"/>
  <c r="S50" i="4"/>
  <c r="AP50" i="4"/>
  <c r="BH50" i="4"/>
  <c r="V51" i="4"/>
  <c r="AS51" i="4"/>
  <c r="B52" i="4"/>
  <c r="Y52" i="4"/>
  <c r="AV52" i="4"/>
  <c r="E53" i="4"/>
  <c r="Y53" i="4"/>
  <c r="AO53" i="4"/>
  <c r="BE53" i="4"/>
  <c r="L54" i="4"/>
  <c r="AB54" i="4"/>
  <c r="AR54" i="4"/>
  <c r="BH54" i="4"/>
  <c r="O55" i="4"/>
  <c r="AE55" i="4"/>
  <c r="AU55" i="4"/>
  <c r="B56" i="4"/>
  <c r="R56" i="4"/>
  <c r="AH56" i="4"/>
  <c r="AX56" i="4"/>
  <c r="E57" i="4"/>
  <c r="U57" i="4"/>
  <c r="AK57" i="4"/>
  <c r="BA57" i="4"/>
  <c r="H58" i="4"/>
  <c r="X58" i="4"/>
  <c r="AN58" i="4"/>
  <c r="BD58" i="4"/>
  <c r="K59" i="4"/>
  <c r="AA59" i="4"/>
  <c r="AQ59" i="4"/>
  <c r="BG59" i="4"/>
  <c r="N60" i="4"/>
  <c r="AD60" i="4"/>
  <c r="AT60" i="4"/>
  <c r="BF60" i="4"/>
  <c r="K61" i="4"/>
  <c r="W61" i="4"/>
  <c r="AJ61" i="4"/>
  <c r="AW61" i="4"/>
  <c r="BI61" i="4"/>
  <c r="N62" i="4"/>
  <c r="Z62" i="4"/>
  <c r="AM62" i="4"/>
  <c r="AV62" i="4"/>
  <c r="BF62" i="4"/>
  <c r="F63" i="4"/>
  <c r="O63" i="4"/>
  <c r="X63" i="4"/>
  <c r="AG63" i="4"/>
  <c r="AP63" i="4"/>
  <c r="AY63" i="4"/>
  <c r="BI63" i="4"/>
  <c r="I64" i="4"/>
  <c r="R64" i="4"/>
  <c r="AA64" i="4"/>
  <c r="AJ64" i="4"/>
  <c r="AS64" i="4"/>
  <c r="BB64" i="4"/>
  <c r="C65" i="4"/>
  <c r="L65" i="4"/>
  <c r="U65" i="4"/>
  <c r="AD65" i="4"/>
  <c r="AM65" i="4"/>
  <c r="AV65" i="4"/>
  <c r="BE65" i="4"/>
  <c r="F66" i="4"/>
  <c r="N66" i="4"/>
  <c r="V66" i="4"/>
  <c r="AD66" i="4"/>
  <c r="AL66" i="4"/>
  <c r="AT66" i="4"/>
  <c r="BB66" i="4"/>
  <c r="A67" i="4"/>
  <c r="I67" i="4"/>
  <c r="Q67" i="4"/>
  <c r="Y67" i="4"/>
  <c r="AG67" i="4"/>
  <c r="AO67" i="4"/>
  <c r="AW67" i="4"/>
  <c r="BE67" i="4"/>
  <c r="D68" i="4"/>
  <c r="L68" i="4"/>
  <c r="T68" i="4"/>
  <c r="AB68" i="4"/>
  <c r="AJ68" i="4"/>
  <c r="AR68" i="4"/>
  <c r="AZ68" i="4"/>
  <c r="BH68" i="4"/>
  <c r="G69" i="4"/>
  <c r="O69" i="4"/>
  <c r="W69" i="4"/>
  <c r="AE69" i="4"/>
  <c r="AM69" i="4"/>
  <c r="AU69" i="4"/>
  <c r="BC69" i="4"/>
  <c r="B70" i="4"/>
  <c r="J70" i="4"/>
  <c r="R70" i="4"/>
  <c r="Z70" i="4"/>
  <c r="AH70" i="4"/>
  <c r="AP70" i="4"/>
  <c r="AX70" i="4"/>
  <c r="BF70" i="4"/>
  <c r="E71" i="4"/>
  <c r="M71" i="4"/>
  <c r="U71" i="4"/>
  <c r="AC71" i="4"/>
  <c r="AK71" i="4"/>
  <c r="AS71" i="4"/>
  <c r="BA71" i="4"/>
  <c r="BI71" i="4"/>
  <c r="H72" i="4"/>
  <c r="P72" i="4"/>
  <c r="X72" i="4"/>
  <c r="AF72" i="4"/>
  <c r="AN72" i="4"/>
  <c r="AV72" i="4"/>
  <c r="BD72" i="4"/>
  <c r="C73" i="4"/>
  <c r="K73" i="4"/>
  <c r="S73" i="4"/>
  <c r="AA73" i="4"/>
  <c r="AI73" i="4"/>
  <c r="AQ73" i="4"/>
  <c r="AY73" i="4"/>
  <c r="BG73" i="4"/>
  <c r="F74" i="4"/>
  <c r="N74" i="4"/>
  <c r="V74" i="4"/>
  <c r="AD74" i="4"/>
  <c r="AL74" i="4"/>
  <c r="AT74" i="4"/>
  <c r="BB74" i="4"/>
  <c r="A75" i="4"/>
  <c r="I75" i="4"/>
  <c r="Q75" i="4"/>
  <c r="Y75" i="4"/>
  <c r="AG75" i="4"/>
  <c r="AO75" i="4"/>
  <c r="AW75" i="4"/>
  <c r="BE75" i="4"/>
  <c r="D76" i="4"/>
  <c r="L76" i="4"/>
  <c r="T76" i="4"/>
  <c r="AB76" i="4"/>
  <c r="AJ76" i="4"/>
  <c r="AR76" i="4"/>
  <c r="AO31" i="4"/>
  <c r="A36" i="4"/>
  <c r="K39" i="4"/>
  <c r="AG41" i="4"/>
  <c r="AM43" i="4"/>
  <c r="AH45" i="4"/>
  <c r="AY46" i="4"/>
  <c r="AB47" i="4"/>
  <c r="D48" i="4"/>
  <c r="AO48" i="4"/>
  <c r="P49" i="4"/>
  <c r="AN49" i="4"/>
  <c r="B50" i="4"/>
  <c r="T50" i="4"/>
  <c r="AQ50" i="4"/>
  <c r="E51" i="4"/>
  <c r="W51" i="4"/>
  <c r="AT51" i="4"/>
  <c r="H52" i="4"/>
  <c r="Z52" i="4"/>
  <c r="AW52" i="4"/>
  <c r="K53" i="4"/>
  <c r="AA53" i="4"/>
  <c r="AQ53" i="4"/>
  <c r="BG53" i="4"/>
  <c r="N54" i="4"/>
  <c r="AD54" i="4"/>
  <c r="AT54" i="4"/>
  <c r="A55" i="4"/>
  <c r="Q55" i="4"/>
  <c r="AG55" i="4"/>
  <c r="AW55" i="4"/>
  <c r="D56" i="4"/>
  <c r="T56" i="4"/>
  <c r="AJ56" i="4"/>
  <c r="AZ56" i="4"/>
  <c r="G57" i="4"/>
  <c r="W57" i="4"/>
  <c r="AM57" i="4"/>
  <c r="BC57" i="4"/>
  <c r="J58" i="4"/>
  <c r="Z58" i="4"/>
  <c r="AP58" i="4"/>
  <c r="BF58" i="4"/>
  <c r="M59" i="4"/>
  <c r="AC59" i="4"/>
  <c r="AS59" i="4"/>
  <c r="BI59" i="4"/>
  <c r="P60" i="4"/>
  <c r="AF60" i="4"/>
  <c r="AV60" i="4"/>
  <c r="BH60" i="4"/>
  <c r="L61" i="4"/>
  <c r="Y61" i="4"/>
  <c r="AK61" i="4"/>
  <c r="AY61" i="4"/>
  <c r="B62" i="4"/>
  <c r="O62" i="4"/>
  <c r="AB62" i="4"/>
  <c r="AN62" i="4"/>
  <c r="AX62" i="4"/>
  <c r="BG62" i="4"/>
  <c r="G63" i="4"/>
  <c r="P63" i="4"/>
  <c r="Y63" i="4"/>
  <c r="AH63" i="4"/>
  <c r="AQ63" i="4"/>
  <c r="BA63" i="4"/>
  <c r="A64" i="4"/>
  <c r="J64" i="4"/>
  <c r="S64" i="4"/>
  <c r="E33" i="4"/>
  <c r="AV36" i="4"/>
  <c r="AV39" i="4"/>
  <c r="D42" i="4"/>
  <c r="J44" i="4"/>
  <c r="BH45" i="4"/>
  <c r="A47" i="4"/>
  <c r="AL47" i="4"/>
  <c r="M48" i="4"/>
  <c r="AX48" i="4"/>
  <c r="X49" i="4"/>
  <c r="AU49" i="4"/>
  <c r="D50" i="4"/>
  <c r="AA50" i="4"/>
  <c r="AX50" i="4"/>
  <c r="G51" i="4"/>
  <c r="AD51" i="4"/>
  <c r="BA51" i="4"/>
  <c r="J52" i="4"/>
  <c r="AG52" i="4"/>
  <c r="BD52" i="4"/>
  <c r="M53" i="4"/>
  <c r="AC53" i="4"/>
  <c r="AS53" i="4"/>
  <c r="BI53" i="4"/>
  <c r="P54" i="4"/>
  <c r="AF54" i="4"/>
  <c r="AV54" i="4"/>
  <c r="C55" i="4"/>
  <c r="S55" i="4"/>
  <c r="AI55" i="4"/>
  <c r="AY55" i="4"/>
  <c r="F56" i="4"/>
  <c r="V56" i="4"/>
  <c r="AL56" i="4"/>
  <c r="BB56" i="4"/>
  <c r="I57" i="4"/>
  <c r="Y57" i="4"/>
  <c r="AO57" i="4"/>
  <c r="BE57" i="4"/>
  <c r="L58" i="4"/>
  <c r="AB58" i="4"/>
  <c r="AR58" i="4"/>
  <c r="BH58" i="4"/>
  <c r="O59" i="4"/>
  <c r="AE59" i="4"/>
  <c r="AU59" i="4"/>
  <c r="B60" i="4"/>
  <c r="R60" i="4"/>
  <c r="AH60" i="4"/>
  <c r="AX60" i="4"/>
  <c r="C61" i="4"/>
  <c r="O61" i="4"/>
  <c r="AB61" i="4"/>
  <c r="AO61" i="4"/>
  <c r="V32" i="4"/>
  <c r="L48" i="4"/>
  <c r="AC51" i="4"/>
  <c r="BH53" i="4"/>
  <c r="E56" i="4"/>
  <c r="K58" i="4"/>
  <c r="Q60" i="4"/>
  <c r="BA61" i="4"/>
  <c r="AQ62" i="4"/>
  <c r="R63" i="4"/>
  <c r="BC63" i="4"/>
  <c r="AC64" i="4"/>
  <c r="BD64" i="4"/>
  <c r="O65" i="4"/>
  <c r="AO65" i="4"/>
  <c r="G66" i="4"/>
  <c r="Y66" i="4"/>
  <c r="AV66" i="4"/>
  <c r="J67" i="4"/>
  <c r="AB67" i="4"/>
  <c r="AY67" i="4"/>
  <c r="F68" i="4"/>
  <c r="V68" i="4"/>
  <c r="AL68" i="4"/>
  <c r="BB68" i="4"/>
  <c r="I69" i="4"/>
  <c r="Y69" i="4"/>
  <c r="AO69" i="4"/>
  <c r="BE69" i="4"/>
  <c r="L70" i="4"/>
  <c r="AB70" i="4"/>
  <c r="AR70" i="4"/>
  <c r="BH70" i="4"/>
  <c r="O71" i="4"/>
  <c r="AE71" i="4"/>
  <c r="AU71" i="4"/>
  <c r="B72" i="4"/>
  <c r="R72" i="4"/>
  <c r="AH72" i="4"/>
  <c r="AX72" i="4"/>
  <c r="E73" i="4"/>
  <c r="U73" i="4"/>
  <c r="AK73" i="4"/>
  <c r="BA73" i="4"/>
  <c r="H74" i="4"/>
  <c r="X74" i="4"/>
  <c r="AN74" i="4"/>
  <c r="BD74" i="4"/>
  <c r="K75" i="4"/>
  <c r="AA75" i="4"/>
  <c r="AQ75" i="4"/>
  <c r="BG75" i="4"/>
  <c r="N76" i="4"/>
  <c r="AD76" i="4"/>
  <c r="AT76" i="4"/>
  <c r="BH76" i="4"/>
  <c r="J77" i="4"/>
  <c r="W77" i="4"/>
  <c r="AG77" i="4"/>
  <c r="AP77" i="4"/>
  <c r="AZ77" i="4"/>
  <c r="BI77" i="4"/>
  <c r="I78" i="4"/>
  <c r="R78" i="4"/>
  <c r="AA78" i="4"/>
  <c r="AJ78" i="4"/>
  <c r="AS78" i="4"/>
  <c r="BC78" i="4"/>
  <c r="B79" i="4"/>
  <c r="J79" i="4"/>
  <c r="R79" i="4"/>
  <c r="Z79" i="4"/>
  <c r="AH79" i="4"/>
  <c r="AP79" i="4"/>
  <c r="AX79" i="4"/>
  <c r="BF79" i="4"/>
  <c r="E80" i="4"/>
  <c r="M80" i="4"/>
  <c r="U80" i="4"/>
  <c r="AC80" i="4"/>
  <c r="AK80" i="4"/>
  <c r="AS80" i="4"/>
  <c r="BA80" i="4"/>
  <c r="BI80" i="4"/>
  <c r="H81" i="4"/>
  <c r="P81" i="4"/>
  <c r="X81" i="4"/>
  <c r="AF81" i="4"/>
  <c r="AN81" i="4"/>
  <c r="AV81" i="4"/>
  <c r="BD81" i="4"/>
  <c r="C82" i="4"/>
  <c r="K82" i="4"/>
  <c r="S82" i="4"/>
  <c r="AA82" i="4"/>
  <c r="AI82" i="4"/>
  <c r="AQ82" i="4"/>
  <c r="AY82" i="4"/>
  <c r="BG82" i="4"/>
  <c r="F83" i="4"/>
  <c r="N83" i="4"/>
  <c r="V83" i="4"/>
  <c r="AD83" i="4"/>
  <c r="AL83" i="4"/>
  <c r="AT83" i="4"/>
  <c r="BB83" i="4"/>
  <c r="A84" i="4"/>
  <c r="I84" i="4"/>
  <c r="Q84" i="4"/>
  <c r="Y84" i="4"/>
  <c r="AG84" i="4"/>
  <c r="AO84" i="4"/>
  <c r="AW84" i="4"/>
  <c r="BE84" i="4"/>
  <c r="D85" i="4"/>
  <c r="L85" i="4"/>
  <c r="T85" i="4"/>
  <c r="AB85" i="4"/>
  <c r="AJ85" i="4"/>
  <c r="AR85" i="4"/>
  <c r="AZ85" i="4"/>
  <c r="BH85" i="4"/>
  <c r="G86" i="4"/>
  <c r="O86" i="4"/>
  <c r="W86" i="4"/>
  <c r="AE86" i="4"/>
  <c r="AM86" i="4"/>
  <c r="AU86" i="4"/>
  <c r="BC86" i="4"/>
  <c r="B87" i="4"/>
  <c r="J87" i="4"/>
  <c r="R87" i="4"/>
  <c r="Z87" i="4"/>
  <c r="AH87" i="4"/>
  <c r="AP87" i="4"/>
  <c r="AX87" i="4"/>
  <c r="BF87" i="4"/>
  <c r="E88" i="4"/>
  <c r="M88" i="4"/>
  <c r="U88" i="4"/>
  <c r="AC88" i="4"/>
  <c r="AK88" i="4"/>
  <c r="AS88" i="4"/>
  <c r="BA88" i="4"/>
  <c r="BI88" i="4"/>
  <c r="H89" i="4"/>
  <c r="P89" i="4"/>
  <c r="X89" i="4"/>
  <c r="AF89" i="4"/>
  <c r="AN89" i="4"/>
  <c r="AV89" i="4"/>
  <c r="BD89" i="4"/>
  <c r="C90" i="4"/>
  <c r="K90" i="4"/>
  <c r="S90" i="4"/>
  <c r="AA90" i="4"/>
  <c r="AI90" i="4"/>
  <c r="AQ90" i="4"/>
  <c r="AY90" i="4"/>
  <c r="BG90" i="4"/>
  <c r="F91" i="4"/>
  <c r="N91" i="4"/>
  <c r="V91" i="4"/>
  <c r="AD91" i="4"/>
  <c r="AL91" i="4"/>
  <c r="AT91" i="4"/>
  <c r="BB91" i="4"/>
  <c r="A92" i="4"/>
  <c r="I92" i="4"/>
  <c r="Q92" i="4"/>
  <c r="Y92" i="4"/>
  <c r="AG92" i="4"/>
  <c r="AO92" i="4"/>
  <c r="AW92" i="4"/>
  <c r="BE92" i="4"/>
  <c r="D93" i="4"/>
  <c r="L93" i="4"/>
  <c r="T93" i="4"/>
  <c r="AB93" i="4"/>
  <c r="AJ93" i="4"/>
  <c r="AR93" i="4"/>
  <c r="AZ93" i="4"/>
  <c r="BH93" i="4"/>
  <c r="G94" i="4"/>
  <c r="O94" i="4"/>
  <c r="W94" i="4"/>
  <c r="AE94" i="4"/>
  <c r="AM94" i="4"/>
  <c r="AU94" i="4"/>
  <c r="BC94" i="4"/>
  <c r="B95" i="4"/>
  <c r="J95" i="4"/>
  <c r="R95" i="4"/>
  <c r="Z95" i="4"/>
  <c r="AH95" i="4"/>
  <c r="AP95" i="4"/>
  <c r="AX95" i="4"/>
  <c r="BF95" i="4"/>
  <c r="E96" i="4"/>
  <c r="V36" i="4"/>
  <c r="AW48" i="4"/>
  <c r="AU51" i="4"/>
  <c r="O54" i="4"/>
  <c r="U56" i="4"/>
  <c r="AA58" i="4"/>
  <c r="AG60" i="4"/>
  <c r="D62" i="4"/>
  <c r="AY62" i="4"/>
  <c r="Z63" i="4"/>
  <c r="B64" i="4"/>
  <c r="AD64" i="4"/>
  <c r="BE64" i="4"/>
  <c r="V65" i="4"/>
  <c r="AQ65" i="4"/>
  <c r="H66" i="4"/>
  <c r="AE66" i="4"/>
  <c r="AW66" i="4"/>
  <c r="K67" i="4"/>
  <c r="AH67" i="4"/>
  <c r="AZ67" i="4"/>
  <c r="G68" i="4"/>
  <c r="W68" i="4"/>
  <c r="AM68" i="4"/>
  <c r="BC68" i="4"/>
  <c r="J69" i="4"/>
  <c r="Z69" i="4"/>
  <c r="AP69" i="4"/>
  <c r="BF69" i="4"/>
  <c r="M70" i="4"/>
  <c r="AC70" i="4"/>
  <c r="AS70" i="4"/>
  <c r="BI70" i="4"/>
  <c r="P71" i="4"/>
  <c r="AF71" i="4"/>
  <c r="AV71" i="4"/>
  <c r="C72" i="4"/>
  <c r="S72" i="4"/>
  <c r="AI72" i="4"/>
  <c r="AY72" i="4"/>
  <c r="F73" i="4"/>
  <c r="V73" i="4"/>
  <c r="AL73" i="4"/>
  <c r="BB73" i="4"/>
  <c r="I74" i="4"/>
  <c r="Y74" i="4"/>
  <c r="AO74" i="4"/>
  <c r="BE74" i="4"/>
  <c r="L75" i="4"/>
  <c r="AB75" i="4"/>
  <c r="AR75" i="4"/>
  <c r="BH75" i="4"/>
  <c r="O76" i="4"/>
  <c r="AE76" i="4"/>
  <c r="AU76" i="4"/>
  <c r="BI76" i="4"/>
  <c r="N77" i="4"/>
  <c r="X77" i="4"/>
  <c r="AH77" i="4"/>
  <c r="AR77" i="4"/>
  <c r="BA77" i="4"/>
  <c r="A78" i="4"/>
  <c r="J78" i="4"/>
  <c r="S78" i="4"/>
  <c r="AB78" i="4"/>
  <c r="AK78" i="4"/>
  <c r="AU78" i="4"/>
  <c r="BD78" i="4"/>
  <c r="C79" i="4"/>
  <c r="K79" i="4"/>
  <c r="S79" i="4"/>
  <c r="AA79" i="4"/>
  <c r="AI79" i="4"/>
  <c r="AQ79" i="4"/>
  <c r="AY79" i="4"/>
  <c r="BG79" i="4"/>
  <c r="F80" i="4"/>
  <c r="N80" i="4"/>
  <c r="V80" i="4"/>
  <c r="AD80" i="4"/>
  <c r="AL80" i="4"/>
  <c r="AT80" i="4"/>
  <c r="BB80" i="4"/>
  <c r="A81" i="4"/>
  <c r="I81" i="4"/>
  <c r="Q81" i="4"/>
  <c r="Y81" i="4"/>
  <c r="AG81" i="4"/>
  <c r="AO81" i="4"/>
  <c r="AW81" i="4"/>
  <c r="BE81" i="4"/>
  <c r="D82" i="4"/>
  <c r="L82" i="4"/>
  <c r="T82" i="4"/>
  <c r="AB82" i="4"/>
  <c r="AJ82" i="4"/>
  <c r="AR82" i="4"/>
  <c r="AZ82" i="4"/>
  <c r="BH82" i="4"/>
  <c r="G83" i="4"/>
  <c r="O83" i="4"/>
  <c r="W83" i="4"/>
  <c r="AE83" i="4"/>
  <c r="AM83" i="4"/>
  <c r="AU83" i="4"/>
  <c r="BC83" i="4"/>
  <c r="B84" i="4"/>
  <c r="J84" i="4"/>
  <c r="R84" i="4"/>
  <c r="Z84" i="4"/>
  <c r="AH84" i="4"/>
  <c r="AP84" i="4"/>
  <c r="AX84" i="4"/>
  <c r="BF84" i="4"/>
  <c r="E85" i="4"/>
  <c r="M85" i="4"/>
  <c r="U85" i="4"/>
  <c r="AC85" i="4"/>
  <c r="AK85" i="4"/>
  <c r="AS85" i="4"/>
  <c r="BA85" i="4"/>
  <c r="BI85" i="4"/>
  <c r="H86" i="4"/>
  <c r="P86" i="4"/>
  <c r="X86" i="4"/>
  <c r="AF86" i="4"/>
  <c r="AN86" i="4"/>
  <c r="AV86" i="4"/>
  <c r="BD86" i="4"/>
  <c r="C87" i="4"/>
  <c r="K87" i="4"/>
  <c r="S87" i="4"/>
  <c r="AA87" i="4"/>
  <c r="AI87" i="4"/>
  <c r="AQ87" i="4"/>
  <c r="AY87" i="4"/>
  <c r="BG87" i="4"/>
  <c r="F88" i="4"/>
  <c r="N88" i="4"/>
  <c r="V88" i="4"/>
  <c r="AD88" i="4"/>
  <c r="AL88" i="4"/>
  <c r="AT88" i="4"/>
  <c r="AD39" i="4"/>
  <c r="W49" i="4"/>
  <c r="I52" i="4"/>
  <c r="AE54" i="4"/>
  <c r="AK56" i="4"/>
  <c r="AQ58" i="4"/>
  <c r="AW60" i="4"/>
  <c r="F62" i="4"/>
  <c r="AZ62" i="4"/>
  <c r="AA63" i="4"/>
  <c r="C64" i="4"/>
  <c r="AK64" i="4"/>
  <c r="BF64" i="4"/>
  <c r="W65" i="4"/>
  <c r="AW65" i="4"/>
  <c r="I66" i="4"/>
  <c r="AF66" i="4"/>
  <c r="BC66" i="4"/>
  <c r="L67" i="4"/>
  <c r="AI67" i="4"/>
  <c r="BD67" i="4"/>
  <c r="K68" i="4"/>
  <c r="AA68" i="4"/>
  <c r="AQ68" i="4"/>
  <c r="BG68" i="4"/>
  <c r="N69" i="4"/>
  <c r="AD69" i="4"/>
  <c r="AT69" i="4"/>
  <c r="A70" i="4"/>
  <c r="Q70" i="4"/>
  <c r="AG70" i="4"/>
  <c r="AW70" i="4"/>
  <c r="D71" i="4"/>
  <c r="T71" i="4"/>
  <c r="AJ71" i="4"/>
  <c r="AZ71" i="4"/>
  <c r="G72" i="4"/>
  <c r="W72" i="4"/>
  <c r="AM72" i="4"/>
  <c r="BC72" i="4"/>
  <c r="J73" i="4"/>
  <c r="Z73" i="4"/>
  <c r="AP73" i="4"/>
  <c r="BF73" i="4"/>
  <c r="M74" i="4"/>
  <c r="AC74" i="4"/>
  <c r="AS74" i="4"/>
  <c r="BI74" i="4"/>
  <c r="P75" i="4"/>
  <c r="AF75" i="4"/>
  <c r="AV75" i="4"/>
  <c r="C76" i="4"/>
  <c r="S76" i="4"/>
  <c r="AI76" i="4"/>
  <c r="AY76" i="4"/>
  <c r="A77" i="4"/>
  <c r="O77" i="4"/>
  <c r="Y77" i="4"/>
  <c r="AJ77" i="4"/>
  <c r="AS77" i="4"/>
  <c r="BB77" i="4"/>
  <c r="B78" i="4"/>
  <c r="K78" i="4"/>
  <c r="T78" i="4"/>
  <c r="AC78" i="4"/>
  <c r="AM78" i="4"/>
  <c r="AV78" i="4"/>
  <c r="BE78" i="4"/>
  <c r="D79" i="4"/>
  <c r="L79" i="4"/>
  <c r="T79" i="4"/>
  <c r="AB79" i="4"/>
  <c r="AJ79" i="4"/>
  <c r="AR79" i="4"/>
  <c r="AZ79" i="4"/>
  <c r="BH79" i="4"/>
  <c r="G80" i="4"/>
  <c r="O80" i="4"/>
  <c r="W80" i="4"/>
  <c r="AE80" i="4"/>
  <c r="AM80" i="4"/>
  <c r="AU80" i="4"/>
  <c r="BC80" i="4"/>
  <c r="B81" i="4"/>
  <c r="J81" i="4"/>
  <c r="R81" i="4"/>
  <c r="Z81" i="4"/>
  <c r="AH81" i="4"/>
  <c r="AP81" i="4"/>
  <c r="AX81" i="4"/>
  <c r="BF81" i="4"/>
  <c r="E82" i="4"/>
  <c r="M82" i="4"/>
  <c r="U82" i="4"/>
  <c r="AC82" i="4"/>
  <c r="AK82" i="4"/>
  <c r="AS82" i="4"/>
  <c r="BA82" i="4"/>
  <c r="BI82" i="4"/>
  <c r="H83" i="4"/>
  <c r="P83" i="4"/>
  <c r="X83" i="4"/>
  <c r="AF83" i="4"/>
  <c r="AN83" i="4"/>
  <c r="AV83" i="4"/>
  <c r="BD83" i="4"/>
  <c r="C84" i="4"/>
  <c r="K84" i="4"/>
  <c r="S84" i="4"/>
  <c r="AA84" i="4"/>
  <c r="AI84" i="4"/>
  <c r="AQ84" i="4"/>
  <c r="AY84" i="4"/>
  <c r="BG84" i="4"/>
  <c r="F85" i="4"/>
  <c r="N85" i="4"/>
  <c r="V85" i="4"/>
  <c r="AD85" i="4"/>
  <c r="AL85" i="4"/>
  <c r="AT85" i="4"/>
  <c r="BB85" i="4"/>
  <c r="A86" i="4"/>
  <c r="I86" i="4"/>
  <c r="Q86" i="4"/>
  <c r="Y86" i="4"/>
  <c r="AG86" i="4"/>
  <c r="AO86" i="4"/>
  <c r="AW86" i="4"/>
  <c r="BE86" i="4"/>
  <c r="D87" i="4"/>
  <c r="L87" i="4"/>
  <c r="T87" i="4"/>
  <c r="AB87" i="4"/>
  <c r="AJ87" i="4"/>
  <c r="AR87" i="4"/>
  <c r="AZ87" i="4"/>
  <c r="BH87" i="4"/>
  <c r="G88" i="4"/>
  <c r="O88" i="4"/>
  <c r="W88" i="4"/>
  <c r="AE88" i="4"/>
  <c r="AM88" i="4"/>
  <c r="AU88" i="4"/>
  <c r="BC88" i="4"/>
  <c r="B89" i="4"/>
  <c r="J89" i="4"/>
  <c r="R89" i="4"/>
  <c r="Z89" i="4"/>
  <c r="AH89" i="4"/>
  <c r="AP89" i="4"/>
  <c r="AX89" i="4"/>
  <c r="BF89" i="4"/>
  <c r="E90" i="4"/>
  <c r="M90" i="4"/>
  <c r="U90" i="4"/>
  <c r="AC90" i="4"/>
  <c r="AK90" i="4"/>
  <c r="AS90" i="4"/>
  <c r="BA90" i="4"/>
  <c r="BI90" i="4"/>
  <c r="H91" i="4"/>
  <c r="P91" i="4"/>
  <c r="X91" i="4"/>
  <c r="AF91" i="4"/>
  <c r="AN91" i="4"/>
  <c r="AV91" i="4"/>
  <c r="BD91" i="4"/>
  <c r="C92" i="4"/>
  <c r="K92" i="4"/>
  <c r="S92" i="4"/>
  <c r="AA92" i="4"/>
  <c r="AI92" i="4"/>
  <c r="AQ92" i="4"/>
  <c r="AY92" i="4"/>
  <c r="BG92" i="4"/>
  <c r="F93" i="4"/>
  <c r="N93" i="4"/>
  <c r="V93" i="4"/>
  <c r="AD93" i="4"/>
  <c r="AL93" i="4"/>
  <c r="AT93" i="4"/>
  <c r="AW41" i="4"/>
  <c r="AO49" i="4"/>
  <c r="AF52" i="4"/>
  <c r="AU54" i="4"/>
  <c r="BA56" i="4"/>
  <c r="BG58" i="4"/>
  <c r="A61" i="4"/>
  <c r="P62" i="4"/>
  <c r="BH62" i="4"/>
  <c r="AI63" i="4"/>
  <c r="K64" i="4"/>
  <c r="AL64" i="4"/>
  <c r="D65" i="4"/>
  <c r="X65" i="4"/>
  <c r="AY65" i="4"/>
  <c r="O66" i="4"/>
  <c r="AG66" i="4"/>
  <c r="BD66" i="4"/>
  <c r="R67" i="4"/>
  <c r="AJ67" i="4"/>
  <c r="BF67" i="4"/>
  <c r="M68" i="4"/>
  <c r="AC68" i="4"/>
  <c r="AS68" i="4"/>
  <c r="BI68" i="4"/>
  <c r="P69" i="4"/>
  <c r="AF69" i="4"/>
  <c r="AV69" i="4"/>
  <c r="C70" i="4"/>
  <c r="S70" i="4"/>
  <c r="AI70" i="4"/>
  <c r="AY70" i="4"/>
  <c r="F71" i="4"/>
  <c r="V71" i="4"/>
  <c r="AL71" i="4"/>
  <c r="BB71" i="4"/>
  <c r="I72" i="4"/>
  <c r="Y72" i="4"/>
  <c r="AO72" i="4"/>
  <c r="BE72" i="4"/>
  <c r="L73" i="4"/>
  <c r="AB73" i="4"/>
  <c r="AR73" i="4"/>
  <c r="BH73" i="4"/>
  <c r="O74" i="4"/>
  <c r="AE74" i="4"/>
  <c r="AU74" i="4"/>
  <c r="B75" i="4"/>
  <c r="R75" i="4"/>
  <c r="AH75" i="4"/>
  <c r="AX75" i="4"/>
  <c r="E76" i="4"/>
  <c r="U76" i="4"/>
  <c r="AK76" i="4"/>
  <c r="AZ76" i="4"/>
  <c r="B77" i="4"/>
  <c r="P77" i="4"/>
  <c r="Z77" i="4"/>
  <c r="AK77" i="4"/>
  <c r="AT77" i="4"/>
  <c r="BC77" i="4"/>
  <c r="C78" i="4"/>
  <c r="L78" i="4"/>
  <c r="U78" i="4"/>
  <c r="AE78" i="4"/>
  <c r="AN78" i="4"/>
  <c r="AW78" i="4"/>
  <c r="BF78" i="4"/>
  <c r="E79" i="4"/>
  <c r="M79" i="4"/>
  <c r="U79" i="4"/>
  <c r="AC79" i="4"/>
  <c r="AK79" i="4"/>
  <c r="AS79" i="4"/>
  <c r="BA79" i="4"/>
  <c r="BI79" i="4"/>
  <c r="H80" i="4"/>
  <c r="P80" i="4"/>
  <c r="X80" i="4"/>
  <c r="AF80" i="4"/>
  <c r="AN80" i="4"/>
  <c r="AV80" i="4"/>
  <c r="BD80" i="4"/>
  <c r="C81" i="4"/>
  <c r="K81" i="4"/>
  <c r="S81" i="4"/>
  <c r="AA81" i="4"/>
  <c r="AI81" i="4"/>
  <c r="AQ81" i="4"/>
  <c r="AY81" i="4"/>
  <c r="BG81" i="4"/>
  <c r="F82" i="4"/>
  <c r="N82" i="4"/>
  <c r="V82" i="4"/>
  <c r="AD82" i="4"/>
  <c r="AL82" i="4"/>
  <c r="AT82" i="4"/>
  <c r="BB82" i="4"/>
  <c r="A83" i="4"/>
  <c r="I83" i="4"/>
  <c r="Q83" i="4"/>
  <c r="Y83" i="4"/>
  <c r="AG83" i="4"/>
  <c r="AO83" i="4"/>
  <c r="AW83" i="4"/>
  <c r="BE83" i="4"/>
  <c r="BC43" i="4"/>
  <c r="C50" i="4"/>
  <c r="AX52" i="4"/>
  <c r="B55" i="4"/>
  <c r="H57" i="4"/>
  <c r="N59" i="4"/>
  <c r="M61" i="4"/>
  <c r="R62" i="4"/>
  <c r="BI62" i="4"/>
  <c r="AK63" i="4"/>
  <c r="L64" i="4"/>
  <c r="AN64" i="4"/>
  <c r="E65" i="4"/>
  <c r="AE65" i="4"/>
  <c r="AZ65" i="4"/>
  <c r="P66" i="4"/>
  <c r="AM66" i="4"/>
  <c r="BE66" i="4"/>
  <c r="S67" i="4"/>
  <c r="AP67" i="4"/>
  <c r="BG67" i="4"/>
  <c r="N68" i="4"/>
  <c r="AD68" i="4"/>
  <c r="AT68" i="4"/>
  <c r="A69" i="4"/>
  <c r="Q69" i="4"/>
  <c r="AG69" i="4"/>
  <c r="AW69" i="4"/>
  <c r="D70" i="4"/>
  <c r="T70" i="4"/>
  <c r="AJ70" i="4"/>
  <c r="AZ70" i="4"/>
  <c r="G71" i="4"/>
  <c r="W71" i="4"/>
  <c r="AM71" i="4"/>
  <c r="BC71" i="4"/>
  <c r="J72" i="4"/>
  <c r="Z72" i="4"/>
  <c r="AP72" i="4"/>
  <c r="BF72" i="4"/>
  <c r="M73" i="4"/>
  <c r="AC73" i="4"/>
  <c r="AS73" i="4"/>
  <c r="BI73" i="4"/>
  <c r="P74" i="4"/>
  <c r="AF74" i="4"/>
  <c r="AV74" i="4"/>
  <c r="C75" i="4"/>
  <c r="S75" i="4"/>
  <c r="AI75" i="4"/>
  <c r="AY75" i="4"/>
  <c r="F76" i="4"/>
  <c r="V76" i="4"/>
  <c r="AL76" i="4"/>
  <c r="BA76" i="4"/>
  <c r="F77" i="4"/>
  <c r="Q77" i="4"/>
  <c r="AB77" i="4"/>
  <c r="AL77" i="4"/>
  <c r="AU77" i="4"/>
  <c r="BD77" i="4"/>
  <c r="D78" i="4"/>
  <c r="M78" i="4"/>
  <c r="W78" i="4"/>
  <c r="AF78" i="4"/>
  <c r="AO78" i="4"/>
  <c r="AX78" i="4"/>
  <c r="BG78" i="4"/>
  <c r="F79" i="4"/>
  <c r="N79" i="4"/>
  <c r="V79" i="4"/>
  <c r="AD79" i="4"/>
  <c r="AL79" i="4"/>
  <c r="AT79" i="4"/>
  <c r="BB79" i="4"/>
  <c r="A80" i="4"/>
  <c r="I80" i="4"/>
  <c r="Q80" i="4"/>
  <c r="Y80" i="4"/>
  <c r="AG80" i="4"/>
  <c r="AO80" i="4"/>
  <c r="AW80" i="4"/>
  <c r="BE80" i="4"/>
  <c r="D81" i="4"/>
  <c r="L81" i="4"/>
  <c r="T81" i="4"/>
  <c r="AB81" i="4"/>
  <c r="AJ81" i="4"/>
  <c r="AR81" i="4"/>
  <c r="AZ81" i="4"/>
  <c r="BH81" i="4"/>
  <c r="G82" i="4"/>
  <c r="O82" i="4"/>
  <c r="W82" i="4"/>
  <c r="AE82" i="4"/>
  <c r="AM82" i="4"/>
  <c r="AU82" i="4"/>
  <c r="BC82" i="4"/>
  <c r="B83" i="4"/>
  <c r="J83" i="4"/>
  <c r="R83" i="4"/>
  <c r="Z83" i="4"/>
  <c r="AH83" i="4"/>
  <c r="AP83" i="4"/>
  <c r="AX83" i="4"/>
  <c r="BF83" i="4"/>
  <c r="E84" i="4"/>
  <c r="M84" i="4"/>
  <c r="U84" i="4"/>
  <c r="AC84" i="4"/>
  <c r="AK84" i="4"/>
  <c r="AS84" i="4"/>
  <c r="BA84" i="4"/>
  <c r="BI84" i="4"/>
  <c r="H85" i="4"/>
  <c r="P85" i="4"/>
  <c r="X85" i="4"/>
  <c r="AF85" i="4"/>
  <c r="AN85" i="4"/>
  <c r="AV85" i="4"/>
  <c r="BD85" i="4"/>
  <c r="C86" i="4"/>
  <c r="K86" i="4"/>
  <c r="S86" i="4"/>
  <c r="AA86" i="4"/>
  <c r="AI86" i="4"/>
  <c r="AQ86" i="4"/>
  <c r="AY86" i="4"/>
  <c r="BG86" i="4"/>
  <c r="F87" i="4"/>
  <c r="N87" i="4"/>
  <c r="V87" i="4"/>
  <c r="AD87" i="4"/>
  <c r="AL87" i="4"/>
  <c r="AT87" i="4"/>
  <c r="BB87" i="4"/>
  <c r="A88" i="4"/>
  <c r="I88" i="4"/>
  <c r="Q88" i="4"/>
  <c r="Y88" i="4"/>
  <c r="AG88" i="4"/>
  <c r="AO88" i="4"/>
  <c r="AW88" i="4"/>
  <c r="BE88" i="4"/>
  <c r="D89" i="4"/>
  <c r="L89" i="4"/>
  <c r="T89" i="4"/>
  <c r="AB89" i="4"/>
  <c r="AJ89" i="4"/>
  <c r="AR89" i="4"/>
  <c r="AZ89" i="4"/>
  <c r="BH89" i="4"/>
  <c r="G90" i="4"/>
  <c r="O90" i="4"/>
  <c r="W90" i="4"/>
  <c r="AE90" i="4"/>
  <c r="AM90" i="4"/>
  <c r="AU90" i="4"/>
  <c r="BC90" i="4"/>
  <c r="B91" i="4"/>
  <c r="J91" i="4"/>
  <c r="R91" i="4"/>
  <c r="Z91" i="4"/>
  <c r="AH91" i="4"/>
  <c r="AP91" i="4"/>
  <c r="AX91" i="4"/>
  <c r="BF91" i="4"/>
  <c r="E92" i="4"/>
  <c r="M92" i="4"/>
  <c r="U92" i="4"/>
  <c r="AC92" i="4"/>
  <c r="AK92" i="4"/>
  <c r="AS92" i="4"/>
  <c r="BA92" i="4"/>
  <c r="BI92" i="4"/>
  <c r="H93" i="4"/>
  <c r="P93" i="4"/>
  <c r="X93" i="4"/>
  <c r="AF93" i="4"/>
  <c r="AN93" i="4"/>
  <c r="AT45" i="4"/>
  <c r="Z50" i="4"/>
  <c r="L53" i="4"/>
  <c r="R55" i="4"/>
  <c r="X57" i="4"/>
  <c r="AD59" i="4"/>
  <c r="AA61" i="4"/>
  <c r="AD62" i="4"/>
  <c r="H63" i="4"/>
  <c r="AS63" i="4"/>
  <c r="T64" i="4"/>
  <c r="AT64" i="4"/>
  <c r="F65" i="4"/>
  <c r="AF65" i="4"/>
  <c r="BG65" i="4"/>
  <c r="Q66" i="4"/>
  <c r="AN66" i="4"/>
  <c r="B67" i="4"/>
  <c r="T67" i="4"/>
  <c r="AQ67" i="4"/>
  <c r="BH67" i="4"/>
  <c r="O68" i="4"/>
  <c r="AE68" i="4"/>
  <c r="AU68" i="4"/>
  <c r="B69" i="4"/>
  <c r="R69" i="4"/>
  <c r="AH69" i="4"/>
  <c r="AX69" i="4"/>
  <c r="E70" i="4"/>
  <c r="U70" i="4"/>
  <c r="AK70" i="4"/>
  <c r="BA70" i="4"/>
  <c r="H71" i="4"/>
  <c r="X71" i="4"/>
  <c r="AN71" i="4"/>
  <c r="BD71" i="4"/>
  <c r="K72" i="4"/>
  <c r="AA72" i="4"/>
  <c r="AQ72" i="4"/>
  <c r="BG72" i="4"/>
  <c r="N73" i="4"/>
  <c r="AD73" i="4"/>
  <c r="AT73" i="4"/>
  <c r="A74" i="4"/>
  <c r="Q74" i="4"/>
  <c r="AG74" i="4"/>
  <c r="AW74" i="4"/>
  <c r="D75" i="4"/>
  <c r="T75" i="4"/>
  <c r="AJ75" i="4"/>
  <c r="AZ75" i="4"/>
  <c r="G76" i="4"/>
  <c r="W76" i="4"/>
  <c r="AM76" i="4"/>
  <c r="BB76" i="4"/>
  <c r="G77" i="4"/>
  <c r="R77" i="4"/>
  <c r="AD77" i="4"/>
  <c r="AM77" i="4"/>
  <c r="AV77" i="4"/>
  <c r="BE77" i="4"/>
  <c r="E78" i="4"/>
  <c r="O78" i="4"/>
  <c r="X78" i="4"/>
  <c r="AG78" i="4"/>
  <c r="AP78" i="4"/>
  <c r="AY78" i="4"/>
  <c r="BH78" i="4"/>
  <c r="G79" i="4"/>
  <c r="O79" i="4"/>
  <c r="W79" i="4"/>
  <c r="AE79" i="4"/>
  <c r="AM79" i="4"/>
  <c r="AU79" i="4"/>
  <c r="BC79" i="4"/>
  <c r="B80" i="4"/>
  <c r="J80" i="4"/>
  <c r="R80" i="4"/>
  <c r="Z80" i="4"/>
  <c r="AH80" i="4"/>
  <c r="AP80" i="4"/>
  <c r="AX80" i="4"/>
  <c r="BF80" i="4"/>
  <c r="E81" i="4"/>
  <c r="M81" i="4"/>
  <c r="AJ47" i="4"/>
  <c r="F51" i="4"/>
  <c r="AR53" i="4"/>
  <c r="AX55" i="4"/>
  <c r="BD57" i="4"/>
  <c r="A60" i="4"/>
  <c r="AZ61" i="4"/>
  <c r="AP62" i="4"/>
  <c r="Q63" i="4"/>
  <c r="BB63" i="4"/>
  <c r="AB64" i="4"/>
  <c r="AW64" i="4"/>
  <c r="N65" i="4"/>
  <c r="AN65" i="4"/>
  <c r="BI65" i="4"/>
  <c r="X66" i="4"/>
  <c r="AU66" i="4"/>
  <c r="D67" i="4"/>
  <c r="AA67" i="4"/>
  <c r="AX67" i="4"/>
  <c r="E68" i="4"/>
  <c r="U68" i="4"/>
  <c r="AK68" i="4"/>
  <c r="BA68" i="4"/>
  <c r="H69" i="4"/>
  <c r="X69" i="4"/>
  <c r="AN69" i="4"/>
  <c r="BD69" i="4"/>
  <c r="K70" i="4"/>
  <c r="AA70" i="4"/>
  <c r="AQ70" i="4"/>
  <c r="BG70" i="4"/>
  <c r="N71" i="4"/>
  <c r="AD71" i="4"/>
  <c r="AT71" i="4"/>
  <c r="A72" i="4"/>
  <c r="Q72" i="4"/>
  <c r="AG72" i="4"/>
  <c r="AW72" i="4"/>
  <c r="D73" i="4"/>
  <c r="T73" i="4"/>
  <c r="AJ73" i="4"/>
  <c r="AZ73" i="4"/>
  <c r="G74" i="4"/>
  <c r="W74" i="4"/>
  <c r="AM74" i="4"/>
  <c r="BC74" i="4"/>
  <c r="J75" i="4"/>
  <c r="Z75" i="4"/>
  <c r="AP75" i="4"/>
  <c r="BF75" i="4"/>
  <c r="M76" i="4"/>
  <c r="AC76" i="4"/>
  <c r="AS76" i="4"/>
  <c r="BG76" i="4"/>
  <c r="I77" i="4"/>
  <c r="V77" i="4"/>
  <c r="AF77" i="4"/>
  <c r="AO77" i="4"/>
  <c r="AX77" i="4"/>
  <c r="BH77" i="4"/>
  <c r="H78" i="4"/>
  <c r="Q78" i="4"/>
  <c r="Z78" i="4"/>
  <c r="BI46" i="4"/>
  <c r="I63" i="4"/>
  <c r="AO66" i="4"/>
  <c r="F69" i="4"/>
  <c r="L71" i="4"/>
  <c r="R73" i="4"/>
  <c r="X75" i="4"/>
  <c r="T77" i="4"/>
  <c r="AH78" i="4"/>
  <c r="H79" i="4"/>
  <c r="AN79" i="4"/>
  <c r="K80" i="4"/>
  <c r="AQ80" i="4"/>
  <c r="N81" i="4"/>
  <c r="AK81" i="4"/>
  <c r="BC81" i="4"/>
  <c r="Q82" i="4"/>
  <c r="AN82" i="4"/>
  <c r="BF82" i="4"/>
  <c r="T83" i="4"/>
  <c r="AQ83" i="4"/>
  <c r="BI83" i="4"/>
  <c r="P84" i="4"/>
  <c r="AF84" i="4"/>
  <c r="AV84" i="4"/>
  <c r="C85" i="4"/>
  <c r="S85" i="4"/>
  <c r="AI85" i="4"/>
  <c r="AY85" i="4"/>
  <c r="F86" i="4"/>
  <c r="V86" i="4"/>
  <c r="AL86" i="4"/>
  <c r="BB86" i="4"/>
  <c r="I87" i="4"/>
  <c r="Y87" i="4"/>
  <c r="AO87" i="4"/>
  <c r="BE87" i="4"/>
  <c r="L88" i="4"/>
  <c r="AB88" i="4"/>
  <c r="AR88" i="4"/>
  <c r="BG88" i="4"/>
  <c r="K89" i="4"/>
  <c r="W89" i="4"/>
  <c r="AK89" i="4"/>
  <c r="AW89" i="4"/>
  <c r="A90" i="4"/>
  <c r="N90" i="4"/>
  <c r="Z90" i="4"/>
  <c r="AN90" i="4"/>
  <c r="AZ90" i="4"/>
  <c r="D91" i="4"/>
  <c r="Q91" i="4"/>
  <c r="AC91" i="4"/>
  <c r="AQ91" i="4"/>
  <c r="BC91" i="4"/>
  <c r="G92" i="4"/>
  <c r="T92" i="4"/>
  <c r="AF92" i="4"/>
  <c r="AT92" i="4"/>
  <c r="BF92" i="4"/>
  <c r="J93" i="4"/>
  <c r="W93" i="4"/>
  <c r="AI93" i="4"/>
  <c r="AV93" i="4"/>
  <c r="BE93" i="4"/>
  <c r="E94" i="4"/>
  <c r="N94" i="4"/>
  <c r="X94" i="4"/>
  <c r="AG94" i="4"/>
  <c r="AP94" i="4"/>
  <c r="AY94" i="4"/>
  <c r="BH94" i="4"/>
  <c r="H95" i="4"/>
  <c r="Q95" i="4"/>
  <c r="AA95" i="4"/>
  <c r="AJ95" i="4"/>
  <c r="AS95" i="4"/>
  <c r="BB95" i="4"/>
  <c r="B96" i="4"/>
  <c r="K96" i="4"/>
  <c r="S96" i="4"/>
  <c r="AA96" i="4"/>
  <c r="AI96" i="4"/>
  <c r="AQ96" i="4"/>
  <c r="AY96" i="4"/>
  <c r="BG96" i="4"/>
  <c r="F97" i="4"/>
  <c r="N97" i="4"/>
  <c r="V97" i="4"/>
  <c r="AD97" i="4"/>
  <c r="AL97" i="4"/>
  <c r="AT97" i="4"/>
  <c r="BB97" i="4"/>
  <c r="A98" i="4"/>
  <c r="I98" i="4"/>
  <c r="Q98" i="4"/>
  <c r="Y98" i="4"/>
  <c r="AG98" i="4"/>
  <c r="AO98" i="4"/>
  <c r="AW98" i="4"/>
  <c r="BE98" i="4"/>
  <c r="D99" i="4"/>
  <c r="L99" i="4"/>
  <c r="T99" i="4"/>
  <c r="AB99" i="4"/>
  <c r="AJ99" i="4"/>
  <c r="AR99" i="4"/>
  <c r="AZ99" i="4"/>
  <c r="BH99" i="4"/>
  <c r="G100" i="4"/>
  <c r="O100" i="4"/>
  <c r="W100" i="4"/>
  <c r="AE100" i="4"/>
  <c r="AM100" i="4"/>
  <c r="AU100" i="4"/>
  <c r="BC100" i="4"/>
  <c r="B101" i="4"/>
  <c r="J101" i="4"/>
  <c r="R101" i="4"/>
  <c r="Z101" i="4"/>
  <c r="AH101" i="4"/>
  <c r="AP101" i="4"/>
  <c r="AX101" i="4"/>
  <c r="BF101" i="4"/>
  <c r="E102" i="4"/>
  <c r="M102" i="4"/>
  <c r="U102" i="4"/>
  <c r="AC102" i="4"/>
  <c r="AK102" i="4"/>
  <c r="AS102" i="4"/>
  <c r="BA102" i="4"/>
  <c r="BI102" i="4"/>
  <c r="H103" i="4"/>
  <c r="P103" i="4"/>
  <c r="X103" i="4"/>
  <c r="AF103" i="4"/>
  <c r="AN103" i="4"/>
  <c r="AV103" i="4"/>
  <c r="BD103" i="4"/>
  <c r="C104" i="4"/>
  <c r="K104" i="4"/>
  <c r="S104" i="4"/>
  <c r="AA104" i="4"/>
  <c r="AI104" i="4"/>
  <c r="AQ104" i="4"/>
  <c r="AY104" i="4"/>
  <c r="BG104" i="4"/>
  <c r="F105" i="4"/>
  <c r="N105" i="4"/>
  <c r="V105" i="4"/>
  <c r="AD105" i="4"/>
  <c r="AL105" i="4"/>
  <c r="AT105" i="4"/>
  <c r="BB105" i="4"/>
  <c r="A106" i="4"/>
  <c r="I106" i="4"/>
  <c r="Q106" i="4"/>
  <c r="Y106" i="4"/>
  <c r="AG106" i="4"/>
  <c r="AO106" i="4"/>
  <c r="AW106" i="4"/>
  <c r="BE106" i="4"/>
  <c r="D107" i="4"/>
  <c r="L107" i="4"/>
  <c r="T107" i="4"/>
  <c r="AB107" i="4"/>
  <c r="AJ107" i="4"/>
  <c r="AR107" i="4"/>
  <c r="AZ107" i="4"/>
  <c r="BH107" i="4"/>
  <c r="G108" i="4"/>
  <c r="O108" i="4"/>
  <c r="W108" i="4"/>
  <c r="AE108" i="4"/>
  <c r="AM108" i="4"/>
  <c r="AU108" i="4"/>
  <c r="BC108" i="4"/>
  <c r="B109" i="4"/>
  <c r="J109" i="4"/>
  <c r="R109" i="4"/>
  <c r="Z109" i="4"/>
  <c r="AH109" i="4"/>
  <c r="AP109" i="4"/>
  <c r="AX109" i="4"/>
  <c r="BF109" i="4"/>
  <c r="E110" i="4"/>
  <c r="M110" i="4"/>
  <c r="U110" i="4"/>
  <c r="AC110" i="4"/>
  <c r="AK110" i="4"/>
  <c r="AS110" i="4"/>
  <c r="BA110" i="4"/>
  <c r="BI110" i="4"/>
  <c r="H111" i="4"/>
  <c r="P111" i="4"/>
  <c r="X111" i="4"/>
  <c r="AF111" i="4"/>
  <c r="AN111" i="4"/>
  <c r="AV111" i="4"/>
  <c r="BD111" i="4"/>
  <c r="C112" i="4"/>
  <c r="K112" i="4"/>
  <c r="S112" i="4"/>
  <c r="AA112" i="4"/>
  <c r="AI112" i="4"/>
  <c r="AR50" i="4"/>
  <c r="AT63" i="4"/>
  <c r="C67" i="4"/>
  <c r="V69" i="4"/>
  <c r="AB71" i="4"/>
  <c r="AH73" i="4"/>
  <c r="AN75" i="4"/>
  <c r="AE77" i="4"/>
  <c r="AI78" i="4"/>
  <c r="I79" i="4"/>
  <c r="AO79" i="4"/>
  <c r="L80" i="4"/>
  <c r="AR80" i="4"/>
  <c r="O81" i="4"/>
  <c r="AL81" i="4"/>
  <c r="BI81" i="4"/>
  <c r="R82" i="4"/>
  <c r="AO82" i="4"/>
  <c r="C83" i="4"/>
  <c r="U83" i="4"/>
  <c r="AR83" i="4"/>
  <c r="D84" i="4"/>
  <c r="T84" i="4"/>
  <c r="AJ84" i="4"/>
  <c r="AZ84" i="4"/>
  <c r="G85" i="4"/>
  <c r="W85" i="4"/>
  <c r="AM85" i="4"/>
  <c r="BC85" i="4"/>
  <c r="J86" i="4"/>
  <c r="Z86" i="4"/>
  <c r="AP86" i="4"/>
  <c r="BF86" i="4"/>
  <c r="M87" i="4"/>
  <c r="AC87" i="4"/>
  <c r="AS87" i="4"/>
  <c r="BI87" i="4"/>
  <c r="P88" i="4"/>
  <c r="AF88" i="4"/>
  <c r="AV88" i="4"/>
  <c r="BH88" i="4"/>
  <c r="M89" i="4"/>
  <c r="Y89" i="4"/>
  <c r="AL89" i="4"/>
  <c r="AY89" i="4"/>
  <c r="B90" i="4"/>
  <c r="P90" i="4"/>
  <c r="AB90" i="4"/>
  <c r="AO90" i="4"/>
  <c r="BB90" i="4"/>
  <c r="E91" i="4"/>
  <c r="S91" i="4"/>
  <c r="AE91" i="4"/>
  <c r="AR91" i="4"/>
  <c r="BE91" i="4"/>
  <c r="H92" i="4"/>
  <c r="V92" i="4"/>
  <c r="AH92" i="4"/>
  <c r="AU92" i="4"/>
  <c r="BH92" i="4"/>
  <c r="K93" i="4"/>
  <c r="Y93" i="4"/>
  <c r="AK93" i="4"/>
  <c r="AW93" i="4"/>
  <c r="BF93" i="4"/>
  <c r="F94" i="4"/>
  <c r="P94" i="4"/>
  <c r="Y94" i="4"/>
  <c r="AH94" i="4"/>
  <c r="AQ94" i="4"/>
  <c r="AZ94" i="4"/>
  <c r="BI94" i="4"/>
  <c r="I95" i="4"/>
  <c r="S95" i="4"/>
  <c r="AB95" i="4"/>
  <c r="AK95" i="4"/>
  <c r="AT95" i="4"/>
  <c r="BC95" i="4"/>
  <c r="C96" i="4"/>
  <c r="L96" i="4"/>
  <c r="T96" i="4"/>
  <c r="AB96" i="4"/>
  <c r="AJ96" i="4"/>
  <c r="AR96" i="4"/>
  <c r="AZ96" i="4"/>
  <c r="BH96" i="4"/>
  <c r="G97" i="4"/>
  <c r="O97" i="4"/>
  <c r="W97" i="4"/>
  <c r="AE97" i="4"/>
  <c r="AM97" i="4"/>
  <c r="AU97" i="4"/>
  <c r="BC97" i="4"/>
  <c r="B98" i="4"/>
  <c r="J98" i="4"/>
  <c r="R98" i="4"/>
  <c r="Z98" i="4"/>
  <c r="AH98" i="4"/>
  <c r="AP98" i="4"/>
  <c r="AX98" i="4"/>
  <c r="BF98" i="4"/>
  <c r="E99" i="4"/>
  <c r="M99" i="4"/>
  <c r="U99" i="4"/>
  <c r="AC99" i="4"/>
  <c r="AK99" i="4"/>
  <c r="AS99" i="4"/>
  <c r="BA99" i="4"/>
  <c r="BI99" i="4"/>
  <c r="H100" i="4"/>
  <c r="P100" i="4"/>
  <c r="X100" i="4"/>
  <c r="AF100" i="4"/>
  <c r="AN100" i="4"/>
  <c r="AV100" i="4"/>
  <c r="BD100" i="4"/>
  <c r="C101" i="4"/>
  <c r="K101" i="4"/>
  <c r="S101" i="4"/>
  <c r="AA101" i="4"/>
  <c r="AI101" i="4"/>
  <c r="AQ101" i="4"/>
  <c r="AY101" i="4"/>
  <c r="BG101" i="4"/>
  <c r="F102" i="4"/>
  <c r="N102" i="4"/>
  <c r="V102" i="4"/>
  <c r="AD102" i="4"/>
  <c r="AL102" i="4"/>
  <c r="AT102" i="4"/>
  <c r="BB102" i="4"/>
  <c r="A103" i="4"/>
  <c r="I103" i="4"/>
  <c r="Q103" i="4"/>
  <c r="Y103" i="4"/>
  <c r="AG103" i="4"/>
  <c r="AO103" i="4"/>
  <c r="AW103" i="4"/>
  <c r="BE103" i="4"/>
  <c r="D104" i="4"/>
  <c r="L104" i="4"/>
  <c r="T104" i="4"/>
  <c r="AB104" i="4"/>
  <c r="AJ104" i="4"/>
  <c r="AR104" i="4"/>
  <c r="AZ104" i="4"/>
  <c r="BH104" i="4"/>
  <c r="G105" i="4"/>
  <c r="O105" i="4"/>
  <c r="W105" i="4"/>
  <c r="AE105" i="4"/>
  <c r="AM105" i="4"/>
  <c r="AU105" i="4"/>
  <c r="BC105" i="4"/>
  <c r="B106" i="4"/>
  <c r="J106" i="4"/>
  <c r="R106" i="4"/>
  <c r="Z106" i="4"/>
  <c r="AH106" i="4"/>
  <c r="AP106" i="4"/>
  <c r="AX106" i="4"/>
  <c r="BF106" i="4"/>
  <c r="E107" i="4"/>
  <c r="AB53" i="4"/>
  <c r="U64" i="4"/>
  <c r="Z67" i="4"/>
  <c r="AL69" i="4"/>
  <c r="AR71" i="4"/>
  <c r="AX73" i="4"/>
  <c r="BD75" i="4"/>
  <c r="AN77" i="4"/>
  <c r="AQ78" i="4"/>
  <c r="P79" i="4"/>
  <c r="AV79" i="4"/>
  <c r="S80" i="4"/>
  <c r="AY80" i="4"/>
  <c r="U81" i="4"/>
  <c r="AM81" i="4"/>
  <c r="A82" i="4"/>
  <c r="X82" i="4"/>
  <c r="AP82" i="4"/>
  <c r="D83" i="4"/>
  <c r="AA83" i="4"/>
  <c r="AS83" i="4"/>
  <c r="F84" i="4"/>
  <c r="V84" i="4"/>
  <c r="AL84" i="4"/>
  <c r="BB84" i="4"/>
  <c r="I85" i="4"/>
  <c r="Y85" i="4"/>
  <c r="AO85" i="4"/>
  <c r="BE85" i="4"/>
  <c r="L86" i="4"/>
  <c r="AB86" i="4"/>
  <c r="AR86" i="4"/>
  <c r="BH86" i="4"/>
  <c r="O87" i="4"/>
  <c r="AE87" i="4"/>
  <c r="AU87" i="4"/>
  <c r="B88" i="4"/>
  <c r="R88" i="4"/>
  <c r="AH88" i="4"/>
  <c r="AX88" i="4"/>
  <c r="A89" i="4"/>
  <c r="N89" i="4"/>
  <c r="AA89" i="4"/>
  <c r="AM89" i="4"/>
  <c r="BA89" i="4"/>
  <c r="D90" i="4"/>
  <c r="Q90" i="4"/>
  <c r="AD90" i="4"/>
  <c r="AP90" i="4"/>
  <c r="BD90" i="4"/>
  <c r="G91" i="4"/>
  <c r="T91" i="4"/>
  <c r="AG91" i="4"/>
  <c r="AS91" i="4"/>
  <c r="BG91" i="4"/>
  <c r="J92" i="4"/>
  <c r="W92" i="4"/>
  <c r="AJ92" i="4"/>
  <c r="AV92" i="4"/>
  <c r="A93" i="4"/>
  <c r="M93" i="4"/>
  <c r="Z93" i="4"/>
  <c r="AM93" i="4"/>
  <c r="AX93" i="4"/>
  <c r="BG93" i="4"/>
  <c r="H94" i="4"/>
  <c r="Q94" i="4"/>
  <c r="Z94" i="4"/>
  <c r="AI94" i="4"/>
  <c r="AR94" i="4"/>
  <c r="BA94" i="4"/>
  <c r="A95" i="4"/>
  <c r="K95" i="4"/>
  <c r="T95" i="4"/>
  <c r="AC95" i="4"/>
  <c r="AL95" i="4"/>
  <c r="AU95" i="4"/>
  <c r="BD95" i="4"/>
  <c r="D96" i="4"/>
  <c r="M96" i="4"/>
  <c r="U96" i="4"/>
  <c r="AC96" i="4"/>
  <c r="AK96" i="4"/>
  <c r="AS96" i="4"/>
  <c r="BA96" i="4"/>
  <c r="BI96" i="4"/>
  <c r="H97" i="4"/>
  <c r="P97" i="4"/>
  <c r="X97" i="4"/>
  <c r="AF97" i="4"/>
  <c r="AN97" i="4"/>
  <c r="AV97" i="4"/>
  <c r="BD97" i="4"/>
  <c r="C98" i="4"/>
  <c r="K98" i="4"/>
  <c r="S98" i="4"/>
  <c r="AA98" i="4"/>
  <c r="AI98" i="4"/>
  <c r="AQ98" i="4"/>
  <c r="AY98" i="4"/>
  <c r="BG98" i="4"/>
  <c r="F99" i="4"/>
  <c r="N99" i="4"/>
  <c r="V99" i="4"/>
  <c r="AD99" i="4"/>
  <c r="AL99" i="4"/>
  <c r="AT99" i="4"/>
  <c r="BB99" i="4"/>
  <c r="A100" i="4"/>
  <c r="I100" i="4"/>
  <c r="Q100" i="4"/>
  <c r="Y100" i="4"/>
  <c r="AG100" i="4"/>
  <c r="AO100" i="4"/>
  <c r="AW100" i="4"/>
  <c r="BE100" i="4"/>
  <c r="D101" i="4"/>
  <c r="L101" i="4"/>
  <c r="T101" i="4"/>
  <c r="AB101" i="4"/>
  <c r="AJ101" i="4"/>
  <c r="AR101" i="4"/>
  <c r="AZ101" i="4"/>
  <c r="BH101" i="4"/>
  <c r="G102" i="4"/>
  <c r="O102" i="4"/>
  <c r="W102" i="4"/>
  <c r="AE102" i="4"/>
  <c r="AM102" i="4"/>
  <c r="AU102" i="4"/>
  <c r="BC102" i="4"/>
  <c r="B103" i="4"/>
  <c r="J103" i="4"/>
  <c r="R103" i="4"/>
  <c r="Z103" i="4"/>
  <c r="AH103" i="4"/>
  <c r="AP103" i="4"/>
  <c r="AX103" i="4"/>
  <c r="BF103" i="4"/>
  <c r="E104" i="4"/>
  <c r="M104" i="4"/>
  <c r="U104" i="4"/>
  <c r="AC104" i="4"/>
  <c r="AK104" i="4"/>
  <c r="AS104" i="4"/>
  <c r="BA104" i="4"/>
  <c r="BI104" i="4"/>
  <c r="H105" i="4"/>
  <c r="P105" i="4"/>
  <c r="X105" i="4"/>
  <c r="AF105" i="4"/>
  <c r="AN105" i="4"/>
  <c r="AV105" i="4"/>
  <c r="BD105" i="4"/>
  <c r="C106" i="4"/>
  <c r="K106" i="4"/>
  <c r="S106" i="4"/>
  <c r="AA106" i="4"/>
  <c r="AI106" i="4"/>
  <c r="AQ106" i="4"/>
  <c r="AY106" i="4"/>
  <c r="BG106" i="4"/>
  <c r="F107" i="4"/>
  <c r="N107" i="4"/>
  <c r="V107" i="4"/>
  <c r="AD107" i="4"/>
  <c r="AL107" i="4"/>
  <c r="AT107" i="4"/>
  <c r="BB107" i="4"/>
  <c r="A108" i="4"/>
  <c r="I108" i="4"/>
  <c r="Q108" i="4"/>
  <c r="Y108" i="4"/>
  <c r="AG108" i="4"/>
  <c r="AO108" i="4"/>
  <c r="AW108" i="4"/>
  <c r="BE108" i="4"/>
  <c r="D109" i="4"/>
  <c r="L109" i="4"/>
  <c r="T109" i="4"/>
  <c r="AB109" i="4"/>
  <c r="AJ109" i="4"/>
  <c r="AR109" i="4"/>
  <c r="AZ109" i="4"/>
  <c r="BH109" i="4"/>
  <c r="G110" i="4"/>
  <c r="O110" i="4"/>
  <c r="W110" i="4"/>
  <c r="AE110" i="4"/>
  <c r="AM110" i="4"/>
  <c r="AU110" i="4"/>
  <c r="BC110" i="4"/>
  <c r="B111" i="4"/>
  <c r="J111" i="4"/>
  <c r="R111" i="4"/>
  <c r="Z111" i="4"/>
  <c r="AH111" i="4"/>
  <c r="AH55" i="4"/>
  <c r="AV64" i="4"/>
  <c r="AR67" i="4"/>
  <c r="BB69" i="4"/>
  <c r="BH71" i="4"/>
  <c r="E74" i="4"/>
  <c r="K76" i="4"/>
  <c r="AW77" i="4"/>
  <c r="AR78" i="4"/>
  <c r="Q79" i="4"/>
  <c r="AW79" i="4"/>
  <c r="T80" i="4"/>
  <c r="AZ80" i="4"/>
  <c r="V81" i="4"/>
  <c r="AS81" i="4"/>
  <c r="B82" i="4"/>
  <c r="Y82" i="4"/>
  <c r="AV82" i="4"/>
  <c r="E83" i="4"/>
  <c r="AB83" i="4"/>
  <c r="AY83" i="4"/>
  <c r="G84" i="4"/>
  <c r="W84" i="4"/>
  <c r="AM84" i="4"/>
  <c r="BC84" i="4"/>
  <c r="J85" i="4"/>
  <c r="Z85" i="4"/>
  <c r="AP85" i="4"/>
  <c r="BF85" i="4"/>
  <c r="M86" i="4"/>
  <c r="AC86" i="4"/>
  <c r="AS86" i="4"/>
  <c r="BI86" i="4"/>
  <c r="P87" i="4"/>
  <c r="AF87" i="4"/>
  <c r="AV87" i="4"/>
  <c r="C88" i="4"/>
  <c r="S88" i="4"/>
  <c r="AI88" i="4"/>
  <c r="AY88" i="4"/>
  <c r="C89" i="4"/>
  <c r="O89" i="4"/>
  <c r="AC89" i="4"/>
  <c r="AO89" i="4"/>
  <c r="BB89" i="4"/>
  <c r="F90" i="4"/>
  <c r="R90" i="4"/>
  <c r="AF90" i="4"/>
  <c r="AR90" i="4"/>
  <c r="BE90" i="4"/>
  <c r="I91" i="4"/>
  <c r="U91" i="4"/>
  <c r="AI91" i="4"/>
  <c r="AU91" i="4"/>
  <c r="BH91" i="4"/>
  <c r="L92" i="4"/>
  <c r="X92" i="4"/>
  <c r="AL92" i="4"/>
  <c r="AX92" i="4"/>
  <c r="B93" i="4"/>
  <c r="O93" i="4"/>
  <c r="AA93" i="4"/>
  <c r="AO93" i="4"/>
  <c r="AY93" i="4"/>
  <c r="BI93" i="4"/>
  <c r="I94" i="4"/>
  <c r="R94" i="4"/>
  <c r="AA94" i="4"/>
  <c r="AJ94" i="4"/>
  <c r="AS94" i="4"/>
  <c r="BB94" i="4"/>
  <c r="C95" i="4"/>
  <c r="L95" i="4"/>
  <c r="U95" i="4"/>
  <c r="AD95" i="4"/>
  <c r="AM95" i="4"/>
  <c r="AV95" i="4"/>
  <c r="BE95" i="4"/>
  <c r="F96" i="4"/>
  <c r="N96" i="4"/>
  <c r="V96" i="4"/>
  <c r="AD96" i="4"/>
  <c r="AL96" i="4"/>
  <c r="AT96" i="4"/>
  <c r="BB96" i="4"/>
  <c r="A97" i="4"/>
  <c r="I97" i="4"/>
  <c r="Q97" i="4"/>
  <c r="Y97" i="4"/>
  <c r="AG97" i="4"/>
  <c r="AO97" i="4"/>
  <c r="AW97" i="4"/>
  <c r="BE97" i="4"/>
  <c r="D98" i="4"/>
  <c r="L98" i="4"/>
  <c r="T98" i="4"/>
  <c r="AB98" i="4"/>
  <c r="AJ98" i="4"/>
  <c r="AR98" i="4"/>
  <c r="AZ98" i="4"/>
  <c r="BH98" i="4"/>
  <c r="G99" i="4"/>
  <c r="O99" i="4"/>
  <c r="W99" i="4"/>
  <c r="AE99" i="4"/>
  <c r="AM99" i="4"/>
  <c r="AU99" i="4"/>
  <c r="BC99" i="4"/>
  <c r="B100" i="4"/>
  <c r="J100" i="4"/>
  <c r="R100" i="4"/>
  <c r="Z100" i="4"/>
  <c r="AH100" i="4"/>
  <c r="AP100" i="4"/>
  <c r="AX100" i="4"/>
  <c r="BF100" i="4"/>
  <c r="E101" i="4"/>
  <c r="M101" i="4"/>
  <c r="U101" i="4"/>
  <c r="AN57" i="4"/>
  <c r="M65" i="4"/>
  <c r="C68" i="4"/>
  <c r="I70" i="4"/>
  <c r="O72" i="4"/>
  <c r="U74" i="4"/>
  <c r="AA76" i="4"/>
  <c r="BF77" i="4"/>
  <c r="AZ78" i="4"/>
  <c r="X79" i="4"/>
  <c r="BD79" i="4"/>
  <c r="AA80" i="4"/>
  <c r="BG80" i="4"/>
  <c r="W81" i="4"/>
  <c r="AT81" i="4"/>
  <c r="H82" i="4"/>
  <c r="Z82" i="4"/>
  <c r="AW82" i="4"/>
  <c r="K83" i="4"/>
  <c r="AC83" i="4"/>
  <c r="AZ83" i="4"/>
  <c r="H84" i="4"/>
  <c r="X84" i="4"/>
  <c r="AN84" i="4"/>
  <c r="BD84" i="4"/>
  <c r="K85" i="4"/>
  <c r="AA85" i="4"/>
  <c r="AQ85" i="4"/>
  <c r="BG85" i="4"/>
  <c r="N86" i="4"/>
  <c r="AD86" i="4"/>
  <c r="AT86" i="4"/>
  <c r="A87" i="4"/>
  <c r="Q87" i="4"/>
  <c r="AG87" i="4"/>
  <c r="AW87" i="4"/>
  <c r="D88" i="4"/>
  <c r="T88" i="4"/>
  <c r="AJ88" i="4"/>
  <c r="AZ88" i="4"/>
  <c r="E89" i="4"/>
  <c r="Q89" i="4"/>
  <c r="AD89" i="4"/>
  <c r="AQ89" i="4"/>
  <c r="BC89" i="4"/>
  <c r="H90" i="4"/>
  <c r="T90" i="4"/>
  <c r="AG90" i="4"/>
  <c r="AT90" i="4"/>
  <c r="BF90" i="4"/>
  <c r="K91" i="4"/>
  <c r="W91" i="4"/>
  <c r="AJ91" i="4"/>
  <c r="AW91" i="4"/>
  <c r="BI91" i="4"/>
  <c r="N92" i="4"/>
  <c r="Z92" i="4"/>
  <c r="AM92" i="4"/>
  <c r="AZ92" i="4"/>
  <c r="C93" i="4"/>
  <c r="Q93" i="4"/>
  <c r="AC93" i="4"/>
  <c r="AP93" i="4"/>
  <c r="BA93" i="4"/>
  <c r="A94" i="4"/>
  <c r="J94" i="4"/>
  <c r="S94" i="4"/>
  <c r="AB94" i="4"/>
  <c r="AK94" i="4"/>
  <c r="AT94" i="4"/>
  <c r="BD94" i="4"/>
  <c r="D95" i="4"/>
  <c r="M95" i="4"/>
  <c r="V95" i="4"/>
  <c r="AE95" i="4"/>
  <c r="AN95" i="4"/>
  <c r="AW95" i="4"/>
  <c r="BG95" i="4"/>
  <c r="G96" i="4"/>
  <c r="O96" i="4"/>
  <c r="W96" i="4"/>
  <c r="AE96" i="4"/>
  <c r="AM96" i="4"/>
  <c r="AU96" i="4"/>
  <c r="BC96" i="4"/>
  <c r="B97" i="4"/>
  <c r="J97" i="4"/>
  <c r="R97" i="4"/>
  <c r="Z97" i="4"/>
  <c r="AH97" i="4"/>
  <c r="AP97" i="4"/>
  <c r="AX97" i="4"/>
  <c r="BF97" i="4"/>
  <c r="E98" i="4"/>
  <c r="M98" i="4"/>
  <c r="U98" i="4"/>
  <c r="AC98" i="4"/>
  <c r="AK98" i="4"/>
  <c r="AS98" i="4"/>
  <c r="BA98" i="4"/>
  <c r="BI98" i="4"/>
  <c r="H99" i="4"/>
  <c r="P99" i="4"/>
  <c r="X99" i="4"/>
  <c r="AF99" i="4"/>
  <c r="AN99" i="4"/>
  <c r="AV99" i="4"/>
  <c r="BD99" i="4"/>
  <c r="C100" i="4"/>
  <c r="K100" i="4"/>
  <c r="S100" i="4"/>
  <c r="AA100" i="4"/>
  <c r="AI100" i="4"/>
  <c r="AQ100" i="4"/>
  <c r="AY100" i="4"/>
  <c r="BG100" i="4"/>
  <c r="F101" i="4"/>
  <c r="N101" i="4"/>
  <c r="V101" i="4"/>
  <c r="AD101" i="4"/>
  <c r="AL101" i="4"/>
  <c r="AT101" i="4"/>
  <c r="BB101" i="4"/>
  <c r="A102" i="4"/>
  <c r="I102" i="4"/>
  <c r="Q102" i="4"/>
  <c r="Y102" i="4"/>
  <c r="AG102" i="4"/>
  <c r="AO102" i="4"/>
  <c r="AW102" i="4"/>
  <c r="BE102" i="4"/>
  <c r="D103" i="4"/>
  <c r="L103" i="4"/>
  <c r="T103" i="4"/>
  <c r="AB103" i="4"/>
  <c r="AJ103" i="4"/>
  <c r="AR103" i="4"/>
  <c r="AZ103" i="4"/>
  <c r="BH103" i="4"/>
  <c r="G104" i="4"/>
  <c r="O104" i="4"/>
  <c r="W104" i="4"/>
  <c r="AE104" i="4"/>
  <c r="AM104" i="4"/>
  <c r="AU104" i="4"/>
  <c r="BC104" i="4"/>
  <c r="B105" i="4"/>
  <c r="J105" i="4"/>
  <c r="R105" i="4"/>
  <c r="Z105" i="4"/>
  <c r="AH105" i="4"/>
  <c r="AP105" i="4"/>
  <c r="AX105" i="4"/>
  <c r="BF105" i="4"/>
  <c r="E106" i="4"/>
  <c r="M106" i="4"/>
  <c r="U106" i="4"/>
  <c r="AC106" i="4"/>
  <c r="AK106" i="4"/>
  <c r="AS106" i="4"/>
  <c r="BA106" i="4"/>
  <c r="BI106" i="4"/>
  <c r="H107" i="4"/>
  <c r="P107" i="4"/>
  <c r="X107" i="4"/>
  <c r="AF107" i="4"/>
  <c r="AN107" i="4"/>
  <c r="AV107" i="4"/>
  <c r="BD107" i="4"/>
  <c r="C108" i="4"/>
  <c r="K108" i="4"/>
  <c r="S108" i="4"/>
  <c r="AA108" i="4"/>
  <c r="AI108" i="4"/>
  <c r="AQ108" i="4"/>
  <c r="AY108" i="4"/>
  <c r="BG108" i="4"/>
  <c r="F109" i="4"/>
  <c r="N109" i="4"/>
  <c r="V109" i="4"/>
  <c r="AD109" i="4"/>
  <c r="AL109" i="4"/>
  <c r="AT109" i="4"/>
  <c r="BB109" i="4"/>
  <c r="A110" i="4"/>
  <c r="I110" i="4"/>
  <c r="Q110" i="4"/>
  <c r="Y110" i="4"/>
  <c r="AG110" i="4"/>
  <c r="AO110" i="4"/>
  <c r="AW110" i="4"/>
  <c r="BE110" i="4"/>
  <c r="D111" i="4"/>
  <c r="L111" i="4"/>
  <c r="T111" i="4"/>
  <c r="AB111" i="4"/>
  <c r="AT59" i="4"/>
  <c r="AG65" i="4"/>
  <c r="S68" i="4"/>
  <c r="Y70" i="4"/>
  <c r="AE72" i="4"/>
  <c r="AK74" i="4"/>
  <c r="AQ76" i="4"/>
  <c r="G78" i="4"/>
  <c r="BA78" i="4"/>
  <c r="Y79" i="4"/>
  <c r="BE79" i="4"/>
  <c r="AB80" i="4"/>
  <c r="BH80" i="4"/>
  <c r="AC81" i="4"/>
  <c r="AU81" i="4"/>
  <c r="I82" i="4"/>
  <c r="AF82" i="4"/>
  <c r="AX82" i="4"/>
  <c r="L83" i="4"/>
  <c r="AI83" i="4"/>
  <c r="BA83" i="4"/>
  <c r="L84" i="4"/>
  <c r="AB84" i="4"/>
  <c r="AR84" i="4"/>
  <c r="BH84" i="4"/>
  <c r="O85" i="4"/>
  <c r="AE85" i="4"/>
  <c r="AU85" i="4"/>
  <c r="B86" i="4"/>
  <c r="R86" i="4"/>
  <c r="AH86" i="4"/>
  <c r="AX86" i="4"/>
  <c r="E87" i="4"/>
  <c r="U87" i="4"/>
  <c r="AK87" i="4"/>
  <c r="BA87" i="4"/>
  <c r="H88" i="4"/>
  <c r="X88" i="4"/>
  <c r="AN88" i="4"/>
  <c r="BB88" i="4"/>
  <c r="F89" i="4"/>
  <c r="S89" i="4"/>
  <c r="AE89" i="4"/>
  <c r="AS89" i="4"/>
  <c r="BE89" i="4"/>
  <c r="I90" i="4"/>
  <c r="V90" i="4"/>
  <c r="AH90" i="4"/>
  <c r="AV90" i="4"/>
  <c r="BH90" i="4"/>
  <c r="L91" i="4"/>
  <c r="Y91" i="4"/>
  <c r="AK91" i="4"/>
  <c r="AY91" i="4"/>
  <c r="B92" i="4"/>
  <c r="O92" i="4"/>
  <c r="AB92" i="4"/>
  <c r="AN92" i="4"/>
  <c r="BB92" i="4"/>
  <c r="E93" i="4"/>
  <c r="R93" i="4"/>
  <c r="AE93" i="4"/>
  <c r="AQ93" i="4"/>
  <c r="BB93" i="4"/>
  <c r="B94" i="4"/>
  <c r="K94" i="4"/>
  <c r="T94" i="4"/>
  <c r="AC94" i="4"/>
  <c r="AL94" i="4"/>
  <c r="AV94" i="4"/>
  <c r="BE94" i="4"/>
  <c r="E95" i="4"/>
  <c r="N95" i="4"/>
  <c r="W95" i="4"/>
  <c r="AF95" i="4"/>
  <c r="AO95" i="4"/>
  <c r="AY95" i="4"/>
  <c r="BH95" i="4"/>
  <c r="H96" i="4"/>
  <c r="P96" i="4"/>
  <c r="X96" i="4"/>
  <c r="AF96" i="4"/>
  <c r="AN96" i="4"/>
  <c r="AV96" i="4"/>
  <c r="BD96" i="4"/>
  <c r="C97" i="4"/>
  <c r="K97" i="4"/>
  <c r="S97" i="4"/>
  <c r="AA97" i="4"/>
  <c r="AI97" i="4"/>
  <c r="AQ97" i="4"/>
  <c r="AY97" i="4"/>
  <c r="BG97" i="4"/>
  <c r="F98" i="4"/>
  <c r="N98" i="4"/>
  <c r="V98" i="4"/>
  <c r="AD98" i="4"/>
  <c r="AL98" i="4"/>
  <c r="AT98" i="4"/>
  <c r="BB98" i="4"/>
  <c r="A99" i="4"/>
  <c r="I99" i="4"/>
  <c r="Q99" i="4"/>
  <c r="Y99" i="4"/>
  <c r="AG99" i="4"/>
  <c r="AO99" i="4"/>
  <c r="AW99" i="4"/>
  <c r="AE62" i="4"/>
  <c r="W66" i="4"/>
  <c r="AY68" i="4"/>
  <c r="BE70" i="4"/>
  <c r="B73" i="4"/>
  <c r="H75" i="4"/>
  <c r="H77" i="4"/>
  <c r="Y78" i="4"/>
  <c r="A79" i="4"/>
  <c r="AG79" i="4"/>
  <c r="D80" i="4"/>
  <c r="AJ80" i="4"/>
  <c r="G81" i="4"/>
  <c r="AE81" i="4"/>
  <c r="BB81" i="4"/>
  <c r="P82" i="4"/>
  <c r="AH82" i="4"/>
  <c r="BE82" i="4"/>
  <c r="S83" i="4"/>
  <c r="AK83" i="4"/>
  <c r="BH83" i="4"/>
  <c r="O84" i="4"/>
  <c r="AE84" i="4"/>
  <c r="AU84" i="4"/>
  <c r="B85" i="4"/>
  <c r="R85" i="4"/>
  <c r="AH85" i="4"/>
  <c r="AX85" i="4"/>
  <c r="E86" i="4"/>
  <c r="U86" i="4"/>
  <c r="AK86" i="4"/>
  <c r="BA86" i="4"/>
  <c r="H87" i="4"/>
  <c r="X87" i="4"/>
  <c r="AN87" i="4"/>
  <c r="BD87" i="4"/>
  <c r="K88" i="4"/>
  <c r="AA88" i="4"/>
  <c r="AQ88" i="4"/>
  <c r="BF88" i="4"/>
  <c r="I89" i="4"/>
  <c r="V89" i="4"/>
  <c r="AI89" i="4"/>
  <c r="AU89" i="4"/>
  <c r="BI89" i="4"/>
  <c r="L90" i="4"/>
  <c r="Y90" i="4"/>
  <c r="AL90" i="4"/>
  <c r="AX90" i="4"/>
  <c r="C91" i="4"/>
  <c r="O91" i="4"/>
  <c r="AB91" i="4"/>
  <c r="AO91" i="4"/>
  <c r="BA91" i="4"/>
  <c r="F92" i="4"/>
  <c r="R92" i="4"/>
  <c r="AE92" i="4"/>
  <c r="AR92" i="4"/>
  <c r="BD92" i="4"/>
  <c r="I93" i="4"/>
  <c r="U93" i="4"/>
  <c r="AH93" i="4"/>
  <c r="AU93" i="4"/>
  <c r="BD93" i="4"/>
  <c r="D94" i="4"/>
  <c r="M94" i="4"/>
  <c r="V94" i="4"/>
  <c r="AF94" i="4"/>
  <c r="AO94" i="4"/>
  <c r="AX94" i="4"/>
  <c r="BG94" i="4"/>
  <c r="G95" i="4"/>
  <c r="P95" i="4"/>
  <c r="Y95" i="4"/>
  <c r="AI95" i="4"/>
  <c r="AR95" i="4"/>
  <c r="BA95" i="4"/>
  <c r="A96" i="4"/>
  <c r="J96" i="4"/>
  <c r="R96" i="4"/>
  <c r="Z96" i="4"/>
  <c r="AH96" i="4"/>
  <c r="AP96" i="4"/>
  <c r="AX96" i="4"/>
  <c r="BF96" i="4"/>
  <c r="AM61" i="4"/>
  <c r="BI78" i="4"/>
  <c r="AG82" i="4"/>
  <c r="A85" i="4"/>
  <c r="G87" i="4"/>
  <c r="G89" i="4"/>
  <c r="AW90" i="4"/>
  <c r="AD92" i="4"/>
  <c r="C94" i="4"/>
  <c r="O95" i="4"/>
  <c r="Y96" i="4"/>
  <c r="M97" i="4"/>
  <c r="AS97" i="4"/>
  <c r="P98" i="4"/>
  <c r="AV98" i="4"/>
  <c r="S99" i="4"/>
  <c r="AY99" i="4"/>
  <c r="M100" i="4"/>
  <c r="AJ100" i="4"/>
  <c r="BB100" i="4"/>
  <c r="P101" i="4"/>
  <c r="AG101" i="4"/>
  <c r="AW101" i="4"/>
  <c r="D102" i="4"/>
  <c r="T102" i="4"/>
  <c r="AJ102" i="4"/>
  <c r="AZ102" i="4"/>
  <c r="G103" i="4"/>
  <c r="W103" i="4"/>
  <c r="AM103" i="4"/>
  <c r="BC103" i="4"/>
  <c r="J104" i="4"/>
  <c r="Z104" i="4"/>
  <c r="AP104" i="4"/>
  <c r="BF104" i="4"/>
  <c r="M105" i="4"/>
  <c r="AC105" i="4"/>
  <c r="AS105" i="4"/>
  <c r="BI105" i="4"/>
  <c r="P106" i="4"/>
  <c r="AF106" i="4"/>
  <c r="AV106" i="4"/>
  <c r="C107" i="4"/>
  <c r="R107" i="4"/>
  <c r="AE107" i="4"/>
  <c r="AQ107" i="4"/>
  <c r="BE107" i="4"/>
  <c r="H108" i="4"/>
  <c r="U108" i="4"/>
  <c r="AH108" i="4"/>
  <c r="AT108" i="4"/>
  <c r="BH108" i="4"/>
  <c r="K109" i="4"/>
  <c r="X109" i="4"/>
  <c r="AK109" i="4"/>
  <c r="AW109" i="4"/>
  <c r="B110" i="4"/>
  <c r="N110" i="4"/>
  <c r="AA110" i="4"/>
  <c r="AN110" i="4"/>
  <c r="AZ110" i="4"/>
  <c r="E111" i="4"/>
  <c r="Q111" i="4"/>
  <c r="AD111" i="4"/>
  <c r="AO111" i="4"/>
  <c r="AX111" i="4"/>
  <c r="BG111" i="4"/>
  <c r="G112" i="4"/>
  <c r="P112" i="4"/>
  <c r="Y112" i="4"/>
  <c r="AH112" i="4"/>
  <c r="AQ112" i="4"/>
  <c r="AY112" i="4"/>
  <c r="BG112" i="4"/>
  <c r="F113" i="4"/>
  <c r="N113" i="4"/>
  <c r="V113" i="4"/>
  <c r="AD113" i="4"/>
  <c r="AL113" i="4"/>
  <c r="AT113" i="4"/>
  <c r="BB113" i="4"/>
  <c r="A114" i="4"/>
  <c r="I114" i="4"/>
  <c r="Q114" i="4"/>
  <c r="Y114" i="4"/>
  <c r="AG114" i="4"/>
  <c r="AO114" i="4"/>
  <c r="AW114" i="4"/>
  <c r="BE114" i="4"/>
  <c r="D115" i="4"/>
  <c r="L115" i="4"/>
  <c r="T115" i="4"/>
  <c r="AB115" i="4"/>
  <c r="AJ115" i="4"/>
  <c r="AR115" i="4"/>
  <c r="AZ115" i="4"/>
  <c r="BH115" i="4"/>
  <c r="G116" i="4"/>
  <c r="O116" i="4"/>
  <c r="W116" i="4"/>
  <c r="AE116" i="4"/>
  <c r="AM116" i="4"/>
  <c r="AU116" i="4"/>
  <c r="BC116" i="4"/>
  <c r="B117" i="4"/>
  <c r="J117" i="4"/>
  <c r="R117" i="4"/>
  <c r="Z117" i="4"/>
  <c r="AH117" i="4"/>
  <c r="AP117" i="4"/>
  <c r="AX117" i="4"/>
  <c r="BF117" i="4"/>
  <c r="E118" i="4"/>
  <c r="M118" i="4"/>
  <c r="U118" i="4"/>
  <c r="AC118" i="4"/>
  <c r="AK118" i="4"/>
  <c r="AS118" i="4"/>
  <c r="BA118" i="4"/>
  <c r="BI118" i="4"/>
  <c r="H119" i="4"/>
  <c r="P119" i="4"/>
  <c r="X119" i="4"/>
  <c r="AF119" i="4"/>
  <c r="AN119" i="4"/>
  <c r="AV119" i="4"/>
  <c r="BD119" i="4"/>
  <c r="C120" i="4"/>
  <c r="K120" i="4"/>
  <c r="S120" i="4"/>
  <c r="AA120" i="4"/>
  <c r="AI120" i="4"/>
  <c r="AQ120" i="4"/>
  <c r="AY120" i="4"/>
  <c r="BG120" i="4"/>
  <c r="F121" i="4"/>
  <c r="N121" i="4"/>
  <c r="V121" i="4"/>
  <c r="AD121" i="4"/>
  <c r="AL121" i="4"/>
  <c r="AT121" i="4"/>
  <c r="BB121" i="4"/>
  <c r="A122" i="4"/>
  <c r="I122" i="4"/>
  <c r="Q122" i="4"/>
  <c r="Y122" i="4"/>
  <c r="AG122" i="4"/>
  <c r="AO122" i="4"/>
  <c r="AW122" i="4"/>
  <c r="BE122" i="4"/>
  <c r="D123" i="4"/>
  <c r="L123" i="4"/>
  <c r="T123" i="4"/>
  <c r="AB123" i="4"/>
  <c r="AJ123" i="4"/>
  <c r="AR123" i="4"/>
  <c r="AZ123" i="4"/>
  <c r="BH123" i="4"/>
  <c r="G124" i="4"/>
  <c r="O124" i="4"/>
  <c r="W124" i="4"/>
  <c r="AE124" i="4"/>
  <c r="AM124" i="4"/>
  <c r="AU124" i="4"/>
  <c r="BC124" i="4"/>
  <c r="B125" i="4"/>
  <c r="J125" i="4"/>
  <c r="R125" i="4"/>
  <c r="Z125" i="4"/>
  <c r="AH125" i="4"/>
  <c r="AP125" i="4"/>
  <c r="AX125" i="4"/>
  <c r="BF125" i="4"/>
  <c r="E126" i="4"/>
  <c r="M126" i="4"/>
  <c r="U126" i="4"/>
  <c r="AC126" i="4"/>
  <c r="AK126" i="4"/>
  <c r="AS126" i="4"/>
  <c r="BA126" i="4"/>
  <c r="BI126" i="4"/>
  <c r="H127" i="4"/>
  <c r="P127" i="4"/>
  <c r="X127" i="4"/>
  <c r="AF127" i="4"/>
  <c r="AN127" i="4"/>
  <c r="AV127" i="4"/>
  <c r="BD127" i="4"/>
  <c r="C128" i="4"/>
  <c r="K128" i="4"/>
  <c r="S128" i="4"/>
  <c r="AA128" i="4"/>
  <c r="AI128" i="4"/>
  <c r="AQ128" i="4"/>
  <c r="AY128" i="4"/>
  <c r="BG128" i="4"/>
  <c r="F129" i="4"/>
  <c r="BH65" i="4"/>
  <c r="AF79" i="4"/>
  <c r="BD82" i="4"/>
  <c r="Q85" i="4"/>
  <c r="W87" i="4"/>
  <c r="U89" i="4"/>
  <c r="A91" i="4"/>
  <c r="AP92" i="4"/>
  <c r="L94" i="4"/>
  <c r="X95" i="4"/>
  <c r="AG96" i="4"/>
  <c r="T97" i="4"/>
  <c r="AZ97" i="4"/>
  <c r="W98" i="4"/>
  <c r="BC98" i="4"/>
  <c r="Z99" i="4"/>
  <c r="BE99" i="4"/>
  <c r="N100" i="4"/>
  <c r="AK100" i="4"/>
  <c r="BH100" i="4"/>
  <c r="Q101" i="4"/>
  <c r="AK101" i="4"/>
  <c r="BA101" i="4"/>
  <c r="H102" i="4"/>
  <c r="X102" i="4"/>
  <c r="AN102" i="4"/>
  <c r="BD102" i="4"/>
  <c r="K103" i="4"/>
  <c r="AA103" i="4"/>
  <c r="AQ103" i="4"/>
  <c r="BG103" i="4"/>
  <c r="N104" i="4"/>
  <c r="AD104" i="4"/>
  <c r="AT104" i="4"/>
  <c r="A105" i="4"/>
  <c r="Q105" i="4"/>
  <c r="AG105" i="4"/>
  <c r="AW105" i="4"/>
  <c r="D106" i="4"/>
  <c r="T106" i="4"/>
  <c r="AJ106" i="4"/>
  <c r="AZ106" i="4"/>
  <c r="G107" i="4"/>
  <c r="S107" i="4"/>
  <c r="AG107" i="4"/>
  <c r="AS107" i="4"/>
  <c r="BF107" i="4"/>
  <c r="J108" i="4"/>
  <c r="V108" i="4"/>
  <c r="AJ108" i="4"/>
  <c r="AV108" i="4"/>
  <c r="BI108" i="4"/>
  <c r="M109" i="4"/>
  <c r="Y109" i="4"/>
  <c r="AM109" i="4"/>
  <c r="AY109" i="4"/>
  <c r="C110" i="4"/>
  <c r="P110" i="4"/>
  <c r="AB110" i="4"/>
  <c r="AP110" i="4"/>
  <c r="BB110" i="4"/>
  <c r="F111" i="4"/>
  <c r="S111" i="4"/>
  <c r="AE111" i="4"/>
  <c r="AP111" i="4"/>
  <c r="AY111" i="4"/>
  <c r="BH111" i="4"/>
  <c r="H112" i="4"/>
  <c r="Q112" i="4"/>
  <c r="Z112" i="4"/>
  <c r="AJ112" i="4"/>
  <c r="AR112" i="4"/>
  <c r="AZ112" i="4"/>
  <c r="BH112" i="4"/>
  <c r="G113" i="4"/>
  <c r="O113" i="4"/>
  <c r="W113" i="4"/>
  <c r="AE113" i="4"/>
  <c r="AM113" i="4"/>
  <c r="AU113" i="4"/>
  <c r="BC113" i="4"/>
  <c r="B114" i="4"/>
  <c r="J114" i="4"/>
  <c r="R114" i="4"/>
  <c r="Z114" i="4"/>
  <c r="AH114" i="4"/>
  <c r="AP114" i="4"/>
  <c r="AX114" i="4"/>
  <c r="BF114" i="4"/>
  <c r="E115" i="4"/>
  <c r="M115" i="4"/>
  <c r="U115" i="4"/>
  <c r="AC115" i="4"/>
  <c r="AK115" i="4"/>
  <c r="AS115" i="4"/>
  <c r="BA115" i="4"/>
  <c r="BI115" i="4"/>
  <c r="H116" i="4"/>
  <c r="P116" i="4"/>
  <c r="X116" i="4"/>
  <c r="AF116" i="4"/>
  <c r="AN116" i="4"/>
  <c r="AV116" i="4"/>
  <c r="BD116" i="4"/>
  <c r="C117" i="4"/>
  <c r="K117" i="4"/>
  <c r="S117" i="4"/>
  <c r="AA117" i="4"/>
  <c r="AI117" i="4"/>
  <c r="AQ117" i="4"/>
  <c r="AY117" i="4"/>
  <c r="BG117" i="4"/>
  <c r="F118" i="4"/>
  <c r="N118" i="4"/>
  <c r="V118" i="4"/>
  <c r="AD118" i="4"/>
  <c r="AL118" i="4"/>
  <c r="AT118" i="4"/>
  <c r="BB118" i="4"/>
  <c r="A119" i="4"/>
  <c r="I119" i="4"/>
  <c r="Q119" i="4"/>
  <c r="Y119" i="4"/>
  <c r="AG119" i="4"/>
  <c r="AO119" i="4"/>
  <c r="AW119" i="4"/>
  <c r="BE119" i="4"/>
  <c r="D120" i="4"/>
  <c r="L120" i="4"/>
  <c r="T120" i="4"/>
  <c r="AB120" i="4"/>
  <c r="AJ120" i="4"/>
  <c r="AR120" i="4"/>
  <c r="AZ120" i="4"/>
  <c r="BH120" i="4"/>
  <c r="G121" i="4"/>
  <c r="O121" i="4"/>
  <c r="W121" i="4"/>
  <c r="AE121" i="4"/>
  <c r="AM121" i="4"/>
  <c r="AU121" i="4"/>
  <c r="BC121" i="4"/>
  <c r="B122" i="4"/>
  <c r="J122" i="4"/>
  <c r="R122" i="4"/>
  <c r="Z122" i="4"/>
  <c r="AH122" i="4"/>
  <c r="AP122" i="4"/>
  <c r="AX122" i="4"/>
  <c r="BF122" i="4"/>
  <c r="E123" i="4"/>
  <c r="M123" i="4"/>
  <c r="U123" i="4"/>
  <c r="AC123" i="4"/>
  <c r="AK123" i="4"/>
  <c r="AS123" i="4"/>
  <c r="BA123" i="4"/>
  <c r="BI123" i="4"/>
  <c r="H124" i="4"/>
  <c r="P124" i="4"/>
  <c r="X124" i="4"/>
  <c r="AF124" i="4"/>
  <c r="AN124" i="4"/>
  <c r="AV124" i="4"/>
  <c r="BD124" i="4"/>
  <c r="C125" i="4"/>
  <c r="K125" i="4"/>
  <c r="S125" i="4"/>
  <c r="AA125" i="4"/>
  <c r="AI125" i="4"/>
  <c r="AI68" i="4"/>
  <c r="C80" i="4"/>
  <c r="M83" i="4"/>
  <c r="AG85" i="4"/>
  <c r="AM87" i="4"/>
  <c r="AG89" i="4"/>
  <c r="M91" i="4"/>
  <c r="BC92" i="4"/>
  <c r="U94" i="4"/>
  <c r="AG95" i="4"/>
  <c r="AO96" i="4"/>
  <c r="U97" i="4"/>
  <c r="BA97" i="4"/>
  <c r="X98" i="4"/>
  <c r="BD98" i="4"/>
  <c r="AA99" i="4"/>
  <c r="BF99" i="4"/>
  <c r="T100" i="4"/>
  <c r="AL100" i="4"/>
  <c r="BI100" i="4"/>
  <c r="W101" i="4"/>
  <c r="AM101" i="4"/>
  <c r="BC101" i="4"/>
  <c r="J102" i="4"/>
  <c r="Z102" i="4"/>
  <c r="AP102" i="4"/>
  <c r="BF102" i="4"/>
  <c r="M103" i="4"/>
  <c r="AC103" i="4"/>
  <c r="AS103" i="4"/>
  <c r="BI103" i="4"/>
  <c r="P104" i="4"/>
  <c r="AF104" i="4"/>
  <c r="AV104" i="4"/>
  <c r="C105" i="4"/>
  <c r="S105" i="4"/>
  <c r="AI105" i="4"/>
  <c r="AY105" i="4"/>
  <c r="F106" i="4"/>
  <c r="V106" i="4"/>
  <c r="AL106" i="4"/>
  <c r="BB106" i="4"/>
  <c r="I107" i="4"/>
  <c r="U107" i="4"/>
  <c r="AH107" i="4"/>
  <c r="AU107" i="4"/>
  <c r="BG107" i="4"/>
  <c r="L108" i="4"/>
  <c r="X108" i="4"/>
  <c r="AK108" i="4"/>
  <c r="AX108" i="4"/>
  <c r="A109" i="4"/>
  <c r="O109" i="4"/>
  <c r="AA109" i="4"/>
  <c r="AN109" i="4"/>
  <c r="BA109" i="4"/>
  <c r="D110" i="4"/>
  <c r="R110" i="4"/>
  <c r="AD110" i="4"/>
  <c r="AQ110" i="4"/>
  <c r="BD110" i="4"/>
  <c r="G111" i="4"/>
  <c r="U111" i="4"/>
  <c r="AG111" i="4"/>
  <c r="AQ111" i="4"/>
  <c r="AZ111" i="4"/>
  <c r="BI111" i="4"/>
  <c r="I112" i="4"/>
  <c r="R112" i="4"/>
  <c r="AB112" i="4"/>
  <c r="AK112" i="4"/>
  <c r="AS112" i="4"/>
  <c r="BA112" i="4"/>
  <c r="BI112" i="4"/>
  <c r="H113" i="4"/>
  <c r="P113" i="4"/>
  <c r="X113" i="4"/>
  <c r="AF113" i="4"/>
  <c r="AN113" i="4"/>
  <c r="AV113" i="4"/>
  <c r="BD113" i="4"/>
  <c r="C114" i="4"/>
  <c r="K114" i="4"/>
  <c r="S114" i="4"/>
  <c r="AA114" i="4"/>
  <c r="AI114" i="4"/>
  <c r="AQ114" i="4"/>
  <c r="AY114" i="4"/>
  <c r="BG114" i="4"/>
  <c r="F115" i="4"/>
  <c r="N115" i="4"/>
  <c r="V115" i="4"/>
  <c r="AD115" i="4"/>
  <c r="AL115" i="4"/>
  <c r="AT115" i="4"/>
  <c r="BB115" i="4"/>
  <c r="A116" i="4"/>
  <c r="I116" i="4"/>
  <c r="Q116" i="4"/>
  <c r="Y116" i="4"/>
  <c r="AG116" i="4"/>
  <c r="AO116" i="4"/>
  <c r="AW116" i="4"/>
  <c r="BE116" i="4"/>
  <c r="D117" i="4"/>
  <c r="L117" i="4"/>
  <c r="T117" i="4"/>
  <c r="AB117" i="4"/>
  <c r="AJ117" i="4"/>
  <c r="AR117" i="4"/>
  <c r="AZ117" i="4"/>
  <c r="BH117" i="4"/>
  <c r="G118" i="4"/>
  <c r="O118" i="4"/>
  <c r="W118" i="4"/>
  <c r="AE118" i="4"/>
  <c r="AM118" i="4"/>
  <c r="AU118" i="4"/>
  <c r="BC118" i="4"/>
  <c r="B119" i="4"/>
  <c r="J119" i="4"/>
  <c r="R119" i="4"/>
  <c r="Z119" i="4"/>
  <c r="AH119" i="4"/>
  <c r="AP119" i="4"/>
  <c r="AX119" i="4"/>
  <c r="BF119" i="4"/>
  <c r="E120" i="4"/>
  <c r="M120" i="4"/>
  <c r="U120" i="4"/>
  <c r="AC120" i="4"/>
  <c r="AK120" i="4"/>
  <c r="AS120" i="4"/>
  <c r="BA120" i="4"/>
  <c r="BI120" i="4"/>
  <c r="H121" i="4"/>
  <c r="P121" i="4"/>
  <c r="X121" i="4"/>
  <c r="AF121" i="4"/>
  <c r="AN121" i="4"/>
  <c r="AV121" i="4"/>
  <c r="BD121" i="4"/>
  <c r="C122" i="4"/>
  <c r="K122" i="4"/>
  <c r="S122" i="4"/>
  <c r="AA122" i="4"/>
  <c r="AI122" i="4"/>
  <c r="AQ122" i="4"/>
  <c r="AY122" i="4"/>
  <c r="BG122" i="4"/>
  <c r="F123" i="4"/>
  <c r="N123" i="4"/>
  <c r="V123" i="4"/>
  <c r="AD123" i="4"/>
  <c r="AL123" i="4"/>
  <c r="AT123" i="4"/>
  <c r="BB123" i="4"/>
  <c r="A124" i="4"/>
  <c r="I124" i="4"/>
  <c r="Q124" i="4"/>
  <c r="Y124" i="4"/>
  <c r="AG124" i="4"/>
  <c r="AO124" i="4"/>
  <c r="AW124" i="4"/>
  <c r="BE124" i="4"/>
  <c r="D125" i="4"/>
  <c r="L125" i="4"/>
  <c r="T125" i="4"/>
  <c r="AB125" i="4"/>
  <c r="AJ125" i="4"/>
  <c r="AR125" i="4"/>
  <c r="AZ125" i="4"/>
  <c r="BH125" i="4"/>
  <c r="G126" i="4"/>
  <c r="O126" i="4"/>
  <c r="W126" i="4"/>
  <c r="AE126" i="4"/>
  <c r="AM126" i="4"/>
  <c r="AU126" i="4"/>
  <c r="BC126" i="4"/>
  <c r="B127" i="4"/>
  <c r="AO70" i="4"/>
  <c r="AI80" i="4"/>
  <c r="AJ83" i="4"/>
  <c r="AW85" i="4"/>
  <c r="BC87" i="4"/>
  <c r="AT89" i="4"/>
  <c r="AA91" i="4"/>
  <c r="G93" i="4"/>
  <c r="AD94" i="4"/>
  <c r="AQ95" i="4"/>
  <c r="AW96" i="4"/>
  <c r="AB97" i="4"/>
  <c r="BH97" i="4"/>
  <c r="AE98" i="4"/>
  <c r="B99" i="4"/>
  <c r="AH99" i="4"/>
  <c r="BG99" i="4"/>
  <c r="U100" i="4"/>
  <c r="AR100" i="4"/>
  <c r="A101" i="4"/>
  <c r="X101" i="4"/>
  <c r="AN101" i="4"/>
  <c r="BD101" i="4"/>
  <c r="K102" i="4"/>
  <c r="AA102" i="4"/>
  <c r="AQ102" i="4"/>
  <c r="BG102" i="4"/>
  <c r="N103" i="4"/>
  <c r="AD103" i="4"/>
  <c r="AT103" i="4"/>
  <c r="A104" i="4"/>
  <c r="Q104" i="4"/>
  <c r="AG104" i="4"/>
  <c r="AW104" i="4"/>
  <c r="D105" i="4"/>
  <c r="T105" i="4"/>
  <c r="AJ105" i="4"/>
  <c r="AZ105" i="4"/>
  <c r="G106" i="4"/>
  <c r="W106" i="4"/>
  <c r="AM106" i="4"/>
  <c r="BC106" i="4"/>
  <c r="J107" i="4"/>
  <c r="W107" i="4"/>
  <c r="AI107" i="4"/>
  <c r="AW107" i="4"/>
  <c r="BI107" i="4"/>
  <c r="M108" i="4"/>
  <c r="Z108" i="4"/>
  <c r="AL108" i="4"/>
  <c r="AZ108" i="4"/>
  <c r="C109" i="4"/>
  <c r="P109" i="4"/>
  <c r="AC109" i="4"/>
  <c r="AO109" i="4"/>
  <c r="BC109" i="4"/>
  <c r="F110" i="4"/>
  <c r="S110" i="4"/>
  <c r="AF110" i="4"/>
  <c r="AR110" i="4"/>
  <c r="BF110" i="4"/>
  <c r="I111" i="4"/>
  <c r="V111" i="4"/>
  <c r="AI111" i="4"/>
  <c r="AR111" i="4"/>
  <c r="BA111" i="4"/>
  <c r="A112" i="4"/>
  <c r="J112" i="4"/>
  <c r="T112" i="4"/>
  <c r="AC112" i="4"/>
  <c r="AL112" i="4"/>
  <c r="AT112" i="4"/>
  <c r="BB112" i="4"/>
  <c r="A113" i="4"/>
  <c r="I113" i="4"/>
  <c r="Q113" i="4"/>
  <c r="Y113" i="4"/>
  <c r="AG113" i="4"/>
  <c r="AO113" i="4"/>
  <c r="AW113" i="4"/>
  <c r="BE113" i="4"/>
  <c r="D114" i="4"/>
  <c r="L114" i="4"/>
  <c r="T114" i="4"/>
  <c r="AB114" i="4"/>
  <c r="AJ114" i="4"/>
  <c r="AR114" i="4"/>
  <c r="AZ114" i="4"/>
  <c r="BH114" i="4"/>
  <c r="G115" i="4"/>
  <c r="O115" i="4"/>
  <c r="W115" i="4"/>
  <c r="AE115" i="4"/>
  <c r="AM115" i="4"/>
  <c r="AU115" i="4"/>
  <c r="BC115" i="4"/>
  <c r="B116" i="4"/>
  <c r="J116" i="4"/>
  <c r="R116" i="4"/>
  <c r="Z116" i="4"/>
  <c r="AH116" i="4"/>
  <c r="AP116" i="4"/>
  <c r="AX116" i="4"/>
  <c r="BF116" i="4"/>
  <c r="E117" i="4"/>
  <c r="M117" i="4"/>
  <c r="U117" i="4"/>
  <c r="AC117" i="4"/>
  <c r="AK117" i="4"/>
  <c r="AS117" i="4"/>
  <c r="BA117" i="4"/>
  <c r="BI117" i="4"/>
  <c r="H118" i="4"/>
  <c r="P118" i="4"/>
  <c r="X118" i="4"/>
  <c r="AF118" i="4"/>
  <c r="AN118" i="4"/>
  <c r="AV118" i="4"/>
  <c r="BD118" i="4"/>
  <c r="C119" i="4"/>
  <c r="K119" i="4"/>
  <c r="S119" i="4"/>
  <c r="AA119" i="4"/>
  <c r="AI119" i="4"/>
  <c r="AQ119" i="4"/>
  <c r="AY119" i="4"/>
  <c r="BG119" i="4"/>
  <c r="AU72" i="4"/>
  <c r="F81" i="4"/>
  <c r="BG83" i="4"/>
  <c r="D86" i="4"/>
  <c r="J88" i="4"/>
  <c r="BG89" i="4"/>
  <c r="AM91" i="4"/>
  <c r="S93" i="4"/>
  <c r="AN94" i="4"/>
  <c r="AZ95" i="4"/>
  <c r="BE96" i="4"/>
  <c r="AC97" i="4"/>
  <c r="BI97" i="4"/>
  <c r="AF98" i="4"/>
  <c r="C99" i="4"/>
  <c r="AI99" i="4"/>
  <c r="D100" i="4"/>
  <c r="V100" i="4"/>
  <c r="AS100" i="4"/>
  <c r="G101" i="4"/>
  <c r="Y101" i="4"/>
  <c r="AO101" i="4"/>
  <c r="BE101" i="4"/>
  <c r="L102" i="4"/>
  <c r="AB102" i="4"/>
  <c r="AR102" i="4"/>
  <c r="BH102" i="4"/>
  <c r="O103" i="4"/>
  <c r="AE103" i="4"/>
  <c r="AU103" i="4"/>
  <c r="B104" i="4"/>
  <c r="R104" i="4"/>
  <c r="AH104" i="4"/>
  <c r="AX104" i="4"/>
  <c r="E105" i="4"/>
  <c r="U105" i="4"/>
  <c r="AK105" i="4"/>
  <c r="BA105" i="4"/>
  <c r="H106" i="4"/>
  <c r="X106" i="4"/>
  <c r="AN106" i="4"/>
  <c r="BD106" i="4"/>
  <c r="K107" i="4"/>
  <c r="Y107" i="4"/>
  <c r="AK107" i="4"/>
  <c r="AX107" i="4"/>
  <c r="B108" i="4"/>
  <c r="N108" i="4"/>
  <c r="AB108" i="4"/>
  <c r="AN108" i="4"/>
  <c r="BA108" i="4"/>
  <c r="E109" i="4"/>
  <c r="Q109" i="4"/>
  <c r="AE109" i="4"/>
  <c r="AQ109" i="4"/>
  <c r="BD109" i="4"/>
  <c r="H110" i="4"/>
  <c r="T110" i="4"/>
  <c r="AH110" i="4"/>
  <c r="AT110" i="4"/>
  <c r="BG110" i="4"/>
  <c r="K111" i="4"/>
  <c r="W111" i="4"/>
  <c r="AJ111" i="4"/>
  <c r="AS111" i="4"/>
  <c r="BB111" i="4"/>
  <c r="B112" i="4"/>
  <c r="L112" i="4"/>
  <c r="U112" i="4"/>
  <c r="AD112" i="4"/>
  <c r="AM112" i="4"/>
  <c r="AU112" i="4"/>
  <c r="BC112" i="4"/>
  <c r="B113" i="4"/>
  <c r="J113" i="4"/>
  <c r="R113" i="4"/>
  <c r="Z113" i="4"/>
  <c r="AH113" i="4"/>
  <c r="AP113" i="4"/>
  <c r="AX113" i="4"/>
  <c r="BF113" i="4"/>
  <c r="E114" i="4"/>
  <c r="M114" i="4"/>
  <c r="U114" i="4"/>
  <c r="AC114" i="4"/>
  <c r="AK114" i="4"/>
  <c r="AS114" i="4"/>
  <c r="BA114" i="4"/>
  <c r="BI114" i="4"/>
  <c r="H115" i="4"/>
  <c r="P115" i="4"/>
  <c r="X115" i="4"/>
  <c r="AF115" i="4"/>
  <c r="AN115" i="4"/>
  <c r="AV115" i="4"/>
  <c r="BD115" i="4"/>
  <c r="C116" i="4"/>
  <c r="K116" i="4"/>
  <c r="S116" i="4"/>
  <c r="AA116" i="4"/>
  <c r="AI116" i="4"/>
  <c r="AQ116" i="4"/>
  <c r="AY116" i="4"/>
  <c r="BG116" i="4"/>
  <c r="F117" i="4"/>
  <c r="N117" i="4"/>
  <c r="V117" i="4"/>
  <c r="AD117" i="4"/>
  <c r="AL117" i="4"/>
  <c r="AT117" i="4"/>
  <c r="BB117" i="4"/>
  <c r="A118" i="4"/>
  <c r="I118" i="4"/>
  <c r="Q118" i="4"/>
  <c r="Y118" i="4"/>
  <c r="AG118" i="4"/>
  <c r="AO118" i="4"/>
  <c r="AW118" i="4"/>
  <c r="BE118" i="4"/>
  <c r="D119" i="4"/>
  <c r="L119" i="4"/>
  <c r="T119" i="4"/>
  <c r="AB119" i="4"/>
  <c r="AJ119" i="4"/>
  <c r="AR119" i="4"/>
  <c r="AZ119" i="4"/>
  <c r="BH119" i="4"/>
  <c r="G120" i="4"/>
  <c r="O120" i="4"/>
  <c r="W120" i="4"/>
  <c r="AE120" i="4"/>
  <c r="AM120" i="4"/>
  <c r="AU120" i="4"/>
  <c r="BC120" i="4"/>
  <c r="B121" i="4"/>
  <c r="J121" i="4"/>
  <c r="R121" i="4"/>
  <c r="Z121" i="4"/>
  <c r="AH121" i="4"/>
  <c r="AP121" i="4"/>
  <c r="AX121" i="4"/>
  <c r="BF121" i="4"/>
  <c r="E122" i="4"/>
  <c r="M122" i="4"/>
  <c r="U122" i="4"/>
  <c r="AC122" i="4"/>
  <c r="AK122" i="4"/>
  <c r="AS122" i="4"/>
  <c r="BA122" i="4"/>
  <c r="BI122" i="4"/>
  <c r="H123" i="4"/>
  <c r="P123" i="4"/>
  <c r="X123" i="4"/>
  <c r="AF123" i="4"/>
  <c r="AN123" i="4"/>
  <c r="AV123" i="4"/>
  <c r="BD123" i="4"/>
  <c r="C124" i="4"/>
  <c r="K124" i="4"/>
  <c r="S124" i="4"/>
  <c r="AA124" i="4"/>
  <c r="AI124" i="4"/>
  <c r="AQ124" i="4"/>
  <c r="AY124" i="4"/>
  <c r="BG124" i="4"/>
  <c r="F125" i="4"/>
  <c r="N125" i="4"/>
  <c r="V125" i="4"/>
  <c r="AD125" i="4"/>
  <c r="AL125" i="4"/>
  <c r="AT125" i="4"/>
  <c r="BB125" i="4"/>
  <c r="A126" i="4"/>
  <c r="I126" i="4"/>
  <c r="Q126" i="4"/>
  <c r="Y126" i="4"/>
  <c r="AG126" i="4"/>
  <c r="AO126" i="4"/>
  <c r="AW126" i="4"/>
  <c r="BE126" i="4"/>
  <c r="D127" i="4"/>
  <c r="BA74" i="4"/>
  <c r="AD81" i="4"/>
  <c r="N84" i="4"/>
  <c r="T86" i="4"/>
  <c r="Z88" i="4"/>
  <c r="J90" i="4"/>
  <c r="AZ91" i="4"/>
  <c r="AG93" i="4"/>
  <c r="AW94" i="4"/>
  <c r="BI95" i="4"/>
  <c r="D97" i="4"/>
  <c r="AJ97" i="4"/>
  <c r="G98" i="4"/>
  <c r="AM98" i="4"/>
  <c r="J99" i="4"/>
  <c r="AP99" i="4"/>
  <c r="E100" i="4"/>
  <c r="AB100" i="4"/>
  <c r="AT100" i="4"/>
  <c r="H101" i="4"/>
  <c r="AC101" i="4"/>
  <c r="AS101" i="4"/>
  <c r="BI101" i="4"/>
  <c r="P102" i="4"/>
  <c r="AF102" i="4"/>
  <c r="AV102" i="4"/>
  <c r="C103" i="4"/>
  <c r="S103" i="4"/>
  <c r="AI103" i="4"/>
  <c r="AY103" i="4"/>
  <c r="F104" i="4"/>
  <c r="V104" i="4"/>
  <c r="AL104" i="4"/>
  <c r="BB104" i="4"/>
  <c r="I105" i="4"/>
  <c r="Y105" i="4"/>
  <c r="AO105" i="4"/>
  <c r="BE105" i="4"/>
  <c r="L106" i="4"/>
  <c r="AB106" i="4"/>
  <c r="AR106" i="4"/>
  <c r="BH106" i="4"/>
  <c r="M107" i="4"/>
  <c r="Z107" i="4"/>
  <c r="AM107" i="4"/>
  <c r="AY107" i="4"/>
  <c r="D108" i="4"/>
  <c r="P108" i="4"/>
  <c r="AC108" i="4"/>
  <c r="AP108" i="4"/>
  <c r="BB108" i="4"/>
  <c r="G109" i="4"/>
  <c r="S109" i="4"/>
  <c r="AF109" i="4"/>
  <c r="AS109" i="4"/>
  <c r="BE109" i="4"/>
  <c r="J110" i="4"/>
  <c r="V110" i="4"/>
  <c r="AI110" i="4"/>
  <c r="AV110" i="4"/>
  <c r="BH110" i="4"/>
  <c r="M111" i="4"/>
  <c r="Y111" i="4"/>
  <c r="AK111" i="4"/>
  <c r="AT111" i="4"/>
  <c r="BC111" i="4"/>
  <c r="D112" i="4"/>
  <c r="M112" i="4"/>
  <c r="V112" i="4"/>
  <c r="AE112" i="4"/>
  <c r="AN112" i="4"/>
  <c r="P78" i="4"/>
  <c r="J82" i="4"/>
  <c r="AT84" i="4"/>
  <c r="AZ86" i="4"/>
  <c r="BD88" i="4"/>
  <c r="AJ90" i="4"/>
  <c r="P92" i="4"/>
  <c r="BC93" i="4"/>
  <c r="F95" i="4"/>
  <c r="Q96" i="4"/>
  <c r="L97" i="4"/>
  <c r="AR97" i="4"/>
  <c r="O98" i="4"/>
  <c r="AU98" i="4"/>
  <c r="R99" i="4"/>
  <c r="AX99" i="4"/>
  <c r="L100" i="4"/>
  <c r="AD100" i="4"/>
  <c r="BA100" i="4"/>
  <c r="O101" i="4"/>
  <c r="AF101" i="4"/>
  <c r="AV101" i="4"/>
  <c r="C102" i="4"/>
  <c r="S102" i="4"/>
  <c r="AI102" i="4"/>
  <c r="AY102" i="4"/>
  <c r="F103" i="4"/>
  <c r="V103" i="4"/>
  <c r="AL103" i="4"/>
  <c r="BB103" i="4"/>
  <c r="I104" i="4"/>
  <c r="Y104" i="4"/>
  <c r="AO104" i="4"/>
  <c r="BE104" i="4"/>
  <c r="L105" i="4"/>
  <c r="AB105" i="4"/>
  <c r="AR105" i="4"/>
  <c r="BH105" i="4"/>
  <c r="O106" i="4"/>
  <c r="AE106" i="4"/>
  <c r="AU106" i="4"/>
  <c r="B107" i="4"/>
  <c r="Q107" i="4"/>
  <c r="AC107" i="4"/>
  <c r="AP107" i="4"/>
  <c r="BC107" i="4"/>
  <c r="F108" i="4"/>
  <c r="T108" i="4"/>
  <c r="AF108" i="4"/>
  <c r="AS108" i="4"/>
  <c r="BF108" i="4"/>
  <c r="I109" i="4"/>
  <c r="W109" i="4"/>
  <c r="AI109" i="4"/>
  <c r="AV109" i="4"/>
  <c r="BI109" i="4"/>
  <c r="L110" i="4"/>
  <c r="Z110" i="4"/>
  <c r="AL110" i="4"/>
  <c r="AY110" i="4"/>
  <c r="C111" i="4"/>
  <c r="O111" i="4"/>
  <c r="AC111" i="4"/>
  <c r="AM111" i="4"/>
  <c r="AW111" i="4"/>
  <c r="BF111" i="4"/>
  <c r="F112" i="4"/>
  <c r="O112" i="4"/>
  <c r="X112" i="4"/>
  <c r="AG112" i="4"/>
  <c r="AP112" i="4"/>
  <c r="AX112" i="4"/>
  <c r="BF112" i="4"/>
  <c r="E113" i="4"/>
  <c r="BC76" i="4"/>
  <c r="BF94" i="4"/>
  <c r="F100" i="4"/>
  <c r="AH102" i="4"/>
  <c r="AN104" i="4"/>
  <c r="AT106" i="4"/>
  <c r="AD108" i="4"/>
  <c r="K110" i="4"/>
  <c r="AU111" i="4"/>
  <c r="AW112" i="4"/>
  <c r="S113" i="4"/>
  <c r="AK113" i="4"/>
  <c r="BH113" i="4"/>
  <c r="V114" i="4"/>
  <c r="AN114" i="4"/>
  <c r="B115" i="4"/>
  <c r="Y115" i="4"/>
  <c r="AQ115" i="4"/>
  <c r="E116" i="4"/>
  <c r="AB116" i="4"/>
  <c r="AT116" i="4"/>
  <c r="H117" i="4"/>
  <c r="AE117" i="4"/>
  <c r="AW117" i="4"/>
  <c r="K118" i="4"/>
  <c r="AH118" i="4"/>
  <c r="AZ118" i="4"/>
  <c r="N119" i="4"/>
  <c r="AK119" i="4"/>
  <c r="BC119" i="4"/>
  <c r="N120" i="4"/>
  <c r="AD120" i="4"/>
  <c r="AT120" i="4"/>
  <c r="A121" i="4"/>
  <c r="Q121" i="4"/>
  <c r="AG121" i="4"/>
  <c r="AW121" i="4"/>
  <c r="D122" i="4"/>
  <c r="T122" i="4"/>
  <c r="AJ122" i="4"/>
  <c r="AZ122" i="4"/>
  <c r="G123" i="4"/>
  <c r="W123" i="4"/>
  <c r="AM123" i="4"/>
  <c r="BC123" i="4"/>
  <c r="J124" i="4"/>
  <c r="Z124" i="4"/>
  <c r="AP124" i="4"/>
  <c r="BF124" i="4"/>
  <c r="M125" i="4"/>
  <c r="AC125" i="4"/>
  <c r="AQ125" i="4"/>
  <c r="BD125" i="4"/>
  <c r="H126" i="4"/>
  <c r="T126" i="4"/>
  <c r="AH126" i="4"/>
  <c r="AT126" i="4"/>
  <c r="BG126" i="4"/>
  <c r="J127" i="4"/>
  <c r="S127" i="4"/>
  <c r="AB127" i="4"/>
  <c r="AK127" i="4"/>
  <c r="AT127" i="4"/>
  <c r="BC127" i="4"/>
  <c r="D128" i="4"/>
  <c r="M128" i="4"/>
  <c r="V128" i="4"/>
  <c r="AE128" i="4"/>
  <c r="AN128" i="4"/>
  <c r="AW128" i="4"/>
  <c r="BF128" i="4"/>
  <c r="G129" i="4"/>
  <c r="O129" i="4"/>
  <c r="W129" i="4"/>
  <c r="AE129" i="4"/>
  <c r="AM129" i="4"/>
  <c r="AU129" i="4"/>
  <c r="BC129" i="4"/>
  <c r="B130" i="4"/>
  <c r="J130" i="4"/>
  <c r="R130" i="4"/>
  <c r="Z130" i="4"/>
  <c r="AH130" i="4"/>
  <c r="AP130" i="4"/>
  <c r="AX130" i="4"/>
  <c r="BF130" i="4"/>
  <c r="E131" i="4"/>
  <c r="M131" i="4"/>
  <c r="U131" i="4"/>
  <c r="AC131" i="4"/>
  <c r="AK131" i="4"/>
  <c r="AS131" i="4"/>
  <c r="BA131" i="4"/>
  <c r="BI131" i="4"/>
  <c r="H132" i="4"/>
  <c r="P132" i="4"/>
  <c r="X132" i="4"/>
  <c r="AF132" i="4"/>
  <c r="AN132" i="4"/>
  <c r="AV132" i="4"/>
  <c r="BD132" i="4"/>
  <c r="C133" i="4"/>
  <c r="K133" i="4"/>
  <c r="S133" i="4"/>
  <c r="AA133" i="4"/>
  <c r="AI133" i="4"/>
  <c r="AQ133" i="4"/>
  <c r="AY133" i="4"/>
  <c r="BG133" i="4"/>
  <c r="F134" i="4"/>
  <c r="N134" i="4"/>
  <c r="V134" i="4"/>
  <c r="AD134" i="4"/>
  <c r="AL134" i="4"/>
  <c r="AT134" i="4"/>
  <c r="BB134" i="4"/>
  <c r="A135" i="4"/>
  <c r="I135" i="4"/>
  <c r="Q135" i="4"/>
  <c r="Y135" i="4"/>
  <c r="AG135" i="4"/>
  <c r="AO135" i="4"/>
  <c r="AW135" i="4"/>
  <c r="BE135" i="4"/>
  <c r="D136" i="4"/>
  <c r="L136" i="4"/>
  <c r="T136" i="4"/>
  <c r="AB136" i="4"/>
  <c r="AJ136" i="4"/>
  <c r="AR136" i="4"/>
  <c r="AZ136" i="4"/>
  <c r="BH136" i="4"/>
  <c r="G137" i="4"/>
  <c r="O137" i="4"/>
  <c r="W137" i="4"/>
  <c r="AE137" i="4"/>
  <c r="AM137" i="4"/>
  <c r="AU137" i="4"/>
  <c r="BC137" i="4"/>
  <c r="B138" i="4"/>
  <c r="J138" i="4"/>
  <c r="R138" i="4"/>
  <c r="Z138" i="4"/>
  <c r="AH138" i="4"/>
  <c r="AP138" i="4"/>
  <c r="AX138" i="4"/>
  <c r="BF138" i="4"/>
  <c r="E139" i="4"/>
  <c r="M139" i="4"/>
  <c r="U139" i="4"/>
  <c r="AC139" i="4"/>
  <c r="AK139" i="4"/>
  <c r="AS139" i="4"/>
  <c r="BA139" i="4"/>
  <c r="BI139" i="4"/>
  <c r="H140" i="4"/>
  <c r="P140" i="4"/>
  <c r="X140" i="4"/>
  <c r="AF140" i="4"/>
  <c r="AN140" i="4"/>
  <c r="AV140" i="4"/>
  <c r="BD140" i="4"/>
  <c r="C141" i="4"/>
  <c r="K141" i="4"/>
  <c r="S141" i="4"/>
  <c r="AA141" i="4"/>
  <c r="AI141" i="4"/>
  <c r="AQ141" i="4"/>
  <c r="AY141" i="4"/>
  <c r="BG141" i="4"/>
  <c r="F142" i="4"/>
  <c r="N142" i="4"/>
  <c r="V142" i="4"/>
  <c r="AD142" i="4"/>
  <c r="AL142" i="4"/>
  <c r="AT142" i="4"/>
  <c r="BB142" i="4"/>
  <c r="A143" i="4"/>
  <c r="I143" i="4"/>
  <c r="Q143" i="4"/>
  <c r="Y143" i="4"/>
  <c r="AG143" i="4"/>
  <c r="AO143" i="4"/>
  <c r="AW143" i="4"/>
  <c r="BE143" i="4"/>
  <c r="D144" i="4"/>
  <c r="L144" i="4"/>
  <c r="T144" i="4"/>
  <c r="AB144" i="4"/>
  <c r="AJ144" i="4"/>
  <c r="AR144" i="4"/>
  <c r="AZ144" i="4"/>
  <c r="BH144" i="4"/>
  <c r="G145" i="4"/>
  <c r="O145" i="4"/>
  <c r="W145" i="4"/>
  <c r="AE145" i="4"/>
  <c r="AM145" i="4"/>
  <c r="AU145" i="4"/>
  <c r="BC145" i="4"/>
  <c r="B146" i="4"/>
  <c r="J146" i="4"/>
  <c r="R146" i="4"/>
  <c r="Z146" i="4"/>
  <c r="AH146" i="4"/>
  <c r="AP146" i="4"/>
  <c r="AX146" i="4"/>
  <c r="BF146" i="4"/>
  <c r="E147" i="4"/>
  <c r="M147" i="4"/>
  <c r="U147" i="4"/>
  <c r="AC147" i="4"/>
  <c r="AK147" i="4"/>
  <c r="AS147" i="4"/>
  <c r="BA147" i="4"/>
  <c r="BI147" i="4"/>
  <c r="H148" i="4"/>
  <c r="P148" i="4"/>
  <c r="X148" i="4"/>
  <c r="AF148" i="4"/>
  <c r="AN148" i="4"/>
  <c r="AV148" i="4"/>
  <c r="BD148" i="4"/>
  <c r="C149" i="4"/>
  <c r="K149" i="4"/>
  <c r="S149" i="4"/>
  <c r="AA149" i="4"/>
  <c r="AI149" i="4"/>
  <c r="AQ149" i="4"/>
  <c r="AY149" i="4"/>
  <c r="BG149" i="4"/>
  <c r="F150" i="4"/>
  <c r="N150" i="4"/>
  <c r="V150" i="4"/>
  <c r="AD150" i="4"/>
  <c r="AL150" i="4"/>
  <c r="AT150" i="4"/>
  <c r="BB150" i="4"/>
  <c r="A151" i="4"/>
  <c r="I151" i="4"/>
  <c r="Q151" i="4"/>
  <c r="Y151" i="4"/>
  <c r="AG151" i="4"/>
  <c r="AO151" i="4"/>
  <c r="AW151" i="4"/>
  <c r="BE151" i="4"/>
  <c r="D152" i="4"/>
  <c r="L152" i="4"/>
  <c r="T152" i="4"/>
  <c r="AB152" i="4"/>
  <c r="AJ152" i="4"/>
  <c r="AR152" i="4"/>
  <c r="AZ152" i="4"/>
  <c r="BH152" i="4"/>
  <c r="BA81" i="4"/>
  <c r="I96" i="4"/>
  <c r="AC100" i="4"/>
  <c r="AX102" i="4"/>
  <c r="BD104" i="4"/>
  <c r="A107" i="4"/>
  <c r="AR108" i="4"/>
  <c r="X110" i="4"/>
  <c r="BE111" i="4"/>
  <c r="BD112" i="4"/>
  <c r="T113" i="4"/>
  <c r="AQ113" i="4"/>
  <c r="BI113" i="4"/>
  <c r="W114" i="4"/>
  <c r="AT114" i="4"/>
  <c r="C115" i="4"/>
  <c r="Z115" i="4"/>
  <c r="AW115" i="4"/>
  <c r="F116" i="4"/>
  <c r="AC116" i="4"/>
  <c r="AZ116" i="4"/>
  <c r="I117" i="4"/>
  <c r="AF117" i="4"/>
  <c r="BC117" i="4"/>
  <c r="L118" i="4"/>
  <c r="AI118" i="4"/>
  <c r="BF118" i="4"/>
  <c r="O119" i="4"/>
  <c r="AL119" i="4"/>
  <c r="BI119" i="4"/>
  <c r="P120" i="4"/>
  <c r="AF120" i="4"/>
  <c r="AV120" i="4"/>
  <c r="C121" i="4"/>
  <c r="S121" i="4"/>
  <c r="AI121" i="4"/>
  <c r="AY121" i="4"/>
  <c r="F122" i="4"/>
  <c r="V122" i="4"/>
  <c r="AL122" i="4"/>
  <c r="BB122" i="4"/>
  <c r="I123" i="4"/>
  <c r="Y123" i="4"/>
  <c r="AO123" i="4"/>
  <c r="BE123" i="4"/>
  <c r="L124" i="4"/>
  <c r="AB124" i="4"/>
  <c r="AR124" i="4"/>
  <c r="BH124" i="4"/>
  <c r="O125" i="4"/>
  <c r="AE125" i="4"/>
  <c r="AS125" i="4"/>
  <c r="BE125" i="4"/>
  <c r="J126" i="4"/>
  <c r="V126" i="4"/>
  <c r="AI126" i="4"/>
  <c r="AV126" i="4"/>
  <c r="BH126" i="4"/>
  <c r="K127" i="4"/>
  <c r="T127" i="4"/>
  <c r="AC127" i="4"/>
  <c r="AL127" i="4"/>
  <c r="AU127" i="4"/>
  <c r="BE127" i="4"/>
  <c r="E128" i="4"/>
  <c r="N128" i="4"/>
  <c r="W128" i="4"/>
  <c r="AF128" i="4"/>
  <c r="AO128" i="4"/>
  <c r="AX128" i="4"/>
  <c r="BH128" i="4"/>
  <c r="H129" i="4"/>
  <c r="P129" i="4"/>
  <c r="X129" i="4"/>
  <c r="AF129" i="4"/>
  <c r="AN129" i="4"/>
  <c r="AV129" i="4"/>
  <c r="BD129" i="4"/>
  <c r="C130" i="4"/>
  <c r="K130" i="4"/>
  <c r="S130" i="4"/>
  <c r="AA130" i="4"/>
  <c r="AI130" i="4"/>
  <c r="AQ130" i="4"/>
  <c r="AY130" i="4"/>
  <c r="BG130" i="4"/>
  <c r="F131" i="4"/>
  <c r="N131" i="4"/>
  <c r="V131" i="4"/>
  <c r="AD131" i="4"/>
  <c r="AL131" i="4"/>
  <c r="AT131" i="4"/>
  <c r="BB131" i="4"/>
  <c r="A132" i="4"/>
  <c r="I132" i="4"/>
  <c r="Q132" i="4"/>
  <c r="Y132" i="4"/>
  <c r="AG132" i="4"/>
  <c r="AO132" i="4"/>
  <c r="AW132" i="4"/>
  <c r="BE132" i="4"/>
  <c r="D133" i="4"/>
  <c r="L133" i="4"/>
  <c r="T133" i="4"/>
  <c r="AB133" i="4"/>
  <c r="AJ133" i="4"/>
  <c r="AR133" i="4"/>
  <c r="AZ133" i="4"/>
  <c r="BH133" i="4"/>
  <c r="G134" i="4"/>
  <c r="O134" i="4"/>
  <c r="W134" i="4"/>
  <c r="AE134" i="4"/>
  <c r="AM134" i="4"/>
  <c r="AU134" i="4"/>
  <c r="BC134" i="4"/>
  <c r="B135" i="4"/>
  <c r="J135" i="4"/>
  <c r="R135" i="4"/>
  <c r="Z135" i="4"/>
  <c r="AH135" i="4"/>
  <c r="AP135" i="4"/>
  <c r="AX135" i="4"/>
  <c r="BF135" i="4"/>
  <c r="E136" i="4"/>
  <c r="M136" i="4"/>
  <c r="U136" i="4"/>
  <c r="AC136" i="4"/>
  <c r="AK136" i="4"/>
  <c r="AS136" i="4"/>
  <c r="BA136" i="4"/>
  <c r="BI136" i="4"/>
  <c r="H137" i="4"/>
  <c r="P137" i="4"/>
  <c r="X137" i="4"/>
  <c r="AF137" i="4"/>
  <c r="AN137" i="4"/>
  <c r="AV137" i="4"/>
  <c r="BD137" i="4"/>
  <c r="C138" i="4"/>
  <c r="K138" i="4"/>
  <c r="S138" i="4"/>
  <c r="AA138" i="4"/>
  <c r="AI138" i="4"/>
  <c r="AQ138" i="4"/>
  <c r="AY138" i="4"/>
  <c r="BG138" i="4"/>
  <c r="F139" i="4"/>
  <c r="N139" i="4"/>
  <c r="V139" i="4"/>
  <c r="AD139" i="4"/>
  <c r="AL139" i="4"/>
  <c r="AT139" i="4"/>
  <c r="BB139" i="4"/>
  <c r="A140" i="4"/>
  <c r="I140" i="4"/>
  <c r="Q140" i="4"/>
  <c r="Y140" i="4"/>
  <c r="AG140" i="4"/>
  <c r="AO140" i="4"/>
  <c r="AW140" i="4"/>
  <c r="BE140" i="4"/>
  <c r="D141" i="4"/>
  <c r="L141" i="4"/>
  <c r="T141" i="4"/>
  <c r="AB141" i="4"/>
  <c r="AJ141" i="4"/>
  <c r="AR141" i="4"/>
  <c r="AZ141" i="4"/>
  <c r="BH141" i="4"/>
  <c r="G142" i="4"/>
  <c r="O142" i="4"/>
  <c r="W142" i="4"/>
  <c r="AE142" i="4"/>
  <c r="AM142" i="4"/>
  <c r="AU142" i="4"/>
  <c r="BC142" i="4"/>
  <c r="B143" i="4"/>
  <c r="J143" i="4"/>
  <c r="R143" i="4"/>
  <c r="Z143" i="4"/>
  <c r="AH143" i="4"/>
  <c r="AP143" i="4"/>
  <c r="AX143" i="4"/>
  <c r="BF143" i="4"/>
  <c r="E144" i="4"/>
  <c r="M144" i="4"/>
  <c r="U144" i="4"/>
  <c r="AC144" i="4"/>
  <c r="AK144" i="4"/>
  <c r="AS144" i="4"/>
  <c r="BA144" i="4"/>
  <c r="BI144" i="4"/>
  <c r="H145" i="4"/>
  <c r="P145" i="4"/>
  <c r="X145" i="4"/>
  <c r="AF145" i="4"/>
  <c r="AN145" i="4"/>
  <c r="AV145" i="4"/>
  <c r="BD145" i="4"/>
  <c r="C146" i="4"/>
  <c r="K146" i="4"/>
  <c r="S146" i="4"/>
  <c r="AA146" i="4"/>
  <c r="AI146" i="4"/>
  <c r="AQ146" i="4"/>
  <c r="AY146" i="4"/>
  <c r="BG146" i="4"/>
  <c r="F147" i="4"/>
  <c r="N147" i="4"/>
  <c r="V147" i="4"/>
  <c r="AD147" i="4"/>
  <c r="AL147" i="4"/>
  <c r="AT147" i="4"/>
  <c r="BB147" i="4"/>
  <c r="A148" i="4"/>
  <c r="I148" i="4"/>
  <c r="Q148" i="4"/>
  <c r="AD84" i="4"/>
  <c r="E97" i="4"/>
  <c r="AZ100" i="4"/>
  <c r="E103" i="4"/>
  <c r="K105" i="4"/>
  <c r="O107" i="4"/>
  <c r="BD108" i="4"/>
  <c r="AJ110" i="4"/>
  <c r="E112" i="4"/>
  <c r="BE112" i="4"/>
  <c r="U113" i="4"/>
  <c r="AR113" i="4"/>
  <c r="F114" i="4"/>
  <c r="X114" i="4"/>
  <c r="AU114" i="4"/>
  <c r="I115" i="4"/>
  <c r="AA115" i="4"/>
  <c r="AX115" i="4"/>
  <c r="L116" i="4"/>
  <c r="AD116" i="4"/>
  <c r="BA116" i="4"/>
  <c r="O117" i="4"/>
  <c r="AG117" i="4"/>
  <c r="BD117" i="4"/>
  <c r="R118" i="4"/>
  <c r="AJ118" i="4"/>
  <c r="BG118" i="4"/>
  <c r="U119" i="4"/>
  <c r="AM119" i="4"/>
  <c r="A120" i="4"/>
  <c r="Q120" i="4"/>
  <c r="AG120" i="4"/>
  <c r="AW120" i="4"/>
  <c r="D121" i="4"/>
  <c r="T121" i="4"/>
  <c r="AJ121" i="4"/>
  <c r="AZ121" i="4"/>
  <c r="G122" i="4"/>
  <c r="W122" i="4"/>
  <c r="AM122" i="4"/>
  <c r="BC122" i="4"/>
  <c r="J123" i="4"/>
  <c r="Z123" i="4"/>
  <c r="AP123" i="4"/>
  <c r="BF123" i="4"/>
  <c r="M124" i="4"/>
  <c r="AC124" i="4"/>
  <c r="AS124" i="4"/>
  <c r="BI124" i="4"/>
  <c r="P125" i="4"/>
  <c r="AF125" i="4"/>
  <c r="AU125" i="4"/>
  <c r="BG125" i="4"/>
  <c r="K126" i="4"/>
  <c r="X126" i="4"/>
  <c r="AJ126" i="4"/>
  <c r="AX126" i="4"/>
  <c r="A127" i="4"/>
  <c r="L127" i="4"/>
  <c r="U127" i="4"/>
  <c r="AD127" i="4"/>
  <c r="AM127" i="4"/>
  <c r="AW127" i="4"/>
  <c r="BF127" i="4"/>
  <c r="F128" i="4"/>
  <c r="O128" i="4"/>
  <c r="X128" i="4"/>
  <c r="AG128" i="4"/>
  <c r="AP128" i="4"/>
  <c r="AZ128" i="4"/>
  <c r="BI128" i="4"/>
  <c r="I129" i="4"/>
  <c r="Q129" i="4"/>
  <c r="Y129" i="4"/>
  <c r="AG129" i="4"/>
  <c r="AO129" i="4"/>
  <c r="AW129" i="4"/>
  <c r="BE129" i="4"/>
  <c r="D130" i="4"/>
  <c r="L130" i="4"/>
  <c r="T130" i="4"/>
  <c r="AB130" i="4"/>
  <c r="AJ130" i="4"/>
  <c r="AR130" i="4"/>
  <c r="AZ130" i="4"/>
  <c r="BH130" i="4"/>
  <c r="G131" i="4"/>
  <c r="O131" i="4"/>
  <c r="W131" i="4"/>
  <c r="AE131" i="4"/>
  <c r="AM131" i="4"/>
  <c r="AU131" i="4"/>
  <c r="BC131" i="4"/>
  <c r="B132" i="4"/>
  <c r="J132" i="4"/>
  <c r="R132" i="4"/>
  <c r="Z132" i="4"/>
  <c r="AH132" i="4"/>
  <c r="AP132" i="4"/>
  <c r="AX132" i="4"/>
  <c r="BF132" i="4"/>
  <c r="E133" i="4"/>
  <c r="M133" i="4"/>
  <c r="U133" i="4"/>
  <c r="AC133" i="4"/>
  <c r="AK133" i="4"/>
  <c r="AS133" i="4"/>
  <c r="BA133" i="4"/>
  <c r="BI133" i="4"/>
  <c r="H134" i="4"/>
  <c r="P134" i="4"/>
  <c r="X134" i="4"/>
  <c r="AF134" i="4"/>
  <c r="AN134" i="4"/>
  <c r="AV134" i="4"/>
  <c r="BD134" i="4"/>
  <c r="C135" i="4"/>
  <c r="K135" i="4"/>
  <c r="S135" i="4"/>
  <c r="AA135" i="4"/>
  <c r="AI135" i="4"/>
  <c r="AQ135" i="4"/>
  <c r="AY135" i="4"/>
  <c r="BG135" i="4"/>
  <c r="F136" i="4"/>
  <c r="N136" i="4"/>
  <c r="V136" i="4"/>
  <c r="AD136" i="4"/>
  <c r="AL136" i="4"/>
  <c r="AT136" i="4"/>
  <c r="BB136" i="4"/>
  <c r="A137" i="4"/>
  <c r="I137" i="4"/>
  <c r="Q137" i="4"/>
  <c r="Y137" i="4"/>
  <c r="AG137" i="4"/>
  <c r="AO137" i="4"/>
  <c r="AW137" i="4"/>
  <c r="BE137" i="4"/>
  <c r="D138" i="4"/>
  <c r="L138" i="4"/>
  <c r="T138" i="4"/>
  <c r="AB138" i="4"/>
  <c r="AJ138" i="4"/>
  <c r="AR138" i="4"/>
  <c r="AZ138" i="4"/>
  <c r="BH138" i="4"/>
  <c r="G139" i="4"/>
  <c r="O139" i="4"/>
  <c r="W139" i="4"/>
  <c r="AE139" i="4"/>
  <c r="AM139" i="4"/>
  <c r="AU139" i="4"/>
  <c r="BC139" i="4"/>
  <c r="B140" i="4"/>
  <c r="J140" i="4"/>
  <c r="R140" i="4"/>
  <c r="Z140" i="4"/>
  <c r="AH140" i="4"/>
  <c r="AP140" i="4"/>
  <c r="AX140" i="4"/>
  <c r="BF140" i="4"/>
  <c r="E141" i="4"/>
  <c r="M141" i="4"/>
  <c r="U141" i="4"/>
  <c r="AC141" i="4"/>
  <c r="AK141" i="4"/>
  <c r="AS141" i="4"/>
  <c r="BA141" i="4"/>
  <c r="BI141" i="4"/>
  <c r="H142" i="4"/>
  <c r="P142" i="4"/>
  <c r="X142" i="4"/>
  <c r="AF142" i="4"/>
  <c r="AN142" i="4"/>
  <c r="AV142" i="4"/>
  <c r="BD142" i="4"/>
  <c r="C143" i="4"/>
  <c r="K143" i="4"/>
  <c r="S143" i="4"/>
  <c r="AA143" i="4"/>
  <c r="AI143" i="4"/>
  <c r="AQ143" i="4"/>
  <c r="AY143" i="4"/>
  <c r="BG143" i="4"/>
  <c r="F144" i="4"/>
  <c r="N144" i="4"/>
  <c r="V144" i="4"/>
  <c r="AD144" i="4"/>
  <c r="AL144" i="4"/>
  <c r="AT144" i="4"/>
  <c r="BB144" i="4"/>
  <c r="A145" i="4"/>
  <c r="I145" i="4"/>
  <c r="Q145" i="4"/>
  <c r="Y145" i="4"/>
  <c r="AG145" i="4"/>
  <c r="AO145" i="4"/>
  <c r="AW145" i="4"/>
  <c r="BE145" i="4"/>
  <c r="D146" i="4"/>
  <c r="L146" i="4"/>
  <c r="T146" i="4"/>
  <c r="AB146" i="4"/>
  <c r="AJ146" i="4"/>
  <c r="AR146" i="4"/>
  <c r="AZ146" i="4"/>
  <c r="BH146" i="4"/>
  <c r="G147" i="4"/>
  <c r="O147" i="4"/>
  <c r="W147" i="4"/>
  <c r="AE147" i="4"/>
  <c r="AM147" i="4"/>
  <c r="AU147" i="4"/>
  <c r="BC147" i="4"/>
  <c r="B148" i="4"/>
  <c r="J148" i="4"/>
  <c r="R148" i="4"/>
  <c r="Z148" i="4"/>
  <c r="AH148" i="4"/>
  <c r="AP148" i="4"/>
  <c r="AX148" i="4"/>
  <c r="BF148" i="4"/>
  <c r="E149" i="4"/>
  <c r="M149" i="4"/>
  <c r="U149" i="4"/>
  <c r="AC149" i="4"/>
  <c r="AK149" i="4"/>
  <c r="AS149" i="4"/>
  <c r="BA149" i="4"/>
  <c r="BI149" i="4"/>
  <c r="H150" i="4"/>
  <c r="P150" i="4"/>
  <c r="X150" i="4"/>
  <c r="AF150" i="4"/>
  <c r="AN150" i="4"/>
  <c r="AV150" i="4"/>
  <c r="BD150" i="4"/>
  <c r="C151" i="4"/>
  <c r="K151" i="4"/>
  <c r="S151" i="4"/>
  <c r="AA151" i="4"/>
  <c r="AI151" i="4"/>
  <c r="AQ151" i="4"/>
  <c r="AY151" i="4"/>
  <c r="BG151" i="4"/>
  <c r="F152" i="4"/>
  <c r="N152" i="4"/>
  <c r="V152" i="4"/>
  <c r="AD152" i="4"/>
  <c r="AL152" i="4"/>
  <c r="AT152" i="4"/>
  <c r="BB152" i="4"/>
  <c r="A153" i="4"/>
  <c r="I153" i="4"/>
  <c r="Q153" i="4"/>
  <c r="Y153" i="4"/>
  <c r="AG153" i="4"/>
  <c r="AO153" i="4"/>
  <c r="AW153" i="4"/>
  <c r="BE153" i="4"/>
  <c r="D154" i="4"/>
  <c r="L154" i="4"/>
  <c r="T154" i="4"/>
  <c r="AB154" i="4"/>
  <c r="AJ154" i="4"/>
  <c r="AR154" i="4"/>
  <c r="AJ86" i="4"/>
  <c r="AK97" i="4"/>
  <c r="I101" i="4"/>
  <c r="U103" i="4"/>
  <c r="AA105" i="4"/>
  <c r="AA107" i="4"/>
  <c r="H109" i="4"/>
  <c r="AX110" i="4"/>
  <c r="N112" i="4"/>
  <c r="C113" i="4"/>
  <c r="AA113" i="4"/>
  <c r="AS113" i="4"/>
  <c r="G114" i="4"/>
  <c r="AD114" i="4"/>
  <c r="AV114" i="4"/>
  <c r="J115" i="4"/>
  <c r="AG115" i="4"/>
  <c r="AY115" i="4"/>
  <c r="M116" i="4"/>
  <c r="AJ116" i="4"/>
  <c r="BB116" i="4"/>
  <c r="P117" i="4"/>
  <c r="AM117" i="4"/>
  <c r="BE117" i="4"/>
  <c r="S118" i="4"/>
  <c r="AP118" i="4"/>
  <c r="BH118" i="4"/>
  <c r="V119" i="4"/>
  <c r="AS119" i="4"/>
  <c r="B120" i="4"/>
  <c r="R120" i="4"/>
  <c r="AH120" i="4"/>
  <c r="AX120" i="4"/>
  <c r="E121" i="4"/>
  <c r="U121" i="4"/>
  <c r="AK121" i="4"/>
  <c r="BA121" i="4"/>
  <c r="H122" i="4"/>
  <c r="X122" i="4"/>
  <c r="AN122" i="4"/>
  <c r="BD122" i="4"/>
  <c r="K123" i="4"/>
  <c r="AA123" i="4"/>
  <c r="AQ123" i="4"/>
  <c r="BG123" i="4"/>
  <c r="N124" i="4"/>
  <c r="AD124" i="4"/>
  <c r="AT124" i="4"/>
  <c r="A125" i="4"/>
  <c r="Q125" i="4"/>
  <c r="AG125" i="4"/>
  <c r="AV125" i="4"/>
  <c r="BI125" i="4"/>
  <c r="L126" i="4"/>
  <c r="Z126" i="4"/>
  <c r="AL126" i="4"/>
  <c r="AY126" i="4"/>
  <c r="C127" i="4"/>
  <c r="M127" i="4"/>
  <c r="V127" i="4"/>
  <c r="AE127" i="4"/>
  <c r="AO127" i="4"/>
  <c r="AX127" i="4"/>
  <c r="BG127" i="4"/>
  <c r="G128" i="4"/>
  <c r="P128" i="4"/>
  <c r="Y128" i="4"/>
  <c r="AH128" i="4"/>
  <c r="AR128" i="4"/>
  <c r="BA128" i="4"/>
  <c r="A129" i="4"/>
  <c r="J129" i="4"/>
  <c r="R129" i="4"/>
  <c r="Z129" i="4"/>
  <c r="AH129" i="4"/>
  <c r="AP129" i="4"/>
  <c r="AX129" i="4"/>
  <c r="BF129" i="4"/>
  <c r="E130" i="4"/>
  <c r="M130" i="4"/>
  <c r="U130" i="4"/>
  <c r="AC130" i="4"/>
  <c r="AK130" i="4"/>
  <c r="AS130" i="4"/>
  <c r="BA130" i="4"/>
  <c r="BI130" i="4"/>
  <c r="H131" i="4"/>
  <c r="P131" i="4"/>
  <c r="X131" i="4"/>
  <c r="AF131" i="4"/>
  <c r="AN131" i="4"/>
  <c r="AV131" i="4"/>
  <c r="BD131" i="4"/>
  <c r="C132" i="4"/>
  <c r="K132" i="4"/>
  <c r="S132" i="4"/>
  <c r="AA132" i="4"/>
  <c r="AI132" i="4"/>
  <c r="AQ132" i="4"/>
  <c r="AY132" i="4"/>
  <c r="BG132" i="4"/>
  <c r="F133" i="4"/>
  <c r="N133" i="4"/>
  <c r="V133" i="4"/>
  <c r="AD133" i="4"/>
  <c r="AL133" i="4"/>
  <c r="AT133" i="4"/>
  <c r="BB133" i="4"/>
  <c r="A134" i="4"/>
  <c r="I134" i="4"/>
  <c r="Q134" i="4"/>
  <c r="Y134" i="4"/>
  <c r="AG134" i="4"/>
  <c r="AO134" i="4"/>
  <c r="AW134" i="4"/>
  <c r="BE134" i="4"/>
  <c r="D135" i="4"/>
  <c r="L135" i="4"/>
  <c r="T135" i="4"/>
  <c r="AB135" i="4"/>
  <c r="AJ135" i="4"/>
  <c r="AR135" i="4"/>
  <c r="AZ135" i="4"/>
  <c r="BH135" i="4"/>
  <c r="G136" i="4"/>
  <c r="O136" i="4"/>
  <c r="W136" i="4"/>
  <c r="AE136" i="4"/>
  <c r="AM136" i="4"/>
  <c r="AU136" i="4"/>
  <c r="BC136" i="4"/>
  <c r="B137" i="4"/>
  <c r="J137" i="4"/>
  <c r="R137" i="4"/>
  <c r="Z137" i="4"/>
  <c r="AH137" i="4"/>
  <c r="AP137" i="4"/>
  <c r="AX137" i="4"/>
  <c r="BF137" i="4"/>
  <c r="E138" i="4"/>
  <c r="M138" i="4"/>
  <c r="U138" i="4"/>
  <c r="AC138" i="4"/>
  <c r="AK138" i="4"/>
  <c r="AS138" i="4"/>
  <c r="BA138" i="4"/>
  <c r="BI138" i="4"/>
  <c r="H139" i="4"/>
  <c r="P139" i="4"/>
  <c r="X139" i="4"/>
  <c r="AF139" i="4"/>
  <c r="AN139" i="4"/>
  <c r="AV139" i="4"/>
  <c r="BD139" i="4"/>
  <c r="C140" i="4"/>
  <c r="K140" i="4"/>
  <c r="S140" i="4"/>
  <c r="AA140" i="4"/>
  <c r="AI140" i="4"/>
  <c r="AQ140" i="4"/>
  <c r="AY140" i="4"/>
  <c r="BG140" i="4"/>
  <c r="F141" i="4"/>
  <c r="N141" i="4"/>
  <c r="V141" i="4"/>
  <c r="AD141" i="4"/>
  <c r="AL141" i="4"/>
  <c r="AP88" i="4"/>
  <c r="H98" i="4"/>
  <c r="AE101" i="4"/>
  <c r="AK103" i="4"/>
  <c r="AQ105" i="4"/>
  <c r="AO107" i="4"/>
  <c r="U109" i="4"/>
  <c r="A111" i="4"/>
  <c r="W112" i="4"/>
  <c r="D113" i="4"/>
  <c r="AB113" i="4"/>
  <c r="AY113" i="4"/>
  <c r="H114" i="4"/>
  <c r="AE114" i="4"/>
  <c r="BB114" i="4"/>
  <c r="K115" i="4"/>
  <c r="AH115" i="4"/>
  <c r="BE115" i="4"/>
  <c r="N116" i="4"/>
  <c r="AK116" i="4"/>
  <c r="BH116" i="4"/>
  <c r="Q117" i="4"/>
  <c r="AN117" i="4"/>
  <c r="B118" i="4"/>
  <c r="T118" i="4"/>
  <c r="AQ118" i="4"/>
  <c r="E119" i="4"/>
  <c r="W119" i="4"/>
  <c r="AT119" i="4"/>
  <c r="F120" i="4"/>
  <c r="V120" i="4"/>
  <c r="AL120" i="4"/>
  <c r="BB120" i="4"/>
  <c r="I121" i="4"/>
  <c r="Y121" i="4"/>
  <c r="AO121" i="4"/>
  <c r="BE121" i="4"/>
  <c r="L122" i="4"/>
  <c r="AB122" i="4"/>
  <c r="AR122" i="4"/>
  <c r="BH122" i="4"/>
  <c r="O123" i="4"/>
  <c r="AE123" i="4"/>
  <c r="AU123" i="4"/>
  <c r="B124" i="4"/>
  <c r="R124" i="4"/>
  <c r="AH124" i="4"/>
  <c r="AX124" i="4"/>
  <c r="E125" i="4"/>
  <c r="U125" i="4"/>
  <c r="AK125" i="4"/>
  <c r="AW125" i="4"/>
  <c r="B126" i="4"/>
  <c r="N126" i="4"/>
  <c r="AA126" i="4"/>
  <c r="AN126" i="4"/>
  <c r="AZ126" i="4"/>
  <c r="E127" i="4"/>
  <c r="N127" i="4"/>
  <c r="W127" i="4"/>
  <c r="AG127" i="4"/>
  <c r="AP127" i="4"/>
  <c r="AY127" i="4"/>
  <c r="BH127" i="4"/>
  <c r="H128" i="4"/>
  <c r="Q128" i="4"/>
  <c r="Z128" i="4"/>
  <c r="AJ128" i="4"/>
  <c r="AS128" i="4"/>
  <c r="BB128" i="4"/>
  <c r="B129" i="4"/>
  <c r="K129" i="4"/>
  <c r="S129" i="4"/>
  <c r="AA129" i="4"/>
  <c r="AI129" i="4"/>
  <c r="AQ129" i="4"/>
  <c r="AY129" i="4"/>
  <c r="BG129" i="4"/>
  <c r="F130" i="4"/>
  <c r="N130" i="4"/>
  <c r="V130" i="4"/>
  <c r="AD130" i="4"/>
  <c r="AL130" i="4"/>
  <c r="AT130" i="4"/>
  <c r="BB130" i="4"/>
  <c r="A131" i="4"/>
  <c r="I131" i="4"/>
  <c r="Q131" i="4"/>
  <c r="Y131" i="4"/>
  <c r="AG131" i="4"/>
  <c r="AO131" i="4"/>
  <c r="AW131" i="4"/>
  <c r="BE131" i="4"/>
  <c r="D132" i="4"/>
  <c r="L132" i="4"/>
  <c r="T132" i="4"/>
  <c r="AB132" i="4"/>
  <c r="AJ132" i="4"/>
  <c r="AR132" i="4"/>
  <c r="AZ132" i="4"/>
  <c r="BH132" i="4"/>
  <c r="G133" i="4"/>
  <c r="O133" i="4"/>
  <c r="W133" i="4"/>
  <c r="AE133" i="4"/>
  <c r="AM133" i="4"/>
  <c r="AU133" i="4"/>
  <c r="BC133" i="4"/>
  <c r="B134" i="4"/>
  <c r="J134" i="4"/>
  <c r="R134" i="4"/>
  <c r="Z134" i="4"/>
  <c r="AH134" i="4"/>
  <c r="AP134" i="4"/>
  <c r="AX134" i="4"/>
  <c r="BF134" i="4"/>
  <c r="E135" i="4"/>
  <c r="M135" i="4"/>
  <c r="U135" i="4"/>
  <c r="AC135" i="4"/>
  <c r="AK135" i="4"/>
  <c r="AS135" i="4"/>
  <c r="BA135" i="4"/>
  <c r="BI135" i="4"/>
  <c r="H136" i="4"/>
  <c r="P136" i="4"/>
  <c r="X136" i="4"/>
  <c r="AF136" i="4"/>
  <c r="AN136" i="4"/>
  <c r="AV136" i="4"/>
  <c r="BD136" i="4"/>
  <c r="C137" i="4"/>
  <c r="K137" i="4"/>
  <c r="S137" i="4"/>
  <c r="AA137" i="4"/>
  <c r="AI137" i="4"/>
  <c r="AQ137" i="4"/>
  <c r="AY137" i="4"/>
  <c r="BG137" i="4"/>
  <c r="F138" i="4"/>
  <c r="N138" i="4"/>
  <c r="V138" i="4"/>
  <c r="AD138" i="4"/>
  <c r="AL138" i="4"/>
  <c r="AT138" i="4"/>
  <c r="BB138" i="4"/>
  <c r="A139" i="4"/>
  <c r="I139" i="4"/>
  <c r="Q139" i="4"/>
  <c r="Y139" i="4"/>
  <c r="AG139" i="4"/>
  <c r="AO139" i="4"/>
  <c r="AW139" i="4"/>
  <c r="BE139" i="4"/>
  <c r="D140" i="4"/>
  <c r="L140" i="4"/>
  <c r="T140" i="4"/>
  <c r="AB140" i="4"/>
  <c r="AJ140" i="4"/>
  <c r="AR140" i="4"/>
  <c r="AZ140" i="4"/>
  <c r="BH140" i="4"/>
  <c r="G141" i="4"/>
  <c r="O141" i="4"/>
  <c r="W141" i="4"/>
  <c r="AE141" i="4"/>
  <c r="AM141" i="4"/>
  <c r="AU141" i="4"/>
  <c r="BC141" i="4"/>
  <c r="B142" i="4"/>
  <c r="J142" i="4"/>
  <c r="R142" i="4"/>
  <c r="Z142" i="4"/>
  <c r="AH142" i="4"/>
  <c r="AP142" i="4"/>
  <c r="AX142" i="4"/>
  <c r="BF142" i="4"/>
  <c r="E143" i="4"/>
  <c r="M143" i="4"/>
  <c r="U143" i="4"/>
  <c r="AC143" i="4"/>
  <c r="AK143" i="4"/>
  <c r="AS143" i="4"/>
  <c r="BA143" i="4"/>
  <c r="BI143" i="4"/>
  <c r="H144" i="4"/>
  <c r="P144" i="4"/>
  <c r="X144" i="4"/>
  <c r="AF144" i="4"/>
  <c r="AN144" i="4"/>
  <c r="AV144" i="4"/>
  <c r="BD144" i="4"/>
  <c r="C145" i="4"/>
  <c r="K145" i="4"/>
  <c r="S145" i="4"/>
  <c r="AA145" i="4"/>
  <c r="AI145" i="4"/>
  <c r="AQ145" i="4"/>
  <c r="AY145" i="4"/>
  <c r="BG145" i="4"/>
  <c r="F146" i="4"/>
  <c r="N146" i="4"/>
  <c r="V146" i="4"/>
  <c r="AD146" i="4"/>
  <c r="AL146" i="4"/>
  <c r="AT146" i="4"/>
  <c r="BB146" i="4"/>
  <c r="A147" i="4"/>
  <c r="I147" i="4"/>
  <c r="Q147" i="4"/>
  <c r="Y147" i="4"/>
  <c r="AG147" i="4"/>
  <c r="AO147" i="4"/>
  <c r="AW147" i="4"/>
  <c r="BE147" i="4"/>
  <c r="D148" i="4"/>
  <c r="L148" i="4"/>
  <c r="T148" i="4"/>
  <c r="AB148" i="4"/>
  <c r="AJ148" i="4"/>
  <c r="AR148" i="4"/>
  <c r="AZ148" i="4"/>
  <c r="BH148" i="4"/>
  <c r="G149" i="4"/>
  <c r="O149" i="4"/>
  <c r="W149" i="4"/>
  <c r="AE149" i="4"/>
  <c r="AM149" i="4"/>
  <c r="AU149" i="4"/>
  <c r="BC149" i="4"/>
  <c r="B150" i="4"/>
  <c r="J150" i="4"/>
  <c r="R150" i="4"/>
  <c r="Z150" i="4"/>
  <c r="AH150" i="4"/>
  <c r="AP150" i="4"/>
  <c r="AX150" i="4"/>
  <c r="BF150" i="4"/>
  <c r="E151" i="4"/>
  <c r="M151" i="4"/>
  <c r="U151" i="4"/>
  <c r="AC151" i="4"/>
  <c r="AK151" i="4"/>
  <c r="AS151" i="4"/>
  <c r="BA151" i="4"/>
  <c r="BI151" i="4"/>
  <c r="H152" i="4"/>
  <c r="P152" i="4"/>
  <c r="X152" i="4"/>
  <c r="AF152" i="4"/>
  <c r="AN152" i="4"/>
  <c r="AV152" i="4"/>
  <c r="BD152" i="4"/>
  <c r="C153" i="4"/>
  <c r="K153" i="4"/>
  <c r="S153" i="4"/>
  <c r="AA153" i="4"/>
  <c r="AI153" i="4"/>
  <c r="AQ153" i="4"/>
  <c r="AY153" i="4"/>
  <c r="BG153" i="4"/>
  <c r="F154" i="4"/>
  <c r="N154" i="4"/>
  <c r="V154" i="4"/>
  <c r="AD154" i="4"/>
  <c r="AL154" i="4"/>
  <c r="AT154" i="4"/>
  <c r="X90" i="4"/>
  <c r="AN98" i="4"/>
  <c r="AU101" i="4"/>
  <c r="BA103" i="4"/>
  <c r="BG105" i="4"/>
  <c r="BA107" i="4"/>
  <c r="AG109" i="4"/>
  <c r="N111" i="4"/>
  <c r="AF112" i="4"/>
  <c r="K113" i="4"/>
  <c r="AC113" i="4"/>
  <c r="AZ113" i="4"/>
  <c r="N114" i="4"/>
  <c r="AF114" i="4"/>
  <c r="BC114" i="4"/>
  <c r="Q115" i="4"/>
  <c r="AI115" i="4"/>
  <c r="BF115" i="4"/>
  <c r="T116" i="4"/>
  <c r="AL116" i="4"/>
  <c r="BI116" i="4"/>
  <c r="W117" i="4"/>
  <c r="AO117" i="4"/>
  <c r="C118" i="4"/>
  <c r="Z118" i="4"/>
  <c r="AR118" i="4"/>
  <c r="F119" i="4"/>
  <c r="AC119" i="4"/>
  <c r="AU119" i="4"/>
  <c r="H120" i="4"/>
  <c r="X120" i="4"/>
  <c r="AN120" i="4"/>
  <c r="BD120" i="4"/>
  <c r="K121" i="4"/>
  <c r="AA121" i="4"/>
  <c r="AQ121" i="4"/>
  <c r="BG121" i="4"/>
  <c r="N122" i="4"/>
  <c r="AD122" i="4"/>
  <c r="AT122" i="4"/>
  <c r="A123" i="4"/>
  <c r="Q123" i="4"/>
  <c r="AG123" i="4"/>
  <c r="AW123" i="4"/>
  <c r="D124" i="4"/>
  <c r="T124" i="4"/>
  <c r="AJ124" i="4"/>
  <c r="AZ124" i="4"/>
  <c r="G125" i="4"/>
  <c r="W125" i="4"/>
  <c r="AM125" i="4"/>
  <c r="AY125" i="4"/>
  <c r="C126" i="4"/>
  <c r="P126" i="4"/>
  <c r="AB126" i="4"/>
  <c r="AP126" i="4"/>
  <c r="BB126" i="4"/>
  <c r="F127" i="4"/>
  <c r="O127" i="4"/>
  <c r="Y127" i="4"/>
  <c r="AH127" i="4"/>
  <c r="AQ127" i="4"/>
  <c r="AZ127" i="4"/>
  <c r="BI127" i="4"/>
  <c r="I128" i="4"/>
  <c r="R128" i="4"/>
  <c r="AB128" i="4"/>
  <c r="AK128" i="4"/>
  <c r="AT128" i="4"/>
  <c r="BC128" i="4"/>
  <c r="C129" i="4"/>
  <c r="L129" i="4"/>
  <c r="T129" i="4"/>
  <c r="AB129" i="4"/>
  <c r="AJ129" i="4"/>
  <c r="AR129" i="4"/>
  <c r="AZ129" i="4"/>
  <c r="BH129" i="4"/>
  <c r="G130" i="4"/>
  <c r="O130" i="4"/>
  <c r="W130" i="4"/>
  <c r="AE130" i="4"/>
  <c r="AM130" i="4"/>
  <c r="AU130" i="4"/>
  <c r="BC130" i="4"/>
  <c r="B131" i="4"/>
  <c r="J131" i="4"/>
  <c r="R131" i="4"/>
  <c r="Z131" i="4"/>
  <c r="AH131" i="4"/>
  <c r="AP131" i="4"/>
  <c r="AX131" i="4"/>
  <c r="BF131" i="4"/>
  <c r="E132" i="4"/>
  <c r="M132" i="4"/>
  <c r="U132" i="4"/>
  <c r="AC132" i="4"/>
  <c r="AK132" i="4"/>
  <c r="AS132" i="4"/>
  <c r="BA132" i="4"/>
  <c r="BI132" i="4"/>
  <c r="H133" i="4"/>
  <c r="P133" i="4"/>
  <c r="X133" i="4"/>
  <c r="AF133" i="4"/>
  <c r="AN133" i="4"/>
  <c r="AV133" i="4"/>
  <c r="BD133" i="4"/>
  <c r="C134" i="4"/>
  <c r="K134" i="4"/>
  <c r="S134" i="4"/>
  <c r="AA134" i="4"/>
  <c r="AI134" i="4"/>
  <c r="AQ134" i="4"/>
  <c r="AY134" i="4"/>
  <c r="BG134" i="4"/>
  <c r="F135" i="4"/>
  <c r="N135" i="4"/>
  <c r="V135" i="4"/>
  <c r="AD135" i="4"/>
  <c r="AL135" i="4"/>
  <c r="AT135" i="4"/>
  <c r="BB135" i="4"/>
  <c r="A136" i="4"/>
  <c r="I136" i="4"/>
  <c r="Q136" i="4"/>
  <c r="Y136" i="4"/>
  <c r="AG136" i="4"/>
  <c r="AO136" i="4"/>
  <c r="AW136" i="4"/>
  <c r="BE136" i="4"/>
  <c r="D137" i="4"/>
  <c r="L137" i="4"/>
  <c r="T137" i="4"/>
  <c r="AB137" i="4"/>
  <c r="AJ137" i="4"/>
  <c r="AR137" i="4"/>
  <c r="AZ137" i="4"/>
  <c r="BH137" i="4"/>
  <c r="G138" i="4"/>
  <c r="O138" i="4"/>
  <c r="W138" i="4"/>
  <c r="AE138" i="4"/>
  <c r="AM138" i="4"/>
  <c r="AU138" i="4"/>
  <c r="BC138" i="4"/>
  <c r="B139" i="4"/>
  <c r="J139" i="4"/>
  <c r="R139" i="4"/>
  <c r="Z139" i="4"/>
  <c r="AH139" i="4"/>
  <c r="AP139" i="4"/>
  <c r="AX139" i="4"/>
  <c r="BF139" i="4"/>
  <c r="E140" i="4"/>
  <c r="M140" i="4"/>
  <c r="U140" i="4"/>
  <c r="AC140" i="4"/>
  <c r="AK140" i="4"/>
  <c r="AS140" i="4"/>
  <c r="BA140" i="4"/>
  <c r="BI140" i="4"/>
  <c r="H141" i="4"/>
  <c r="P141" i="4"/>
  <c r="X141" i="4"/>
  <c r="AF141" i="4"/>
  <c r="AN141" i="4"/>
  <c r="AV141" i="4"/>
  <c r="BD141" i="4"/>
  <c r="C142" i="4"/>
  <c r="AS93" i="4"/>
  <c r="AQ99" i="4"/>
  <c r="R102" i="4"/>
  <c r="X104" i="4"/>
  <c r="AD106" i="4"/>
  <c r="R108" i="4"/>
  <c r="BG109" i="4"/>
  <c r="AL111" i="4"/>
  <c r="AV112" i="4"/>
  <c r="M113" i="4"/>
  <c r="AJ113" i="4"/>
  <c r="BG113" i="4"/>
  <c r="P114" i="4"/>
  <c r="AM114" i="4"/>
  <c r="A115" i="4"/>
  <c r="S115" i="4"/>
  <c r="AP115" i="4"/>
  <c r="D116" i="4"/>
  <c r="V116" i="4"/>
  <c r="AS116" i="4"/>
  <c r="G117" i="4"/>
  <c r="Y117" i="4"/>
  <c r="AV117" i="4"/>
  <c r="J118" i="4"/>
  <c r="AB118" i="4"/>
  <c r="AY118" i="4"/>
  <c r="M119" i="4"/>
  <c r="AE119" i="4"/>
  <c r="BB119" i="4"/>
  <c r="J120" i="4"/>
  <c r="Z120" i="4"/>
  <c r="AP120" i="4"/>
  <c r="BF120" i="4"/>
  <c r="M121" i="4"/>
  <c r="AC121" i="4"/>
  <c r="AS121" i="4"/>
  <c r="BI121" i="4"/>
  <c r="P122" i="4"/>
  <c r="AF122" i="4"/>
  <c r="AV122" i="4"/>
  <c r="C123" i="4"/>
  <c r="S123" i="4"/>
  <c r="AI123" i="4"/>
  <c r="AY123" i="4"/>
  <c r="F124" i="4"/>
  <c r="V124" i="4"/>
  <c r="AL124" i="4"/>
  <c r="BB124" i="4"/>
  <c r="I125" i="4"/>
  <c r="Y125" i="4"/>
  <c r="AO125" i="4"/>
  <c r="BC125" i="4"/>
  <c r="F126" i="4"/>
  <c r="S126" i="4"/>
  <c r="AF126" i="4"/>
  <c r="AR126" i="4"/>
  <c r="BF126" i="4"/>
  <c r="I127" i="4"/>
  <c r="R127" i="4"/>
  <c r="AA127" i="4"/>
  <c r="AJ127" i="4"/>
  <c r="AS127" i="4"/>
  <c r="BB127" i="4"/>
  <c r="B128" i="4"/>
  <c r="L128" i="4"/>
  <c r="U128" i="4"/>
  <c r="AD128" i="4"/>
  <c r="AM128" i="4"/>
  <c r="AV128" i="4"/>
  <c r="BE128" i="4"/>
  <c r="E129" i="4"/>
  <c r="N129" i="4"/>
  <c r="V129" i="4"/>
  <c r="AD129" i="4"/>
  <c r="AL129" i="4"/>
  <c r="AT129" i="4"/>
  <c r="BB129" i="4"/>
  <c r="A130" i="4"/>
  <c r="I130" i="4"/>
  <c r="Q130" i="4"/>
  <c r="Y130" i="4"/>
  <c r="AG130" i="4"/>
  <c r="AO130" i="4"/>
  <c r="AW130" i="4"/>
  <c r="BE130" i="4"/>
  <c r="D131" i="4"/>
  <c r="L131" i="4"/>
  <c r="T131" i="4"/>
  <c r="AB131" i="4"/>
  <c r="AJ131" i="4"/>
  <c r="AR131" i="4"/>
  <c r="AZ131" i="4"/>
  <c r="BH131" i="4"/>
  <c r="G132" i="4"/>
  <c r="O132" i="4"/>
  <c r="W132" i="4"/>
  <c r="AE132" i="4"/>
  <c r="AM132" i="4"/>
  <c r="AU132" i="4"/>
  <c r="BC132" i="4"/>
  <c r="B133" i="4"/>
  <c r="J133" i="4"/>
  <c r="R133" i="4"/>
  <c r="Z133" i="4"/>
  <c r="AH133" i="4"/>
  <c r="AP133" i="4"/>
  <c r="AX133" i="4"/>
  <c r="BF133" i="4"/>
  <c r="E134" i="4"/>
  <c r="M134" i="4"/>
  <c r="U134" i="4"/>
  <c r="AC134" i="4"/>
  <c r="AK134" i="4"/>
  <c r="AS134" i="4"/>
  <c r="BA134" i="4"/>
  <c r="BI134" i="4"/>
  <c r="H135" i="4"/>
  <c r="P135" i="4"/>
  <c r="X135" i="4"/>
  <c r="AF135" i="4"/>
  <c r="AN135" i="4"/>
  <c r="AV135" i="4"/>
  <c r="BD135" i="4"/>
  <c r="C136" i="4"/>
  <c r="K136" i="4"/>
  <c r="S136" i="4"/>
  <c r="D92" i="4"/>
  <c r="AO112" i="4"/>
  <c r="AO115" i="4"/>
  <c r="AA118" i="4"/>
  <c r="BE120" i="4"/>
  <c r="B123" i="4"/>
  <c r="H125" i="4"/>
  <c r="BD126" i="4"/>
  <c r="J128" i="4"/>
  <c r="U129" i="4"/>
  <c r="X130" i="4"/>
  <c r="AA131" i="4"/>
  <c r="AD132" i="4"/>
  <c r="AG133" i="4"/>
  <c r="AJ134" i="4"/>
  <c r="AM135" i="4"/>
  <c r="AH136" i="4"/>
  <c r="E137" i="4"/>
  <c r="AK137" i="4"/>
  <c r="H138" i="4"/>
  <c r="AN138" i="4"/>
  <c r="K139" i="4"/>
  <c r="AQ139" i="4"/>
  <c r="N140" i="4"/>
  <c r="AT140" i="4"/>
  <c r="Q141" i="4"/>
  <c r="AT141" i="4"/>
  <c r="E142" i="4"/>
  <c r="U142" i="4"/>
  <c r="AK142" i="4"/>
  <c r="BA142" i="4"/>
  <c r="H143" i="4"/>
  <c r="X143" i="4"/>
  <c r="AN143" i="4"/>
  <c r="BD143" i="4"/>
  <c r="K144" i="4"/>
  <c r="AA144" i="4"/>
  <c r="AQ144" i="4"/>
  <c r="BG144" i="4"/>
  <c r="N145" i="4"/>
  <c r="AD145" i="4"/>
  <c r="AT145" i="4"/>
  <c r="A146" i="4"/>
  <c r="Q146" i="4"/>
  <c r="AG146" i="4"/>
  <c r="AW146" i="4"/>
  <c r="D147" i="4"/>
  <c r="T147" i="4"/>
  <c r="AJ147" i="4"/>
  <c r="AZ147" i="4"/>
  <c r="G148" i="4"/>
  <c r="W148" i="4"/>
  <c r="AK148" i="4"/>
  <c r="AW148" i="4"/>
  <c r="A149" i="4"/>
  <c r="N149" i="4"/>
  <c r="Z149" i="4"/>
  <c r="AN149" i="4"/>
  <c r="AZ149" i="4"/>
  <c r="D150" i="4"/>
  <c r="Q150" i="4"/>
  <c r="AC150" i="4"/>
  <c r="AQ150" i="4"/>
  <c r="BC150" i="4"/>
  <c r="G151" i="4"/>
  <c r="T151" i="4"/>
  <c r="AF151" i="4"/>
  <c r="AT151" i="4"/>
  <c r="BF151" i="4"/>
  <c r="J152" i="4"/>
  <c r="W152" i="4"/>
  <c r="AI152" i="4"/>
  <c r="AW152" i="4"/>
  <c r="BI152" i="4"/>
  <c r="L153" i="4"/>
  <c r="V153" i="4"/>
  <c r="AF153" i="4"/>
  <c r="AR153" i="4"/>
  <c r="BB153" i="4"/>
  <c r="C154" i="4"/>
  <c r="O154" i="4"/>
  <c r="Y154" i="4"/>
  <c r="AI154" i="4"/>
  <c r="AU154" i="4"/>
  <c r="BC154" i="4"/>
  <c r="B155" i="4"/>
  <c r="J155" i="4"/>
  <c r="R155" i="4"/>
  <c r="Z155" i="4"/>
  <c r="AH155" i="4"/>
  <c r="AP155" i="4"/>
  <c r="AX155" i="4"/>
  <c r="BF155" i="4"/>
  <c r="E156" i="4"/>
  <c r="M156" i="4"/>
  <c r="U156" i="4"/>
  <c r="AC156" i="4"/>
  <c r="AK156" i="4"/>
  <c r="AS156" i="4"/>
  <c r="BA156" i="4"/>
  <c r="BI156" i="4"/>
  <c r="H157" i="4"/>
  <c r="P157" i="4"/>
  <c r="X157" i="4"/>
  <c r="AF157" i="4"/>
  <c r="AN157" i="4"/>
  <c r="AV157" i="4"/>
  <c r="BD157" i="4"/>
  <c r="C158" i="4"/>
  <c r="K158" i="4"/>
  <c r="S158" i="4"/>
  <c r="AA158" i="4"/>
  <c r="AI158" i="4"/>
  <c r="AQ158" i="4"/>
  <c r="AY158" i="4"/>
  <c r="BG158" i="4"/>
  <c r="F159" i="4"/>
  <c r="N159" i="4"/>
  <c r="V159" i="4"/>
  <c r="AD159" i="4"/>
  <c r="AL159" i="4"/>
  <c r="AT159" i="4"/>
  <c r="BB159" i="4"/>
  <c r="A160" i="4"/>
  <c r="I160" i="4"/>
  <c r="Q160" i="4"/>
  <c r="Y160" i="4"/>
  <c r="AG160" i="4"/>
  <c r="AO160" i="4"/>
  <c r="AW160" i="4"/>
  <c r="BE160" i="4"/>
  <c r="D161" i="4"/>
  <c r="L161" i="4"/>
  <c r="T161" i="4"/>
  <c r="AB161" i="4"/>
  <c r="AJ161" i="4"/>
  <c r="AR161" i="4"/>
  <c r="AZ161" i="4"/>
  <c r="BH161" i="4"/>
  <c r="G162" i="4"/>
  <c r="O162" i="4"/>
  <c r="W162" i="4"/>
  <c r="AE162" i="4"/>
  <c r="AM162" i="4"/>
  <c r="AU162" i="4"/>
  <c r="BC162" i="4"/>
  <c r="B163" i="4"/>
  <c r="J163" i="4"/>
  <c r="R163" i="4"/>
  <c r="Z163" i="4"/>
  <c r="AH163" i="4"/>
  <c r="AP163" i="4"/>
  <c r="AX163" i="4"/>
  <c r="BF163" i="4"/>
  <c r="E164" i="4"/>
  <c r="M164" i="4"/>
  <c r="U164" i="4"/>
  <c r="AC164" i="4"/>
  <c r="AK164" i="4"/>
  <c r="AS164" i="4"/>
  <c r="BA164" i="4"/>
  <c r="BI164" i="4"/>
  <c r="H165" i="4"/>
  <c r="P165" i="4"/>
  <c r="X165" i="4"/>
  <c r="AF165" i="4"/>
  <c r="AN165" i="4"/>
  <c r="AV165" i="4"/>
  <c r="BD165" i="4"/>
  <c r="C166" i="4"/>
  <c r="K166" i="4"/>
  <c r="S166" i="4"/>
  <c r="AA166" i="4"/>
  <c r="AI166" i="4"/>
  <c r="AQ166" i="4"/>
  <c r="AY166" i="4"/>
  <c r="BG166" i="4"/>
  <c r="F167" i="4"/>
  <c r="N167" i="4"/>
  <c r="V167" i="4"/>
  <c r="AD167" i="4"/>
  <c r="AL167" i="4"/>
  <c r="AT167" i="4"/>
  <c r="BB167" i="4"/>
  <c r="A168" i="4"/>
  <c r="I168" i="4"/>
  <c r="Q168" i="4"/>
  <c r="Y168" i="4"/>
  <c r="AG168" i="4"/>
  <c r="AO168" i="4"/>
  <c r="AW168" i="4"/>
  <c r="BE168" i="4"/>
  <c r="D169" i="4"/>
  <c r="L169" i="4"/>
  <c r="T169" i="4"/>
  <c r="AB169" i="4"/>
  <c r="AJ169" i="4"/>
  <c r="AR169" i="4"/>
  <c r="AZ169" i="4"/>
  <c r="BH169" i="4"/>
  <c r="G170" i="4"/>
  <c r="O170" i="4"/>
  <c r="W170" i="4"/>
  <c r="AE170" i="4"/>
  <c r="AM170" i="4"/>
  <c r="AU170" i="4"/>
  <c r="BC170" i="4"/>
  <c r="B171" i="4"/>
  <c r="J171" i="4"/>
  <c r="R171" i="4"/>
  <c r="Z171" i="4"/>
  <c r="AH171" i="4"/>
  <c r="AP171" i="4"/>
  <c r="AX171" i="4"/>
  <c r="BF171" i="4"/>
  <c r="E172" i="4"/>
  <c r="M172" i="4"/>
  <c r="U172" i="4"/>
  <c r="AC172" i="4"/>
  <c r="AK172" i="4"/>
  <c r="AS172" i="4"/>
  <c r="BA172" i="4"/>
  <c r="BI172" i="4"/>
  <c r="H173" i="4"/>
  <c r="P173" i="4"/>
  <c r="X173" i="4"/>
  <c r="AF173" i="4"/>
  <c r="AN173" i="4"/>
  <c r="AV173" i="4"/>
  <c r="BD173" i="4"/>
  <c r="C174" i="4"/>
  <c r="K174" i="4"/>
  <c r="S174" i="4"/>
  <c r="AA174" i="4"/>
  <c r="AI174" i="4"/>
  <c r="AQ174" i="4"/>
  <c r="AY174" i="4"/>
  <c r="BG174" i="4"/>
  <c r="F175" i="4"/>
  <c r="N175" i="4"/>
  <c r="V175" i="4"/>
  <c r="AD175" i="4"/>
  <c r="AL175" i="4"/>
  <c r="AT175" i="4"/>
  <c r="BB175" i="4"/>
  <c r="A176" i="4"/>
  <c r="I176" i="4"/>
  <c r="Q176" i="4"/>
  <c r="Y176" i="4"/>
  <c r="AG176" i="4"/>
  <c r="AO176" i="4"/>
  <c r="AW176" i="4"/>
  <c r="BE176" i="4"/>
  <c r="K99" i="4"/>
  <c r="L113" i="4"/>
  <c r="BG115" i="4"/>
  <c r="AX118" i="4"/>
  <c r="L121" i="4"/>
  <c r="R123" i="4"/>
  <c r="X125" i="4"/>
  <c r="G127" i="4"/>
  <c r="T128" i="4"/>
  <c r="AC129" i="4"/>
  <c r="AF130" i="4"/>
  <c r="AI131" i="4"/>
  <c r="AL132" i="4"/>
  <c r="AO133" i="4"/>
  <c r="AR134" i="4"/>
  <c r="AU135" i="4"/>
  <c r="AI136" i="4"/>
  <c r="F137" i="4"/>
  <c r="AL137" i="4"/>
  <c r="I138" i="4"/>
  <c r="AO138" i="4"/>
  <c r="L139" i="4"/>
  <c r="AR139" i="4"/>
  <c r="O140" i="4"/>
  <c r="AU140" i="4"/>
  <c r="R141" i="4"/>
  <c r="AW141" i="4"/>
  <c r="I142" i="4"/>
  <c r="Y142" i="4"/>
  <c r="AO142" i="4"/>
  <c r="BE142" i="4"/>
  <c r="L143" i="4"/>
  <c r="AB143" i="4"/>
  <c r="AR143" i="4"/>
  <c r="BH143" i="4"/>
  <c r="O144" i="4"/>
  <c r="AE144" i="4"/>
  <c r="AU144" i="4"/>
  <c r="B145" i="4"/>
  <c r="R145" i="4"/>
  <c r="AH145" i="4"/>
  <c r="AX145" i="4"/>
  <c r="E146" i="4"/>
  <c r="U146" i="4"/>
  <c r="AK146" i="4"/>
  <c r="BA146" i="4"/>
  <c r="H147" i="4"/>
  <c r="X147" i="4"/>
  <c r="AN147" i="4"/>
  <c r="BD147" i="4"/>
  <c r="K148" i="4"/>
  <c r="Y148" i="4"/>
  <c r="AL148" i="4"/>
  <c r="AY148" i="4"/>
  <c r="B149" i="4"/>
  <c r="P149" i="4"/>
  <c r="AB149" i="4"/>
  <c r="AO149" i="4"/>
  <c r="BB149" i="4"/>
  <c r="E150" i="4"/>
  <c r="S150" i="4"/>
  <c r="AE150" i="4"/>
  <c r="AR150" i="4"/>
  <c r="BE150" i="4"/>
  <c r="H151" i="4"/>
  <c r="V151" i="4"/>
  <c r="AH151" i="4"/>
  <c r="AU151" i="4"/>
  <c r="BH151" i="4"/>
  <c r="K152" i="4"/>
  <c r="Y152" i="4"/>
  <c r="AK152" i="4"/>
  <c r="AX152" i="4"/>
  <c r="B153" i="4"/>
  <c r="M153" i="4"/>
  <c r="W153" i="4"/>
  <c r="AH153" i="4"/>
  <c r="AS153" i="4"/>
  <c r="BC153" i="4"/>
  <c r="E154" i="4"/>
  <c r="P154" i="4"/>
  <c r="Z154" i="4"/>
  <c r="AK154" i="4"/>
  <c r="AV154" i="4"/>
  <c r="BD154" i="4"/>
  <c r="C155" i="4"/>
  <c r="K155" i="4"/>
  <c r="S155" i="4"/>
  <c r="AA155" i="4"/>
  <c r="AI155" i="4"/>
  <c r="AQ155" i="4"/>
  <c r="AY155" i="4"/>
  <c r="BG155" i="4"/>
  <c r="F156" i="4"/>
  <c r="N156" i="4"/>
  <c r="V156" i="4"/>
  <c r="AD156" i="4"/>
  <c r="AL156" i="4"/>
  <c r="AT156" i="4"/>
  <c r="BB156" i="4"/>
  <c r="A157" i="4"/>
  <c r="I157" i="4"/>
  <c r="Q157" i="4"/>
  <c r="Y157" i="4"/>
  <c r="AG157" i="4"/>
  <c r="AO157" i="4"/>
  <c r="AW157" i="4"/>
  <c r="BE157" i="4"/>
  <c r="D158" i="4"/>
  <c r="L158" i="4"/>
  <c r="T158" i="4"/>
  <c r="AB158" i="4"/>
  <c r="AJ158" i="4"/>
  <c r="AR158" i="4"/>
  <c r="AZ158" i="4"/>
  <c r="BH158" i="4"/>
  <c r="G159" i="4"/>
  <c r="O159" i="4"/>
  <c r="W159" i="4"/>
  <c r="AE159" i="4"/>
  <c r="AM159" i="4"/>
  <c r="AU159" i="4"/>
  <c r="BC159" i="4"/>
  <c r="B160" i="4"/>
  <c r="J160" i="4"/>
  <c r="R160" i="4"/>
  <c r="Z160" i="4"/>
  <c r="AH160" i="4"/>
  <c r="AP160" i="4"/>
  <c r="AX160" i="4"/>
  <c r="BF160" i="4"/>
  <c r="E161" i="4"/>
  <c r="M161" i="4"/>
  <c r="U161" i="4"/>
  <c r="AC161" i="4"/>
  <c r="AK161" i="4"/>
  <c r="AS161" i="4"/>
  <c r="BA161" i="4"/>
  <c r="BI161" i="4"/>
  <c r="H162" i="4"/>
  <c r="P162" i="4"/>
  <c r="X162" i="4"/>
  <c r="AF162" i="4"/>
  <c r="AN162" i="4"/>
  <c r="AV162" i="4"/>
  <c r="BD162" i="4"/>
  <c r="C163" i="4"/>
  <c r="K163" i="4"/>
  <c r="S163" i="4"/>
  <c r="AA163" i="4"/>
  <c r="AI163" i="4"/>
  <c r="AQ163" i="4"/>
  <c r="AY163" i="4"/>
  <c r="BG163" i="4"/>
  <c r="F164" i="4"/>
  <c r="N164" i="4"/>
  <c r="V164" i="4"/>
  <c r="AD164" i="4"/>
  <c r="AL164" i="4"/>
  <c r="AT164" i="4"/>
  <c r="BB164" i="4"/>
  <c r="A165" i="4"/>
  <c r="I165" i="4"/>
  <c r="Q165" i="4"/>
  <c r="Y165" i="4"/>
  <c r="AG165" i="4"/>
  <c r="AO165" i="4"/>
  <c r="AW165" i="4"/>
  <c r="BE165" i="4"/>
  <c r="D166" i="4"/>
  <c r="L166" i="4"/>
  <c r="T166" i="4"/>
  <c r="AB166" i="4"/>
  <c r="AJ166" i="4"/>
  <c r="AR166" i="4"/>
  <c r="AZ166" i="4"/>
  <c r="BH166" i="4"/>
  <c r="G167" i="4"/>
  <c r="O167" i="4"/>
  <c r="W167" i="4"/>
  <c r="AE167" i="4"/>
  <c r="AM167" i="4"/>
  <c r="AU167" i="4"/>
  <c r="BC167" i="4"/>
  <c r="B168" i="4"/>
  <c r="J168" i="4"/>
  <c r="R168" i="4"/>
  <c r="Z168" i="4"/>
  <c r="AH168" i="4"/>
  <c r="AP168" i="4"/>
  <c r="AX168" i="4"/>
  <c r="BF168" i="4"/>
  <c r="E169" i="4"/>
  <c r="M169" i="4"/>
  <c r="U169" i="4"/>
  <c r="AC169" i="4"/>
  <c r="AK169" i="4"/>
  <c r="AS169" i="4"/>
  <c r="BA169" i="4"/>
  <c r="BI169" i="4"/>
  <c r="H170" i="4"/>
  <c r="P170" i="4"/>
  <c r="X170" i="4"/>
  <c r="AF170" i="4"/>
  <c r="AN170" i="4"/>
  <c r="AV170" i="4"/>
  <c r="BD170" i="4"/>
  <c r="C171" i="4"/>
  <c r="K171" i="4"/>
  <c r="S171" i="4"/>
  <c r="AA171" i="4"/>
  <c r="AI171" i="4"/>
  <c r="AQ171" i="4"/>
  <c r="AY171" i="4"/>
  <c r="BG171" i="4"/>
  <c r="F172" i="4"/>
  <c r="N172" i="4"/>
  <c r="V172" i="4"/>
  <c r="AD172" i="4"/>
  <c r="AL172" i="4"/>
  <c r="AT172" i="4"/>
  <c r="BB172" i="4"/>
  <c r="A173" i="4"/>
  <c r="I173" i="4"/>
  <c r="Q173" i="4"/>
  <c r="Y173" i="4"/>
  <c r="AG173" i="4"/>
  <c r="AO173" i="4"/>
  <c r="AW173" i="4"/>
  <c r="BE173" i="4"/>
  <c r="D174" i="4"/>
  <c r="L174" i="4"/>
  <c r="T174" i="4"/>
  <c r="AB174" i="4"/>
  <c r="AJ174" i="4"/>
  <c r="AR174" i="4"/>
  <c r="AZ174" i="4"/>
  <c r="BH174" i="4"/>
  <c r="G175" i="4"/>
  <c r="O175" i="4"/>
  <c r="W175" i="4"/>
  <c r="AE175" i="4"/>
  <c r="AM175" i="4"/>
  <c r="AU175" i="4"/>
  <c r="BC175" i="4"/>
  <c r="B176" i="4"/>
  <c r="J176" i="4"/>
  <c r="B102" i="4"/>
  <c r="AI113" i="4"/>
  <c r="U116" i="4"/>
  <c r="G119" i="4"/>
  <c r="AB121" i="4"/>
  <c r="AH123" i="4"/>
  <c r="AN125" i="4"/>
  <c r="Q127" i="4"/>
  <c r="AC128" i="4"/>
  <c r="AK129" i="4"/>
  <c r="AN130" i="4"/>
  <c r="AQ131" i="4"/>
  <c r="AT132" i="4"/>
  <c r="AW133" i="4"/>
  <c r="AZ134" i="4"/>
  <c r="BC135" i="4"/>
  <c r="AP136" i="4"/>
  <c r="M137" i="4"/>
  <c r="AS137" i="4"/>
  <c r="P138" i="4"/>
  <c r="AV138" i="4"/>
  <c r="S139" i="4"/>
  <c r="AY139" i="4"/>
  <c r="V140" i="4"/>
  <c r="BB140" i="4"/>
  <c r="Y141" i="4"/>
  <c r="AX141" i="4"/>
  <c r="K142" i="4"/>
  <c r="AA142" i="4"/>
  <c r="AQ142" i="4"/>
  <c r="BG142" i="4"/>
  <c r="N143" i="4"/>
  <c r="AD143" i="4"/>
  <c r="AT143" i="4"/>
  <c r="A144" i="4"/>
  <c r="Q144" i="4"/>
  <c r="AG144" i="4"/>
  <c r="AW144" i="4"/>
  <c r="D145" i="4"/>
  <c r="T145" i="4"/>
  <c r="AJ145" i="4"/>
  <c r="AZ145" i="4"/>
  <c r="G146" i="4"/>
  <c r="W146" i="4"/>
  <c r="AM146" i="4"/>
  <c r="BC146" i="4"/>
  <c r="J147" i="4"/>
  <c r="Z147" i="4"/>
  <c r="AP147" i="4"/>
  <c r="BF147" i="4"/>
  <c r="M148" i="4"/>
  <c r="AA148" i="4"/>
  <c r="AM148" i="4"/>
  <c r="BA148" i="4"/>
  <c r="D149" i="4"/>
  <c r="Q149" i="4"/>
  <c r="AD149" i="4"/>
  <c r="AP149" i="4"/>
  <c r="BD149" i="4"/>
  <c r="G150" i="4"/>
  <c r="T150" i="4"/>
  <c r="AG150" i="4"/>
  <c r="AS150" i="4"/>
  <c r="BG150" i="4"/>
  <c r="J151" i="4"/>
  <c r="W151" i="4"/>
  <c r="AJ151" i="4"/>
  <c r="AV151" i="4"/>
  <c r="A152" i="4"/>
  <c r="M152" i="4"/>
  <c r="Z152" i="4"/>
  <c r="AM152" i="4"/>
  <c r="AY152" i="4"/>
  <c r="D153" i="4"/>
  <c r="N153" i="4"/>
  <c r="X153" i="4"/>
  <c r="AJ153" i="4"/>
  <c r="AT153" i="4"/>
  <c r="BD153" i="4"/>
  <c r="G154" i="4"/>
  <c r="Q154" i="4"/>
  <c r="AA154" i="4"/>
  <c r="AM154" i="4"/>
  <c r="AW154" i="4"/>
  <c r="BE154" i="4"/>
  <c r="D155" i="4"/>
  <c r="L155" i="4"/>
  <c r="T155" i="4"/>
  <c r="AB155" i="4"/>
  <c r="AJ155" i="4"/>
  <c r="AR155" i="4"/>
  <c r="AZ155" i="4"/>
  <c r="BH155" i="4"/>
  <c r="G156" i="4"/>
  <c r="O156" i="4"/>
  <c r="W156" i="4"/>
  <c r="AE156" i="4"/>
  <c r="AM156" i="4"/>
  <c r="AU156" i="4"/>
  <c r="BC156" i="4"/>
  <c r="B157" i="4"/>
  <c r="J157" i="4"/>
  <c r="R157" i="4"/>
  <c r="Z157" i="4"/>
  <c r="AH157" i="4"/>
  <c r="AP157" i="4"/>
  <c r="AX157" i="4"/>
  <c r="BF157" i="4"/>
  <c r="E158" i="4"/>
  <c r="M158" i="4"/>
  <c r="U158" i="4"/>
  <c r="AC158" i="4"/>
  <c r="AK158" i="4"/>
  <c r="AS158" i="4"/>
  <c r="BA158" i="4"/>
  <c r="BI158" i="4"/>
  <c r="H159" i="4"/>
  <c r="P159" i="4"/>
  <c r="X159" i="4"/>
  <c r="AF159" i="4"/>
  <c r="AN159" i="4"/>
  <c r="AV159" i="4"/>
  <c r="BD159" i="4"/>
  <c r="C160" i="4"/>
  <c r="K160" i="4"/>
  <c r="S160" i="4"/>
  <c r="AA160" i="4"/>
  <c r="AI160" i="4"/>
  <c r="AQ160" i="4"/>
  <c r="AY160" i="4"/>
  <c r="BG160" i="4"/>
  <c r="F161" i="4"/>
  <c r="N161" i="4"/>
  <c r="V161" i="4"/>
  <c r="AD161" i="4"/>
  <c r="AL161" i="4"/>
  <c r="AT161" i="4"/>
  <c r="BB161" i="4"/>
  <c r="A162" i="4"/>
  <c r="I162" i="4"/>
  <c r="Q162" i="4"/>
  <c r="Y162" i="4"/>
  <c r="AG162" i="4"/>
  <c r="AO162" i="4"/>
  <c r="AW162" i="4"/>
  <c r="BE162" i="4"/>
  <c r="D163" i="4"/>
  <c r="L163" i="4"/>
  <c r="T163" i="4"/>
  <c r="AB163" i="4"/>
  <c r="AJ163" i="4"/>
  <c r="AR163" i="4"/>
  <c r="AZ163" i="4"/>
  <c r="BH163" i="4"/>
  <c r="G164" i="4"/>
  <c r="O164" i="4"/>
  <c r="W164" i="4"/>
  <c r="AE164" i="4"/>
  <c r="AM164" i="4"/>
  <c r="AU164" i="4"/>
  <c r="BC164" i="4"/>
  <c r="B165" i="4"/>
  <c r="J165" i="4"/>
  <c r="R165" i="4"/>
  <c r="Z165" i="4"/>
  <c r="AH165" i="4"/>
  <c r="AP165" i="4"/>
  <c r="AX165" i="4"/>
  <c r="BF165" i="4"/>
  <c r="E166" i="4"/>
  <c r="M166" i="4"/>
  <c r="U166" i="4"/>
  <c r="AC166" i="4"/>
  <c r="AK166" i="4"/>
  <c r="AS166" i="4"/>
  <c r="BA166" i="4"/>
  <c r="BI166" i="4"/>
  <c r="H167" i="4"/>
  <c r="P167" i="4"/>
  <c r="X167" i="4"/>
  <c r="AF167" i="4"/>
  <c r="AN167" i="4"/>
  <c r="AV167" i="4"/>
  <c r="BD167" i="4"/>
  <c r="C168" i="4"/>
  <c r="K168" i="4"/>
  <c r="S168" i="4"/>
  <c r="AA168" i="4"/>
  <c r="AI168" i="4"/>
  <c r="AQ168" i="4"/>
  <c r="AY168" i="4"/>
  <c r="BG168" i="4"/>
  <c r="F169" i="4"/>
  <c r="N169" i="4"/>
  <c r="V169" i="4"/>
  <c r="AD169" i="4"/>
  <c r="AL169" i="4"/>
  <c r="AT169" i="4"/>
  <c r="BB169" i="4"/>
  <c r="A170" i="4"/>
  <c r="I170" i="4"/>
  <c r="Q170" i="4"/>
  <c r="Y170" i="4"/>
  <c r="AG170" i="4"/>
  <c r="AO170" i="4"/>
  <c r="AW170" i="4"/>
  <c r="BE170" i="4"/>
  <c r="D171" i="4"/>
  <c r="L171" i="4"/>
  <c r="T171" i="4"/>
  <c r="AB171" i="4"/>
  <c r="AJ171" i="4"/>
  <c r="AR171" i="4"/>
  <c r="AZ171" i="4"/>
  <c r="BH171" i="4"/>
  <c r="G172" i="4"/>
  <c r="O172" i="4"/>
  <c r="W172" i="4"/>
  <c r="AE172" i="4"/>
  <c r="AM172" i="4"/>
  <c r="AU172" i="4"/>
  <c r="BC172" i="4"/>
  <c r="B173" i="4"/>
  <c r="J173" i="4"/>
  <c r="R173" i="4"/>
  <c r="Z173" i="4"/>
  <c r="AH173" i="4"/>
  <c r="AP173" i="4"/>
  <c r="AX173" i="4"/>
  <c r="BF173" i="4"/>
  <c r="E174" i="4"/>
  <c r="M174" i="4"/>
  <c r="U174" i="4"/>
  <c r="AC174" i="4"/>
  <c r="AK174" i="4"/>
  <c r="AS174" i="4"/>
  <c r="BA174" i="4"/>
  <c r="BI174" i="4"/>
  <c r="H175" i="4"/>
  <c r="P175" i="4"/>
  <c r="X175" i="4"/>
  <c r="AF175" i="4"/>
  <c r="AN175" i="4"/>
  <c r="AV175" i="4"/>
  <c r="BD175" i="4"/>
  <c r="C176" i="4"/>
  <c r="K176" i="4"/>
  <c r="S176" i="4"/>
  <c r="AA176" i="4"/>
  <c r="AI176" i="4"/>
  <c r="AQ176" i="4"/>
  <c r="AY176" i="4"/>
  <c r="BG176" i="4"/>
  <c r="F177" i="4"/>
  <c r="N177" i="4"/>
  <c r="V177" i="4"/>
  <c r="AD177" i="4"/>
  <c r="AL177" i="4"/>
  <c r="AT177" i="4"/>
  <c r="H104" i="4"/>
  <c r="BA113" i="4"/>
  <c r="AR116" i="4"/>
  <c r="AD119" i="4"/>
  <c r="AR121" i="4"/>
  <c r="AX123" i="4"/>
  <c r="BA125" i="4"/>
  <c r="Z127" i="4"/>
  <c r="AL128" i="4"/>
  <c r="AS129" i="4"/>
  <c r="AV130" i="4"/>
  <c r="AY131" i="4"/>
  <c r="BB132" i="4"/>
  <c r="BE133" i="4"/>
  <c r="BH134" i="4"/>
  <c r="B136" i="4"/>
  <c r="AQ136" i="4"/>
  <c r="N137" i="4"/>
  <c r="AT137" i="4"/>
  <c r="Q138" i="4"/>
  <c r="AW138" i="4"/>
  <c r="T139" i="4"/>
  <c r="AZ139" i="4"/>
  <c r="W140" i="4"/>
  <c r="BC140" i="4"/>
  <c r="Z141" i="4"/>
  <c r="BB141" i="4"/>
  <c r="L142" i="4"/>
  <c r="AB142" i="4"/>
  <c r="AR142" i="4"/>
  <c r="BH142" i="4"/>
  <c r="O143" i="4"/>
  <c r="AE143" i="4"/>
  <c r="AU143" i="4"/>
  <c r="B144" i="4"/>
  <c r="R144" i="4"/>
  <c r="AH144" i="4"/>
  <c r="AX144" i="4"/>
  <c r="E145" i="4"/>
  <c r="U145" i="4"/>
  <c r="AK145" i="4"/>
  <c r="BA145" i="4"/>
  <c r="H146" i="4"/>
  <c r="X146" i="4"/>
  <c r="AN146" i="4"/>
  <c r="BD146" i="4"/>
  <c r="K147" i="4"/>
  <c r="AA147" i="4"/>
  <c r="AQ147" i="4"/>
  <c r="BG147" i="4"/>
  <c r="N148" i="4"/>
  <c r="AC148" i="4"/>
  <c r="AO148" i="4"/>
  <c r="BB148" i="4"/>
  <c r="F149" i="4"/>
  <c r="R149" i="4"/>
  <c r="AF149" i="4"/>
  <c r="AR149" i="4"/>
  <c r="BE149" i="4"/>
  <c r="I150" i="4"/>
  <c r="U150" i="4"/>
  <c r="AI150" i="4"/>
  <c r="AU150" i="4"/>
  <c r="BH150" i="4"/>
  <c r="L151" i="4"/>
  <c r="X151" i="4"/>
  <c r="AL151" i="4"/>
  <c r="AX151" i="4"/>
  <c r="B152" i="4"/>
  <c r="O152" i="4"/>
  <c r="AA152" i="4"/>
  <c r="AO152" i="4"/>
  <c r="BA152" i="4"/>
  <c r="E153" i="4"/>
  <c r="O153" i="4"/>
  <c r="Z153" i="4"/>
  <c r="AK153" i="4"/>
  <c r="AU153" i="4"/>
  <c r="BF153" i="4"/>
  <c r="H154" i="4"/>
  <c r="R154" i="4"/>
  <c r="AC154" i="4"/>
  <c r="AN154" i="4"/>
  <c r="AX154" i="4"/>
  <c r="BF154" i="4"/>
  <c r="E155" i="4"/>
  <c r="M155" i="4"/>
  <c r="U155" i="4"/>
  <c r="AC155" i="4"/>
  <c r="AK155" i="4"/>
  <c r="AS155" i="4"/>
  <c r="BA155" i="4"/>
  <c r="BI155" i="4"/>
  <c r="H156" i="4"/>
  <c r="P156" i="4"/>
  <c r="X156" i="4"/>
  <c r="AF156" i="4"/>
  <c r="AN156" i="4"/>
  <c r="AV156" i="4"/>
  <c r="BD156" i="4"/>
  <c r="C157" i="4"/>
  <c r="K157" i="4"/>
  <c r="S157" i="4"/>
  <c r="AA157" i="4"/>
  <c r="AI157" i="4"/>
  <c r="AQ157" i="4"/>
  <c r="AY157" i="4"/>
  <c r="BG157" i="4"/>
  <c r="F158" i="4"/>
  <c r="N158" i="4"/>
  <c r="V158" i="4"/>
  <c r="AD158" i="4"/>
  <c r="AL158" i="4"/>
  <c r="AT158" i="4"/>
  <c r="BB158" i="4"/>
  <c r="A159" i="4"/>
  <c r="I159" i="4"/>
  <c r="Q159" i="4"/>
  <c r="Y159" i="4"/>
  <c r="AG159" i="4"/>
  <c r="AO159" i="4"/>
  <c r="AW159" i="4"/>
  <c r="BE159" i="4"/>
  <c r="D160" i="4"/>
  <c r="L160" i="4"/>
  <c r="T160" i="4"/>
  <c r="AB160" i="4"/>
  <c r="AJ160" i="4"/>
  <c r="AR160" i="4"/>
  <c r="AZ160" i="4"/>
  <c r="BH160" i="4"/>
  <c r="G161" i="4"/>
  <c r="O161" i="4"/>
  <c r="W161" i="4"/>
  <c r="AE161" i="4"/>
  <c r="AM161" i="4"/>
  <c r="AU161" i="4"/>
  <c r="BC161" i="4"/>
  <c r="B162" i="4"/>
  <c r="J162" i="4"/>
  <c r="R162" i="4"/>
  <c r="Z162" i="4"/>
  <c r="AH162" i="4"/>
  <c r="AP162" i="4"/>
  <c r="AX162" i="4"/>
  <c r="BF162" i="4"/>
  <c r="E163" i="4"/>
  <c r="M163" i="4"/>
  <c r="U163" i="4"/>
  <c r="AC163" i="4"/>
  <c r="AK163" i="4"/>
  <c r="AS163" i="4"/>
  <c r="BA163" i="4"/>
  <c r="BI163" i="4"/>
  <c r="H164" i="4"/>
  <c r="P164" i="4"/>
  <c r="X164" i="4"/>
  <c r="AF164" i="4"/>
  <c r="AN164" i="4"/>
  <c r="AV164" i="4"/>
  <c r="BD164" i="4"/>
  <c r="C165" i="4"/>
  <c r="K165" i="4"/>
  <c r="S165" i="4"/>
  <c r="AA165" i="4"/>
  <c r="AI165" i="4"/>
  <c r="AQ165" i="4"/>
  <c r="AY165" i="4"/>
  <c r="BG165" i="4"/>
  <c r="F166" i="4"/>
  <c r="N106" i="4"/>
  <c r="O114" i="4"/>
  <c r="A117" i="4"/>
  <c r="BA119" i="4"/>
  <c r="BH121" i="4"/>
  <c r="E124" i="4"/>
  <c r="D126" i="4"/>
  <c r="AI127" i="4"/>
  <c r="AU128" i="4"/>
  <c r="BA129" i="4"/>
  <c r="BD130" i="4"/>
  <c r="BG131" i="4"/>
  <c r="A133" i="4"/>
  <c r="D134" i="4"/>
  <c r="G135" i="4"/>
  <c r="J136" i="4"/>
  <c r="AX136" i="4"/>
  <c r="U137" i="4"/>
  <c r="BA137" i="4"/>
  <c r="X138" i="4"/>
  <c r="BD138" i="4"/>
  <c r="AA139" i="4"/>
  <c r="BG139" i="4"/>
  <c r="AD140" i="4"/>
  <c r="A141" i="4"/>
  <c r="AG141" i="4"/>
  <c r="BE141" i="4"/>
  <c r="M142" i="4"/>
  <c r="AC142" i="4"/>
  <c r="AS142" i="4"/>
  <c r="BI142" i="4"/>
  <c r="P143" i="4"/>
  <c r="AF143" i="4"/>
  <c r="AV143" i="4"/>
  <c r="C144" i="4"/>
  <c r="S144" i="4"/>
  <c r="AI144" i="4"/>
  <c r="AY144" i="4"/>
  <c r="F145" i="4"/>
  <c r="V145" i="4"/>
  <c r="AL145" i="4"/>
  <c r="BB145" i="4"/>
  <c r="I146" i="4"/>
  <c r="Y146" i="4"/>
  <c r="AO146" i="4"/>
  <c r="BE146" i="4"/>
  <c r="L147" i="4"/>
  <c r="AB147" i="4"/>
  <c r="AR147" i="4"/>
  <c r="BH147" i="4"/>
  <c r="O148" i="4"/>
  <c r="AD148" i="4"/>
  <c r="AQ148" i="4"/>
  <c r="BC148" i="4"/>
  <c r="H149" i="4"/>
  <c r="T149" i="4"/>
  <c r="AG149" i="4"/>
  <c r="AT149" i="4"/>
  <c r="BF149" i="4"/>
  <c r="K150" i="4"/>
  <c r="W150" i="4"/>
  <c r="AJ150" i="4"/>
  <c r="AW150" i="4"/>
  <c r="BI150" i="4"/>
  <c r="N151" i="4"/>
  <c r="Z151" i="4"/>
  <c r="AM151" i="4"/>
  <c r="AZ151" i="4"/>
  <c r="C152" i="4"/>
  <c r="Q152" i="4"/>
  <c r="AC152" i="4"/>
  <c r="AP152" i="4"/>
  <c r="BC152" i="4"/>
  <c r="F153" i="4"/>
  <c r="P153" i="4"/>
  <c r="AB153" i="4"/>
  <c r="AL153" i="4"/>
  <c r="AV153" i="4"/>
  <c r="BH153" i="4"/>
  <c r="I154" i="4"/>
  <c r="S154" i="4"/>
  <c r="AE154" i="4"/>
  <c r="AO154" i="4"/>
  <c r="AY154" i="4"/>
  <c r="BG154" i="4"/>
  <c r="F155" i="4"/>
  <c r="N155" i="4"/>
  <c r="V155" i="4"/>
  <c r="AD155" i="4"/>
  <c r="AL155" i="4"/>
  <c r="AT155" i="4"/>
  <c r="BB155" i="4"/>
  <c r="A156" i="4"/>
  <c r="I156" i="4"/>
  <c r="Q156" i="4"/>
  <c r="Y156" i="4"/>
  <c r="AG156" i="4"/>
  <c r="AO156" i="4"/>
  <c r="AW156" i="4"/>
  <c r="BE156" i="4"/>
  <c r="D157" i="4"/>
  <c r="L157" i="4"/>
  <c r="T157" i="4"/>
  <c r="AB157" i="4"/>
  <c r="AJ157" i="4"/>
  <c r="AR157" i="4"/>
  <c r="AZ157" i="4"/>
  <c r="BH157" i="4"/>
  <c r="G158" i="4"/>
  <c r="O158" i="4"/>
  <c r="W158" i="4"/>
  <c r="AE158" i="4"/>
  <c r="AM158" i="4"/>
  <c r="AU158" i="4"/>
  <c r="BC158" i="4"/>
  <c r="B159" i="4"/>
  <c r="J159" i="4"/>
  <c r="R159" i="4"/>
  <c r="Z159" i="4"/>
  <c r="AH159" i="4"/>
  <c r="AP159" i="4"/>
  <c r="AX159" i="4"/>
  <c r="BF159" i="4"/>
  <c r="E160" i="4"/>
  <c r="M160" i="4"/>
  <c r="U160" i="4"/>
  <c r="AC160" i="4"/>
  <c r="AK160" i="4"/>
  <c r="AS160" i="4"/>
  <c r="BA160" i="4"/>
  <c r="BI160" i="4"/>
  <c r="H161" i="4"/>
  <c r="P161" i="4"/>
  <c r="X161" i="4"/>
  <c r="AF161" i="4"/>
  <c r="AN161" i="4"/>
  <c r="AV161" i="4"/>
  <c r="BD161" i="4"/>
  <c r="C162" i="4"/>
  <c r="K162" i="4"/>
  <c r="S162" i="4"/>
  <c r="AA162" i="4"/>
  <c r="AI162" i="4"/>
  <c r="AQ162" i="4"/>
  <c r="AY162" i="4"/>
  <c r="BG162" i="4"/>
  <c r="F163" i="4"/>
  <c r="N163" i="4"/>
  <c r="V163" i="4"/>
  <c r="AD163" i="4"/>
  <c r="AL163" i="4"/>
  <c r="AT163" i="4"/>
  <c r="BB163" i="4"/>
  <c r="A164" i="4"/>
  <c r="I164" i="4"/>
  <c r="Q164" i="4"/>
  <c r="Y164" i="4"/>
  <c r="AG164" i="4"/>
  <c r="AO164" i="4"/>
  <c r="AW164" i="4"/>
  <c r="BE164" i="4"/>
  <c r="D165" i="4"/>
  <c r="L165" i="4"/>
  <c r="T165" i="4"/>
  <c r="AB165" i="4"/>
  <c r="AJ165" i="4"/>
  <c r="AR165" i="4"/>
  <c r="AZ165" i="4"/>
  <c r="BH165" i="4"/>
  <c r="G166" i="4"/>
  <c r="O166" i="4"/>
  <c r="W166" i="4"/>
  <c r="AE166" i="4"/>
  <c r="AM166" i="4"/>
  <c r="AU166" i="4"/>
  <c r="BC166" i="4"/>
  <c r="B167" i="4"/>
  <c r="J167" i="4"/>
  <c r="R167" i="4"/>
  <c r="Z167" i="4"/>
  <c r="AH167" i="4"/>
  <c r="AP167" i="4"/>
  <c r="AX167" i="4"/>
  <c r="BF167" i="4"/>
  <c r="E168" i="4"/>
  <c r="M168" i="4"/>
  <c r="U168" i="4"/>
  <c r="AC168" i="4"/>
  <c r="AK168" i="4"/>
  <c r="AS168" i="4"/>
  <c r="BA168" i="4"/>
  <c r="BI168" i="4"/>
  <c r="H169" i="4"/>
  <c r="P169" i="4"/>
  <c r="X169" i="4"/>
  <c r="AF169" i="4"/>
  <c r="AN169" i="4"/>
  <c r="AV169" i="4"/>
  <c r="BD169" i="4"/>
  <c r="C170" i="4"/>
  <c r="K170" i="4"/>
  <c r="S170" i="4"/>
  <c r="AA170" i="4"/>
  <c r="AI170" i="4"/>
  <c r="AQ170" i="4"/>
  <c r="AY170" i="4"/>
  <c r="BG170" i="4"/>
  <c r="F171" i="4"/>
  <c r="N171" i="4"/>
  <c r="V171" i="4"/>
  <c r="AD171" i="4"/>
  <c r="AL171" i="4"/>
  <c r="AT171" i="4"/>
  <c r="BB171" i="4"/>
  <c r="A172" i="4"/>
  <c r="I172" i="4"/>
  <c r="Q172" i="4"/>
  <c r="Y172" i="4"/>
  <c r="AG172" i="4"/>
  <c r="AO172" i="4"/>
  <c r="AW172" i="4"/>
  <c r="BE172" i="4"/>
  <c r="D173" i="4"/>
  <c r="L173" i="4"/>
  <c r="T173" i="4"/>
  <c r="AB173" i="4"/>
  <c r="AJ173" i="4"/>
  <c r="AR173" i="4"/>
  <c r="AZ173" i="4"/>
  <c r="BH173" i="4"/>
  <c r="G174" i="4"/>
  <c r="O174" i="4"/>
  <c r="W174" i="4"/>
  <c r="AE174" i="4"/>
  <c r="AM174" i="4"/>
  <c r="AU174" i="4"/>
  <c r="BC174" i="4"/>
  <c r="B175" i="4"/>
  <c r="J175" i="4"/>
  <c r="R175" i="4"/>
  <c r="Z175" i="4"/>
  <c r="AH175" i="4"/>
  <c r="AP175" i="4"/>
  <c r="AX175" i="4"/>
  <c r="BF175" i="4"/>
  <c r="E176" i="4"/>
  <c r="M176" i="4"/>
  <c r="U176" i="4"/>
  <c r="AC176" i="4"/>
  <c r="AK176" i="4"/>
  <c r="AS176" i="4"/>
  <c r="BA176" i="4"/>
  <c r="BI176" i="4"/>
  <c r="H177" i="4"/>
  <c r="P177" i="4"/>
  <c r="X177" i="4"/>
  <c r="AF177" i="4"/>
  <c r="AN177" i="4"/>
  <c r="E108" i="4"/>
  <c r="AL114" i="4"/>
  <c r="X117" i="4"/>
  <c r="I120" i="4"/>
  <c r="O122" i="4"/>
  <c r="U124" i="4"/>
  <c r="R126" i="4"/>
  <c r="AR127" i="4"/>
  <c r="BD128" i="4"/>
  <c r="BI129" i="4"/>
  <c r="C131" i="4"/>
  <c r="F132" i="4"/>
  <c r="I133" i="4"/>
  <c r="L134" i="4"/>
  <c r="O135" i="4"/>
  <c r="R136" i="4"/>
  <c r="AY136" i="4"/>
  <c r="V137" i="4"/>
  <c r="BB137" i="4"/>
  <c r="Y138" i="4"/>
  <c r="BE138" i="4"/>
  <c r="AB139" i="4"/>
  <c r="BH139" i="4"/>
  <c r="AE140" i="4"/>
  <c r="B141" i="4"/>
  <c r="AH141" i="4"/>
  <c r="BF141" i="4"/>
  <c r="Q142" i="4"/>
  <c r="AG142" i="4"/>
  <c r="AW142" i="4"/>
  <c r="D143" i="4"/>
  <c r="T143" i="4"/>
  <c r="AJ143" i="4"/>
  <c r="AZ143" i="4"/>
  <c r="G144" i="4"/>
  <c r="W144" i="4"/>
  <c r="AM144" i="4"/>
  <c r="BC144" i="4"/>
  <c r="J145" i="4"/>
  <c r="Z145" i="4"/>
  <c r="AP145" i="4"/>
  <c r="BF145" i="4"/>
  <c r="M146" i="4"/>
  <c r="AC146" i="4"/>
  <c r="AS146" i="4"/>
  <c r="BI146" i="4"/>
  <c r="P147" i="4"/>
  <c r="AF147" i="4"/>
  <c r="AV147" i="4"/>
  <c r="C148" i="4"/>
  <c r="S148" i="4"/>
  <c r="AE148" i="4"/>
  <c r="AS148" i="4"/>
  <c r="BE148" i="4"/>
  <c r="I149" i="4"/>
  <c r="V149" i="4"/>
  <c r="AH149" i="4"/>
  <c r="AV149" i="4"/>
  <c r="BH149" i="4"/>
  <c r="L150" i="4"/>
  <c r="Y150" i="4"/>
  <c r="AK150" i="4"/>
  <c r="AY150" i="4"/>
  <c r="B151" i="4"/>
  <c r="O151" i="4"/>
  <c r="AB151" i="4"/>
  <c r="AN151" i="4"/>
  <c r="BB151" i="4"/>
  <c r="E152" i="4"/>
  <c r="R152" i="4"/>
  <c r="AE152" i="4"/>
  <c r="AQ152" i="4"/>
  <c r="BE152" i="4"/>
  <c r="G153" i="4"/>
  <c r="R153" i="4"/>
  <c r="AC153" i="4"/>
  <c r="AM153" i="4"/>
  <c r="AX153" i="4"/>
  <c r="BI153" i="4"/>
  <c r="J154" i="4"/>
  <c r="U154" i="4"/>
  <c r="AF154" i="4"/>
  <c r="AP154" i="4"/>
  <c r="AZ154" i="4"/>
  <c r="BH154" i="4"/>
  <c r="G155" i="4"/>
  <c r="O155" i="4"/>
  <c r="W155" i="4"/>
  <c r="AE155" i="4"/>
  <c r="AM155" i="4"/>
  <c r="AU155" i="4"/>
  <c r="BC155" i="4"/>
  <c r="B156" i="4"/>
  <c r="J156" i="4"/>
  <c r="R156" i="4"/>
  <c r="Z156" i="4"/>
  <c r="AH156" i="4"/>
  <c r="AP156" i="4"/>
  <c r="AX156" i="4"/>
  <c r="BF156" i="4"/>
  <c r="E157" i="4"/>
  <c r="M157" i="4"/>
  <c r="U157" i="4"/>
  <c r="AC157" i="4"/>
  <c r="AK157" i="4"/>
  <c r="AS157" i="4"/>
  <c r="BA157" i="4"/>
  <c r="BI157" i="4"/>
  <c r="H158" i="4"/>
  <c r="P158" i="4"/>
  <c r="X158" i="4"/>
  <c r="AF158" i="4"/>
  <c r="AN158" i="4"/>
  <c r="AV158" i="4"/>
  <c r="BD158" i="4"/>
  <c r="C159" i="4"/>
  <c r="K159" i="4"/>
  <c r="S159" i="4"/>
  <c r="AA159" i="4"/>
  <c r="AI159" i="4"/>
  <c r="AQ159" i="4"/>
  <c r="AY159" i="4"/>
  <c r="BG159" i="4"/>
  <c r="F160" i="4"/>
  <c r="N160" i="4"/>
  <c r="V160" i="4"/>
  <c r="AD160" i="4"/>
  <c r="AL160" i="4"/>
  <c r="AT160" i="4"/>
  <c r="BB160" i="4"/>
  <c r="A161" i="4"/>
  <c r="I161" i="4"/>
  <c r="Q161" i="4"/>
  <c r="Y161" i="4"/>
  <c r="AG161" i="4"/>
  <c r="AO161" i="4"/>
  <c r="AW161" i="4"/>
  <c r="BE161" i="4"/>
  <c r="D162" i="4"/>
  <c r="L162" i="4"/>
  <c r="T162" i="4"/>
  <c r="AB162" i="4"/>
  <c r="AJ162" i="4"/>
  <c r="AR162" i="4"/>
  <c r="AZ162" i="4"/>
  <c r="BH162" i="4"/>
  <c r="G163" i="4"/>
  <c r="O163" i="4"/>
  <c r="W163" i="4"/>
  <c r="AE163" i="4"/>
  <c r="AM163" i="4"/>
  <c r="AU163" i="4"/>
  <c r="BC163" i="4"/>
  <c r="B164" i="4"/>
  <c r="J164" i="4"/>
  <c r="R164" i="4"/>
  <c r="Z164" i="4"/>
  <c r="AH164" i="4"/>
  <c r="AP164" i="4"/>
  <c r="AX164" i="4"/>
  <c r="BF164" i="4"/>
  <c r="E165" i="4"/>
  <c r="M165" i="4"/>
  <c r="U165" i="4"/>
  <c r="AC165" i="4"/>
  <c r="AK165" i="4"/>
  <c r="AS165" i="4"/>
  <c r="BA165" i="4"/>
  <c r="BI165" i="4"/>
  <c r="H166" i="4"/>
  <c r="P166" i="4"/>
  <c r="X166" i="4"/>
  <c r="AF166" i="4"/>
  <c r="AN166" i="4"/>
  <c r="AV166" i="4"/>
  <c r="BD166" i="4"/>
  <c r="C167" i="4"/>
  <c r="K167" i="4"/>
  <c r="S167" i="4"/>
  <c r="AA167" i="4"/>
  <c r="AI167" i="4"/>
  <c r="AQ167" i="4"/>
  <c r="AY167" i="4"/>
  <c r="BG167" i="4"/>
  <c r="F168" i="4"/>
  <c r="N168" i="4"/>
  <c r="V168" i="4"/>
  <c r="AD168" i="4"/>
  <c r="AL168" i="4"/>
  <c r="AA111" i="4"/>
  <c r="R115" i="4"/>
  <c r="D118" i="4"/>
  <c r="AO120" i="4"/>
  <c r="AU122" i="4"/>
  <c r="BA124" i="4"/>
  <c r="AQ126" i="4"/>
  <c r="A128" i="4"/>
  <c r="M129" i="4"/>
  <c r="P130" i="4"/>
  <c r="S131" i="4"/>
  <c r="V132" i="4"/>
  <c r="Y133" i="4"/>
  <c r="AB134" i="4"/>
  <c r="AE135" i="4"/>
  <c r="AA136" i="4"/>
  <c r="BG136" i="4"/>
  <c r="AD137" i="4"/>
  <c r="A138" i="4"/>
  <c r="AG138" i="4"/>
  <c r="D139" i="4"/>
  <c r="AJ139" i="4"/>
  <c r="G140" i="4"/>
  <c r="AM140" i="4"/>
  <c r="J141" i="4"/>
  <c r="AP141" i="4"/>
  <c r="D142" i="4"/>
  <c r="T142" i="4"/>
  <c r="AJ142" i="4"/>
  <c r="AZ142" i="4"/>
  <c r="G143" i="4"/>
  <c r="W143" i="4"/>
  <c r="AM143" i="4"/>
  <c r="BC143" i="4"/>
  <c r="J144" i="4"/>
  <c r="Z144" i="4"/>
  <c r="AP144" i="4"/>
  <c r="BF144" i="4"/>
  <c r="M145" i="4"/>
  <c r="AC145" i="4"/>
  <c r="AS145" i="4"/>
  <c r="BI145" i="4"/>
  <c r="P146" i="4"/>
  <c r="AF146" i="4"/>
  <c r="AV146" i="4"/>
  <c r="C147" i="4"/>
  <c r="S147" i="4"/>
  <c r="AI147" i="4"/>
  <c r="AY147" i="4"/>
  <c r="F148" i="4"/>
  <c r="V148" i="4"/>
  <c r="AI148" i="4"/>
  <c r="AU148" i="4"/>
  <c r="BI148" i="4"/>
  <c r="L149" i="4"/>
  <c r="Y149" i="4"/>
  <c r="AL149" i="4"/>
  <c r="AX149" i="4"/>
  <c r="C150" i="4"/>
  <c r="O150" i="4"/>
  <c r="AB150" i="4"/>
  <c r="AO150" i="4"/>
  <c r="BA150" i="4"/>
  <c r="F151" i="4"/>
  <c r="R151" i="4"/>
  <c r="AE151" i="4"/>
  <c r="AR151" i="4"/>
  <c r="BD151" i="4"/>
  <c r="I152" i="4"/>
  <c r="U152" i="4"/>
  <c r="AH152" i="4"/>
  <c r="AU152" i="4"/>
  <c r="BG152" i="4"/>
  <c r="J153" i="4"/>
  <c r="U153" i="4"/>
  <c r="AE153" i="4"/>
  <c r="AP153" i="4"/>
  <c r="BA153" i="4"/>
  <c r="B154" i="4"/>
  <c r="M154" i="4"/>
  <c r="X154" i="4"/>
  <c r="AH154" i="4"/>
  <c r="AS154" i="4"/>
  <c r="BB154" i="4"/>
  <c r="A155" i="4"/>
  <c r="I155" i="4"/>
  <c r="Q155" i="4"/>
  <c r="Y155" i="4"/>
  <c r="AG155" i="4"/>
  <c r="AO155" i="4"/>
  <c r="AW155" i="4"/>
  <c r="BE155" i="4"/>
  <c r="D156" i="4"/>
  <c r="L156" i="4"/>
  <c r="T156" i="4"/>
  <c r="AB156" i="4"/>
  <c r="AJ156" i="4"/>
  <c r="AR156" i="4"/>
  <c r="AZ156" i="4"/>
  <c r="BH156" i="4"/>
  <c r="G157" i="4"/>
  <c r="O157" i="4"/>
  <c r="W157" i="4"/>
  <c r="AE157" i="4"/>
  <c r="AM157" i="4"/>
  <c r="AU157" i="4"/>
  <c r="BC157" i="4"/>
  <c r="B158" i="4"/>
  <c r="J158" i="4"/>
  <c r="R158" i="4"/>
  <c r="Z158" i="4"/>
  <c r="AH158" i="4"/>
  <c r="AP158" i="4"/>
  <c r="AX158" i="4"/>
  <c r="BF158" i="4"/>
  <c r="E159" i="4"/>
  <c r="M159" i="4"/>
  <c r="U159" i="4"/>
  <c r="AC159" i="4"/>
  <c r="AK159" i="4"/>
  <c r="AS159" i="4"/>
  <c r="BA159" i="4"/>
  <c r="BI159" i="4"/>
  <c r="H160" i="4"/>
  <c r="P160" i="4"/>
  <c r="X160" i="4"/>
  <c r="AF160" i="4"/>
  <c r="AN160" i="4"/>
  <c r="AV160" i="4"/>
  <c r="BD160" i="4"/>
  <c r="C161" i="4"/>
  <c r="K161" i="4"/>
  <c r="S161" i="4"/>
  <c r="AA161" i="4"/>
  <c r="AI161" i="4"/>
  <c r="AQ161" i="4"/>
  <c r="AY161" i="4"/>
  <c r="BG161" i="4"/>
  <c r="F162" i="4"/>
  <c r="N162" i="4"/>
  <c r="V162" i="4"/>
  <c r="AD162" i="4"/>
  <c r="AL162" i="4"/>
  <c r="AT162" i="4"/>
  <c r="BB162" i="4"/>
  <c r="A163" i="4"/>
  <c r="I163" i="4"/>
  <c r="Q163" i="4"/>
  <c r="Y163" i="4"/>
  <c r="AG163" i="4"/>
  <c r="AO163" i="4"/>
  <c r="AW163" i="4"/>
  <c r="BE163" i="4"/>
  <c r="D164" i="4"/>
  <c r="L164" i="4"/>
  <c r="T164" i="4"/>
  <c r="AB164" i="4"/>
  <c r="AJ164" i="4"/>
  <c r="AR164" i="4"/>
  <c r="AZ164" i="4"/>
  <c r="BH164" i="4"/>
  <c r="G165" i="4"/>
  <c r="O165" i="4"/>
  <c r="W165" i="4"/>
  <c r="AE165" i="4"/>
  <c r="AM165" i="4"/>
  <c r="AU165" i="4"/>
  <c r="BC165" i="4"/>
  <c r="B166" i="4"/>
  <c r="J166" i="4"/>
  <c r="AU109" i="4"/>
  <c r="D129" i="4"/>
  <c r="BF136" i="4"/>
  <c r="I141" i="4"/>
  <c r="AL143" i="4"/>
  <c r="AR145" i="4"/>
  <c r="AX147" i="4"/>
  <c r="AJ149" i="4"/>
  <c r="P151" i="4"/>
  <c r="BF152" i="4"/>
  <c r="W154" i="4"/>
  <c r="AF155" i="4"/>
  <c r="AI156" i="4"/>
  <c r="AL157" i="4"/>
  <c r="AO158" i="4"/>
  <c r="AR159" i="4"/>
  <c r="AU160" i="4"/>
  <c r="AX161" i="4"/>
  <c r="BA162" i="4"/>
  <c r="BD163" i="4"/>
  <c r="BG164" i="4"/>
  <c r="A166" i="4"/>
  <c r="AD166" i="4"/>
  <c r="AX166" i="4"/>
  <c r="L167" i="4"/>
  <c r="AG167" i="4"/>
  <c r="BA167" i="4"/>
  <c r="O168" i="4"/>
  <c r="AJ168" i="4"/>
  <c r="BB168" i="4"/>
  <c r="I169" i="4"/>
  <c r="Y169" i="4"/>
  <c r="AO169" i="4"/>
  <c r="BE169" i="4"/>
  <c r="L170" i="4"/>
  <c r="AB170" i="4"/>
  <c r="AR170" i="4"/>
  <c r="BH170" i="4"/>
  <c r="O171" i="4"/>
  <c r="AE171" i="4"/>
  <c r="AU171" i="4"/>
  <c r="B172" i="4"/>
  <c r="R172" i="4"/>
  <c r="AH172" i="4"/>
  <c r="AX172" i="4"/>
  <c r="E173" i="4"/>
  <c r="U173" i="4"/>
  <c r="AK173" i="4"/>
  <c r="BA173" i="4"/>
  <c r="H174" i="4"/>
  <c r="X174" i="4"/>
  <c r="AN174" i="4"/>
  <c r="BD174" i="4"/>
  <c r="K175" i="4"/>
  <c r="AA175" i="4"/>
  <c r="AQ175" i="4"/>
  <c r="BG175" i="4"/>
  <c r="N176" i="4"/>
  <c r="Z176" i="4"/>
  <c r="AM176" i="4"/>
  <c r="AZ176" i="4"/>
  <c r="C177" i="4"/>
  <c r="M177" i="4"/>
  <c r="Y177" i="4"/>
  <c r="AI177" i="4"/>
  <c r="AS177" i="4"/>
  <c r="BB177" i="4"/>
  <c r="A178" i="4"/>
  <c r="I178" i="4"/>
  <c r="Q178" i="4"/>
  <c r="Y178" i="4"/>
  <c r="AG178" i="4"/>
  <c r="AO178" i="4"/>
  <c r="AW178" i="4"/>
  <c r="BE178" i="4"/>
  <c r="D179" i="4"/>
  <c r="L179" i="4"/>
  <c r="T179" i="4"/>
  <c r="AB179" i="4"/>
  <c r="AJ179" i="4"/>
  <c r="AR179" i="4"/>
  <c r="AZ179" i="4"/>
  <c r="BH179" i="4"/>
  <c r="G180" i="4"/>
  <c r="O180" i="4"/>
  <c r="W180" i="4"/>
  <c r="AE180" i="4"/>
  <c r="AM180" i="4"/>
  <c r="AU180" i="4"/>
  <c r="BC180" i="4"/>
  <c r="B181" i="4"/>
  <c r="J181" i="4"/>
  <c r="R181" i="4"/>
  <c r="Z181" i="4"/>
  <c r="AH181" i="4"/>
  <c r="AP181" i="4"/>
  <c r="AX181" i="4"/>
  <c r="BF181" i="4"/>
  <c r="E182" i="4"/>
  <c r="M182" i="4"/>
  <c r="U182" i="4"/>
  <c r="AC182" i="4"/>
  <c r="AK182" i="4"/>
  <c r="AS182" i="4"/>
  <c r="BA182" i="4"/>
  <c r="BI182" i="4"/>
  <c r="H183" i="4"/>
  <c r="P183" i="4"/>
  <c r="X183" i="4"/>
  <c r="AF183" i="4"/>
  <c r="AN183" i="4"/>
  <c r="AV183" i="4"/>
  <c r="BD183" i="4"/>
  <c r="C184" i="4"/>
  <c r="K184" i="4"/>
  <c r="S184" i="4"/>
  <c r="AA184" i="4"/>
  <c r="AI184" i="4"/>
  <c r="AQ184" i="4"/>
  <c r="AY184" i="4"/>
  <c r="BG184" i="4"/>
  <c r="F185" i="4"/>
  <c r="N185" i="4"/>
  <c r="V185" i="4"/>
  <c r="AD185" i="4"/>
  <c r="AL185" i="4"/>
  <c r="AT185" i="4"/>
  <c r="BB185" i="4"/>
  <c r="P180" i="4"/>
  <c r="AA181" i="4"/>
  <c r="AQ181" i="4"/>
  <c r="BG181" i="4"/>
  <c r="N182" i="4"/>
  <c r="V182" i="4"/>
  <c r="AL182" i="4"/>
  <c r="BB182" i="4"/>
  <c r="I183" i="4"/>
  <c r="Y183" i="4"/>
  <c r="AO183" i="4"/>
  <c r="BE183" i="4"/>
  <c r="L184" i="4"/>
  <c r="AB184" i="4"/>
  <c r="AR184" i="4"/>
  <c r="BH184" i="4"/>
  <c r="O185" i="4"/>
  <c r="AE185" i="4"/>
  <c r="AU185" i="4"/>
  <c r="J180" i="4"/>
  <c r="BA181" i="4"/>
  <c r="AN182" i="4"/>
  <c r="S183" i="4"/>
  <c r="AQ183" i="4"/>
  <c r="N184" i="4"/>
  <c r="AL184" i="4"/>
  <c r="Y185" i="4"/>
  <c r="BE185" i="4"/>
  <c r="BC181" i="4"/>
  <c r="E183" i="4"/>
  <c r="H184" i="4"/>
  <c r="AV184" i="4"/>
  <c r="AQ185" i="4"/>
  <c r="L145" i="4"/>
  <c r="AZ150" i="4"/>
  <c r="P155" i="4"/>
  <c r="AH161" i="4"/>
  <c r="AT166" i="4"/>
  <c r="AE168" i="4"/>
  <c r="AI169" i="4"/>
  <c r="BB170" i="4"/>
  <c r="L172" i="4"/>
  <c r="AE173" i="4"/>
  <c r="AX174" i="4"/>
  <c r="BA175" i="4"/>
  <c r="AV176" i="4"/>
  <c r="AZ177" i="4"/>
  <c r="AE178" i="4"/>
  <c r="B179" i="4"/>
  <c r="AX179" i="4"/>
  <c r="AK180" i="4"/>
  <c r="X181" i="4"/>
  <c r="S182" i="4"/>
  <c r="N183" i="4"/>
  <c r="I184" i="4"/>
  <c r="AO184" i="4"/>
  <c r="AB185" i="4"/>
  <c r="BD114" i="4"/>
  <c r="H130" i="4"/>
  <c r="AC137" i="4"/>
  <c r="AO141" i="4"/>
  <c r="BB143" i="4"/>
  <c r="BH145" i="4"/>
  <c r="E148" i="4"/>
  <c r="AW149" i="4"/>
  <c r="AD151" i="4"/>
  <c r="H153" i="4"/>
  <c r="AG154" i="4"/>
  <c r="AN155" i="4"/>
  <c r="AQ156" i="4"/>
  <c r="AT157" i="4"/>
  <c r="AW158" i="4"/>
  <c r="AZ159" i="4"/>
  <c r="BC160" i="4"/>
  <c r="BF161" i="4"/>
  <c r="BI162" i="4"/>
  <c r="C164" i="4"/>
  <c r="F165" i="4"/>
  <c r="I166" i="4"/>
  <c r="AG166" i="4"/>
  <c r="BB166" i="4"/>
  <c r="M167" i="4"/>
  <c r="AJ167" i="4"/>
  <c r="BE167" i="4"/>
  <c r="P168" i="4"/>
  <c r="AM168" i="4"/>
  <c r="BC168" i="4"/>
  <c r="J169" i="4"/>
  <c r="Z169" i="4"/>
  <c r="AP169" i="4"/>
  <c r="BF169" i="4"/>
  <c r="M170" i="4"/>
  <c r="AC170" i="4"/>
  <c r="AS170" i="4"/>
  <c r="BI170" i="4"/>
  <c r="P171" i="4"/>
  <c r="AF171" i="4"/>
  <c r="AV171" i="4"/>
  <c r="C172" i="4"/>
  <c r="S172" i="4"/>
  <c r="AI172" i="4"/>
  <c r="AY172" i="4"/>
  <c r="F173" i="4"/>
  <c r="V173" i="4"/>
  <c r="AL173" i="4"/>
  <c r="BB173" i="4"/>
  <c r="I174" i="4"/>
  <c r="Y174" i="4"/>
  <c r="AO174" i="4"/>
  <c r="BE174" i="4"/>
  <c r="L175" i="4"/>
  <c r="AB175" i="4"/>
  <c r="AR175" i="4"/>
  <c r="BH175" i="4"/>
  <c r="O176" i="4"/>
  <c r="AB176" i="4"/>
  <c r="AN176" i="4"/>
  <c r="BB176" i="4"/>
  <c r="D177" i="4"/>
  <c r="O177" i="4"/>
  <c r="Z177" i="4"/>
  <c r="AJ177" i="4"/>
  <c r="AU177" i="4"/>
  <c r="BC177" i="4"/>
  <c r="B178" i="4"/>
  <c r="J178" i="4"/>
  <c r="R178" i="4"/>
  <c r="Z178" i="4"/>
  <c r="AH178" i="4"/>
  <c r="AP178" i="4"/>
  <c r="AX178" i="4"/>
  <c r="BF178" i="4"/>
  <c r="E179" i="4"/>
  <c r="M179" i="4"/>
  <c r="U179" i="4"/>
  <c r="AC179" i="4"/>
  <c r="AK179" i="4"/>
  <c r="AS179" i="4"/>
  <c r="BA179" i="4"/>
  <c r="BI179" i="4"/>
  <c r="H180" i="4"/>
  <c r="X180" i="4"/>
  <c r="AF180" i="4"/>
  <c r="AN180" i="4"/>
  <c r="AV180" i="4"/>
  <c r="BD180" i="4"/>
  <c r="C181" i="4"/>
  <c r="K181" i="4"/>
  <c r="S181" i="4"/>
  <c r="AI181" i="4"/>
  <c r="AY181" i="4"/>
  <c r="F182" i="4"/>
  <c r="AD182" i="4"/>
  <c r="AT182" i="4"/>
  <c r="A183" i="4"/>
  <c r="Q183" i="4"/>
  <c r="AG183" i="4"/>
  <c r="AW183" i="4"/>
  <c r="D184" i="4"/>
  <c r="T184" i="4"/>
  <c r="AJ184" i="4"/>
  <c r="AZ184" i="4"/>
  <c r="G185" i="4"/>
  <c r="W185" i="4"/>
  <c r="AM185" i="4"/>
  <c r="BC185" i="4"/>
  <c r="AX180" i="4"/>
  <c r="X182" i="4"/>
  <c r="C183" i="4"/>
  <c r="AA183" i="4"/>
  <c r="AY183" i="4"/>
  <c r="V184" i="4"/>
  <c r="AT184" i="4"/>
  <c r="A185" i="4"/>
  <c r="AG185" i="4"/>
  <c r="AW185" i="4"/>
  <c r="R182" i="4"/>
  <c r="AC183" i="4"/>
  <c r="BI183" i="4"/>
  <c r="AN184" i="4"/>
  <c r="S185" i="4"/>
  <c r="AY185" i="4"/>
  <c r="R147" i="4"/>
  <c r="B174" i="4"/>
  <c r="BF179" i="4"/>
  <c r="AT183" i="4"/>
  <c r="AU117" i="4"/>
  <c r="K131" i="4"/>
  <c r="BI137" i="4"/>
  <c r="A142" i="4"/>
  <c r="I144" i="4"/>
  <c r="O146" i="4"/>
  <c r="U148" i="4"/>
  <c r="A150" i="4"/>
  <c r="AP151" i="4"/>
  <c r="T153" i="4"/>
  <c r="AQ154" i="4"/>
  <c r="AV155" i="4"/>
  <c r="AY156" i="4"/>
  <c r="BB157" i="4"/>
  <c r="BE158" i="4"/>
  <c r="BH159" i="4"/>
  <c r="B161" i="4"/>
  <c r="E162" i="4"/>
  <c r="H163" i="4"/>
  <c r="K164" i="4"/>
  <c r="N165" i="4"/>
  <c r="N166" i="4"/>
  <c r="AH166" i="4"/>
  <c r="BE166" i="4"/>
  <c r="Q167" i="4"/>
  <c r="AK167" i="4"/>
  <c r="BH167" i="4"/>
  <c r="T168" i="4"/>
  <c r="AN168" i="4"/>
  <c r="BD168" i="4"/>
  <c r="K169" i="4"/>
  <c r="AA169" i="4"/>
  <c r="AQ169" i="4"/>
  <c r="BG169" i="4"/>
  <c r="N170" i="4"/>
  <c r="AD170" i="4"/>
  <c r="AT170" i="4"/>
  <c r="A171" i="4"/>
  <c r="Q171" i="4"/>
  <c r="AG171" i="4"/>
  <c r="AW171" i="4"/>
  <c r="D172" i="4"/>
  <c r="T172" i="4"/>
  <c r="AJ172" i="4"/>
  <c r="AZ172" i="4"/>
  <c r="G173" i="4"/>
  <c r="W173" i="4"/>
  <c r="AM173" i="4"/>
  <c r="BC173" i="4"/>
  <c r="J174" i="4"/>
  <c r="Z174" i="4"/>
  <c r="AP174" i="4"/>
  <c r="BF174" i="4"/>
  <c r="M175" i="4"/>
  <c r="AC175" i="4"/>
  <c r="AS175" i="4"/>
  <c r="BI175" i="4"/>
  <c r="P176" i="4"/>
  <c r="AD176" i="4"/>
  <c r="AP176" i="4"/>
  <c r="BC176" i="4"/>
  <c r="E177" i="4"/>
  <c r="Q177" i="4"/>
  <c r="AA177" i="4"/>
  <c r="AK177" i="4"/>
  <c r="AV177" i="4"/>
  <c r="BD177" i="4"/>
  <c r="C178" i="4"/>
  <c r="K178" i="4"/>
  <c r="S178" i="4"/>
  <c r="AA178" i="4"/>
  <c r="AI178" i="4"/>
  <c r="AQ178" i="4"/>
  <c r="AY178" i="4"/>
  <c r="BG178" i="4"/>
  <c r="F179" i="4"/>
  <c r="N179" i="4"/>
  <c r="V179" i="4"/>
  <c r="AD179" i="4"/>
  <c r="AL179" i="4"/>
  <c r="AT179" i="4"/>
  <c r="BB179" i="4"/>
  <c r="A180" i="4"/>
  <c r="I180" i="4"/>
  <c r="Q180" i="4"/>
  <c r="Y180" i="4"/>
  <c r="AG180" i="4"/>
  <c r="AO180" i="4"/>
  <c r="AW180" i="4"/>
  <c r="BE180" i="4"/>
  <c r="D181" i="4"/>
  <c r="L181" i="4"/>
  <c r="T181" i="4"/>
  <c r="AB181" i="4"/>
  <c r="AJ181" i="4"/>
  <c r="AR181" i="4"/>
  <c r="AZ181" i="4"/>
  <c r="BH181" i="4"/>
  <c r="G182" i="4"/>
  <c r="O182" i="4"/>
  <c r="W182" i="4"/>
  <c r="AE182" i="4"/>
  <c r="AM182" i="4"/>
  <c r="AU182" i="4"/>
  <c r="BC182" i="4"/>
  <c r="B183" i="4"/>
  <c r="J183" i="4"/>
  <c r="R183" i="4"/>
  <c r="Z183" i="4"/>
  <c r="AH183" i="4"/>
  <c r="AP183" i="4"/>
  <c r="AX183" i="4"/>
  <c r="BF183" i="4"/>
  <c r="E184" i="4"/>
  <c r="M184" i="4"/>
  <c r="U184" i="4"/>
  <c r="AC184" i="4"/>
  <c r="AK184" i="4"/>
  <c r="AS184" i="4"/>
  <c r="BA184" i="4"/>
  <c r="BI184" i="4"/>
  <c r="H185" i="4"/>
  <c r="P185" i="4"/>
  <c r="X185" i="4"/>
  <c r="AF185" i="4"/>
  <c r="AN185" i="4"/>
  <c r="AV185" i="4"/>
  <c r="BD185" i="4"/>
  <c r="G179" i="4"/>
  <c r="B180" i="4"/>
  <c r="Z180" i="4"/>
  <c r="BF180" i="4"/>
  <c r="M181" i="4"/>
  <c r="AC181" i="4"/>
  <c r="AS181" i="4"/>
  <c r="BI181" i="4"/>
  <c r="P182" i="4"/>
  <c r="AF182" i="4"/>
  <c r="AV182" i="4"/>
  <c r="K183" i="4"/>
  <c r="AI183" i="4"/>
  <c r="BG183" i="4"/>
  <c r="AD184" i="4"/>
  <c r="BB184" i="4"/>
  <c r="I185" i="4"/>
  <c r="AO185" i="4"/>
  <c r="AU181" i="4"/>
  <c r="BF182" i="4"/>
  <c r="AS183" i="4"/>
  <c r="X184" i="4"/>
  <c r="C185" i="4"/>
  <c r="BG185" i="4"/>
  <c r="W135" i="4"/>
  <c r="J149" i="4"/>
  <c r="V157" i="4"/>
  <c r="AK162" i="4"/>
  <c r="Y166" i="4"/>
  <c r="AB167" i="4"/>
  <c r="S169" i="4"/>
  <c r="F170" i="4"/>
  <c r="Y171" i="4"/>
  <c r="AB172" i="4"/>
  <c r="AU173" i="4"/>
  <c r="E175" i="4"/>
  <c r="AJ176" i="4"/>
  <c r="U177" i="4"/>
  <c r="BH177" i="4"/>
  <c r="AM178" i="4"/>
  <c r="R179" i="4"/>
  <c r="E180" i="4"/>
  <c r="AS180" i="4"/>
  <c r="AF181" i="4"/>
  <c r="C182" i="4"/>
  <c r="AI182" i="4"/>
  <c r="F183" i="4"/>
  <c r="AL183" i="4"/>
  <c r="Y184" i="4"/>
  <c r="AW184" i="4"/>
  <c r="T185" i="4"/>
  <c r="BH185" i="4"/>
  <c r="Y120" i="4"/>
  <c r="N132" i="4"/>
  <c r="AF138" i="4"/>
  <c r="S142" i="4"/>
  <c r="Y144" i="4"/>
  <c r="AE146" i="4"/>
  <c r="AG148" i="4"/>
  <c r="M150" i="4"/>
  <c r="BC151" i="4"/>
  <c r="AD153" i="4"/>
  <c r="BA154" i="4"/>
  <c r="BD155" i="4"/>
  <c r="BG156" i="4"/>
  <c r="A158" i="4"/>
  <c r="D159" i="4"/>
  <c r="G160" i="4"/>
  <c r="J161" i="4"/>
  <c r="M162" i="4"/>
  <c r="P163" i="4"/>
  <c r="S164" i="4"/>
  <c r="V165" i="4"/>
  <c r="Q166" i="4"/>
  <c r="AL166" i="4"/>
  <c r="BF166" i="4"/>
  <c r="T167" i="4"/>
  <c r="AO167" i="4"/>
  <c r="BI167" i="4"/>
  <c r="W168" i="4"/>
  <c r="AR168" i="4"/>
  <c r="BH168" i="4"/>
  <c r="O169" i="4"/>
  <c r="AE169" i="4"/>
  <c r="AU169" i="4"/>
  <c r="B170" i="4"/>
  <c r="R170" i="4"/>
  <c r="AH170" i="4"/>
  <c r="AX170" i="4"/>
  <c r="E171" i="4"/>
  <c r="U171" i="4"/>
  <c r="AK171" i="4"/>
  <c r="BA171" i="4"/>
  <c r="H172" i="4"/>
  <c r="X172" i="4"/>
  <c r="AN172" i="4"/>
  <c r="BD172" i="4"/>
  <c r="K173" i="4"/>
  <c r="AA173" i="4"/>
  <c r="AQ173" i="4"/>
  <c r="BG173" i="4"/>
  <c r="N174" i="4"/>
  <c r="AD174" i="4"/>
  <c r="AT174" i="4"/>
  <c r="A175" i="4"/>
  <c r="Q175" i="4"/>
  <c r="AG175" i="4"/>
  <c r="AW175" i="4"/>
  <c r="D176" i="4"/>
  <c r="R176" i="4"/>
  <c r="AE176" i="4"/>
  <c r="AR176" i="4"/>
  <c r="BD176" i="4"/>
  <c r="G177" i="4"/>
  <c r="R177" i="4"/>
  <c r="AB177" i="4"/>
  <c r="AM177" i="4"/>
  <c r="AW177" i="4"/>
  <c r="BE177" i="4"/>
  <c r="D178" i="4"/>
  <c r="L178" i="4"/>
  <c r="T178" i="4"/>
  <c r="AB178" i="4"/>
  <c r="AJ178" i="4"/>
  <c r="AR178" i="4"/>
  <c r="AZ178" i="4"/>
  <c r="BH178" i="4"/>
  <c r="O179" i="4"/>
  <c r="W179" i="4"/>
  <c r="AE179" i="4"/>
  <c r="AM179" i="4"/>
  <c r="AU179" i="4"/>
  <c r="BC179" i="4"/>
  <c r="R180" i="4"/>
  <c r="AH180" i="4"/>
  <c r="AP180" i="4"/>
  <c r="E181" i="4"/>
  <c r="U181" i="4"/>
  <c r="AK181" i="4"/>
  <c r="H182" i="4"/>
  <c r="BD182" i="4"/>
  <c r="F184" i="4"/>
  <c r="Q185" i="4"/>
  <c r="AP182" i="4"/>
  <c r="P184" i="4"/>
  <c r="AA185" i="4"/>
  <c r="F140" i="4"/>
  <c r="S156" i="4"/>
  <c r="AQ164" i="4"/>
  <c r="H168" i="4"/>
  <c r="V170" i="4"/>
  <c r="BH172" i="4"/>
  <c r="H176" i="4"/>
  <c r="AG177" i="4"/>
  <c r="W178" i="4"/>
  <c r="J179" i="4"/>
  <c r="M180" i="4"/>
  <c r="BI180" i="4"/>
  <c r="BD181" i="4"/>
  <c r="AY182" i="4"/>
  <c r="BB183" i="4"/>
  <c r="D185" i="4"/>
  <c r="AE122" i="4"/>
  <c r="Q133" i="4"/>
  <c r="C139" i="4"/>
  <c r="AI142" i="4"/>
  <c r="AO144" i="4"/>
  <c r="AU146" i="4"/>
  <c r="AT148" i="4"/>
  <c r="AA150" i="4"/>
  <c r="G152" i="4"/>
  <c r="AN153" i="4"/>
  <c r="BI154" i="4"/>
  <c r="C156" i="4"/>
  <c r="F157" i="4"/>
  <c r="I158" i="4"/>
  <c r="L159" i="4"/>
  <c r="O160" i="4"/>
  <c r="R161" i="4"/>
  <c r="U162" i="4"/>
  <c r="X163" i="4"/>
  <c r="AA164" i="4"/>
  <c r="AD165" i="4"/>
  <c r="R166" i="4"/>
  <c r="AO166" i="4"/>
  <c r="A167" i="4"/>
  <c r="U167" i="4"/>
  <c r="AR167" i="4"/>
  <c r="D168" i="4"/>
  <c r="X168" i="4"/>
  <c r="AT168" i="4"/>
  <c r="A169" i="4"/>
  <c r="Q169" i="4"/>
  <c r="AG169" i="4"/>
  <c r="AW169" i="4"/>
  <c r="D170" i="4"/>
  <c r="T170" i="4"/>
  <c r="AJ170" i="4"/>
  <c r="AZ170" i="4"/>
  <c r="G171" i="4"/>
  <c r="W171" i="4"/>
  <c r="AM171" i="4"/>
  <c r="BC171" i="4"/>
  <c r="J172" i="4"/>
  <c r="Z172" i="4"/>
  <c r="AP172" i="4"/>
  <c r="BF172" i="4"/>
  <c r="M173" i="4"/>
  <c r="AC173" i="4"/>
  <c r="AS173" i="4"/>
  <c r="BI173" i="4"/>
  <c r="P174" i="4"/>
  <c r="AF174" i="4"/>
  <c r="AV174" i="4"/>
  <c r="C175" i="4"/>
  <c r="S175" i="4"/>
  <c r="AI175" i="4"/>
  <c r="AY175" i="4"/>
  <c r="F176" i="4"/>
  <c r="T176" i="4"/>
  <c r="AF176" i="4"/>
  <c r="AT176" i="4"/>
  <c r="BF176" i="4"/>
  <c r="I177" i="4"/>
  <c r="S177" i="4"/>
  <c r="AC177" i="4"/>
  <c r="AO177" i="4"/>
  <c r="AX177" i="4"/>
  <c r="BF177" i="4"/>
  <c r="E178" i="4"/>
  <c r="M178" i="4"/>
  <c r="U178" i="4"/>
  <c r="AC178" i="4"/>
  <c r="AK178" i="4"/>
  <c r="AS178" i="4"/>
  <c r="BA178" i="4"/>
  <c r="BI178" i="4"/>
  <c r="H179" i="4"/>
  <c r="P179" i="4"/>
  <c r="X179" i="4"/>
  <c r="AF179" i="4"/>
  <c r="AN179" i="4"/>
  <c r="AV179" i="4"/>
  <c r="BD179" i="4"/>
  <c r="C180" i="4"/>
  <c r="K180" i="4"/>
  <c r="S180" i="4"/>
  <c r="AA180" i="4"/>
  <c r="AI180" i="4"/>
  <c r="AQ180" i="4"/>
  <c r="AY180" i="4"/>
  <c r="BG180" i="4"/>
  <c r="F181" i="4"/>
  <c r="N181" i="4"/>
  <c r="V181" i="4"/>
  <c r="AD181" i="4"/>
  <c r="AL181" i="4"/>
  <c r="AT181" i="4"/>
  <c r="BB181" i="4"/>
  <c r="A182" i="4"/>
  <c r="I182" i="4"/>
  <c r="Q182" i="4"/>
  <c r="Y182" i="4"/>
  <c r="AG182" i="4"/>
  <c r="AO182" i="4"/>
  <c r="AW182" i="4"/>
  <c r="BE182" i="4"/>
  <c r="D183" i="4"/>
  <c r="L183" i="4"/>
  <c r="T183" i="4"/>
  <c r="AB183" i="4"/>
  <c r="AJ183" i="4"/>
  <c r="AR183" i="4"/>
  <c r="AZ183" i="4"/>
  <c r="BH183" i="4"/>
  <c r="G184" i="4"/>
  <c r="O184" i="4"/>
  <c r="W184" i="4"/>
  <c r="AE184" i="4"/>
  <c r="AM184" i="4"/>
  <c r="AU184" i="4"/>
  <c r="BC184" i="4"/>
  <c r="B185" i="4"/>
  <c r="J185" i="4"/>
  <c r="R185" i="4"/>
  <c r="Z185" i="4"/>
  <c r="AH185" i="4"/>
  <c r="AP185" i="4"/>
  <c r="AX185" i="4"/>
  <c r="BF185" i="4"/>
  <c r="Q174" i="4"/>
  <c r="AP177" i="4"/>
  <c r="N178" i="4"/>
  <c r="AD178" i="4"/>
  <c r="AT178" i="4"/>
  <c r="A179" i="4"/>
  <c r="I179" i="4"/>
  <c r="Y179" i="4"/>
  <c r="AG179" i="4"/>
  <c r="AW179" i="4"/>
  <c r="D180" i="4"/>
  <c r="T180" i="4"/>
  <c r="AB180" i="4"/>
  <c r="AR180" i="4"/>
  <c r="AZ180" i="4"/>
  <c r="G181" i="4"/>
  <c r="W181" i="4"/>
  <c r="AM181" i="4"/>
  <c r="B182" i="4"/>
  <c r="Z182" i="4"/>
  <c r="AX182" i="4"/>
  <c r="U183" i="4"/>
  <c r="AK183" i="4"/>
  <c r="AF184" i="4"/>
  <c r="K185" i="4"/>
  <c r="AI185" i="4"/>
  <c r="AD126" i="4"/>
  <c r="AG152" i="4"/>
  <c r="AE160" i="4"/>
  <c r="AT165" i="4"/>
  <c r="AV168" i="4"/>
  <c r="AL170" i="4"/>
  <c r="AO171" i="4"/>
  <c r="AR172" i="4"/>
  <c r="R174" i="4"/>
  <c r="U175" i="4"/>
  <c r="W176" i="4"/>
  <c r="K177" i="4"/>
  <c r="G178" i="4"/>
  <c r="AU178" i="4"/>
  <c r="AH179" i="4"/>
  <c r="U180" i="4"/>
  <c r="BA180" i="4"/>
  <c r="P181" i="4"/>
  <c r="AV181" i="4"/>
  <c r="AA182" i="4"/>
  <c r="BG182" i="4"/>
  <c r="AD183" i="4"/>
  <c r="Q184" i="4"/>
  <c r="BE184" i="4"/>
  <c r="AJ185" i="4"/>
  <c r="AK124" i="4"/>
  <c r="T134" i="4"/>
  <c r="AI139" i="4"/>
  <c r="AY142" i="4"/>
  <c r="BE144" i="4"/>
  <c r="B147" i="4"/>
  <c r="BG148" i="4"/>
  <c r="AM150" i="4"/>
  <c r="S152" i="4"/>
  <c r="AZ153" i="4"/>
  <c r="H155" i="4"/>
  <c r="K156" i="4"/>
  <c r="N157" i="4"/>
  <c r="Q158" i="4"/>
  <c r="T159" i="4"/>
  <c r="W160" i="4"/>
  <c r="Z161" i="4"/>
  <c r="AC162" i="4"/>
  <c r="AF163" i="4"/>
  <c r="AI164" i="4"/>
  <c r="AL165" i="4"/>
  <c r="V166" i="4"/>
  <c r="AP166" i="4"/>
  <c r="D167" i="4"/>
  <c r="Y167" i="4"/>
  <c r="AS167" i="4"/>
  <c r="G168" i="4"/>
  <c r="AB168" i="4"/>
  <c r="AU168" i="4"/>
  <c r="B169" i="4"/>
  <c r="R169" i="4"/>
  <c r="AH169" i="4"/>
  <c r="AX169" i="4"/>
  <c r="E170" i="4"/>
  <c r="U170" i="4"/>
  <c r="AK170" i="4"/>
  <c r="BA170" i="4"/>
  <c r="H171" i="4"/>
  <c r="X171" i="4"/>
  <c r="AN171" i="4"/>
  <c r="BD171" i="4"/>
  <c r="K172" i="4"/>
  <c r="AA172" i="4"/>
  <c r="AQ172" i="4"/>
  <c r="BG172" i="4"/>
  <c r="N173" i="4"/>
  <c r="AD173" i="4"/>
  <c r="AT173" i="4"/>
  <c r="A174" i="4"/>
  <c r="AG174" i="4"/>
  <c r="AW174" i="4"/>
  <c r="D175" i="4"/>
  <c r="T175" i="4"/>
  <c r="AJ175" i="4"/>
  <c r="AZ175" i="4"/>
  <c r="G176" i="4"/>
  <c r="V176" i="4"/>
  <c r="AH176" i="4"/>
  <c r="AU176" i="4"/>
  <c r="BH176" i="4"/>
  <c r="J177" i="4"/>
  <c r="T177" i="4"/>
  <c r="AE177" i="4"/>
  <c r="AY177" i="4"/>
  <c r="BG177" i="4"/>
  <c r="F178" i="4"/>
  <c r="V178" i="4"/>
  <c r="AL178" i="4"/>
  <c r="BB178" i="4"/>
  <c r="Q179" i="4"/>
  <c r="AO179" i="4"/>
  <c r="BE179" i="4"/>
  <c r="L180" i="4"/>
  <c r="AJ180" i="4"/>
  <c r="BH180" i="4"/>
  <c r="O181" i="4"/>
  <c r="AE181" i="4"/>
  <c r="J182" i="4"/>
  <c r="AH182" i="4"/>
  <c r="M183" i="4"/>
  <c r="BA183" i="4"/>
  <c r="BD184" i="4"/>
  <c r="F143" i="4"/>
  <c r="A154" i="4"/>
  <c r="AB159" i="4"/>
  <c r="AN163" i="4"/>
  <c r="E167" i="4"/>
  <c r="AW167" i="4"/>
  <c r="C169" i="4"/>
  <c r="AY169" i="4"/>
  <c r="I171" i="4"/>
  <c r="BE171" i="4"/>
  <c r="O173" i="4"/>
  <c r="AH174" i="4"/>
  <c r="AK175" i="4"/>
  <c r="A177" i="4"/>
  <c r="AQ177" i="4"/>
  <c r="O178" i="4"/>
  <c r="BC178" i="4"/>
  <c r="Z179" i="4"/>
  <c r="AC180" i="4"/>
  <c r="H181" i="4"/>
  <c r="AN181" i="4"/>
  <c r="K182" i="4"/>
  <c r="AQ182" i="4"/>
  <c r="V183" i="4"/>
  <c r="A184" i="4"/>
  <c r="AG184" i="4"/>
  <c r="L185" i="4"/>
  <c r="AZ185" i="4"/>
  <c r="BA127" i="4"/>
  <c r="Z136" i="4"/>
  <c r="AL140" i="4"/>
  <c r="V143" i="4"/>
  <c r="AB145" i="4"/>
  <c r="AH147" i="4"/>
  <c r="X149" i="4"/>
  <c r="D151" i="4"/>
  <c r="AS152" i="4"/>
  <c r="K154" i="4"/>
  <c r="X155" i="4"/>
  <c r="AA156" i="4"/>
  <c r="AD157" i="4"/>
  <c r="AG158" i="4"/>
  <c r="AJ159" i="4"/>
  <c r="AM160" i="4"/>
  <c r="AP161" i="4"/>
  <c r="AS162" i="4"/>
  <c r="AV163" i="4"/>
  <c r="AY164" i="4"/>
  <c r="BB165" i="4"/>
  <c r="Z166" i="4"/>
  <c r="AW166" i="4"/>
  <c r="I167" i="4"/>
  <c r="AC167" i="4"/>
  <c r="AZ167" i="4"/>
  <c r="L168" i="4"/>
  <c r="AF168" i="4"/>
  <c r="AZ168" i="4"/>
  <c r="G169" i="4"/>
  <c r="W169" i="4"/>
  <c r="AM169" i="4"/>
  <c r="BC169" i="4"/>
  <c r="J170" i="4"/>
  <c r="Z170" i="4"/>
  <c r="AP170" i="4"/>
  <c r="BF170" i="4"/>
  <c r="M171" i="4"/>
  <c r="AC171" i="4"/>
  <c r="AS171" i="4"/>
  <c r="BI171" i="4"/>
  <c r="P172" i="4"/>
  <c r="AF172" i="4"/>
  <c r="AV172" i="4"/>
  <c r="C173" i="4"/>
  <c r="S173" i="4"/>
  <c r="AI173" i="4"/>
  <c r="AY173" i="4"/>
  <c r="F174" i="4"/>
  <c r="V174" i="4"/>
  <c r="AL174" i="4"/>
  <c r="BB174" i="4"/>
  <c r="I175" i="4"/>
  <c r="Y175" i="4"/>
  <c r="AO175" i="4"/>
  <c r="BE175" i="4"/>
  <c r="L176" i="4"/>
  <c r="X176" i="4"/>
  <c r="AL176" i="4"/>
  <c r="AX176" i="4"/>
  <c r="B177" i="4"/>
  <c r="L177" i="4"/>
  <c r="W177" i="4"/>
  <c r="AH177" i="4"/>
  <c r="AR177" i="4"/>
  <c r="BA177" i="4"/>
  <c r="BI177" i="4"/>
  <c r="H178" i="4"/>
  <c r="P178" i="4"/>
  <c r="X178" i="4"/>
  <c r="AF178" i="4"/>
  <c r="AN178" i="4"/>
  <c r="AV178" i="4"/>
  <c r="BD178" i="4"/>
  <c r="C179" i="4"/>
  <c r="K179" i="4"/>
  <c r="S179" i="4"/>
  <c r="AA179" i="4"/>
  <c r="AI179" i="4"/>
  <c r="AQ179" i="4"/>
  <c r="AY179" i="4"/>
  <c r="BG179" i="4"/>
  <c r="F180" i="4"/>
  <c r="N180" i="4"/>
  <c r="V180" i="4"/>
  <c r="AD180" i="4"/>
  <c r="AL180" i="4"/>
  <c r="AT180" i="4"/>
  <c r="BB180" i="4"/>
  <c r="A181" i="4"/>
  <c r="I181" i="4"/>
  <c r="Q181" i="4"/>
  <c r="Y181" i="4"/>
  <c r="AG181" i="4"/>
  <c r="AO181" i="4"/>
  <c r="AW181" i="4"/>
  <c r="BE181" i="4"/>
  <c r="D182" i="4"/>
  <c r="L182" i="4"/>
  <c r="T182" i="4"/>
  <c r="AB182" i="4"/>
  <c r="AJ182" i="4"/>
  <c r="AR182" i="4"/>
  <c r="AZ182" i="4"/>
  <c r="BH182" i="4"/>
  <c r="G183" i="4"/>
  <c r="O183" i="4"/>
  <c r="W183" i="4"/>
  <c r="AE183" i="4"/>
  <c r="AM183" i="4"/>
  <c r="AU183" i="4"/>
  <c r="BC183" i="4"/>
  <c r="B184" i="4"/>
  <c r="J184" i="4"/>
  <c r="R184" i="4"/>
  <c r="Z184" i="4"/>
  <c r="AH184" i="4"/>
  <c r="AP184" i="4"/>
  <c r="AX184" i="4"/>
  <c r="BF184" i="4"/>
  <c r="E185" i="4"/>
  <c r="M185" i="4"/>
  <c r="U185" i="4"/>
  <c r="AC185" i="4"/>
  <c r="AK185" i="4"/>
  <c r="AS185" i="4"/>
  <c r="BA185" i="4"/>
  <c r="BI185" i="4"/>
  <c r="Y158" i="4"/>
  <c r="AP179" i="4"/>
  <c r="AR185" i="4"/>
  <c r="A1" i="2"/>
  <c r="I1" i="2"/>
  <c r="Q1" i="2"/>
  <c r="Y1" i="2"/>
  <c r="AG1" i="2"/>
  <c r="AO1" i="2"/>
  <c r="AW1" i="2"/>
  <c r="BE1" i="2"/>
  <c r="D2" i="2"/>
  <c r="L2" i="2"/>
  <c r="T2" i="2"/>
  <c r="AB2" i="2"/>
  <c r="AJ2" i="2"/>
  <c r="AR2" i="2"/>
  <c r="AZ2" i="2"/>
  <c r="BH2" i="2"/>
  <c r="G3" i="2"/>
  <c r="O3" i="2"/>
  <c r="W3" i="2"/>
  <c r="AE3" i="2"/>
  <c r="AM3" i="2"/>
  <c r="AU3" i="2"/>
  <c r="BC3" i="2"/>
  <c r="B4" i="2"/>
  <c r="J4" i="2"/>
  <c r="R4" i="2"/>
  <c r="Z4" i="2"/>
  <c r="AH4" i="2"/>
  <c r="AP4" i="2"/>
  <c r="AX4" i="2"/>
  <c r="BF4" i="2"/>
  <c r="E5" i="2"/>
  <c r="M5" i="2"/>
  <c r="U5" i="2"/>
  <c r="AC5" i="2"/>
  <c r="AK5" i="2"/>
  <c r="AS5" i="2"/>
  <c r="BA5" i="2"/>
  <c r="BI5" i="2"/>
  <c r="H6" i="2"/>
  <c r="P6" i="2"/>
  <c r="X6" i="2"/>
  <c r="AF6" i="2"/>
  <c r="AN6" i="2"/>
  <c r="AV6" i="2"/>
  <c r="BD6" i="2"/>
  <c r="C7" i="2"/>
  <c r="K7" i="2"/>
  <c r="S7" i="2"/>
  <c r="AA7" i="2"/>
  <c r="AI7" i="2"/>
  <c r="AQ7" i="2"/>
  <c r="AY7" i="2"/>
  <c r="BG7" i="2"/>
  <c r="F8" i="2"/>
  <c r="N8" i="2"/>
  <c r="V8" i="2"/>
  <c r="AD8" i="2"/>
  <c r="AL8" i="2"/>
  <c r="AT8" i="2"/>
  <c r="BB8" i="2"/>
  <c r="A9" i="2"/>
  <c r="I9" i="2"/>
  <c r="Q9" i="2"/>
  <c r="Y9" i="2"/>
  <c r="AG9" i="2"/>
  <c r="AO9" i="2"/>
  <c r="AW9" i="2"/>
  <c r="BE9" i="2"/>
  <c r="D10" i="2"/>
  <c r="L10" i="2"/>
  <c r="T10" i="2"/>
  <c r="AB10" i="2"/>
  <c r="AJ10" i="2"/>
  <c r="AR10" i="2"/>
  <c r="AZ10" i="2"/>
  <c r="BH10" i="2"/>
  <c r="G11" i="2"/>
  <c r="O11" i="2"/>
  <c r="W11" i="2"/>
  <c r="AE11" i="2"/>
  <c r="AM11" i="2"/>
  <c r="AU11" i="2"/>
  <c r="BC11" i="2"/>
  <c r="B12" i="2"/>
  <c r="B1" i="2"/>
  <c r="J1" i="2"/>
  <c r="R1" i="2"/>
  <c r="Z1" i="2"/>
  <c r="AH1" i="2"/>
  <c r="AP1" i="2"/>
  <c r="AX1" i="2"/>
  <c r="BF1" i="2"/>
  <c r="E2" i="2"/>
  <c r="M2" i="2"/>
  <c r="U2" i="2"/>
  <c r="AC2" i="2"/>
  <c r="AK2" i="2"/>
  <c r="AS2" i="2"/>
  <c r="BA2" i="2"/>
  <c r="BI2" i="2"/>
  <c r="H3" i="2"/>
  <c r="P3" i="2"/>
  <c r="X3" i="2"/>
  <c r="AF3" i="2"/>
  <c r="AN3" i="2"/>
  <c r="AV3" i="2"/>
  <c r="BD3" i="2"/>
  <c r="C4" i="2"/>
  <c r="K4" i="2"/>
  <c r="S4" i="2"/>
  <c r="AA4" i="2"/>
  <c r="AI4" i="2"/>
  <c r="AQ4" i="2"/>
  <c r="AY4" i="2"/>
  <c r="BG4" i="2"/>
  <c r="F5" i="2"/>
  <c r="N5" i="2"/>
  <c r="V5" i="2"/>
  <c r="AD5" i="2"/>
  <c r="AL5" i="2"/>
  <c r="AT5" i="2"/>
  <c r="BB5" i="2"/>
  <c r="A6" i="2"/>
  <c r="I6" i="2"/>
  <c r="Q6" i="2"/>
  <c r="Y6" i="2"/>
  <c r="AG6" i="2"/>
  <c r="AO6" i="2"/>
  <c r="AW6" i="2"/>
  <c r="BE6" i="2"/>
  <c r="D7" i="2"/>
  <c r="L7" i="2"/>
  <c r="T7" i="2"/>
  <c r="AB7" i="2"/>
  <c r="AJ7" i="2"/>
  <c r="AR7" i="2"/>
  <c r="AZ7" i="2"/>
  <c r="BH7" i="2"/>
  <c r="G8" i="2"/>
  <c r="O8" i="2"/>
  <c r="W8" i="2"/>
  <c r="AE8" i="2"/>
  <c r="AM8" i="2"/>
  <c r="AU8" i="2"/>
  <c r="BC8" i="2"/>
  <c r="B9" i="2"/>
  <c r="J9" i="2"/>
  <c r="R9" i="2"/>
  <c r="Z9" i="2"/>
  <c r="AH9" i="2"/>
  <c r="AP9" i="2"/>
  <c r="AX9" i="2"/>
  <c r="BF9" i="2"/>
  <c r="E10" i="2"/>
  <c r="M10" i="2"/>
  <c r="U10" i="2"/>
  <c r="AC10" i="2"/>
  <c r="AK10" i="2"/>
  <c r="AS10" i="2"/>
  <c r="BA10" i="2"/>
  <c r="BI10" i="2"/>
  <c r="H11" i="2"/>
  <c r="P11" i="2"/>
  <c r="X11" i="2"/>
  <c r="AF11" i="2"/>
  <c r="AN11" i="2"/>
  <c r="AV11" i="2"/>
  <c r="BD11" i="2"/>
  <c r="C12" i="2"/>
  <c r="C1" i="2"/>
  <c r="K1" i="2"/>
  <c r="S1" i="2"/>
  <c r="AA1" i="2"/>
  <c r="AI1" i="2"/>
  <c r="AQ1" i="2"/>
  <c r="AY1" i="2"/>
  <c r="BG1" i="2"/>
  <c r="F2" i="2"/>
  <c r="N2" i="2"/>
  <c r="V2" i="2"/>
  <c r="AD2" i="2"/>
  <c r="AL2" i="2"/>
  <c r="AT2" i="2"/>
  <c r="BB2" i="2"/>
  <c r="A3" i="2"/>
  <c r="I3" i="2"/>
  <c r="Q3" i="2"/>
  <c r="Y3" i="2"/>
  <c r="AG3" i="2"/>
  <c r="AO3" i="2"/>
  <c r="AW3" i="2"/>
  <c r="BE3" i="2"/>
  <c r="D4" i="2"/>
  <c r="L4" i="2"/>
  <c r="T4" i="2"/>
  <c r="AB4" i="2"/>
  <c r="AJ4" i="2"/>
  <c r="AR4" i="2"/>
  <c r="AZ4" i="2"/>
  <c r="BH4" i="2"/>
  <c r="G5" i="2"/>
  <c r="O5" i="2"/>
  <c r="W5" i="2"/>
  <c r="AE5" i="2"/>
  <c r="AM5" i="2"/>
  <c r="AU5" i="2"/>
  <c r="BC5" i="2"/>
  <c r="B6" i="2"/>
  <c r="J6" i="2"/>
  <c r="R6" i="2"/>
  <c r="Z6" i="2"/>
  <c r="AH6" i="2"/>
  <c r="AP6" i="2"/>
  <c r="AX6" i="2"/>
  <c r="BF6" i="2"/>
  <c r="E7" i="2"/>
  <c r="M7" i="2"/>
  <c r="U7" i="2"/>
  <c r="AC7" i="2"/>
  <c r="AK7" i="2"/>
  <c r="AS7" i="2"/>
  <c r="BA7" i="2"/>
  <c r="BI7" i="2"/>
  <c r="H8" i="2"/>
  <c r="P8" i="2"/>
  <c r="X8" i="2"/>
  <c r="AF8" i="2"/>
  <c r="AN8" i="2"/>
  <c r="AV8" i="2"/>
  <c r="BD8" i="2"/>
  <c r="C9" i="2"/>
  <c r="D1" i="2"/>
  <c r="L1" i="2"/>
  <c r="T1" i="2"/>
  <c r="AB1" i="2"/>
  <c r="AJ1" i="2"/>
  <c r="AR1" i="2"/>
  <c r="AZ1" i="2"/>
  <c r="BH1" i="2"/>
  <c r="G2" i="2"/>
  <c r="O2" i="2"/>
  <c r="W2" i="2"/>
  <c r="AE2" i="2"/>
  <c r="AM2" i="2"/>
  <c r="AU2" i="2"/>
  <c r="BC2" i="2"/>
  <c r="B3" i="2"/>
  <c r="J3" i="2"/>
  <c r="R3" i="2"/>
  <c r="Z3" i="2"/>
  <c r="AH3" i="2"/>
  <c r="AP3" i="2"/>
  <c r="AX3" i="2"/>
  <c r="BF3" i="2"/>
  <c r="E4" i="2"/>
  <c r="M4" i="2"/>
  <c r="U4" i="2"/>
  <c r="AC4" i="2"/>
  <c r="AK4" i="2"/>
  <c r="AS4" i="2"/>
  <c r="BA4" i="2"/>
  <c r="BI4" i="2"/>
  <c r="H5" i="2"/>
  <c r="P5" i="2"/>
  <c r="X5" i="2"/>
  <c r="AF5" i="2"/>
  <c r="AN5" i="2"/>
  <c r="E1" i="2"/>
  <c r="M1" i="2"/>
  <c r="U1" i="2"/>
  <c r="AC1" i="2"/>
  <c r="AK1" i="2"/>
  <c r="AS1" i="2"/>
  <c r="BA1" i="2"/>
  <c r="BI1" i="2"/>
  <c r="H2" i="2"/>
  <c r="P2" i="2"/>
  <c r="X2" i="2"/>
  <c r="AF2" i="2"/>
  <c r="AN2" i="2"/>
  <c r="AV2" i="2"/>
  <c r="BD2" i="2"/>
  <c r="C3" i="2"/>
  <c r="K3" i="2"/>
  <c r="S3" i="2"/>
  <c r="AA3" i="2"/>
  <c r="F1" i="2"/>
  <c r="X1" i="2"/>
  <c r="AU1" i="2"/>
  <c r="I2" i="2"/>
  <c r="AA2" i="2"/>
  <c r="AX2" i="2"/>
  <c r="L3" i="2"/>
  <c r="AD3" i="2"/>
  <c r="AT3" i="2"/>
  <c r="A4" i="2"/>
  <c r="Q4" i="2"/>
  <c r="AG4" i="2"/>
  <c r="AW4" i="2"/>
  <c r="D5" i="2"/>
  <c r="T5" i="2"/>
  <c r="AJ5" i="2"/>
  <c r="AY5" i="2"/>
  <c r="D6" i="2"/>
  <c r="O6" i="2"/>
  <c r="AC6" i="2"/>
  <c r="AQ6" i="2"/>
  <c r="BB6" i="2"/>
  <c r="G7" i="2"/>
  <c r="R7" i="2"/>
  <c r="AF7" i="2"/>
  <c r="AT7" i="2"/>
  <c r="BE7" i="2"/>
  <c r="J8" i="2"/>
  <c r="U8" i="2"/>
  <c r="AI8" i="2"/>
  <c r="AW8" i="2"/>
  <c r="BH8" i="2"/>
  <c r="L9" i="2"/>
  <c r="V9" i="2"/>
  <c r="AF9" i="2"/>
  <c r="AR9" i="2"/>
  <c r="BB9" i="2"/>
  <c r="C10" i="2"/>
  <c r="O10" i="2"/>
  <c r="Y10" i="2"/>
  <c r="AI10" i="2"/>
  <c r="AU10" i="2"/>
  <c r="BE10" i="2"/>
  <c r="F11" i="2"/>
  <c r="R11" i="2"/>
  <c r="AB11" i="2"/>
  <c r="AL11" i="2"/>
  <c r="AX11" i="2"/>
  <c r="BH11" i="2"/>
  <c r="I12" i="2"/>
  <c r="Q12" i="2"/>
  <c r="Y12" i="2"/>
  <c r="AG12" i="2"/>
  <c r="AO12" i="2"/>
  <c r="AW12" i="2"/>
  <c r="BE12" i="2"/>
  <c r="D13" i="2"/>
  <c r="L13" i="2"/>
  <c r="T13" i="2"/>
  <c r="AB13" i="2"/>
  <c r="AJ13" i="2"/>
  <c r="AR13" i="2"/>
  <c r="AZ13" i="2"/>
  <c r="BH13" i="2"/>
  <c r="G14" i="2"/>
  <c r="O14" i="2"/>
  <c r="W14" i="2"/>
  <c r="AE14" i="2"/>
  <c r="AM14" i="2"/>
  <c r="AU14" i="2"/>
  <c r="BC14" i="2"/>
  <c r="B15" i="2"/>
  <c r="J15" i="2"/>
  <c r="R15" i="2"/>
  <c r="Z15" i="2"/>
  <c r="AH15" i="2"/>
  <c r="AP15" i="2"/>
  <c r="AX15" i="2"/>
  <c r="BF15" i="2"/>
  <c r="E16" i="2"/>
  <c r="M16" i="2"/>
  <c r="U16" i="2"/>
  <c r="AC16" i="2"/>
  <c r="AK16" i="2"/>
  <c r="AS16" i="2"/>
  <c r="G1" i="2"/>
  <c r="AD1" i="2"/>
  <c r="AV1" i="2"/>
  <c r="J2" i="2"/>
  <c r="AG2" i="2"/>
  <c r="AY2" i="2"/>
  <c r="M3" i="2"/>
  <c r="AI3" i="2"/>
  <c r="AY3" i="2"/>
  <c r="F4" i="2"/>
  <c r="V4" i="2"/>
  <c r="AL4" i="2"/>
  <c r="BB4" i="2"/>
  <c r="I5" i="2"/>
  <c r="Y5" i="2"/>
  <c r="AO5" i="2"/>
  <c r="AZ5" i="2"/>
  <c r="E6" i="2"/>
  <c r="S6" i="2"/>
  <c r="AD6" i="2"/>
  <c r="AR6" i="2"/>
  <c r="O1" i="2"/>
  <c r="AN1" i="2"/>
  <c r="K2" i="2"/>
  <c r="AO2" i="2"/>
  <c r="E3" i="2"/>
  <c r="AJ3" i="2"/>
  <c r="BB3" i="2"/>
  <c r="O4" i="2"/>
  <c r="AM4" i="2"/>
  <c r="BE4" i="2"/>
  <c r="R5" i="2"/>
  <c r="AP5" i="2"/>
  <c r="BF5" i="2"/>
  <c r="M6" i="2"/>
  <c r="AE6" i="2"/>
  <c r="AU6" i="2"/>
  <c r="A7" i="2"/>
  <c r="P7" i="2"/>
  <c r="AE7" i="2"/>
  <c r="AU7" i="2"/>
  <c r="A8" i="2"/>
  <c r="M8" i="2"/>
  <c r="AB8" i="2"/>
  <c r="AQ8" i="2"/>
  <c r="BF8" i="2"/>
  <c r="K9" i="2"/>
  <c r="W9" i="2"/>
  <c r="AJ9" i="2"/>
  <c r="AU9" i="2"/>
  <c r="BH9" i="2"/>
  <c r="J10" i="2"/>
  <c r="W10" i="2"/>
  <c r="AH10" i="2"/>
  <c r="AV10" i="2"/>
  <c r="BG10" i="2"/>
  <c r="K11" i="2"/>
  <c r="V11" i="2"/>
  <c r="AI11" i="2"/>
  <c r="AT11" i="2"/>
  <c r="BG11" i="2"/>
  <c r="J12" i="2"/>
  <c r="S12" i="2"/>
  <c r="AB12" i="2"/>
  <c r="AK12" i="2"/>
  <c r="AT12" i="2"/>
  <c r="BC12" i="2"/>
  <c r="C13" i="2"/>
  <c r="M13" i="2"/>
  <c r="V13" i="2"/>
  <c r="AE13" i="2"/>
  <c r="AN13" i="2"/>
  <c r="AW13" i="2"/>
  <c r="BF13" i="2"/>
  <c r="F14" i="2"/>
  <c r="P14" i="2"/>
  <c r="Y14" i="2"/>
  <c r="AH14" i="2"/>
  <c r="AQ14" i="2"/>
  <c r="AZ14" i="2"/>
  <c r="BI14" i="2"/>
  <c r="I15" i="2"/>
  <c r="S15" i="2"/>
  <c r="AB15" i="2"/>
  <c r="AK15" i="2"/>
  <c r="AT15" i="2"/>
  <c r="BC15" i="2"/>
  <c r="C16" i="2"/>
  <c r="L16" i="2"/>
  <c r="V16" i="2"/>
  <c r="AE16" i="2"/>
  <c r="AN16" i="2"/>
  <c r="AW16" i="2"/>
  <c r="BE16" i="2"/>
  <c r="D17" i="2"/>
  <c r="L17" i="2"/>
  <c r="T17" i="2"/>
  <c r="AB17" i="2"/>
  <c r="AJ17" i="2"/>
  <c r="AR17" i="2"/>
  <c r="AZ17" i="2"/>
  <c r="BH17" i="2"/>
  <c r="G18" i="2"/>
  <c r="O18" i="2"/>
  <c r="W18" i="2"/>
  <c r="AE18" i="2"/>
  <c r="P1" i="2"/>
  <c r="AT1" i="2"/>
  <c r="Q2" i="2"/>
  <c r="AP2" i="2"/>
  <c r="F3" i="2"/>
  <c r="AK3" i="2"/>
  <c r="BG3" i="2"/>
  <c r="P4" i="2"/>
  <c r="AN4" i="2"/>
  <c r="A5" i="2"/>
  <c r="S5" i="2"/>
  <c r="AQ5" i="2"/>
  <c r="BG5" i="2"/>
  <c r="N6" i="2"/>
  <c r="AI6" i="2"/>
  <c r="AY6" i="2"/>
  <c r="B7" i="2"/>
  <c r="Q7" i="2"/>
  <c r="AG7" i="2"/>
  <c r="AV7" i="2"/>
  <c r="B8" i="2"/>
  <c r="Q8" i="2"/>
  <c r="AC8" i="2"/>
  <c r="AR8" i="2"/>
  <c r="BG8" i="2"/>
  <c r="M9" i="2"/>
  <c r="X9" i="2"/>
  <c r="AK9" i="2"/>
  <c r="AV9" i="2"/>
  <c r="BI9" i="2"/>
  <c r="K10" i="2"/>
  <c r="X10" i="2"/>
  <c r="AL10" i="2"/>
  <c r="AW10" i="2"/>
  <c r="A11" i="2"/>
  <c r="L11" i="2"/>
  <c r="Y11" i="2"/>
  <c r="AJ11" i="2"/>
  <c r="AW11" i="2"/>
  <c r="BI11" i="2"/>
  <c r="K12" i="2"/>
  <c r="T12" i="2"/>
  <c r="AC12" i="2"/>
  <c r="AL12" i="2"/>
  <c r="AU12" i="2"/>
  <c r="BD12" i="2"/>
  <c r="E13" i="2"/>
  <c r="N13" i="2"/>
  <c r="W13" i="2"/>
  <c r="AF13" i="2"/>
  <c r="AO13" i="2"/>
  <c r="AX13" i="2"/>
  <c r="BG13" i="2"/>
  <c r="H14" i="2"/>
  <c r="Q14" i="2"/>
  <c r="Z14" i="2"/>
  <c r="AI14" i="2"/>
  <c r="AR14" i="2"/>
  <c r="BA14" i="2"/>
  <c r="A15" i="2"/>
  <c r="K15" i="2"/>
  <c r="T15" i="2"/>
  <c r="AC15" i="2"/>
  <c r="AL15" i="2"/>
  <c r="V1" i="2"/>
  <c r="BB1" i="2"/>
  <c r="R2" i="2"/>
  <c r="AQ2" i="2"/>
  <c r="N3" i="2"/>
  <c r="AL3" i="2"/>
  <c r="BH3" i="2"/>
  <c r="W4" i="2"/>
  <c r="AO4" i="2"/>
  <c r="B5" i="2"/>
  <c r="Z5" i="2"/>
  <c r="AR5" i="2"/>
  <c r="BH5" i="2"/>
  <c r="T6" i="2"/>
  <c r="AJ6" i="2"/>
  <c r="AZ6" i="2"/>
  <c r="F7" i="2"/>
  <c r="V7" i="2"/>
  <c r="AH7" i="2"/>
  <c r="AW7" i="2"/>
  <c r="C8" i="2"/>
  <c r="R8" i="2"/>
  <c r="AG8" i="2"/>
  <c r="AS8" i="2"/>
  <c r="BI8" i="2"/>
  <c r="N9" i="2"/>
  <c r="AA9" i="2"/>
  <c r="AL9" i="2"/>
  <c r="AY9" i="2"/>
  <c r="A10" i="2"/>
  <c r="N10" i="2"/>
  <c r="Z10" i="2"/>
  <c r="AM10" i="2"/>
  <c r="AX10" i="2"/>
  <c r="B11" i="2"/>
  <c r="M11" i="2"/>
  <c r="Z11" i="2"/>
  <c r="AK11" i="2"/>
  <c r="AY11" i="2"/>
  <c r="A12" i="2"/>
  <c r="L12" i="2"/>
  <c r="U12" i="2"/>
  <c r="AD12" i="2"/>
  <c r="AM12" i="2"/>
  <c r="AV12" i="2"/>
  <c r="BF12" i="2"/>
  <c r="F13" i="2"/>
  <c r="O13" i="2"/>
  <c r="X13" i="2"/>
  <c r="AG13" i="2"/>
  <c r="AP13" i="2"/>
  <c r="AY13" i="2"/>
  <c r="BI13" i="2"/>
  <c r="I14" i="2"/>
  <c r="R14" i="2"/>
  <c r="AA14" i="2"/>
  <c r="AJ14" i="2"/>
  <c r="AS14" i="2"/>
  <c r="BB14" i="2"/>
  <c r="C15" i="2"/>
  <c r="L15" i="2"/>
  <c r="U15" i="2"/>
  <c r="AD15" i="2"/>
  <c r="AM15" i="2"/>
  <c r="AV15" i="2"/>
  <c r="BE15" i="2"/>
  <c r="F16" i="2"/>
  <c r="O16" i="2"/>
  <c r="X16" i="2"/>
  <c r="AG16" i="2"/>
  <c r="AP16" i="2"/>
  <c r="AY16" i="2"/>
  <c r="BG16" i="2"/>
  <c r="F17" i="2"/>
  <c r="N17" i="2"/>
  <c r="V17" i="2"/>
  <c r="AD17" i="2"/>
  <c r="AL17" i="2"/>
  <c r="AT17" i="2"/>
  <c r="BB17" i="2"/>
  <c r="A18" i="2"/>
  <c r="I18" i="2"/>
  <c r="Q18" i="2"/>
  <c r="Y18" i="2"/>
  <c r="AG18" i="2"/>
  <c r="W1" i="2"/>
  <c r="BC1" i="2"/>
  <c r="S2" i="2"/>
  <c r="AW2" i="2"/>
  <c r="T3" i="2"/>
  <c r="AQ3" i="2"/>
  <c r="BI3" i="2"/>
  <c r="X4" i="2"/>
  <c r="AT4" i="2"/>
  <c r="C5" i="2"/>
  <c r="AA5" i="2"/>
  <c r="AV5" i="2"/>
  <c r="C6" i="2"/>
  <c r="U6" i="2"/>
  <c r="AK6" i="2"/>
  <c r="BA6" i="2"/>
  <c r="H7" i="2"/>
  <c r="W7" i="2"/>
  <c r="AL7" i="2"/>
  <c r="AX7" i="2"/>
  <c r="D8" i="2"/>
  <c r="S8" i="2"/>
  <c r="AF1" i="2"/>
  <c r="H1" i="2"/>
  <c r="C2" i="2"/>
  <c r="D3" i="2"/>
  <c r="BA3" i="2"/>
  <c r="AF4" i="2"/>
  <c r="Q5" i="2"/>
  <c r="BE5" i="2"/>
  <c r="AB6" i="2"/>
  <c r="BI6" i="2"/>
  <c r="AD7" i="2"/>
  <c r="BF7" i="2"/>
  <c r="AA8" i="2"/>
  <c r="AZ8" i="2"/>
  <c r="O9" i="2"/>
  <c r="AE9" i="2"/>
  <c r="BA9" i="2"/>
  <c r="I10" i="2"/>
  <c r="AE10" i="2"/>
  <c r="AY10" i="2"/>
  <c r="I11" i="2"/>
  <c r="AC11" i="2"/>
  <c r="AS11" i="2"/>
  <c r="F12" i="2"/>
  <c r="V12" i="2"/>
  <c r="AI12" i="2"/>
  <c r="AY12" i="2"/>
  <c r="B13" i="2"/>
  <c r="R13" i="2"/>
  <c r="AH13" i="2"/>
  <c r="AU13" i="2"/>
  <c r="B14" i="2"/>
  <c r="N14" i="2"/>
  <c r="AD14" i="2"/>
  <c r="AT14" i="2"/>
  <c r="BG14" i="2"/>
  <c r="N15" i="2"/>
  <c r="AA15" i="2"/>
  <c r="AQ15" i="2"/>
  <c r="BB15" i="2"/>
  <c r="G16" i="2"/>
  <c r="R16" i="2"/>
  <c r="AD16" i="2"/>
  <c r="AQ16" i="2"/>
  <c r="BB16" i="2"/>
  <c r="C17" i="2"/>
  <c r="O17" i="2"/>
  <c r="Y17" i="2"/>
  <c r="AI17" i="2"/>
  <c r="AU17" i="2"/>
  <c r="BE17" i="2"/>
  <c r="F18" i="2"/>
  <c r="R18" i="2"/>
  <c r="AB18" i="2"/>
  <c r="AL18" i="2"/>
  <c r="AT18" i="2"/>
  <c r="BB18" i="2"/>
  <c r="A19" i="2"/>
  <c r="I19" i="2"/>
  <c r="Q19" i="2"/>
  <c r="Y19" i="2"/>
  <c r="AG19" i="2"/>
  <c r="AO19" i="2"/>
  <c r="AW19" i="2"/>
  <c r="BE19" i="2"/>
  <c r="D20" i="2"/>
  <c r="L20" i="2"/>
  <c r="T20" i="2"/>
  <c r="AB20" i="2"/>
  <c r="AJ20" i="2"/>
  <c r="AR20" i="2"/>
  <c r="AZ20" i="2"/>
  <c r="BH20" i="2"/>
  <c r="G21" i="2"/>
  <c r="O21" i="2"/>
  <c r="W21" i="2"/>
  <c r="AE21" i="2"/>
  <c r="AM21" i="2"/>
  <c r="AU21" i="2"/>
  <c r="BC21" i="2"/>
  <c r="B22" i="2"/>
  <c r="J22" i="2"/>
  <c r="R22" i="2"/>
  <c r="Z22" i="2"/>
  <c r="AH22" i="2"/>
  <c r="AP22" i="2"/>
  <c r="AX22" i="2"/>
  <c r="BF22" i="2"/>
  <c r="E23" i="2"/>
  <c r="M23" i="2"/>
  <c r="U23" i="2"/>
  <c r="N1" i="2"/>
  <c r="Y2" i="2"/>
  <c r="U3" i="2"/>
  <c r="G4" i="2"/>
  <c r="AU4" i="2"/>
  <c r="AB5" i="2"/>
  <c r="F6" i="2"/>
  <c r="AL6" i="2"/>
  <c r="I7" i="2"/>
  <c r="AM7" i="2"/>
  <c r="E8" i="2"/>
  <c r="AH8" i="2"/>
  <c r="BA8" i="2"/>
  <c r="P9" i="2"/>
  <c r="AI9" i="2"/>
  <c r="BC9" i="2"/>
  <c r="P10" i="2"/>
  <c r="AF10" i="2"/>
  <c r="BB10" i="2"/>
  <c r="J11" i="2"/>
  <c r="AD11" i="2"/>
  <c r="AZ11" i="2"/>
  <c r="G12" i="2"/>
  <c r="W12" i="2"/>
  <c r="AJ12" i="2"/>
  <c r="AZ12" i="2"/>
  <c r="G13" i="2"/>
  <c r="S13" i="2"/>
  <c r="AI13" i="2"/>
  <c r="AV13" i="2"/>
  <c r="C14" i="2"/>
  <c r="S14" i="2"/>
  <c r="AF14" i="2"/>
  <c r="AV14" i="2"/>
  <c r="BH14" i="2"/>
  <c r="O15" i="2"/>
  <c r="AE15" i="2"/>
  <c r="AR15" i="2"/>
  <c r="BD15" i="2"/>
  <c r="H16" i="2"/>
  <c r="S16" i="2"/>
  <c r="AF16" i="2"/>
  <c r="AR16" i="2"/>
  <c r="BC16" i="2"/>
  <c r="E17" i="2"/>
  <c r="P17" i="2"/>
  <c r="Z17" i="2"/>
  <c r="AK17" i="2"/>
  <c r="AV17" i="2"/>
  <c r="BF17" i="2"/>
  <c r="H18" i="2"/>
  <c r="S18" i="2"/>
  <c r="AC18" i="2"/>
  <c r="AM18" i="2"/>
  <c r="AU18" i="2"/>
  <c r="BC18" i="2"/>
  <c r="B19" i="2"/>
  <c r="J19" i="2"/>
  <c r="R19" i="2"/>
  <c r="Z19" i="2"/>
  <c r="AH19" i="2"/>
  <c r="AP19" i="2"/>
  <c r="AX19" i="2"/>
  <c r="BF19" i="2"/>
  <c r="E20" i="2"/>
  <c r="M20" i="2"/>
  <c r="U20" i="2"/>
  <c r="AC20" i="2"/>
  <c r="AK20" i="2"/>
  <c r="AS20" i="2"/>
  <c r="BA20" i="2"/>
  <c r="BI20" i="2"/>
  <c r="H21" i="2"/>
  <c r="P21" i="2"/>
  <c r="X21" i="2"/>
  <c r="AF21" i="2"/>
  <c r="AN21" i="2"/>
  <c r="AV21" i="2"/>
  <c r="BD21" i="2"/>
  <c r="C22" i="2"/>
  <c r="K22" i="2"/>
  <c r="S22" i="2"/>
  <c r="AA22" i="2"/>
  <c r="AI22" i="2"/>
  <c r="AQ22" i="2"/>
  <c r="AY22" i="2"/>
  <c r="BG22" i="2"/>
  <c r="F23" i="2"/>
  <c r="N23" i="2"/>
  <c r="V23" i="2"/>
  <c r="AD23" i="2"/>
  <c r="AE1" i="2"/>
  <c r="Z2" i="2"/>
  <c r="V3" i="2"/>
  <c r="H4" i="2"/>
  <c r="AV4" i="2"/>
  <c r="AG5" i="2"/>
  <c r="G6" i="2"/>
  <c r="AM6" i="2"/>
  <c r="J7" i="2"/>
  <c r="AN7" i="2"/>
  <c r="I8" i="2"/>
  <c r="AJ8" i="2"/>
  <c r="BE8" i="2"/>
  <c r="S9" i="2"/>
  <c r="AM9" i="2"/>
  <c r="BD9" i="2"/>
  <c r="Q10" i="2"/>
  <c r="AG10" i="2"/>
  <c r="BC10" i="2"/>
  <c r="N11" i="2"/>
  <c r="AG11" i="2"/>
  <c r="BA11" i="2"/>
  <c r="H12" i="2"/>
  <c r="X12" i="2"/>
  <c r="AN12" i="2"/>
  <c r="BA12" i="2"/>
  <c r="H13" i="2"/>
  <c r="U13" i="2"/>
  <c r="AK13" i="2"/>
  <c r="BA13" i="2"/>
  <c r="D14" i="2"/>
  <c r="T14" i="2"/>
  <c r="AG14" i="2"/>
  <c r="AW14" i="2"/>
  <c r="D15" i="2"/>
  <c r="P15" i="2"/>
  <c r="AF15" i="2"/>
  <c r="AS15" i="2"/>
  <c r="BG15" i="2"/>
  <c r="I16" i="2"/>
  <c r="T16" i="2"/>
  <c r="AH16" i="2"/>
  <c r="AT16" i="2"/>
  <c r="BD16" i="2"/>
  <c r="G17" i="2"/>
  <c r="Q17" i="2"/>
  <c r="AA17" i="2"/>
  <c r="AM17" i="2"/>
  <c r="AW17" i="2"/>
  <c r="BG17" i="2"/>
  <c r="J18" i="2"/>
  <c r="T18" i="2"/>
  <c r="AD18" i="2"/>
  <c r="AN18" i="2"/>
  <c r="AV18" i="2"/>
  <c r="BD18" i="2"/>
  <c r="C19" i="2"/>
  <c r="K19" i="2"/>
  <c r="S19" i="2"/>
  <c r="AA19" i="2"/>
  <c r="AI19" i="2"/>
  <c r="AQ19" i="2"/>
  <c r="AY19" i="2"/>
  <c r="BG19" i="2"/>
  <c r="F20" i="2"/>
  <c r="N20" i="2"/>
  <c r="V20" i="2"/>
  <c r="AD20" i="2"/>
  <c r="AL20" i="2"/>
  <c r="AT20" i="2"/>
  <c r="BB20" i="2"/>
  <c r="A21" i="2"/>
  <c r="I21" i="2"/>
  <c r="Q21" i="2"/>
  <c r="Y21" i="2"/>
  <c r="AG21" i="2"/>
  <c r="AO21" i="2"/>
  <c r="AW21" i="2"/>
  <c r="BE21" i="2"/>
  <c r="D22" i="2"/>
  <c r="L22" i="2"/>
  <c r="T22" i="2"/>
  <c r="AB22" i="2"/>
  <c r="AJ22" i="2"/>
  <c r="AR22" i="2"/>
  <c r="AL1" i="2"/>
  <c r="AH2" i="2"/>
  <c r="AB3" i="2"/>
  <c r="I4" i="2"/>
  <c r="BC4" i="2"/>
  <c r="AH5" i="2"/>
  <c r="K6" i="2"/>
  <c r="AS6" i="2"/>
  <c r="N7" i="2"/>
  <c r="AO7" i="2"/>
  <c r="K8" i="2"/>
  <c r="AK8" i="2"/>
  <c r="D9" i="2"/>
  <c r="T9" i="2"/>
  <c r="AN9" i="2"/>
  <c r="BG9" i="2"/>
  <c r="R10" i="2"/>
  <c r="AN10" i="2"/>
  <c r="BD10" i="2"/>
  <c r="Q11" i="2"/>
  <c r="AH11" i="2"/>
  <c r="BB11" i="2"/>
  <c r="M12" i="2"/>
  <c r="Z12" i="2"/>
  <c r="AP12" i="2"/>
  <c r="BB12" i="2"/>
  <c r="I13" i="2"/>
  <c r="Y13" i="2"/>
  <c r="AL13" i="2"/>
  <c r="BB13" i="2"/>
  <c r="E14" i="2"/>
  <c r="U14" i="2"/>
  <c r="AK14" i="2"/>
  <c r="AX14" i="2"/>
  <c r="E15" i="2"/>
  <c r="Q15" i="2"/>
  <c r="AG15" i="2"/>
  <c r="AU15" i="2"/>
  <c r="BH15" i="2"/>
  <c r="J16" i="2"/>
  <c r="W16" i="2"/>
  <c r="AI16" i="2"/>
  <c r="AU16" i="2"/>
  <c r="BF16" i="2"/>
  <c r="H17" i="2"/>
  <c r="R17" i="2"/>
  <c r="AC17" i="2"/>
  <c r="AN17" i="2"/>
  <c r="AX17" i="2"/>
  <c r="BI17" i="2"/>
  <c r="K18" i="2"/>
  <c r="U18" i="2"/>
  <c r="AF18" i="2"/>
  <c r="AO18" i="2"/>
  <c r="AW18" i="2"/>
  <c r="BE18" i="2"/>
  <c r="D19" i="2"/>
  <c r="L19" i="2"/>
  <c r="T19" i="2"/>
  <c r="AB19" i="2"/>
  <c r="AJ19" i="2"/>
  <c r="AR19" i="2"/>
  <c r="AZ19" i="2"/>
  <c r="BH19" i="2"/>
  <c r="G20" i="2"/>
  <c r="O20" i="2"/>
  <c r="W20" i="2"/>
  <c r="AM1" i="2"/>
  <c r="AI2" i="2"/>
  <c r="AC3" i="2"/>
  <c r="N4" i="2"/>
  <c r="BD4" i="2"/>
  <c r="AI5" i="2"/>
  <c r="L6" i="2"/>
  <c r="AT6" i="2"/>
  <c r="O7" i="2"/>
  <c r="AP7" i="2"/>
  <c r="L8" i="2"/>
  <c r="AO8" i="2"/>
  <c r="E9" i="2"/>
  <c r="U9" i="2"/>
  <c r="AQ9" i="2"/>
  <c r="B10" i="2"/>
  <c r="S10" i="2"/>
  <c r="AO10" i="2"/>
  <c r="BF10" i="2"/>
  <c r="S11" i="2"/>
  <c r="AO11" i="2"/>
  <c r="BE11" i="2"/>
  <c r="N12" i="2"/>
  <c r="AA12" i="2"/>
  <c r="AQ12" i="2"/>
  <c r="BG12" i="2"/>
  <c r="J13" i="2"/>
  <c r="Z13" i="2"/>
  <c r="AM13" i="2"/>
  <c r="BC13" i="2"/>
  <c r="J14" i="2"/>
  <c r="V14" i="2"/>
  <c r="AL14" i="2"/>
  <c r="AY14" i="2"/>
  <c r="F15" i="2"/>
  <c r="V15" i="2"/>
  <c r="AI15" i="2"/>
  <c r="AW15" i="2"/>
  <c r="BI15" i="2"/>
  <c r="K16" i="2"/>
  <c r="Y16" i="2"/>
  <c r="AJ16" i="2"/>
  <c r="AV16" i="2"/>
  <c r="BH16" i="2"/>
  <c r="I17" i="2"/>
  <c r="S17" i="2"/>
  <c r="AE17" i="2"/>
  <c r="AO17" i="2"/>
  <c r="AY17" i="2"/>
  <c r="B18" i="2"/>
  <c r="L18" i="2"/>
  <c r="V18" i="2"/>
  <c r="AH18" i="2"/>
  <c r="AP18" i="2"/>
  <c r="AX18" i="2"/>
  <c r="BF18" i="2"/>
  <c r="E19" i="2"/>
  <c r="M19" i="2"/>
  <c r="U19" i="2"/>
  <c r="AC19" i="2"/>
  <c r="AK19" i="2"/>
  <c r="AS19" i="2"/>
  <c r="BA19" i="2"/>
  <c r="BI19" i="2"/>
  <c r="H20" i="2"/>
  <c r="P20" i="2"/>
  <c r="X20" i="2"/>
  <c r="AF20" i="2"/>
  <c r="AN20" i="2"/>
  <c r="AV20" i="2"/>
  <c r="BD20" i="2"/>
  <c r="C21" i="2"/>
  <c r="K21" i="2"/>
  <c r="S21" i="2"/>
  <c r="AA21" i="2"/>
  <c r="AI21" i="2"/>
  <c r="AQ21" i="2"/>
  <c r="AY21" i="2"/>
  <c r="BG21" i="2"/>
  <c r="F22" i="2"/>
  <c r="N22" i="2"/>
  <c r="V22" i="2"/>
  <c r="AD22" i="2"/>
  <c r="AL22" i="2"/>
  <c r="AT22" i="2"/>
  <c r="A2" i="2"/>
  <c r="Y4" i="2"/>
  <c r="BD5" i="2"/>
  <c r="Y7" i="2"/>
  <c r="AP8" i="2"/>
  <c r="AD9" i="2"/>
  <c r="AA10" i="2"/>
  <c r="T11" i="2"/>
  <c r="E12" i="2"/>
  <c r="AS12" i="2"/>
  <c r="AA13" i="2"/>
  <c r="A14" i="2"/>
  <c r="AO14" i="2"/>
  <c r="W15" i="2"/>
  <c r="BA15" i="2"/>
  <c r="AA16" i="2"/>
  <c r="BI16" i="2"/>
  <c r="X17" i="2"/>
  <c r="BC17" i="2"/>
  <c r="X18" i="2"/>
  <c r="AS18" i="2"/>
  <c r="G19" i="2"/>
  <c r="AD19" i="2"/>
  <c r="AV19" i="2"/>
  <c r="J20" i="2"/>
  <c r="AE20" i="2"/>
  <c r="AU20" i="2"/>
  <c r="B21" i="2"/>
  <c r="R21" i="2"/>
  <c r="AH21" i="2"/>
  <c r="AX21" i="2"/>
  <c r="E22" i="2"/>
  <c r="U22" i="2"/>
  <c r="AK22" i="2"/>
  <c r="AZ22" i="2"/>
  <c r="A23" i="2"/>
  <c r="K23" i="2"/>
  <c r="W23" i="2"/>
  <c r="AF23" i="2"/>
  <c r="AN23" i="2"/>
  <c r="AV23" i="2"/>
  <c r="BD23" i="2"/>
  <c r="C24" i="2"/>
  <c r="K24" i="2"/>
  <c r="S24" i="2"/>
  <c r="AA24" i="2"/>
  <c r="AI24" i="2"/>
  <c r="AQ24" i="2"/>
  <c r="AY24" i="2"/>
  <c r="BG24" i="2"/>
  <c r="F25" i="2"/>
  <c r="N25" i="2"/>
  <c r="V25" i="2"/>
  <c r="AD25" i="2"/>
  <c r="AL25" i="2"/>
  <c r="AT25" i="2"/>
  <c r="BB25" i="2"/>
  <c r="A26" i="2"/>
  <c r="I26" i="2"/>
  <c r="Q26" i="2"/>
  <c r="Y26" i="2"/>
  <c r="AG26" i="2"/>
  <c r="AO26" i="2"/>
  <c r="AW26" i="2"/>
  <c r="BE26" i="2"/>
  <c r="D27" i="2"/>
  <c r="L27" i="2"/>
  <c r="T27" i="2"/>
  <c r="AB27" i="2"/>
  <c r="AJ27" i="2"/>
  <c r="AR27" i="2"/>
  <c r="AZ27" i="2"/>
  <c r="BH27" i="2"/>
  <c r="G28" i="2"/>
  <c r="O28" i="2"/>
  <c r="W28" i="2"/>
  <c r="AE28" i="2"/>
  <c r="AM28" i="2"/>
  <c r="AU28" i="2"/>
  <c r="BC28" i="2"/>
  <c r="B29" i="2"/>
  <c r="J29" i="2"/>
  <c r="R29" i="2"/>
  <c r="Z29" i="2"/>
  <c r="AH29" i="2"/>
  <c r="AP29" i="2"/>
  <c r="AX29" i="2"/>
  <c r="BF29" i="2"/>
  <c r="E30" i="2"/>
  <c r="M30" i="2"/>
  <c r="U30" i="2"/>
  <c r="AC30" i="2"/>
  <c r="AK30" i="2"/>
  <c r="AS30" i="2"/>
  <c r="BA30" i="2"/>
  <c r="BI30" i="2"/>
  <c r="H31" i="2"/>
  <c r="P31" i="2"/>
  <c r="X31" i="2"/>
  <c r="AF31" i="2"/>
  <c r="AN31" i="2"/>
  <c r="AV31" i="2"/>
  <c r="BD31" i="2"/>
  <c r="C32" i="2"/>
  <c r="K32" i="2"/>
  <c r="S32" i="2"/>
  <c r="AA32" i="2"/>
  <c r="AI32" i="2"/>
  <c r="AQ32" i="2"/>
  <c r="AY32" i="2"/>
  <c r="BG32" i="2"/>
  <c r="F33" i="2"/>
  <c r="N33" i="2"/>
  <c r="V33" i="2"/>
  <c r="AD33" i="2"/>
  <c r="AL33" i="2"/>
  <c r="AT33" i="2"/>
  <c r="BB33" i="2"/>
  <c r="A34" i="2"/>
  <c r="I34" i="2"/>
  <c r="Q34" i="2"/>
  <c r="Y34" i="2"/>
  <c r="AG34" i="2"/>
  <c r="AO34" i="2"/>
  <c r="AW34" i="2"/>
  <c r="BE34" i="2"/>
  <c r="D35" i="2"/>
  <c r="L35" i="2"/>
  <c r="T35" i="2"/>
  <c r="AB35" i="2"/>
  <c r="AJ35" i="2"/>
  <c r="AR35" i="2"/>
  <c r="AZ35" i="2"/>
  <c r="BH35" i="2"/>
  <c r="G36" i="2"/>
  <c r="O36" i="2"/>
  <c r="W36" i="2"/>
  <c r="AE36" i="2"/>
  <c r="AM36" i="2"/>
  <c r="AU36" i="2"/>
  <c r="BC36" i="2"/>
  <c r="B37" i="2"/>
  <c r="J37" i="2"/>
  <c r="R37" i="2"/>
  <c r="Z37" i="2"/>
  <c r="AH37" i="2"/>
  <c r="AP37" i="2"/>
  <c r="AX37" i="2"/>
  <c r="BF37" i="2"/>
  <c r="E38" i="2"/>
  <c r="M38" i="2"/>
  <c r="U38" i="2"/>
  <c r="AC38" i="2"/>
  <c r="AK38" i="2"/>
  <c r="AS38" i="2"/>
  <c r="BA38" i="2"/>
  <c r="BI38" i="2"/>
  <c r="H39" i="2"/>
  <c r="P39" i="2"/>
  <c r="X39" i="2"/>
  <c r="AF39" i="2"/>
  <c r="AN39" i="2"/>
  <c r="AV39" i="2"/>
  <c r="BD39" i="2"/>
  <c r="C40" i="2"/>
  <c r="K40" i="2"/>
  <c r="S40" i="2"/>
  <c r="AA40" i="2"/>
  <c r="AI40" i="2"/>
  <c r="AQ40" i="2"/>
  <c r="B2" i="2"/>
  <c r="AD4" i="2"/>
  <c r="V6" i="2"/>
  <c r="Z7" i="2"/>
  <c r="AX8" i="2"/>
  <c r="AS9" i="2"/>
  <c r="AD10" i="2"/>
  <c r="U11" i="2"/>
  <c r="O12" i="2"/>
  <c r="AX12" i="2"/>
  <c r="AC13" i="2"/>
  <c r="K14" i="2"/>
  <c r="AP14" i="2"/>
  <c r="X15" i="2"/>
  <c r="A16" i="2"/>
  <c r="AB16" i="2"/>
  <c r="A17" i="2"/>
  <c r="AF17" i="2"/>
  <c r="BD17" i="2"/>
  <c r="Z18" i="2"/>
  <c r="AY18" i="2"/>
  <c r="H19" i="2"/>
  <c r="AE19" i="2"/>
  <c r="BB19" i="2"/>
  <c r="K20" i="2"/>
  <c r="AG20" i="2"/>
  <c r="AW20" i="2"/>
  <c r="D21" i="2"/>
  <c r="T21" i="2"/>
  <c r="AJ21" i="2"/>
  <c r="AZ21" i="2"/>
  <c r="G22" i="2"/>
  <c r="W22" i="2"/>
  <c r="AM22" i="2"/>
  <c r="BA22" i="2"/>
  <c r="B23" i="2"/>
  <c r="L23" i="2"/>
  <c r="X23" i="2"/>
  <c r="AG23" i="2"/>
  <c r="AO23" i="2"/>
  <c r="AW23" i="2"/>
  <c r="BE23" i="2"/>
  <c r="D24" i="2"/>
  <c r="L24" i="2"/>
  <c r="T24" i="2"/>
  <c r="AB24" i="2"/>
  <c r="AJ24" i="2"/>
  <c r="AR24" i="2"/>
  <c r="AZ24" i="2"/>
  <c r="BH24" i="2"/>
  <c r="G25" i="2"/>
  <c r="O25" i="2"/>
  <c r="W25" i="2"/>
  <c r="AE25" i="2"/>
  <c r="AM25" i="2"/>
  <c r="AU25" i="2"/>
  <c r="BC25" i="2"/>
  <c r="B26" i="2"/>
  <c r="J26" i="2"/>
  <c r="R26" i="2"/>
  <c r="Z26" i="2"/>
  <c r="AH26" i="2"/>
  <c r="AP26" i="2"/>
  <c r="AX26" i="2"/>
  <c r="BF26" i="2"/>
  <c r="E27" i="2"/>
  <c r="M27" i="2"/>
  <c r="U27" i="2"/>
  <c r="AC27" i="2"/>
  <c r="AK27" i="2"/>
  <c r="AS27" i="2"/>
  <c r="BA27" i="2"/>
  <c r="BI27" i="2"/>
  <c r="H28" i="2"/>
  <c r="P28" i="2"/>
  <c r="X28" i="2"/>
  <c r="AF28" i="2"/>
  <c r="AN28" i="2"/>
  <c r="AV28" i="2"/>
  <c r="BD28" i="2"/>
  <c r="C29" i="2"/>
  <c r="K29" i="2"/>
  <c r="S29" i="2"/>
  <c r="AA29" i="2"/>
  <c r="AI29" i="2"/>
  <c r="AQ29" i="2"/>
  <c r="AY29" i="2"/>
  <c r="BG29" i="2"/>
  <c r="F30" i="2"/>
  <c r="N30" i="2"/>
  <c r="V30" i="2"/>
  <c r="AD30" i="2"/>
  <c r="AL30" i="2"/>
  <c r="AT30" i="2"/>
  <c r="BB30" i="2"/>
  <c r="A31" i="2"/>
  <c r="I31" i="2"/>
  <c r="Q31" i="2"/>
  <c r="Y31" i="2"/>
  <c r="AG31" i="2"/>
  <c r="AO31" i="2"/>
  <c r="AW31" i="2"/>
  <c r="BE31" i="2"/>
  <c r="D32" i="2"/>
  <c r="L32" i="2"/>
  <c r="T32" i="2"/>
  <c r="AB32" i="2"/>
  <c r="AJ32" i="2"/>
  <c r="AR32" i="2"/>
  <c r="AZ32" i="2"/>
  <c r="BH32" i="2"/>
  <c r="BF2" i="2"/>
  <c r="J5" i="2"/>
  <c r="AA6" i="2"/>
  <c r="BC7" i="2"/>
  <c r="F9" i="2"/>
  <c r="AZ9" i="2"/>
  <c r="AQ10" i="2"/>
  <c r="AP11" i="2"/>
  <c r="R12" i="2"/>
  <c r="BI12" i="2"/>
  <c r="AQ13" i="2"/>
  <c r="M14" i="2"/>
  <c r="BE14" i="2"/>
  <c r="AJ15" i="2"/>
  <c r="D16" i="2"/>
  <c r="AM16" i="2"/>
  <c r="J17" i="2"/>
  <c r="AH17" i="2"/>
  <c r="D18" i="2"/>
  <c r="AI18" i="2"/>
  <c r="BA18" i="2"/>
  <c r="O19" i="2"/>
  <c r="AL19" i="2"/>
  <c r="BD19" i="2"/>
  <c r="R20" i="2"/>
  <c r="AI20" i="2"/>
  <c r="AY20" i="2"/>
  <c r="F21" i="2"/>
  <c r="V21" i="2"/>
  <c r="AL21" i="2"/>
  <c r="BB21" i="2"/>
  <c r="I22" i="2"/>
  <c r="Y22" i="2"/>
  <c r="AO22" i="2"/>
  <c r="BC22" i="2"/>
  <c r="D23" i="2"/>
  <c r="P23" i="2"/>
  <c r="Z23" i="2"/>
  <c r="AI23" i="2"/>
  <c r="AQ23" i="2"/>
  <c r="AY23" i="2"/>
  <c r="BG23" i="2"/>
  <c r="F24" i="2"/>
  <c r="N24" i="2"/>
  <c r="V24" i="2"/>
  <c r="AD24" i="2"/>
  <c r="AL24" i="2"/>
  <c r="AT24" i="2"/>
  <c r="BB24" i="2"/>
  <c r="A25" i="2"/>
  <c r="I25" i="2"/>
  <c r="Q25" i="2"/>
  <c r="Y25" i="2"/>
  <c r="AG25" i="2"/>
  <c r="AO25" i="2"/>
  <c r="AW25" i="2"/>
  <c r="BE25" i="2"/>
  <c r="D26" i="2"/>
  <c r="L26" i="2"/>
  <c r="T26" i="2"/>
  <c r="AB26" i="2"/>
  <c r="AJ26" i="2"/>
  <c r="AR26" i="2"/>
  <c r="AZ26" i="2"/>
  <c r="BH26" i="2"/>
  <c r="G27" i="2"/>
  <c r="O27" i="2"/>
  <c r="W27" i="2"/>
  <c r="AE27" i="2"/>
  <c r="AM27" i="2"/>
  <c r="AU27" i="2"/>
  <c r="BC27" i="2"/>
  <c r="B28" i="2"/>
  <c r="J28" i="2"/>
  <c r="R28" i="2"/>
  <c r="Z28" i="2"/>
  <c r="AH28" i="2"/>
  <c r="AP28" i="2"/>
  <c r="AX28" i="2"/>
  <c r="BF28" i="2"/>
  <c r="E29" i="2"/>
  <c r="M29" i="2"/>
  <c r="U29" i="2"/>
  <c r="AC29" i="2"/>
  <c r="AK29" i="2"/>
  <c r="AS29" i="2"/>
  <c r="BA29" i="2"/>
  <c r="BI29" i="2"/>
  <c r="H30" i="2"/>
  <c r="P30" i="2"/>
  <c r="X30" i="2"/>
  <c r="AF30" i="2"/>
  <c r="AN30" i="2"/>
  <c r="AV30" i="2"/>
  <c r="BD30" i="2"/>
  <c r="C31" i="2"/>
  <c r="K31" i="2"/>
  <c r="S31" i="2"/>
  <c r="AA31" i="2"/>
  <c r="AI31" i="2"/>
  <c r="AQ31" i="2"/>
  <c r="AY31" i="2"/>
  <c r="BG31" i="2"/>
  <c r="F32" i="2"/>
  <c r="N32" i="2"/>
  <c r="V32" i="2"/>
  <c r="AD32" i="2"/>
  <c r="AL32" i="2"/>
  <c r="AT32" i="2"/>
  <c r="BB32" i="2"/>
  <c r="BG2" i="2"/>
  <c r="K5" i="2"/>
  <c r="BC6" i="2"/>
  <c r="BD7" i="2"/>
  <c r="G9" i="2"/>
  <c r="F10" i="2"/>
  <c r="AT10" i="2"/>
  <c r="AQ11" i="2"/>
  <c r="AE12" i="2"/>
  <c r="A13" i="2"/>
  <c r="AS13" i="2"/>
  <c r="X14" i="2"/>
  <c r="BF14" i="2"/>
  <c r="AN15" i="2"/>
  <c r="N16" i="2"/>
  <c r="AO16" i="2"/>
  <c r="K17" i="2"/>
  <c r="AP17" i="2"/>
  <c r="E18" i="2"/>
  <c r="AJ18" i="2"/>
  <c r="BG18" i="2"/>
  <c r="P19" i="2"/>
  <c r="AM19" i="2"/>
  <c r="A20" i="2"/>
  <c r="S20" i="2"/>
  <c r="AM20" i="2"/>
  <c r="BC20" i="2"/>
  <c r="J21" i="2"/>
  <c r="Z21" i="2"/>
  <c r="AP21" i="2"/>
  <c r="BF21" i="2"/>
  <c r="M22" i="2"/>
  <c r="AC22" i="2"/>
  <c r="AS22" i="2"/>
  <c r="BD22" i="2"/>
  <c r="G23" i="2"/>
  <c r="Q23" i="2"/>
  <c r="AA23" i="2"/>
  <c r="AJ23" i="2"/>
  <c r="AR23" i="2"/>
  <c r="AZ23" i="2"/>
  <c r="BH23" i="2"/>
  <c r="G24" i="2"/>
  <c r="O24" i="2"/>
  <c r="W24" i="2"/>
  <c r="AE24" i="2"/>
  <c r="AM24" i="2"/>
  <c r="AS3" i="2"/>
  <c r="AW5" i="2"/>
  <c r="BH6" i="2"/>
  <c r="Y8" i="2"/>
  <c r="AB9" i="2"/>
  <c r="H10" i="2"/>
  <c r="D11" i="2"/>
  <c r="BF11" i="2"/>
  <c r="AH12" i="2"/>
  <c r="P13" i="2"/>
  <c r="BD13" i="2"/>
  <c r="AC14" i="2"/>
  <c r="H15" i="2"/>
  <c r="AY15" i="2"/>
  <c r="Q16" i="2"/>
  <c r="AZ16" i="2"/>
  <c r="U17" i="2"/>
  <c r="BE2" i="2"/>
  <c r="X7" i="2"/>
  <c r="G10" i="2"/>
  <c r="P12" i="2"/>
  <c r="BE13" i="2"/>
  <c r="AO15" i="2"/>
  <c r="B17" i="2"/>
  <c r="M18" i="2"/>
  <c r="BH18" i="2"/>
  <c r="AN19" i="2"/>
  <c r="Y20" i="2"/>
  <c r="BE20" i="2"/>
  <c r="AB21" i="2"/>
  <c r="BH21" i="2"/>
  <c r="AE22" i="2"/>
  <c r="BE22" i="2"/>
  <c r="R23" i="2"/>
  <c r="AK23" i="2"/>
  <c r="BA23" i="2"/>
  <c r="H24" i="2"/>
  <c r="X24" i="2"/>
  <c r="AN24" i="2"/>
  <c r="BA24" i="2"/>
  <c r="D25" i="2"/>
  <c r="R25" i="2"/>
  <c r="AC25" i="2"/>
  <c r="AQ25" i="2"/>
  <c r="BD25" i="2"/>
  <c r="G26" i="2"/>
  <c r="U26" i="2"/>
  <c r="AF26" i="2"/>
  <c r="AT26" i="2"/>
  <c r="BG26" i="2"/>
  <c r="J27" i="2"/>
  <c r="X27" i="2"/>
  <c r="AI27" i="2"/>
  <c r="AW27" i="2"/>
  <c r="A28" i="2"/>
  <c r="M28" i="2"/>
  <c r="AA28" i="2"/>
  <c r="AL28" i="2"/>
  <c r="AZ28" i="2"/>
  <c r="D29" i="2"/>
  <c r="P29" i="2"/>
  <c r="AD29" i="2"/>
  <c r="AO29" i="2"/>
  <c r="BC29" i="2"/>
  <c r="G30" i="2"/>
  <c r="S30" i="2"/>
  <c r="AG30" i="2"/>
  <c r="AR30" i="2"/>
  <c r="BF30" i="2"/>
  <c r="J31" i="2"/>
  <c r="V31" i="2"/>
  <c r="AJ31" i="2"/>
  <c r="AU31" i="2"/>
  <c r="BI31" i="2"/>
  <c r="M32" i="2"/>
  <c r="Y32" i="2"/>
  <c r="AM32" i="2"/>
  <c r="AX32" i="2"/>
  <c r="B33" i="2"/>
  <c r="K33" i="2"/>
  <c r="T33" i="2"/>
  <c r="AC33" i="2"/>
  <c r="AM33" i="2"/>
  <c r="AV33" i="2"/>
  <c r="BE33" i="2"/>
  <c r="E34" i="2"/>
  <c r="N34" i="2"/>
  <c r="W34" i="2"/>
  <c r="AF34" i="2"/>
  <c r="AP34" i="2"/>
  <c r="AY34" i="2"/>
  <c r="BH34" i="2"/>
  <c r="H35" i="2"/>
  <c r="Q35" i="2"/>
  <c r="Z35" i="2"/>
  <c r="AI35" i="2"/>
  <c r="AS35" i="2"/>
  <c r="BB35" i="2"/>
  <c r="B36" i="2"/>
  <c r="K36" i="2"/>
  <c r="T36" i="2"/>
  <c r="AC36" i="2"/>
  <c r="AL36" i="2"/>
  <c r="AV36" i="2"/>
  <c r="BE36" i="2"/>
  <c r="E37" i="2"/>
  <c r="N37" i="2"/>
  <c r="W37" i="2"/>
  <c r="AF37" i="2"/>
  <c r="AO37" i="2"/>
  <c r="AY37" i="2"/>
  <c r="BH37" i="2"/>
  <c r="H38" i="2"/>
  <c r="Q38" i="2"/>
  <c r="Z38" i="2"/>
  <c r="AI38" i="2"/>
  <c r="AR38" i="2"/>
  <c r="BB38" i="2"/>
  <c r="B39" i="2"/>
  <c r="K39" i="2"/>
  <c r="T39" i="2"/>
  <c r="AC39" i="2"/>
  <c r="AL39" i="2"/>
  <c r="AU39" i="2"/>
  <c r="BE39" i="2"/>
  <c r="E40" i="2"/>
  <c r="N40" i="2"/>
  <c r="W40" i="2"/>
  <c r="AF40" i="2"/>
  <c r="AO40" i="2"/>
  <c r="AX40" i="2"/>
  <c r="BF40" i="2"/>
  <c r="E41" i="2"/>
  <c r="M41" i="2"/>
  <c r="U41" i="2"/>
  <c r="AC41" i="2"/>
  <c r="AK41" i="2"/>
  <c r="AS41" i="2"/>
  <c r="BA41" i="2"/>
  <c r="BI41" i="2"/>
  <c r="H42" i="2"/>
  <c r="P42" i="2"/>
  <c r="X42" i="2"/>
  <c r="AF42" i="2"/>
  <c r="AN42" i="2"/>
  <c r="AV42" i="2"/>
  <c r="BD42" i="2"/>
  <c r="C43" i="2"/>
  <c r="K43" i="2"/>
  <c r="S43" i="2"/>
  <c r="AA43" i="2"/>
  <c r="AI43" i="2"/>
  <c r="AQ43" i="2"/>
  <c r="AY43" i="2"/>
  <c r="BG43" i="2"/>
  <c r="F44" i="2"/>
  <c r="N44" i="2"/>
  <c r="V44" i="2"/>
  <c r="AD44" i="2"/>
  <c r="AL44" i="2"/>
  <c r="AT44" i="2"/>
  <c r="BB44" i="2"/>
  <c r="A45" i="2"/>
  <c r="I45" i="2"/>
  <c r="Q45" i="2"/>
  <c r="Y45" i="2"/>
  <c r="AG45" i="2"/>
  <c r="AO45" i="2"/>
  <c r="AR3" i="2"/>
  <c r="BB7" i="2"/>
  <c r="V10" i="2"/>
  <c r="AF12" i="2"/>
  <c r="L14" i="2"/>
  <c r="AZ15" i="2"/>
  <c r="M17" i="2"/>
  <c r="N18" i="2"/>
  <c r="BI18" i="2"/>
  <c r="AT19" i="2"/>
  <c r="Z20" i="2"/>
  <c r="BF20" i="2"/>
  <c r="AC21" i="2"/>
  <c r="BI21" i="2"/>
  <c r="AF22" i="2"/>
  <c r="BH22" i="2"/>
  <c r="S23" i="2"/>
  <c r="AL23" i="2"/>
  <c r="BB23" i="2"/>
  <c r="I24" i="2"/>
  <c r="Y24" i="2"/>
  <c r="AO24" i="2"/>
  <c r="BC24" i="2"/>
  <c r="E25" i="2"/>
  <c r="S25" i="2"/>
  <c r="AF25" i="2"/>
  <c r="AR25" i="2"/>
  <c r="BF25" i="2"/>
  <c r="H26" i="2"/>
  <c r="V26" i="2"/>
  <c r="AI26" i="2"/>
  <c r="AU26" i="2"/>
  <c r="BI26" i="2"/>
  <c r="K27" i="2"/>
  <c r="Y27" i="2"/>
  <c r="AL27" i="2"/>
  <c r="AX27" i="2"/>
  <c r="C28" i="2"/>
  <c r="N28" i="2"/>
  <c r="AB28" i="2"/>
  <c r="AO28" i="2"/>
  <c r="BA28" i="2"/>
  <c r="F29" i="2"/>
  <c r="Q29" i="2"/>
  <c r="AE29" i="2"/>
  <c r="AR29" i="2"/>
  <c r="BD29" i="2"/>
  <c r="I30" i="2"/>
  <c r="T30" i="2"/>
  <c r="AH30" i="2"/>
  <c r="AU30" i="2"/>
  <c r="BG30" i="2"/>
  <c r="L31" i="2"/>
  <c r="W31" i="2"/>
  <c r="AK31" i="2"/>
  <c r="AX31" i="2"/>
  <c r="A32" i="2"/>
  <c r="O32" i="2"/>
  <c r="Z32" i="2"/>
  <c r="AN32" i="2"/>
  <c r="BA32" i="2"/>
  <c r="C33" i="2"/>
  <c r="L33" i="2"/>
  <c r="U33" i="2"/>
  <c r="AE33" i="2"/>
  <c r="AN33" i="2"/>
  <c r="AW33" i="2"/>
  <c r="BF33" i="2"/>
  <c r="F34" i="2"/>
  <c r="O34" i="2"/>
  <c r="X34" i="2"/>
  <c r="AH34" i="2"/>
  <c r="AQ34" i="2"/>
  <c r="AZ34" i="2"/>
  <c r="BI34" i="2"/>
  <c r="I35" i="2"/>
  <c r="R35" i="2"/>
  <c r="AA35" i="2"/>
  <c r="AK35" i="2"/>
  <c r="AT35" i="2"/>
  <c r="BC35" i="2"/>
  <c r="C36" i="2"/>
  <c r="L36" i="2"/>
  <c r="U36" i="2"/>
  <c r="AD36" i="2"/>
  <c r="AN36" i="2"/>
  <c r="AW36" i="2"/>
  <c r="BF36" i="2"/>
  <c r="F37" i="2"/>
  <c r="O37" i="2"/>
  <c r="X37" i="2"/>
  <c r="AG37" i="2"/>
  <c r="AQ37" i="2"/>
  <c r="AZ37" i="2"/>
  <c r="BI37" i="2"/>
  <c r="I38" i="2"/>
  <c r="R38" i="2"/>
  <c r="AA38" i="2"/>
  <c r="AJ38" i="2"/>
  <c r="AT38" i="2"/>
  <c r="BC38" i="2"/>
  <c r="C39" i="2"/>
  <c r="L39" i="2"/>
  <c r="U39" i="2"/>
  <c r="AD39" i="2"/>
  <c r="AM39" i="2"/>
  <c r="AW39" i="2"/>
  <c r="BF39" i="2"/>
  <c r="F40" i="2"/>
  <c r="O40" i="2"/>
  <c r="X40" i="2"/>
  <c r="AG40" i="2"/>
  <c r="AP40" i="2"/>
  <c r="AY40" i="2"/>
  <c r="BG40" i="2"/>
  <c r="F41" i="2"/>
  <c r="N41" i="2"/>
  <c r="V41" i="2"/>
  <c r="AD41" i="2"/>
  <c r="AL41" i="2"/>
  <c r="AT41" i="2"/>
  <c r="BB41" i="2"/>
  <c r="A42" i="2"/>
  <c r="I42" i="2"/>
  <c r="Q42" i="2"/>
  <c r="Y42" i="2"/>
  <c r="AG42" i="2"/>
  <c r="AO42" i="2"/>
  <c r="AW42" i="2"/>
  <c r="BE42" i="2"/>
  <c r="D43" i="2"/>
  <c r="L43" i="2"/>
  <c r="T43" i="2"/>
  <c r="AB43" i="2"/>
  <c r="AJ43" i="2"/>
  <c r="AR43" i="2"/>
  <c r="AZ43" i="2"/>
  <c r="BH43" i="2"/>
  <c r="G44" i="2"/>
  <c r="O44" i="2"/>
  <c r="W44" i="2"/>
  <c r="AE44" i="2"/>
  <c r="AM44" i="2"/>
  <c r="AU44" i="2"/>
  <c r="BC44" i="2"/>
  <c r="B45" i="2"/>
  <c r="J45" i="2"/>
  <c r="R45" i="2"/>
  <c r="Z45" i="2"/>
  <c r="AH45" i="2"/>
  <c r="AP45" i="2"/>
  <c r="AX45" i="2"/>
  <c r="BF45" i="2"/>
  <c r="E46" i="2"/>
  <c r="AE4" i="2"/>
  <c r="Z8" i="2"/>
  <c r="C11" i="2"/>
  <c r="BH12" i="2"/>
  <c r="AN14" i="2"/>
  <c r="P16" i="2"/>
  <c r="AG17" i="2"/>
  <c r="AA18" i="2"/>
  <c r="N19" i="2"/>
  <c r="BC19" i="2"/>
  <c r="AH20" i="2"/>
  <c r="E21" i="2"/>
  <c r="AK21" i="2"/>
  <c r="H22" i="2"/>
  <c r="AN22" i="2"/>
  <c r="C23" i="2"/>
  <c r="Y23" i="2"/>
  <c r="AP23" i="2"/>
  <c r="BF23" i="2"/>
  <c r="M24" i="2"/>
  <c r="AC24" i="2"/>
  <c r="AS24" i="2"/>
  <c r="BE24" i="2"/>
  <c r="J25" i="2"/>
  <c r="U25" i="2"/>
  <c r="AI25" i="2"/>
  <c r="AV25" i="2"/>
  <c r="BH25" i="2"/>
  <c r="M26" i="2"/>
  <c r="X26" i="2"/>
  <c r="AL26" i="2"/>
  <c r="AY26" i="2"/>
  <c r="B27" i="2"/>
  <c r="P27" i="2"/>
  <c r="AA27" i="2"/>
  <c r="AO27" i="2"/>
  <c r="BB27" i="2"/>
  <c r="E28" i="2"/>
  <c r="S28" i="2"/>
  <c r="AD28" i="2"/>
  <c r="AR28" i="2"/>
  <c r="BE28" i="2"/>
  <c r="H29" i="2"/>
  <c r="V29" i="2"/>
  <c r="AG29" i="2"/>
  <c r="AU29" i="2"/>
  <c r="BH29" i="2"/>
  <c r="K30" i="2"/>
  <c r="Y30" i="2"/>
  <c r="AJ30" i="2"/>
  <c r="AX30" i="2"/>
  <c r="B31" i="2"/>
  <c r="N31" i="2"/>
  <c r="AB31" i="2"/>
  <c r="AM31" i="2"/>
  <c r="BA31" i="2"/>
  <c r="E32" i="2"/>
  <c r="Q32" i="2"/>
  <c r="AE32" i="2"/>
  <c r="AP32" i="2"/>
  <c r="BD32" i="2"/>
  <c r="E33" i="2"/>
  <c r="O33" i="2"/>
  <c r="X33" i="2"/>
  <c r="AG33" i="2"/>
  <c r="AP33" i="2"/>
  <c r="AY33" i="2"/>
  <c r="BH33" i="2"/>
  <c r="H34" i="2"/>
  <c r="R34" i="2"/>
  <c r="AA34" i="2"/>
  <c r="AJ34" i="2"/>
  <c r="AS34" i="2"/>
  <c r="BB34" i="2"/>
  <c r="B35" i="2"/>
  <c r="K35" i="2"/>
  <c r="U35" i="2"/>
  <c r="AD35" i="2"/>
  <c r="AM35" i="2"/>
  <c r="AV35" i="2"/>
  <c r="BE35" i="2"/>
  <c r="E36" i="2"/>
  <c r="N36" i="2"/>
  <c r="X36" i="2"/>
  <c r="AG36" i="2"/>
  <c r="AP36" i="2"/>
  <c r="AY36" i="2"/>
  <c r="BH36" i="2"/>
  <c r="H37" i="2"/>
  <c r="Q37" i="2"/>
  <c r="AA37" i="2"/>
  <c r="AJ37" i="2"/>
  <c r="AS37" i="2"/>
  <c r="BB37" i="2"/>
  <c r="B38" i="2"/>
  <c r="K38" i="2"/>
  <c r="T38" i="2"/>
  <c r="AD38" i="2"/>
  <c r="AM38" i="2"/>
  <c r="AV38" i="2"/>
  <c r="BE38" i="2"/>
  <c r="E39" i="2"/>
  <c r="N39" i="2"/>
  <c r="W39" i="2"/>
  <c r="AG39" i="2"/>
  <c r="AP39" i="2"/>
  <c r="AY39" i="2"/>
  <c r="BH39" i="2"/>
  <c r="H40" i="2"/>
  <c r="Q40" i="2"/>
  <c r="Z40" i="2"/>
  <c r="AJ40" i="2"/>
  <c r="AS40" i="2"/>
  <c r="BA40" i="2"/>
  <c r="BI40" i="2"/>
  <c r="H41" i="2"/>
  <c r="P41" i="2"/>
  <c r="X41" i="2"/>
  <c r="AF41" i="2"/>
  <c r="AN41" i="2"/>
  <c r="AV41" i="2"/>
  <c r="BD41" i="2"/>
  <c r="C42" i="2"/>
  <c r="K42" i="2"/>
  <c r="S42" i="2"/>
  <c r="AA42" i="2"/>
  <c r="AI42" i="2"/>
  <c r="AQ42" i="2"/>
  <c r="AY42" i="2"/>
  <c r="BG42" i="2"/>
  <c r="F43" i="2"/>
  <c r="N43" i="2"/>
  <c r="V43" i="2"/>
  <c r="AD43" i="2"/>
  <c r="AL43" i="2"/>
  <c r="AT43" i="2"/>
  <c r="BB43" i="2"/>
  <c r="A44" i="2"/>
  <c r="I44" i="2"/>
  <c r="Q44" i="2"/>
  <c r="Y44" i="2"/>
  <c r="AG44" i="2"/>
  <c r="AO44" i="2"/>
  <c r="AW44" i="2"/>
  <c r="BE44" i="2"/>
  <c r="D45" i="2"/>
  <c r="L45" i="2"/>
  <c r="T45" i="2"/>
  <c r="AB45" i="2"/>
  <c r="AJ45" i="2"/>
  <c r="AR45" i="2"/>
  <c r="AZ45" i="2"/>
  <c r="BH45" i="2"/>
  <c r="G46" i="2"/>
  <c r="O46" i="2"/>
  <c r="W46" i="2"/>
  <c r="AE46" i="2"/>
  <c r="AM46" i="2"/>
  <c r="AU46" i="2"/>
  <c r="BC46" i="2"/>
  <c r="B47" i="2"/>
  <c r="L5" i="2"/>
  <c r="AY8" i="2"/>
  <c r="E11" i="2"/>
  <c r="K13" i="2"/>
  <c r="BD14" i="2"/>
  <c r="Z16" i="2"/>
  <c r="AQ17" i="2"/>
  <c r="AK18" i="2"/>
  <c r="V19" i="2"/>
  <c r="B20" i="2"/>
  <c r="AO20" i="2"/>
  <c r="L21" i="2"/>
  <c r="AR21" i="2"/>
  <c r="O22" i="2"/>
  <c r="AU22" i="2"/>
  <c r="H23" i="2"/>
  <c r="AB23" i="2"/>
  <c r="AS23" i="2"/>
  <c r="BI23" i="2"/>
  <c r="P24" i="2"/>
  <c r="AF24" i="2"/>
  <c r="AU24" i="2"/>
  <c r="BF24" i="2"/>
  <c r="K25" i="2"/>
  <c r="X25" i="2"/>
  <c r="AJ25" i="2"/>
  <c r="AX25" i="2"/>
  <c r="BI25" i="2"/>
  <c r="N26" i="2"/>
  <c r="AA26" i="2"/>
  <c r="AM26" i="2"/>
  <c r="BA26" i="2"/>
  <c r="C27" i="2"/>
  <c r="Q27" i="2"/>
  <c r="AD27" i="2"/>
  <c r="AP27" i="2"/>
  <c r="BD27" i="2"/>
  <c r="F28" i="2"/>
  <c r="T28" i="2"/>
  <c r="AG28" i="2"/>
  <c r="AS28" i="2"/>
  <c r="BG28" i="2"/>
  <c r="I29" i="2"/>
  <c r="W29" i="2"/>
  <c r="AJ29" i="2"/>
  <c r="AV29" i="2"/>
  <c r="A30" i="2"/>
  <c r="L30" i="2"/>
  <c r="Z30" i="2"/>
  <c r="AM30" i="2"/>
  <c r="AY30" i="2"/>
  <c r="D31" i="2"/>
  <c r="O31" i="2"/>
  <c r="AC31" i="2"/>
  <c r="AP31" i="2"/>
  <c r="BB31" i="2"/>
  <c r="G32" i="2"/>
  <c r="R32" i="2"/>
  <c r="AF32" i="2"/>
  <c r="AS32" i="2"/>
  <c r="BE32" i="2"/>
  <c r="G33" i="2"/>
  <c r="P33" i="2"/>
  <c r="Y33" i="2"/>
  <c r="AH33" i="2"/>
  <c r="AQ33" i="2"/>
  <c r="AZ33" i="2"/>
  <c r="BI33" i="2"/>
  <c r="J34" i="2"/>
  <c r="S34" i="2"/>
  <c r="AB34" i="2"/>
  <c r="AK34" i="2"/>
  <c r="AT34" i="2"/>
  <c r="BC34" i="2"/>
  <c r="C35" i="2"/>
  <c r="M35" i="2"/>
  <c r="V35" i="2"/>
  <c r="AE35" i="2"/>
  <c r="AN35" i="2"/>
  <c r="AW35" i="2"/>
  <c r="BF35" i="2"/>
  <c r="F36" i="2"/>
  <c r="P36" i="2"/>
  <c r="W6" i="2"/>
  <c r="AC9" i="2"/>
  <c r="AR11" i="2"/>
  <c r="AD13" i="2"/>
  <c r="M15" i="2"/>
  <c r="AX16" i="2"/>
  <c r="BA17" i="2"/>
  <c r="AR18" i="2"/>
  <c r="X19" i="2"/>
  <c r="I20" i="2"/>
  <c r="AQ20" i="2"/>
  <c r="N21" i="2"/>
  <c r="AT21" i="2"/>
  <c r="Q22" i="2"/>
  <c r="AW22" i="2"/>
  <c r="J23" i="2"/>
  <c r="AE23" i="2"/>
  <c r="AU23" i="2"/>
  <c r="B24" i="2"/>
  <c r="R24" i="2"/>
  <c r="AH24" i="2"/>
  <c r="AW24" i="2"/>
  <c r="B25" i="2"/>
  <c r="M25" i="2"/>
  <c r="AA25" i="2"/>
  <c r="AN25" i="2"/>
  <c r="AZ25" i="2"/>
  <c r="E26" i="2"/>
  <c r="P26" i="2"/>
  <c r="AD26" i="2"/>
  <c r="AQ26" i="2"/>
  <c r="BC26" i="2"/>
  <c r="H27" i="2"/>
  <c r="S27" i="2"/>
  <c r="AG27" i="2"/>
  <c r="AT27" i="2"/>
  <c r="BF27" i="2"/>
  <c r="K28" i="2"/>
  <c r="V28" i="2"/>
  <c r="AJ28" i="2"/>
  <c r="AW28" i="2"/>
  <c r="BI28" i="2"/>
  <c r="N29" i="2"/>
  <c r="Y29" i="2"/>
  <c r="AM29" i="2"/>
  <c r="AZ29" i="2"/>
  <c r="C30" i="2"/>
  <c r="Q30" i="2"/>
  <c r="AB30" i="2"/>
  <c r="AP30" i="2"/>
  <c r="BC30" i="2"/>
  <c r="F31" i="2"/>
  <c r="T31" i="2"/>
  <c r="AE31" i="2"/>
  <c r="AS31" i="2"/>
  <c r="BF31" i="2"/>
  <c r="I32" i="2"/>
  <c r="W32" i="2"/>
  <c r="AH32" i="2"/>
  <c r="AV32" i="2"/>
  <c r="BI32" i="2"/>
  <c r="I33" i="2"/>
  <c r="R33" i="2"/>
  <c r="AA33" i="2"/>
  <c r="AJ33" i="2"/>
  <c r="AS33" i="2"/>
  <c r="BC33" i="2"/>
  <c r="C34" i="2"/>
  <c r="L34" i="2"/>
  <c r="U34" i="2"/>
  <c r="AD34" i="2"/>
  <c r="AM34" i="2"/>
  <c r="AV34" i="2"/>
  <c r="BF34" i="2"/>
  <c r="F35" i="2"/>
  <c r="O35" i="2"/>
  <c r="X35" i="2"/>
  <c r="AG35" i="2"/>
  <c r="AP35" i="2"/>
  <c r="AY35" i="2"/>
  <c r="BI35" i="2"/>
  <c r="I36" i="2"/>
  <c r="R36" i="2"/>
  <c r="AA36" i="2"/>
  <c r="AJ36" i="2"/>
  <c r="BD1" i="2"/>
  <c r="AA11" i="2"/>
  <c r="B16" i="2"/>
  <c r="AZ18" i="2"/>
  <c r="AP20" i="2"/>
  <c r="A22" i="2"/>
  <c r="O23" i="2"/>
  <c r="A24" i="2"/>
  <c r="AP24" i="2"/>
  <c r="P25" i="2"/>
  <c r="AY25" i="2"/>
  <c r="W26" i="2"/>
  <c r="BD26" i="2"/>
  <c r="AF27" i="2"/>
  <c r="D28" i="2"/>
  <c r="AK28" i="2"/>
  <c r="L29" i="2"/>
  <c r="AT29" i="2"/>
  <c r="R30" i="2"/>
  <c r="AZ30" i="2"/>
  <c r="Z31" i="2"/>
  <c r="BH31" i="2"/>
  <c r="AG32" i="2"/>
  <c r="D33" i="2"/>
  <c r="AB33" i="2"/>
  <c r="BA33" i="2"/>
  <c r="P34" i="2"/>
  <c r="AN34" i="2"/>
  <c r="E35" i="2"/>
  <c r="AC35" i="2"/>
  <c r="BA35" i="2"/>
  <c r="Q36" i="2"/>
  <c r="AI36" i="2"/>
  <c r="AZ36" i="2"/>
  <c r="D37" i="2"/>
  <c r="T37" i="2"/>
  <c r="AI37" i="2"/>
  <c r="AV37" i="2"/>
  <c r="C38" i="2"/>
  <c r="P38" i="2"/>
  <c r="AF38" i="2"/>
  <c r="AU38" i="2"/>
  <c r="BH38" i="2"/>
  <c r="O39" i="2"/>
  <c r="AB39" i="2"/>
  <c r="AR39" i="2"/>
  <c r="BG39" i="2"/>
  <c r="L40" i="2"/>
  <c r="AB40" i="2"/>
  <c r="AN40" i="2"/>
  <c r="BC40" i="2"/>
  <c r="G41" i="2"/>
  <c r="S41" i="2"/>
  <c r="AG41" i="2"/>
  <c r="AR41" i="2"/>
  <c r="BF41" i="2"/>
  <c r="J42" i="2"/>
  <c r="V42" i="2"/>
  <c r="AJ42" i="2"/>
  <c r="AU42" i="2"/>
  <c r="BI42" i="2"/>
  <c r="M43" i="2"/>
  <c r="Y43" i="2"/>
  <c r="AM43" i="2"/>
  <c r="AX43" i="2"/>
  <c r="C44" i="2"/>
  <c r="P44" i="2"/>
  <c r="AB44" i="2"/>
  <c r="AP44" i="2"/>
  <c r="BA44" i="2"/>
  <c r="F45" i="2"/>
  <c r="S45" i="2"/>
  <c r="AE45" i="2"/>
  <c r="AS45" i="2"/>
  <c r="BC45" i="2"/>
  <c r="D46" i="2"/>
  <c r="N46" i="2"/>
  <c r="X46" i="2"/>
  <c r="AG46" i="2"/>
  <c r="AP46" i="2"/>
  <c r="AY46" i="2"/>
  <c r="BH46" i="2"/>
  <c r="H47" i="2"/>
  <c r="P47" i="2"/>
  <c r="X47" i="2"/>
  <c r="AF47" i="2"/>
  <c r="AN47" i="2"/>
  <c r="AV47" i="2"/>
  <c r="BD47" i="2"/>
  <c r="C48" i="2"/>
  <c r="K48" i="2"/>
  <c r="S48" i="2"/>
  <c r="AA48" i="2"/>
  <c r="AI48" i="2"/>
  <c r="AQ48" i="2"/>
  <c r="AY48" i="2"/>
  <c r="BG48" i="2"/>
  <c r="F49" i="2"/>
  <c r="N49" i="2"/>
  <c r="V49" i="2"/>
  <c r="AD49" i="2"/>
  <c r="AL49" i="2"/>
  <c r="AT49" i="2"/>
  <c r="BB49" i="2"/>
  <c r="A50" i="2"/>
  <c r="I50" i="2"/>
  <c r="Q50" i="2"/>
  <c r="Y50" i="2"/>
  <c r="AG50" i="2"/>
  <c r="AO50" i="2"/>
  <c r="AW50" i="2"/>
  <c r="BE50" i="2"/>
  <c r="D51" i="2"/>
  <c r="L51" i="2"/>
  <c r="T51" i="2"/>
  <c r="AB51" i="2"/>
  <c r="AJ51" i="2"/>
  <c r="AR51" i="2"/>
  <c r="AZ51" i="2"/>
  <c r="BH51" i="2"/>
  <c r="G52" i="2"/>
  <c r="O52" i="2"/>
  <c r="W52" i="2"/>
  <c r="AE52" i="2"/>
  <c r="AZ3" i="2"/>
  <c r="D12" i="2"/>
  <c r="AL16" i="2"/>
  <c r="F19" i="2"/>
  <c r="AX20" i="2"/>
  <c r="P22" i="2"/>
  <c r="T23" i="2"/>
  <c r="E24" i="2"/>
  <c r="AV24" i="2"/>
  <c r="T25" i="2"/>
  <c r="BA25" i="2"/>
  <c r="AC26" i="2"/>
  <c r="A27" i="2"/>
  <c r="AH27" i="2"/>
  <c r="I28" i="2"/>
  <c r="AQ28" i="2"/>
  <c r="O29" i="2"/>
  <c r="AW29" i="2"/>
  <c r="W30" i="2"/>
  <c r="BE30" i="2"/>
  <c r="AD31" i="2"/>
  <c r="B32" i="2"/>
  <c r="AK32" i="2"/>
  <c r="H33" i="2"/>
  <c r="AF33" i="2"/>
  <c r="BD33" i="2"/>
  <c r="T34" i="2"/>
  <c r="AR34" i="2"/>
  <c r="G35" i="2"/>
  <c r="AF35" i="2"/>
  <c r="BD35" i="2"/>
  <c r="S36" i="2"/>
  <c r="AK36" i="2"/>
  <c r="BA36" i="2"/>
  <c r="G37" i="2"/>
  <c r="U37" i="2"/>
  <c r="AK37" i="2"/>
  <c r="AW37" i="2"/>
  <c r="D38" i="2"/>
  <c r="S38" i="2"/>
  <c r="AG38" i="2"/>
  <c r="AW38" i="2"/>
  <c r="A39" i="2"/>
  <c r="Q39" i="2"/>
  <c r="AE39" i="2"/>
  <c r="AS39" i="2"/>
  <c r="BI39" i="2"/>
  <c r="M40" i="2"/>
  <c r="AC40" i="2"/>
  <c r="AR40" i="2"/>
  <c r="BD40" i="2"/>
  <c r="I41" i="2"/>
  <c r="T41" i="2"/>
  <c r="AH41" i="2"/>
  <c r="AU41" i="2"/>
  <c r="BG41" i="2"/>
  <c r="L42" i="2"/>
  <c r="W42" i="2"/>
  <c r="AK42" i="2"/>
  <c r="AX42" i="2"/>
  <c r="A43" i="2"/>
  <c r="O43" i="2"/>
  <c r="Z43" i="2"/>
  <c r="AN43" i="2"/>
  <c r="BA43" i="2"/>
  <c r="D44" i="2"/>
  <c r="R44" i="2"/>
  <c r="AC44" i="2"/>
  <c r="AQ44" i="2"/>
  <c r="BD44" i="2"/>
  <c r="G45" i="2"/>
  <c r="U45" i="2"/>
  <c r="AF45" i="2"/>
  <c r="AT45" i="2"/>
  <c r="BD45" i="2"/>
  <c r="F46" i="2"/>
  <c r="P46" i="2"/>
  <c r="Y46" i="2"/>
  <c r="AH46" i="2"/>
  <c r="AQ46" i="2"/>
  <c r="AZ46" i="2"/>
  <c r="BG6" i="2"/>
  <c r="Q13" i="2"/>
  <c r="W17" i="2"/>
  <c r="AF19" i="2"/>
  <c r="M21" i="2"/>
  <c r="AG22" i="2"/>
  <c r="AH23" i="2"/>
  <c r="Q24" i="2"/>
  <c r="BD24" i="2"/>
  <c r="AB25" i="2"/>
  <c r="C26" i="2"/>
  <c r="AK26" i="2"/>
  <c r="I27" i="2"/>
  <c r="AQ27" i="2"/>
  <c r="Q28" i="2"/>
  <c r="AY28" i="2"/>
  <c r="X29" i="2"/>
  <c r="BE29" i="2"/>
  <c r="AE30" i="2"/>
  <c r="E31" i="2"/>
  <c r="AL31" i="2"/>
  <c r="J32" i="2"/>
  <c r="AU32" i="2"/>
  <c r="M33" i="2"/>
  <c r="AK33" i="2"/>
  <c r="B34" i="2"/>
  <c r="Z34" i="2"/>
  <c r="AX34" i="2"/>
  <c r="N35" i="2"/>
  <c r="AL35" i="2"/>
  <c r="A36" i="2"/>
  <c r="Y36" i="2"/>
  <c r="AQ36" i="2"/>
  <c r="BD36" i="2"/>
  <c r="K37" i="2"/>
  <c r="Y37" i="2"/>
  <c r="AM37" i="2"/>
  <c r="BC37" i="2"/>
  <c r="G38" i="2"/>
  <c r="W38" i="2"/>
  <c r="AL38" i="2"/>
  <c r="AY38" i="2"/>
  <c r="F39" i="2"/>
  <c r="S39" i="2"/>
  <c r="AI39" i="2"/>
  <c r="AX39" i="2"/>
  <c r="B40" i="2"/>
  <c r="R40" i="2"/>
  <c r="AE40" i="2"/>
  <c r="AU40" i="2"/>
  <c r="BH40" i="2"/>
  <c r="K41" i="2"/>
  <c r="Y41" i="2"/>
  <c r="AJ41" i="2"/>
  <c r="AX41" i="2"/>
  <c r="B42" i="2"/>
  <c r="N42" i="2"/>
  <c r="AB42" i="2"/>
  <c r="AM42" i="2"/>
  <c r="BA42" i="2"/>
  <c r="E43" i="2"/>
  <c r="Q43" i="2"/>
  <c r="AE43" i="2"/>
  <c r="AP43" i="2"/>
  <c r="BD43" i="2"/>
  <c r="H44" i="2"/>
  <c r="T44" i="2"/>
  <c r="AH44" i="2"/>
  <c r="AS44" i="2"/>
  <c r="BG44" i="2"/>
  <c r="K45" i="2"/>
  <c r="W45" i="2"/>
  <c r="AK45" i="2"/>
  <c r="AV45" i="2"/>
  <c r="BG45" i="2"/>
  <c r="I46" i="2"/>
  <c r="R46" i="2"/>
  <c r="AA46" i="2"/>
  <c r="AJ46" i="2"/>
  <c r="AS46" i="2"/>
  <c r="BB46" i="2"/>
  <c r="C47" i="2"/>
  <c r="K47" i="2"/>
  <c r="S47" i="2"/>
  <c r="AA47" i="2"/>
  <c r="T8" i="2"/>
  <c r="AT13" i="2"/>
  <c r="AS17" i="2"/>
  <c r="AU19" i="2"/>
  <c r="U21" i="2"/>
  <c r="AV22" i="2"/>
  <c r="AM23" i="2"/>
  <c r="U24" i="2"/>
  <c r="BI24" i="2"/>
  <c r="AH25" i="2"/>
  <c r="F26" i="2"/>
  <c r="AN26" i="2"/>
  <c r="N27" i="2"/>
  <c r="AV27" i="2"/>
  <c r="U28" i="2"/>
  <c r="BB28" i="2"/>
  <c r="AB29" i="2"/>
  <c r="B30" i="2"/>
  <c r="AI30" i="2"/>
  <c r="G31" i="2"/>
  <c r="AR31" i="2"/>
  <c r="P32" i="2"/>
  <c r="AW32" i="2"/>
  <c r="Q33" i="2"/>
  <c r="AO33" i="2"/>
  <c r="D34" i="2"/>
  <c r="AC34" i="2"/>
  <c r="BA34" i="2"/>
  <c r="P35" i="2"/>
  <c r="AO35" i="2"/>
  <c r="D36" i="2"/>
  <c r="Z36" i="2"/>
  <c r="AR36" i="2"/>
  <c r="BG36" i="2"/>
  <c r="L37" i="2"/>
  <c r="AB37" i="2"/>
  <c r="AN37" i="2"/>
  <c r="BD37" i="2"/>
  <c r="J38" i="2"/>
  <c r="X38" i="2"/>
  <c r="AN38" i="2"/>
  <c r="AZ38" i="2"/>
  <c r="G39" i="2"/>
  <c r="V39" i="2"/>
  <c r="AJ39" i="2"/>
  <c r="AZ39" i="2"/>
  <c r="D40" i="2"/>
  <c r="T40" i="2"/>
  <c r="AH40" i="2"/>
  <c r="AV40" i="2"/>
  <c r="A41" i="2"/>
  <c r="L41" i="2"/>
  <c r="Z41" i="2"/>
  <c r="AM41" i="2"/>
  <c r="AY41" i="2"/>
  <c r="D42" i="2"/>
  <c r="O42" i="2"/>
  <c r="AC42" i="2"/>
  <c r="AP42" i="2"/>
  <c r="BB42" i="2"/>
  <c r="G43" i="2"/>
  <c r="R43" i="2"/>
  <c r="AF43" i="2"/>
  <c r="AS43" i="2"/>
  <c r="BE43" i="2"/>
  <c r="J44" i="2"/>
  <c r="U44" i="2"/>
  <c r="AI44" i="2"/>
  <c r="AV44" i="2"/>
  <c r="BH44" i="2"/>
  <c r="M45" i="2"/>
  <c r="X45" i="2"/>
  <c r="AL45" i="2"/>
  <c r="AW45" i="2"/>
  <c r="BI45" i="2"/>
  <c r="J46" i="2"/>
  <c r="S46" i="2"/>
  <c r="AB46" i="2"/>
  <c r="AK46" i="2"/>
  <c r="AT46" i="2"/>
  <c r="BD46" i="2"/>
  <c r="D47" i="2"/>
  <c r="L47" i="2"/>
  <c r="T47" i="2"/>
  <c r="AB47" i="2"/>
  <c r="AJ47" i="2"/>
  <c r="AR47" i="2"/>
  <c r="AZ47" i="2"/>
  <c r="BH47" i="2"/>
  <c r="G48" i="2"/>
  <c r="O48" i="2"/>
  <c r="W48" i="2"/>
  <c r="AE48" i="2"/>
  <c r="H9" i="2"/>
  <c r="AB14" i="2"/>
  <c r="C18" i="2"/>
  <c r="C20" i="2"/>
  <c r="AD21" i="2"/>
  <c r="BB22" i="2"/>
  <c r="AT23" i="2"/>
  <c r="Z24" i="2"/>
  <c r="C25" i="2"/>
  <c r="AK25" i="2"/>
  <c r="K26" i="2"/>
  <c r="AS26" i="2"/>
  <c r="R27" i="2"/>
  <c r="AY27" i="2"/>
  <c r="Y28" i="2"/>
  <c r="BH28" i="2"/>
  <c r="AF29" i="2"/>
  <c r="D30" i="2"/>
  <c r="AO30" i="2"/>
  <c r="M31" i="2"/>
  <c r="AT31" i="2"/>
  <c r="U32" i="2"/>
  <c r="BC32" i="2"/>
  <c r="S33" i="2"/>
  <c r="AR33" i="2"/>
  <c r="G34" i="2"/>
  <c r="AE34" i="2"/>
  <c r="BD34" i="2"/>
  <c r="S35" i="2"/>
  <c r="AT9" i="2"/>
  <c r="G15" i="2"/>
  <c r="P18" i="2"/>
  <c r="Q20" i="2"/>
  <c r="AS21" i="2"/>
  <c r="BI22" i="2"/>
  <c r="AX23" i="2"/>
  <c r="AG24" i="2"/>
  <c r="H25" i="2"/>
  <c r="AP25" i="2"/>
  <c r="O26" i="2"/>
  <c r="AV26" i="2"/>
  <c r="V27" i="2"/>
  <c r="BE27" i="2"/>
  <c r="AC28" i="2"/>
  <c r="A29" i="2"/>
  <c r="AL29" i="2"/>
  <c r="J30" i="2"/>
  <c r="AX5" i="2"/>
  <c r="BG20" i="2"/>
  <c r="AX24" i="2"/>
  <c r="F27" i="2"/>
  <c r="T29" i="2"/>
  <c r="R31" i="2"/>
  <c r="AO32" i="2"/>
  <c r="AX33" i="2"/>
  <c r="BG34" i="2"/>
  <c r="AX35" i="2"/>
  <c r="AH36" i="2"/>
  <c r="C37" i="2"/>
  <c r="AE37" i="2"/>
  <c r="A38" i="2"/>
  <c r="AE38" i="2"/>
  <c r="BG38" i="2"/>
  <c r="AA39" i="2"/>
  <c r="BC39" i="2"/>
  <c r="Y40" i="2"/>
  <c r="BB40" i="2"/>
  <c r="R41" i="2"/>
  <c r="AQ41" i="2"/>
  <c r="G42" i="2"/>
  <c r="AH42" i="2"/>
  <c r="BH42" i="2"/>
  <c r="X43" i="2"/>
  <c r="AW43" i="2"/>
  <c r="M44" i="2"/>
  <c r="AN44" i="2"/>
  <c r="E45" i="2"/>
  <c r="AD45" i="2"/>
  <c r="BB45" i="2"/>
  <c r="M46" i="2"/>
  <c r="AF46" i="2"/>
  <c r="AX46" i="2"/>
  <c r="F47" i="2"/>
  <c r="R47" i="2"/>
  <c r="AE47" i="2"/>
  <c r="AP47" i="2"/>
  <c r="BA47" i="2"/>
  <c r="B48" i="2"/>
  <c r="M48" i="2"/>
  <c r="X48" i="2"/>
  <c r="AH48" i="2"/>
  <c r="AR48" i="2"/>
  <c r="BA48" i="2"/>
  <c r="A49" i="2"/>
  <c r="J49" i="2"/>
  <c r="S49" i="2"/>
  <c r="AB49" i="2"/>
  <c r="AK49" i="2"/>
  <c r="AU49" i="2"/>
  <c r="BD49" i="2"/>
  <c r="D50" i="2"/>
  <c r="M50" i="2"/>
  <c r="V50" i="2"/>
  <c r="AE50" i="2"/>
  <c r="AN50" i="2"/>
  <c r="AX50" i="2"/>
  <c r="BG50" i="2"/>
  <c r="G51" i="2"/>
  <c r="P51" i="2"/>
  <c r="Y51" i="2"/>
  <c r="AH51" i="2"/>
  <c r="AQ51" i="2"/>
  <c r="BA51" i="2"/>
  <c r="A52" i="2"/>
  <c r="J52" i="2"/>
  <c r="S52" i="2"/>
  <c r="AB52" i="2"/>
  <c r="AK52" i="2"/>
  <c r="AS52" i="2"/>
  <c r="BA52" i="2"/>
  <c r="BI52" i="2"/>
  <c r="H53" i="2"/>
  <c r="P53" i="2"/>
  <c r="X53" i="2"/>
  <c r="AF53" i="2"/>
  <c r="AN53" i="2"/>
  <c r="AV53" i="2"/>
  <c r="BD53" i="2"/>
  <c r="C54" i="2"/>
  <c r="K54" i="2"/>
  <c r="S54" i="2"/>
  <c r="AA54" i="2"/>
  <c r="AI54" i="2"/>
  <c r="AQ54" i="2"/>
  <c r="AY54" i="2"/>
  <c r="BG54" i="2"/>
  <c r="F55" i="2"/>
  <c r="N55" i="2"/>
  <c r="V55" i="2"/>
  <c r="AD55" i="2"/>
  <c r="AL55" i="2"/>
  <c r="AT55" i="2"/>
  <c r="BB55" i="2"/>
  <c r="A56" i="2"/>
  <c r="I56" i="2"/>
  <c r="Q56" i="2"/>
  <c r="Y56" i="2"/>
  <c r="AG56" i="2"/>
  <c r="AO56" i="2"/>
  <c r="AW56" i="2"/>
  <c r="BE56" i="2"/>
  <c r="D57" i="2"/>
  <c r="L57" i="2"/>
  <c r="T57" i="2"/>
  <c r="AB57" i="2"/>
  <c r="AJ57" i="2"/>
  <c r="AR57" i="2"/>
  <c r="AZ57" i="2"/>
  <c r="BH57" i="2"/>
  <c r="G58" i="2"/>
  <c r="O58" i="2"/>
  <c r="W58" i="2"/>
  <c r="AE58" i="2"/>
  <c r="AM58" i="2"/>
  <c r="AU58" i="2"/>
  <c r="BC58" i="2"/>
  <c r="B59" i="2"/>
  <c r="J59" i="2"/>
  <c r="R59" i="2"/>
  <c r="Z59" i="2"/>
  <c r="AH59" i="2"/>
  <c r="AP59" i="2"/>
  <c r="AX59" i="2"/>
  <c r="BF59" i="2"/>
  <c r="E60" i="2"/>
  <c r="M60" i="2"/>
  <c r="U60" i="2"/>
  <c r="AC60" i="2"/>
  <c r="AK60" i="2"/>
  <c r="AS60" i="2"/>
  <c r="BA60" i="2"/>
  <c r="BI60" i="2"/>
  <c r="H61" i="2"/>
  <c r="P61" i="2"/>
  <c r="X61" i="2"/>
  <c r="AF61" i="2"/>
  <c r="AN61" i="2"/>
  <c r="AV61" i="2"/>
  <c r="BD61" i="2"/>
  <c r="X54" i="2"/>
  <c r="AP10" i="2"/>
  <c r="BA21" i="2"/>
  <c r="L25" i="2"/>
  <c r="Z27" i="2"/>
  <c r="AN29" i="2"/>
  <c r="U31" i="2"/>
  <c r="BF32" i="2"/>
  <c r="BG33" i="2"/>
  <c r="A35" i="2"/>
  <c r="BG35" i="2"/>
  <c r="AO36" i="2"/>
  <c r="I37" i="2"/>
  <c r="AL37" i="2"/>
  <c r="F38" i="2"/>
  <c r="AH38" i="2"/>
  <c r="D39" i="2"/>
  <c r="AH39" i="2"/>
  <c r="A40" i="2"/>
  <c r="AD40" i="2"/>
  <c r="BE40" i="2"/>
  <c r="W41" i="2"/>
  <c r="AW41" i="2"/>
  <c r="M42" i="2"/>
  <c r="AL42" i="2"/>
  <c r="B43" i="2"/>
  <c r="AC43" i="2"/>
  <c r="BC43" i="2"/>
  <c r="S44" i="2"/>
  <c r="AR44" i="2"/>
  <c r="H45" i="2"/>
  <c r="AI45" i="2"/>
  <c r="BE45" i="2"/>
  <c r="Q46" i="2"/>
  <c r="AI46" i="2"/>
  <c r="BA46" i="2"/>
  <c r="G47" i="2"/>
  <c r="U47" i="2"/>
  <c r="AG47" i="2"/>
  <c r="AQ47" i="2"/>
  <c r="BB47" i="2"/>
  <c r="D48" i="2"/>
  <c r="N48" i="2"/>
  <c r="Y48" i="2"/>
  <c r="AJ48" i="2"/>
  <c r="AS48" i="2"/>
  <c r="BB48" i="2"/>
  <c r="B49" i="2"/>
  <c r="K49" i="2"/>
  <c r="T49" i="2"/>
  <c r="AC49" i="2"/>
  <c r="AM49" i="2"/>
  <c r="AV49" i="2"/>
  <c r="BE49" i="2"/>
  <c r="E50" i="2"/>
  <c r="N50" i="2"/>
  <c r="W50" i="2"/>
  <c r="AF50" i="2"/>
  <c r="AP50" i="2"/>
  <c r="AY50" i="2"/>
  <c r="BH50" i="2"/>
  <c r="H51" i="2"/>
  <c r="Q51" i="2"/>
  <c r="Z51" i="2"/>
  <c r="AI51" i="2"/>
  <c r="AS51" i="2"/>
  <c r="BB51" i="2"/>
  <c r="B52" i="2"/>
  <c r="K52" i="2"/>
  <c r="T52" i="2"/>
  <c r="AC52" i="2"/>
  <c r="AL52" i="2"/>
  <c r="AT52" i="2"/>
  <c r="BB52" i="2"/>
  <c r="A53" i="2"/>
  <c r="I53" i="2"/>
  <c r="Q53" i="2"/>
  <c r="Y53" i="2"/>
  <c r="AG53" i="2"/>
  <c r="AO53" i="2"/>
  <c r="AW53" i="2"/>
  <c r="BE53" i="2"/>
  <c r="D54" i="2"/>
  <c r="L54" i="2"/>
  <c r="T54" i="2"/>
  <c r="AB54" i="2"/>
  <c r="AJ54" i="2"/>
  <c r="AR54" i="2"/>
  <c r="AZ54" i="2"/>
  <c r="BH54" i="2"/>
  <c r="G55" i="2"/>
  <c r="O55" i="2"/>
  <c r="W55" i="2"/>
  <c r="AE55" i="2"/>
  <c r="AM55" i="2"/>
  <c r="AU55" i="2"/>
  <c r="BC55" i="2"/>
  <c r="B56" i="2"/>
  <c r="J56" i="2"/>
  <c r="R56" i="2"/>
  <c r="Z56" i="2"/>
  <c r="AH56" i="2"/>
  <c r="AP56" i="2"/>
  <c r="AX56" i="2"/>
  <c r="BF56" i="2"/>
  <c r="E57" i="2"/>
  <c r="M57" i="2"/>
  <c r="U57" i="2"/>
  <c r="AC57" i="2"/>
  <c r="AK57" i="2"/>
  <c r="AS57" i="2"/>
  <c r="BA57" i="2"/>
  <c r="BI57" i="2"/>
  <c r="H58" i="2"/>
  <c r="P58" i="2"/>
  <c r="X58" i="2"/>
  <c r="AF58" i="2"/>
  <c r="AN58" i="2"/>
  <c r="AV58" i="2"/>
  <c r="BD58" i="2"/>
  <c r="C59" i="2"/>
  <c r="K59" i="2"/>
  <c r="S59" i="2"/>
  <c r="AA59" i="2"/>
  <c r="AI59" i="2"/>
  <c r="AQ59" i="2"/>
  <c r="AY59" i="2"/>
  <c r="BG59" i="2"/>
  <c r="F60" i="2"/>
  <c r="N60" i="2"/>
  <c r="V60" i="2"/>
  <c r="AD60" i="2"/>
  <c r="AL60" i="2"/>
  <c r="AT60" i="2"/>
  <c r="BB60" i="2"/>
  <c r="A61" i="2"/>
  <c r="I61" i="2"/>
  <c r="Q61" i="2"/>
  <c r="Y61" i="2"/>
  <c r="AG61" i="2"/>
  <c r="AO61" i="2"/>
  <c r="AW61" i="2"/>
  <c r="BE61" i="2"/>
  <c r="AR59" i="2"/>
  <c r="O60" i="2"/>
  <c r="AE60" i="2"/>
  <c r="AU60" i="2"/>
  <c r="B61" i="2"/>
  <c r="J61" i="2"/>
  <c r="Z61" i="2"/>
  <c r="AP61" i="2"/>
  <c r="AX61" i="2"/>
  <c r="BD60" i="2"/>
  <c r="K61" i="2"/>
  <c r="AA61" i="2"/>
  <c r="AY61" i="2"/>
  <c r="AR12" i="2"/>
  <c r="X22" i="2"/>
  <c r="Z25" i="2"/>
  <c r="AN27" i="2"/>
  <c r="BB29" i="2"/>
  <c r="AH31" i="2"/>
  <c r="A33" i="2"/>
  <c r="K34" i="2"/>
  <c r="J35" i="2"/>
  <c r="H36" i="2"/>
  <c r="AS36" i="2"/>
  <c r="M37" i="2"/>
  <c r="AR37" i="2"/>
  <c r="L38" i="2"/>
  <c r="AO38" i="2"/>
  <c r="I39" i="2"/>
  <c r="AK39" i="2"/>
  <c r="G40" i="2"/>
  <c r="AK40" i="2"/>
  <c r="B41" i="2"/>
  <c r="AA41" i="2"/>
  <c r="AZ41" i="2"/>
  <c r="R42" i="2"/>
  <c r="AR42" i="2"/>
  <c r="H43" i="2"/>
  <c r="AG43" i="2"/>
  <c r="BF43" i="2"/>
  <c r="X44" i="2"/>
  <c r="AX44" i="2"/>
  <c r="N45" i="2"/>
  <c r="AM45" i="2"/>
  <c r="A46" i="2"/>
  <c r="T46" i="2"/>
  <c r="AL46" i="2"/>
  <c r="BE46" i="2"/>
  <c r="I47" i="2"/>
  <c r="V47" i="2"/>
  <c r="AH47" i="2"/>
  <c r="AS47" i="2"/>
  <c r="BC47" i="2"/>
  <c r="E48" i="2"/>
  <c r="P48" i="2"/>
  <c r="Z48" i="2"/>
  <c r="AK48" i="2"/>
  <c r="AT48" i="2"/>
  <c r="BC48" i="2"/>
  <c r="C49" i="2"/>
  <c r="L49" i="2"/>
  <c r="U49" i="2"/>
  <c r="AE49" i="2"/>
  <c r="AN49" i="2"/>
  <c r="AW49" i="2"/>
  <c r="BF49" i="2"/>
  <c r="F50" i="2"/>
  <c r="O50" i="2"/>
  <c r="X50" i="2"/>
  <c r="AH50" i="2"/>
  <c r="AQ50" i="2"/>
  <c r="AZ50" i="2"/>
  <c r="BI50" i="2"/>
  <c r="I51" i="2"/>
  <c r="R51" i="2"/>
  <c r="AA51" i="2"/>
  <c r="AK51" i="2"/>
  <c r="AT51" i="2"/>
  <c r="BC51" i="2"/>
  <c r="C52" i="2"/>
  <c r="L52" i="2"/>
  <c r="U52" i="2"/>
  <c r="AD52" i="2"/>
  <c r="AM52" i="2"/>
  <c r="AU52" i="2"/>
  <c r="BC52" i="2"/>
  <c r="B53" i="2"/>
  <c r="J53" i="2"/>
  <c r="R53" i="2"/>
  <c r="Z53" i="2"/>
  <c r="AH53" i="2"/>
  <c r="AP53" i="2"/>
  <c r="AX53" i="2"/>
  <c r="BF53" i="2"/>
  <c r="E54" i="2"/>
  <c r="M54" i="2"/>
  <c r="U54" i="2"/>
  <c r="AC54" i="2"/>
  <c r="AK54" i="2"/>
  <c r="AS54" i="2"/>
  <c r="BA54" i="2"/>
  <c r="BI54" i="2"/>
  <c r="H55" i="2"/>
  <c r="P55" i="2"/>
  <c r="X55" i="2"/>
  <c r="AF55" i="2"/>
  <c r="AN55" i="2"/>
  <c r="AV55" i="2"/>
  <c r="BD55" i="2"/>
  <c r="C56" i="2"/>
  <c r="K56" i="2"/>
  <c r="S56" i="2"/>
  <c r="AA56" i="2"/>
  <c r="AI56" i="2"/>
  <c r="AQ56" i="2"/>
  <c r="AY56" i="2"/>
  <c r="BG56" i="2"/>
  <c r="F57" i="2"/>
  <c r="N57" i="2"/>
  <c r="V57" i="2"/>
  <c r="AD57" i="2"/>
  <c r="AL57" i="2"/>
  <c r="AT57" i="2"/>
  <c r="BB57" i="2"/>
  <c r="A58" i="2"/>
  <c r="I58" i="2"/>
  <c r="Q58" i="2"/>
  <c r="Y58" i="2"/>
  <c r="AG58" i="2"/>
  <c r="AO58" i="2"/>
  <c r="AW58" i="2"/>
  <c r="BE58" i="2"/>
  <c r="D59" i="2"/>
  <c r="L59" i="2"/>
  <c r="T59" i="2"/>
  <c r="AB59" i="2"/>
  <c r="AJ59" i="2"/>
  <c r="AZ59" i="2"/>
  <c r="BH59" i="2"/>
  <c r="G60" i="2"/>
  <c r="W60" i="2"/>
  <c r="AM60" i="2"/>
  <c r="BC60" i="2"/>
  <c r="R61" i="2"/>
  <c r="AH61" i="2"/>
  <c r="BF61" i="2"/>
  <c r="S61" i="2"/>
  <c r="AQ61" i="2"/>
  <c r="BG61" i="2"/>
  <c r="BA53" i="2"/>
  <c r="Y15" i="2"/>
  <c r="I23" i="2"/>
  <c r="AS25" i="2"/>
  <c r="BG27" i="2"/>
  <c r="O30" i="2"/>
  <c r="AZ31" i="2"/>
  <c r="J33" i="2"/>
  <c r="M34" i="2"/>
  <c r="W35" i="2"/>
  <c r="J36" i="2"/>
  <c r="AT36" i="2"/>
  <c r="P37" i="2"/>
  <c r="AT37" i="2"/>
  <c r="N38" i="2"/>
  <c r="AP38" i="2"/>
  <c r="J39" i="2"/>
  <c r="AO39" i="2"/>
  <c r="I40" i="2"/>
  <c r="AL40" i="2"/>
  <c r="C41" i="2"/>
  <c r="AB41" i="2"/>
  <c r="BC41" i="2"/>
  <c r="T42" i="2"/>
  <c r="AS42" i="2"/>
  <c r="I43" i="2"/>
  <c r="AH43" i="2"/>
  <c r="BI43" i="2"/>
  <c r="Z44" i="2"/>
  <c r="AY44" i="2"/>
  <c r="O45" i="2"/>
  <c r="AN45" i="2"/>
  <c r="B46" i="2"/>
  <c r="U46" i="2"/>
  <c r="AN46" i="2"/>
  <c r="BF46" i="2"/>
  <c r="J47" i="2"/>
  <c r="W47" i="2"/>
  <c r="AI47" i="2"/>
  <c r="AT47" i="2"/>
  <c r="BE47" i="2"/>
  <c r="F48" i="2"/>
  <c r="Q48" i="2"/>
  <c r="AB48" i="2"/>
  <c r="AL48" i="2"/>
  <c r="AU48" i="2"/>
  <c r="BD48" i="2"/>
  <c r="D49" i="2"/>
  <c r="M49" i="2"/>
  <c r="W49" i="2"/>
  <c r="AF49" i="2"/>
  <c r="AO49" i="2"/>
  <c r="AX49" i="2"/>
  <c r="BG49" i="2"/>
  <c r="G50" i="2"/>
  <c r="P50" i="2"/>
  <c r="Z50" i="2"/>
  <c r="AI50" i="2"/>
  <c r="AR50" i="2"/>
  <c r="BA50" i="2"/>
  <c r="A51" i="2"/>
  <c r="J51" i="2"/>
  <c r="S51" i="2"/>
  <c r="AC51" i="2"/>
  <c r="AL51" i="2"/>
  <c r="AU51" i="2"/>
  <c r="BD51" i="2"/>
  <c r="D52" i="2"/>
  <c r="M52" i="2"/>
  <c r="V52" i="2"/>
  <c r="AF52" i="2"/>
  <c r="AN52" i="2"/>
  <c r="AV52" i="2"/>
  <c r="BD52" i="2"/>
  <c r="C53" i="2"/>
  <c r="K53" i="2"/>
  <c r="S53" i="2"/>
  <c r="AA53" i="2"/>
  <c r="AI53" i="2"/>
  <c r="AQ53" i="2"/>
  <c r="AY53" i="2"/>
  <c r="BG53" i="2"/>
  <c r="F54" i="2"/>
  <c r="N54" i="2"/>
  <c r="V54" i="2"/>
  <c r="AD54" i="2"/>
  <c r="AL54" i="2"/>
  <c r="AT54" i="2"/>
  <c r="BB54" i="2"/>
  <c r="A55" i="2"/>
  <c r="I55" i="2"/>
  <c r="Q55" i="2"/>
  <c r="Y55" i="2"/>
  <c r="AG55" i="2"/>
  <c r="AO55" i="2"/>
  <c r="AW55" i="2"/>
  <c r="BE55" i="2"/>
  <c r="D56" i="2"/>
  <c r="L56" i="2"/>
  <c r="T56" i="2"/>
  <c r="AB56" i="2"/>
  <c r="AJ56" i="2"/>
  <c r="AR56" i="2"/>
  <c r="AZ56" i="2"/>
  <c r="BH56" i="2"/>
  <c r="G57" i="2"/>
  <c r="O57" i="2"/>
  <c r="W57" i="2"/>
  <c r="AE57" i="2"/>
  <c r="AM57" i="2"/>
  <c r="AU57" i="2"/>
  <c r="BC57" i="2"/>
  <c r="B58" i="2"/>
  <c r="J58" i="2"/>
  <c r="R58" i="2"/>
  <c r="Z58" i="2"/>
  <c r="AH58" i="2"/>
  <c r="AP58" i="2"/>
  <c r="AX58" i="2"/>
  <c r="BF58" i="2"/>
  <c r="E59" i="2"/>
  <c r="M59" i="2"/>
  <c r="U59" i="2"/>
  <c r="AC59" i="2"/>
  <c r="AK59" i="2"/>
  <c r="AS59" i="2"/>
  <c r="BA59" i="2"/>
  <c r="BI59" i="2"/>
  <c r="H60" i="2"/>
  <c r="P60" i="2"/>
  <c r="X60" i="2"/>
  <c r="AF60" i="2"/>
  <c r="AN60" i="2"/>
  <c r="AV60" i="2"/>
  <c r="C61" i="2"/>
  <c r="AI61" i="2"/>
  <c r="P54" i="2"/>
  <c r="BA16" i="2"/>
  <c r="AC23" i="2"/>
  <c r="BG25" i="2"/>
  <c r="L28" i="2"/>
  <c r="AA30" i="2"/>
  <c r="BC31" i="2"/>
  <c r="W33" i="2"/>
  <c r="V34" i="2"/>
  <c r="Y35" i="2"/>
  <c r="M36" i="2"/>
  <c r="AX36" i="2"/>
  <c r="S37" i="2"/>
  <c r="AU37" i="2"/>
  <c r="O38" i="2"/>
  <c r="AQ38" i="2"/>
  <c r="M39" i="2"/>
  <c r="AQ39" i="2"/>
  <c r="J40" i="2"/>
  <c r="AM40" i="2"/>
  <c r="D41" i="2"/>
  <c r="AE41" i="2"/>
  <c r="BE41" i="2"/>
  <c r="U42" i="2"/>
  <c r="AT42" i="2"/>
  <c r="J43" i="2"/>
  <c r="AK43" i="2"/>
  <c r="B44" i="2"/>
  <c r="AA44" i="2"/>
  <c r="AZ44" i="2"/>
  <c r="P45" i="2"/>
  <c r="AQ45" i="2"/>
  <c r="C46" i="2"/>
  <c r="V46" i="2"/>
  <c r="AO46" i="2"/>
  <c r="BG46" i="2"/>
  <c r="M47" i="2"/>
  <c r="Y47" i="2"/>
  <c r="AK47" i="2"/>
  <c r="AU47" i="2"/>
  <c r="BF47" i="2"/>
  <c r="H48" i="2"/>
  <c r="R48" i="2"/>
  <c r="AC48" i="2"/>
  <c r="AM48" i="2"/>
  <c r="AV48" i="2"/>
  <c r="BE48" i="2"/>
  <c r="E49" i="2"/>
  <c r="O49" i="2"/>
  <c r="X49" i="2"/>
  <c r="AG49" i="2"/>
  <c r="AP49" i="2"/>
  <c r="AY49" i="2"/>
  <c r="BH49" i="2"/>
  <c r="H50" i="2"/>
  <c r="R50" i="2"/>
  <c r="AA50" i="2"/>
  <c r="AJ50" i="2"/>
  <c r="AS50" i="2"/>
  <c r="BB50" i="2"/>
  <c r="B51" i="2"/>
  <c r="K51" i="2"/>
  <c r="U51" i="2"/>
  <c r="AD51" i="2"/>
  <c r="AM51" i="2"/>
  <c r="AV51" i="2"/>
  <c r="BE51" i="2"/>
  <c r="E52" i="2"/>
  <c r="N52" i="2"/>
  <c r="X52" i="2"/>
  <c r="AG52" i="2"/>
  <c r="AO52" i="2"/>
  <c r="AW52" i="2"/>
  <c r="BE52" i="2"/>
  <c r="D53" i="2"/>
  <c r="L53" i="2"/>
  <c r="T53" i="2"/>
  <c r="AB53" i="2"/>
  <c r="AJ53" i="2"/>
  <c r="AR53" i="2"/>
  <c r="AZ53" i="2"/>
  <c r="BH53" i="2"/>
  <c r="G54" i="2"/>
  <c r="O54" i="2"/>
  <c r="W54" i="2"/>
  <c r="AE54" i="2"/>
  <c r="AM54" i="2"/>
  <c r="AU54" i="2"/>
  <c r="BC54" i="2"/>
  <c r="B55" i="2"/>
  <c r="J55" i="2"/>
  <c r="R55" i="2"/>
  <c r="Z55" i="2"/>
  <c r="AH55" i="2"/>
  <c r="AP55" i="2"/>
  <c r="AX55" i="2"/>
  <c r="BF55" i="2"/>
  <c r="E56" i="2"/>
  <c r="M56" i="2"/>
  <c r="U56" i="2"/>
  <c r="AC56" i="2"/>
  <c r="AK56" i="2"/>
  <c r="AS56" i="2"/>
  <c r="BA56" i="2"/>
  <c r="BI56" i="2"/>
  <c r="H57" i="2"/>
  <c r="P57" i="2"/>
  <c r="X57" i="2"/>
  <c r="AF57" i="2"/>
  <c r="AN57" i="2"/>
  <c r="AV57" i="2"/>
  <c r="BD57" i="2"/>
  <c r="C58" i="2"/>
  <c r="K58" i="2"/>
  <c r="S58" i="2"/>
  <c r="AA58" i="2"/>
  <c r="AI58" i="2"/>
  <c r="AQ58" i="2"/>
  <c r="AY58" i="2"/>
  <c r="BG58" i="2"/>
  <c r="F59" i="2"/>
  <c r="N59" i="2"/>
  <c r="V59" i="2"/>
  <c r="AD59" i="2"/>
  <c r="AL59" i="2"/>
  <c r="AT59" i="2"/>
  <c r="BB59" i="2"/>
  <c r="A60" i="2"/>
  <c r="I60" i="2"/>
  <c r="Q60" i="2"/>
  <c r="Y60" i="2"/>
  <c r="AG60" i="2"/>
  <c r="AO60" i="2"/>
  <c r="AW60" i="2"/>
  <c r="BE60" i="2"/>
  <c r="D61" i="2"/>
  <c r="L61" i="2"/>
  <c r="T61" i="2"/>
  <c r="AB61" i="2"/>
  <c r="AJ61" i="2"/>
  <c r="AR61" i="2"/>
  <c r="AZ61" i="2"/>
  <c r="BH61" i="2"/>
  <c r="AX52" i="2"/>
  <c r="C55" i="2"/>
  <c r="AQ18" i="2"/>
  <c r="BC23" i="2"/>
  <c r="S26" i="2"/>
  <c r="AI28" i="2"/>
  <c r="AQ30" i="2"/>
  <c r="H32" i="2"/>
  <c r="Z33" i="2"/>
  <c r="AI34" i="2"/>
  <c r="AH35" i="2"/>
  <c r="V36" i="2"/>
  <c r="BB36" i="2"/>
  <c r="V37" i="2"/>
  <c r="BA37" i="2"/>
  <c r="V38" i="2"/>
  <c r="AX38" i="2"/>
  <c r="R39" i="2"/>
  <c r="AT39" i="2"/>
  <c r="P40" i="2"/>
  <c r="AT40" i="2"/>
  <c r="J41" i="2"/>
  <c r="AI41" i="2"/>
  <c r="BH41" i="2"/>
  <c r="Z42" i="2"/>
  <c r="AZ42" i="2"/>
  <c r="P43" i="2"/>
  <c r="AO43" i="2"/>
  <c r="E44" i="2"/>
  <c r="AF44" i="2"/>
  <c r="BF44" i="2"/>
  <c r="V45" i="2"/>
  <c r="AU45" i="2"/>
  <c r="H46" i="2"/>
  <c r="Z46" i="2"/>
  <c r="AR46" i="2"/>
  <c r="BI46" i="2"/>
  <c r="N47" i="2"/>
  <c r="Z47" i="2"/>
  <c r="AL47" i="2"/>
  <c r="AW47" i="2"/>
  <c r="BG47" i="2"/>
  <c r="I48" i="2"/>
  <c r="T48" i="2"/>
  <c r="AD48" i="2"/>
  <c r="AN48" i="2"/>
  <c r="AW48" i="2"/>
  <c r="BF48" i="2"/>
  <c r="G49" i="2"/>
  <c r="P49" i="2"/>
  <c r="Y49" i="2"/>
  <c r="AH49" i="2"/>
  <c r="AQ49" i="2"/>
  <c r="AZ49" i="2"/>
  <c r="BI49" i="2"/>
  <c r="J50" i="2"/>
  <c r="S50" i="2"/>
  <c r="AB50" i="2"/>
  <c r="AK50" i="2"/>
  <c r="AT50" i="2"/>
  <c r="BC50" i="2"/>
  <c r="C51" i="2"/>
  <c r="M51" i="2"/>
  <c r="V51" i="2"/>
  <c r="AE51" i="2"/>
  <c r="AN51" i="2"/>
  <c r="AW51" i="2"/>
  <c r="BF51" i="2"/>
  <c r="F52" i="2"/>
  <c r="P52" i="2"/>
  <c r="Y52" i="2"/>
  <c r="AH52" i="2"/>
  <c r="AP52" i="2"/>
  <c r="BF52" i="2"/>
  <c r="E53" i="2"/>
  <c r="M53" i="2"/>
  <c r="U53" i="2"/>
  <c r="AC53" i="2"/>
  <c r="AK53" i="2"/>
  <c r="AS53" i="2"/>
  <c r="H54" i="2"/>
  <c r="AF54" i="2"/>
  <c r="AN54" i="2"/>
  <c r="AV54" i="2"/>
  <c r="BD54" i="2"/>
  <c r="K55" i="2"/>
  <c r="S55" i="2"/>
  <c r="AA20" i="2"/>
  <c r="AK24" i="2"/>
  <c r="BB26" i="2"/>
  <c r="G29" i="2"/>
  <c r="BH30" i="2"/>
  <c r="AC32" i="2"/>
  <c r="AU33" i="2"/>
  <c r="AU34" i="2"/>
  <c r="AU35" i="2"/>
  <c r="AF36" i="2"/>
  <c r="A37" i="2"/>
  <c r="AD37" i="2"/>
  <c r="BG37" i="2"/>
  <c r="AB38" i="2"/>
  <c r="BF38" i="2"/>
  <c r="Z39" i="2"/>
  <c r="BB39" i="2"/>
  <c r="V40" i="2"/>
  <c r="AZ40" i="2"/>
  <c r="Q41" i="2"/>
  <c r="AP41" i="2"/>
  <c r="F42" i="2"/>
  <c r="AE42" i="2"/>
  <c r="BF42" i="2"/>
  <c r="W43" i="2"/>
  <c r="AV43" i="2"/>
  <c r="L44" i="2"/>
  <c r="AK44" i="2"/>
  <c r="C45" i="2"/>
  <c r="AC45" i="2"/>
  <c r="BA45" i="2"/>
  <c r="L46" i="2"/>
  <c r="AD46" i="2"/>
  <c r="AW46" i="2"/>
  <c r="E47" i="2"/>
  <c r="Q47" i="2"/>
  <c r="AD47" i="2"/>
  <c r="AO47" i="2"/>
  <c r="AY47" i="2"/>
  <c r="A48" i="2"/>
  <c r="L48" i="2"/>
  <c r="V48" i="2"/>
  <c r="AG48" i="2"/>
  <c r="AP48" i="2"/>
  <c r="AZ48" i="2"/>
  <c r="BI48" i="2"/>
  <c r="I49" i="2"/>
  <c r="R49" i="2"/>
  <c r="AA49" i="2"/>
  <c r="AJ49" i="2"/>
  <c r="AS49" i="2"/>
  <c r="BC49" i="2"/>
  <c r="C50" i="2"/>
  <c r="L50" i="2"/>
  <c r="U50" i="2"/>
  <c r="AD50" i="2"/>
  <c r="AM50" i="2"/>
  <c r="AV50" i="2"/>
  <c r="BF50" i="2"/>
  <c r="F51" i="2"/>
  <c r="O51" i="2"/>
  <c r="X51" i="2"/>
  <c r="AG51" i="2"/>
  <c r="AP51" i="2"/>
  <c r="AY51" i="2"/>
  <c r="BI51" i="2"/>
  <c r="I52" i="2"/>
  <c r="R52" i="2"/>
  <c r="AA52" i="2"/>
  <c r="AJ52" i="2"/>
  <c r="AR52" i="2"/>
  <c r="AZ52" i="2"/>
  <c r="BH52" i="2"/>
  <c r="G53" i="2"/>
  <c r="O53" i="2"/>
  <c r="W53" i="2"/>
  <c r="AE53" i="2"/>
  <c r="AM53" i="2"/>
  <c r="AU53" i="2"/>
  <c r="BC53" i="2"/>
  <c r="B54" i="2"/>
  <c r="J54" i="2"/>
  <c r="R54" i="2"/>
  <c r="Z54" i="2"/>
  <c r="AH54" i="2"/>
  <c r="AP54" i="2"/>
  <c r="AX54" i="2"/>
  <c r="BF54" i="2"/>
  <c r="E55" i="2"/>
  <c r="M55" i="2"/>
  <c r="U55" i="2"/>
  <c r="AC55" i="2"/>
  <c r="AK55" i="2"/>
  <c r="AS55" i="2"/>
  <c r="BA55" i="2"/>
  <c r="BI55" i="2"/>
  <c r="H56" i="2"/>
  <c r="P56" i="2"/>
  <c r="W19" i="2"/>
  <c r="AQ35" i="2"/>
  <c r="BA39" i="2"/>
  <c r="U43" i="2"/>
  <c r="AC46" i="2"/>
  <c r="J48" i="2"/>
  <c r="Z49" i="2"/>
  <c r="AL50" i="2"/>
  <c r="AX51" i="2"/>
  <c r="BG52" i="2"/>
  <c r="BI53" i="2"/>
  <c r="BE54" i="2"/>
  <c r="AQ55" i="2"/>
  <c r="N56" i="2"/>
  <c r="AL56" i="2"/>
  <c r="BD56" i="2"/>
  <c r="R57" i="2"/>
  <c r="AO57" i="2"/>
  <c r="BG57" i="2"/>
  <c r="U58" i="2"/>
  <c r="AR58" i="2"/>
  <c r="A59" i="2"/>
  <c r="X59" i="2"/>
  <c r="AU59" i="2"/>
  <c r="D60" i="2"/>
  <c r="AA60" i="2"/>
  <c r="AX60" i="2"/>
  <c r="G61" i="2"/>
  <c r="AD61" i="2"/>
  <c r="BA61" i="2"/>
  <c r="AX47" i="2"/>
  <c r="AQ52" i="2"/>
  <c r="BB56" i="2"/>
  <c r="Q59" i="2"/>
  <c r="W61" i="2"/>
  <c r="C60" i="2"/>
  <c r="J24" i="2"/>
  <c r="AB36" i="2"/>
  <c r="U40" i="2"/>
  <c r="AU43" i="2"/>
  <c r="AV46" i="2"/>
  <c r="U48" i="2"/>
  <c r="AI49" i="2"/>
  <c r="AU50" i="2"/>
  <c r="BG51" i="2"/>
  <c r="F53" i="2"/>
  <c r="A54" i="2"/>
  <c r="D55" i="2"/>
  <c r="AR55" i="2"/>
  <c r="O56" i="2"/>
  <c r="AM56" i="2"/>
  <c r="A57" i="2"/>
  <c r="S57" i="2"/>
  <c r="AP57" i="2"/>
  <c r="D58" i="2"/>
  <c r="V58" i="2"/>
  <c r="AS58" i="2"/>
  <c r="G59" i="2"/>
  <c r="Y59" i="2"/>
  <c r="AV59" i="2"/>
  <c r="J60" i="2"/>
  <c r="AB60" i="2"/>
  <c r="AY60" i="2"/>
  <c r="M61" i="2"/>
  <c r="AE61" i="2"/>
  <c r="BB61" i="2"/>
  <c r="AE26" i="2"/>
  <c r="BI36" i="2"/>
  <c r="AW40" i="2"/>
  <c r="K44" i="2"/>
  <c r="A47" i="2"/>
  <c r="AF48" i="2"/>
  <c r="AR49" i="2"/>
  <c r="BD50" i="2"/>
  <c r="H52" i="2"/>
  <c r="N53" i="2"/>
  <c r="I54" i="2"/>
  <c r="L55" i="2"/>
  <c r="AY55" i="2"/>
  <c r="V56" i="2"/>
  <c r="AN56" i="2"/>
  <c r="B57" i="2"/>
  <c r="Y57" i="2"/>
  <c r="AQ57" i="2"/>
  <c r="E58" i="2"/>
  <c r="AB58" i="2"/>
  <c r="AT58" i="2"/>
  <c r="H59" i="2"/>
  <c r="AE59" i="2"/>
  <c r="AW59" i="2"/>
  <c r="K60" i="2"/>
  <c r="AH60" i="2"/>
  <c r="AZ60" i="2"/>
  <c r="N61" i="2"/>
  <c r="AK61" i="2"/>
  <c r="BC61" i="2"/>
  <c r="AT28" i="2"/>
  <c r="O41" i="2"/>
  <c r="AJ44" i="2"/>
  <c r="O47" i="2"/>
  <c r="AO48" i="2"/>
  <c r="BA49" i="2"/>
  <c r="E51" i="2"/>
  <c r="Q52" i="2"/>
  <c r="V53" i="2"/>
  <c r="Q54" i="2"/>
  <c r="T55" i="2"/>
  <c r="AZ55" i="2"/>
  <c r="AT56" i="2"/>
  <c r="C57" i="2"/>
  <c r="Z57" i="2"/>
  <c r="AW57" i="2"/>
  <c r="F58" i="2"/>
  <c r="AC58" i="2"/>
  <c r="AZ58" i="2"/>
  <c r="I59" i="2"/>
  <c r="AF59" i="2"/>
  <c r="BC59" i="2"/>
  <c r="L60" i="2"/>
  <c r="AI60" i="2"/>
  <c r="BF60" i="2"/>
  <c r="O61" i="2"/>
  <c r="AL61" i="2"/>
  <c r="BI61" i="2"/>
  <c r="R60" i="2"/>
  <c r="BG60" i="2"/>
  <c r="AM61" i="2"/>
  <c r="X32" i="2"/>
  <c r="E42" i="2"/>
  <c r="AA45" i="2"/>
  <c r="AM47" i="2"/>
  <c r="K50" i="2"/>
  <c r="AI52" i="2"/>
  <c r="AG54" i="2"/>
  <c r="BH55" i="2"/>
  <c r="AV56" i="2"/>
  <c r="AY57" i="2"/>
  <c r="AJ58" i="2"/>
  <c r="AM59" i="2"/>
  <c r="S60" i="2"/>
  <c r="BH60" i="2"/>
  <c r="AI33" i="2"/>
  <c r="H49" i="2"/>
  <c r="AF51" i="2"/>
  <c r="F56" i="2"/>
  <c r="AH57" i="2"/>
  <c r="AN59" i="2"/>
  <c r="AT61" i="2"/>
  <c r="AU61" i="2"/>
  <c r="M58" i="2"/>
  <c r="AD42" i="2"/>
  <c r="AI55" i="2"/>
  <c r="N58" i="2"/>
  <c r="AQ60" i="2"/>
  <c r="F61" i="2"/>
  <c r="AC37" i="2"/>
  <c r="W56" i="2"/>
  <c r="W51" i="2"/>
  <c r="J57" i="2"/>
  <c r="P59" i="2"/>
  <c r="AP60" i="2"/>
  <c r="BD38" i="2"/>
  <c r="AT53" i="2"/>
  <c r="BE57" i="2"/>
  <c r="B60" i="2"/>
  <c r="AR60" i="2"/>
  <c r="AW30" i="2"/>
  <c r="BE37" i="2"/>
  <c r="AO41" i="2"/>
  <c r="BI44" i="2"/>
  <c r="AC47" i="2"/>
  <c r="AX48" i="2"/>
  <c r="B50" i="2"/>
  <c r="N51" i="2"/>
  <c r="Z52" i="2"/>
  <c r="AD53" i="2"/>
  <c r="Y54" i="2"/>
  <c r="AA55" i="2"/>
  <c r="BG55" i="2"/>
  <c r="X56" i="2"/>
  <c r="AU56" i="2"/>
  <c r="I57" i="2"/>
  <c r="AA57" i="2"/>
  <c r="AX57" i="2"/>
  <c r="L58" i="2"/>
  <c r="AD58" i="2"/>
  <c r="BA58" i="2"/>
  <c r="O59" i="2"/>
  <c r="AG59" i="2"/>
  <c r="BD59" i="2"/>
  <c r="AJ60" i="2"/>
  <c r="U61" i="2"/>
  <c r="Y38" i="2"/>
  <c r="BH48" i="2"/>
  <c r="AL53" i="2"/>
  <c r="AB55" i="2"/>
  <c r="AD56" i="2"/>
  <c r="AG57" i="2"/>
  <c r="BB58" i="2"/>
  <c r="BE59" i="2"/>
  <c r="V61" i="2"/>
  <c r="AY45" i="2"/>
  <c r="T50" i="2"/>
  <c r="AO54" i="2"/>
  <c r="K57" i="2"/>
  <c r="BH58" i="2"/>
  <c r="E61" i="2"/>
  <c r="Z60" i="2"/>
  <c r="AS61" i="2"/>
  <c r="AE56" i="2"/>
  <c r="AK58" i="2"/>
  <c r="T60" i="2"/>
  <c r="AO59" i="2"/>
  <c r="AC61" i="2"/>
  <c r="AL34" i="2"/>
  <c r="Y39" i="2"/>
  <c r="BC42" i="2"/>
  <c r="K46" i="2"/>
  <c r="BI47" i="2"/>
  <c r="Q49" i="2"/>
  <c r="AC50" i="2"/>
  <c r="AO51" i="2"/>
  <c r="AY52" i="2"/>
  <c r="BB53" i="2"/>
  <c r="AW54" i="2"/>
  <c r="AJ55" i="2"/>
  <c r="G56" i="2"/>
  <c r="AF56" i="2"/>
  <c r="BC56" i="2"/>
  <c r="Q57" i="2"/>
  <c r="AI57" i="2"/>
  <c r="BF57" i="2"/>
  <c r="T58" i="2"/>
  <c r="AL58" i="2"/>
  <c r="BI58" i="2"/>
  <c r="W59" i="2"/>
  <c r="I32" i="1"/>
  <c r="Q32" i="1"/>
  <c r="H33" i="1"/>
  <c r="P33" i="1"/>
  <c r="G34" i="1"/>
  <c r="O34" i="1"/>
  <c r="F35" i="1"/>
  <c r="N35" i="1"/>
  <c r="E36" i="1"/>
  <c r="M36" i="1"/>
  <c r="D37" i="1"/>
  <c r="L37" i="1"/>
  <c r="C38" i="1"/>
  <c r="K38" i="1"/>
  <c r="B39" i="1"/>
  <c r="J39" i="1"/>
  <c r="R39" i="1"/>
  <c r="I40" i="1"/>
  <c r="Q40" i="1"/>
  <c r="H41" i="1"/>
  <c r="P41" i="1"/>
  <c r="G42" i="1"/>
  <c r="O42" i="1"/>
  <c r="F43" i="1"/>
  <c r="N43" i="1"/>
  <c r="E44" i="1"/>
  <c r="M44" i="1"/>
  <c r="D45" i="1"/>
  <c r="L45" i="1"/>
  <c r="C46" i="1"/>
  <c r="K46" i="1"/>
  <c r="B47" i="1"/>
  <c r="J47" i="1"/>
  <c r="R47" i="1"/>
  <c r="I48" i="1"/>
  <c r="Q48" i="1"/>
  <c r="H45" i="1"/>
  <c r="N47" i="1"/>
  <c r="E33" i="1"/>
  <c r="K35" i="1"/>
  <c r="H38" i="1"/>
  <c r="F40" i="1"/>
  <c r="M41" i="1"/>
  <c r="J44" i="1"/>
  <c r="H46" i="1"/>
  <c r="N33" i="1"/>
  <c r="L35" i="1"/>
  <c r="R37" i="1"/>
  <c r="B32" i="1"/>
  <c r="J32" i="1"/>
  <c r="R32" i="1"/>
  <c r="I33" i="1"/>
  <c r="Q33" i="1"/>
  <c r="H34" i="1"/>
  <c r="P34" i="1"/>
  <c r="G35" i="1"/>
  <c r="O35" i="1"/>
  <c r="F36" i="1"/>
  <c r="N36" i="1"/>
  <c r="E37" i="1"/>
  <c r="M37" i="1"/>
  <c r="D38" i="1"/>
  <c r="L38" i="1"/>
  <c r="C39" i="1"/>
  <c r="K39" i="1"/>
  <c r="B40" i="1"/>
  <c r="J40" i="1"/>
  <c r="R40" i="1"/>
  <c r="I41" i="1"/>
  <c r="Q41" i="1"/>
  <c r="H42" i="1"/>
  <c r="P42" i="1"/>
  <c r="G43" i="1"/>
  <c r="O43" i="1"/>
  <c r="F44" i="1"/>
  <c r="N44" i="1"/>
  <c r="E45" i="1"/>
  <c r="M45" i="1"/>
  <c r="D46" i="1"/>
  <c r="L46" i="1"/>
  <c r="C47" i="1"/>
  <c r="K47" i="1"/>
  <c r="B48" i="1"/>
  <c r="J48" i="1"/>
  <c r="R48" i="1"/>
  <c r="D32" i="1"/>
  <c r="C33" i="1"/>
  <c r="B34" i="1"/>
  <c r="R34" i="1"/>
  <c r="Q35" i="1"/>
  <c r="P36" i="1"/>
  <c r="O37" i="1"/>
  <c r="N38" i="1"/>
  <c r="M39" i="1"/>
  <c r="L40" i="1"/>
  <c r="K41" i="1"/>
  <c r="J42" i="1"/>
  <c r="I43" i="1"/>
  <c r="H44" i="1"/>
  <c r="G45" i="1"/>
  <c r="F46" i="1"/>
  <c r="E47" i="1"/>
  <c r="D48" i="1"/>
  <c r="E32" i="1"/>
  <c r="L33" i="1"/>
  <c r="K34" i="1"/>
  <c r="B35" i="1"/>
  <c r="R35" i="1"/>
  <c r="Q36" i="1"/>
  <c r="P37" i="1"/>
  <c r="G38" i="1"/>
  <c r="F39" i="1"/>
  <c r="E40" i="1"/>
  <c r="D41" i="1"/>
  <c r="C42" i="1"/>
  <c r="B43" i="1"/>
  <c r="R43" i="1"/>
  <c r="Q44" i="1"/>
  <c r="G46" i="1"/>
  <c r="F47" i="1"/>
  <c r="M48" i="1"/>
  <c r="N32" i="1"/>
  <c r="C35" i="1"/>
  <c r="J36" i="1"/>
  <c r="Q37" i="1"/>
  <c r="G39" i="1"/>
  <c r="E41" i="1"/>
  <c r="D42" i="1"/>
  <c r="B44" i="1"/>
  <c r="I45" i="1"/>
  <c r="G47" i="1"/>
  <c r="G32" i="1"/>
  <c r="D35" i="1"/>
  <c r="C32" i="1"/>
  <c r="K32" i="1"/>
  <c r="B33" i="1"/>
  <c r="J33" i="1"/>
  <c r="R33" i="1"/>
  <c r="I34" i="1"/>
  <c r="Q34" i="1"/>
  <c r="H35" i="1"/>
  <c r="P35" i="1"/>
  <c r="G36" i="1"/>
  <c r="O36" i="1"/>
  <c r="F37" i="1"/>
  <c r="N37" i="1"/>
  <c r="E38" i="1"/>
  <c r="M38" i="1"/>
  <c r="D39" i="1"/>
  <c r="L39" i="1"/>
  <c r="C40" i="1"/>
  <c r="K40" i="1"/>
  <c r="B41" i="1"/>
  <c r="J41" i="1"/>
  <c r="R41" i="1"/>
  <c r="I42" i="1"/>
  <c r="Q42" i="1"/>
  <c r="H43" i="1"/>
  <c r="P43" i="1"/>
  <c r="G44" i="1"/>
  <c r="O44" i="1"/>
  <c r="F45" i="1"/>
  <c r="N45" i="1"/>
  <c r="E46" i="1"/>
  <c r="M46" i="1"/>
  <c r="D47" i="1"/>
  <c r="L47" i="1"/>
  <c r="C48" i="1"/>
  <c r="K48" i="1"/>
  <c r="L32" i="1"/>
  <c r="K33" i="1"/>
  <c r="J34" i="1"/>
  <c r="I35" i="1"/>
  <c r="H36" i="1"/>
  <c r="G37" i="1"/>
  <c r="F38" i="1"/>
  <c r="E39" i="1"/>
  <c r="D40" i="1"/>
  <c r="C41" i="1"/>
  <c r="B42" i="1"/>
  <c r="R42" i="1"/>
  <c r="Q43" i="1"/>
  <c r="P44" i="1"/>
  <c r="O45" i="1"/>
  <c r="N46" i="1"/>
  <c r="M47" i="1"/>
  <c r="L48" i="1"/>
  <c r="M32" i="1"/>
  <c r="C34" i="1"/>
  <c r="J35" i="1"/>
  <c r="I36" i="1"/>
  <c r="H37" i="1"/>
  <c r="O38" i="1"/>
  <c r="N39" i="1"/>
  <c r="M40" i="1"/>
  <c r="L41" i="1"/>
  <c r="K42" i="1"/>
  <c r="J43" i="1"/>
  <c r="I44" i="1"/>
  <c r="O46" i="1"/>
  <c r="E48" i="1"/>
  <c r="F32" i="1"/>
  <c r="L34" i="1"/>
  <c r="B36" i="1"/>
  <c r="I37" i="1"/>
  <c r="O39" i="1"/>
  <c r="L42" i="1"/>
  <c r="R44" i="1"/>
  <c r="P46" i="1"/>
  <c r="N48" i="1"/>
  <c r="O32" i="1"/>
  <c r="C36" i="1"/>
  <c r="M33" i="1"/>
  <c r="K43" i="1"/>
  <c r="F48" i="1"/>
  <c r="E34" i="1"/>
  <c r="K36" i="1"/>
  <c r="D33" i="1"/>
  <c r="P45" i="1"/>
  <c r="D34" i="1"/>
  <c r="R36" i="1"/>
  <c r="P38" i="1"/>
  <c r="N40" i="1"/>
  <c r="C43" i="1"/>
  <c r="Q45" i="1"/>
  <c r="O47" i="1"/>
  <c r="F33" i="1"/>
  <c r="M34" i="1"/>
  <c r="B37" i="1"/>
  <c r="H32" i="1"/>
  <c r="D36" i="1"/>
  <c r="Q38" i="1"/>
  <c r="O40" i="1"/>
  <c r="M42" i="1"/>
  <c r="K44" i="1"/>
  <c r="I46" i="1"/>
  <c r="G48" i="1"/>
  <c r="G41" i="1"/>
  <c r="R46" i="1"/>
  <c r="K37" i="1"/>
  <c r="L43" i="1"/>
  <c r="N34" i="1"/>
  <c r="O41" i="1"/>
  <c r="K45" i="1"/>
  <c r="I47" i="1"/>
  <c r="I38" i="1"/>
  <c r="E42" i="1"/>
  <c r="R45" i="1"/>
  <c r="H40" i="1"/>
  <c r="D44" i="1"/>
  <c r="Q47" i="1"/>
  <c r="P32" i="1"/>
  <c r="L36" i="1"/>
  <c r="R38" i="1"/>
  <c r="P40" i="1"/>
  <c r="N42" i="1"/>
  <c r="L44" i="1"/>
  <c r="J46" i="1"/>
  <c r="H48" i="1"/>
  <c r="G33" i="1"/>
  <c r="C37" i="1"/>
  <c r="H39" i="1"/>
  <c r="F41" i="1"/>
  <c r="D43" i="1"/>
  <c r="B45" i="1"/>
  <c r="Q46" i="1"/>
  <c r="O48" i="1"/>
  <c r="O33" i="1"/>
  <c r="J37" i="1"/>
  <c r="I39" i="1"/>
  <c r="E43" i="1"/>
  <c r="C45" i="1"/>
  <c r="P48" i="1"/>
  <c r="F34" i="1"/>
  <c r="P39" i="1"/>
  <c r="N41" i="1"/>
  <c r="J45" i="1"/>
  <c r="H47" i="1"/>
  <c r="B38" i="1"/>
  <c r="Q39" i="1"/>
  <c r="M43" i="1"/>
  <c r="E35" i="1"/>
  <c r="G40" i="1"/>
  <c r="C44" i="1"/>
  <c r="P47" i="1"/>
  <c r="J38" i="1"/>
  <c r="F42" i="1"/>
  <c r="B46" i="1"/>
  <c r="M35" i="1"/>
  <c r="B15" i="1"/>
  <c r="B23" i="1"/>
  <c r="B17" i="1"/>
  <c r="B25" i="1"/>
  <c r="B18" i="1"/>
  <c r="B19" i="1"/>
  <c r="B20" i="1"/>
  <c r="B16" i="1"/>
  <c r="B24" i="1"/>
  <c r="B21" i="1"/>
  <c r="B22" i="1"/>
  <c r="H3" i="7" a="1"/>
  <c r="A3" i="7" a="1"/>
  <c r="A3" i="6" a="1"/>
  <c r="J3" i="7" l="1"/>
  <c r="R3" i="7"/>
  <c r="O4" i="7"/>
  <c r="L5" i="7"/>
  <c r="I6" i="7"/>
  <c r="Q6" i="7"/>
  <c r="N7" i="7"/>
  <c r="K8" i="7"/>
  <c r="H9" i="7"/>
  <c r="P9" i="7"/>
  <c r="M10" i="7"/>
  <c r="J11" i="7"/>
  <c r="R11" i="7"/>
  <c r="O12" i="7"/>
  <c r="L13" i="7"/>
  <c r="I14" i="7"/>
  <c r="Q14" i="7"/>
  <c r="N15" i="7"/>
  <c r="K16" i="7"/>
  <c r="H17" i="7"/>
  <c r="P17" i="7"/>
  <c r="M18" i="7"/>
  <c r="J19" i="7"/>
  <c r="R19" i="7"/>
  <c r="O20" i="7"/>
  <c r="K3" i="7"/>
  <c r="H4" i="7"/>
  <c r="P4" i="7"/>
  <c r="M5" i="7"/>
  <c r="J6" i="7"/>
  <c r="R6" i="7"/>
  <c r="O7" i="7"/>
  <c r="L8" i="7"/>
  <c r="I9" i="7"/>
  <c r="Q9" i="7"/>
  <c r="N10" i="7"/>
  <c r="K11" i="7"/>
  <c r="H12" i="7"/>
  <c r="P12" i="7"/>
  <c r="M13" i="7"/>
  <c r="J14" i="7"/>
  <c r="R14" i="7"/>
  <c r="O15" i="7"/>
  <c r="L16" i="7"/>
  <c r="I17" i="7"/>
  <c r="Q17" i="7"/>
  <c r="N18" i="7"/>
  <c r="K19" i="7"/>
  <c r="H20" i="7"/>
  <c r="P20" i="7"/>
  <c r="L3" i="7"/>
  <c r="I4" i="7"/>
  <c r="Q4" i="7"/>
  <c r="N5" i="7"/>
  <c r="K6" i="7"/>
  <c r="H7" i="7"/>
  <c r="P7" i="7"/>
  <c r="M8" i="7"/>
  <c r="J9" i="7"/>
  <c r="R9" i="7"/>
  <c r="O10" i="7"/>
  <c r="L11" i="7"/>
  <c r="I12" i="7"/>
  <c r="Q12" i="7"/>
  <c r="N13" i="7"/>
  <c r="K14" i="7"/>
  <c r="H15" i="7"/>
  <c r="P15" i="7"/>
  <c r="M16" i="7"/>
  <c r="J17" i="7"/>
  <c r="R17" i="7"/>
  <c r="O18" i="7"/>
  <c r="L19" i="7"/>
  <c r="I20" i="7"/>
  <c r="Q20" i="7"/>
  <c r="M3" i="7"/>
  <c r="J4" i="7"/>
  <c r="R4" i="7"/>
  <c r="O5" i="7"/>
  <c r="L6" i="7"/>
  <c r="I7" i="7"/>
  <c r="Q7" i="7"/>
  <c r="N8" i="7"/>
  <c r="K9" i="7"/>
  <c r="H10" i="7"/>
  <c r="N3" i="7"/>
  <c r="K4" i="7"/>
  <c r="H5" i="7"/>
  <c r="P5" i="7"/>
  <c r="M6" i="7"/>
  <c r="J7" i="7"/>
  <c r="R7" i="7"/>
  <c r="O8" i="7"/>
  <c r="L9" i="7"/>
  <c r="I10" i="7"/>
  <c r="Q10" i="7"/>
  <c r="N11" i="7"/>
  <c r="K12" i="7"/>
  <c r="H13" i="7"/>
  <c r="P13" i="7"/>
  <c r="M14" i="7"/>
  <c r="J15" i="7"/>
  <c r="R15" i="7"/>
  <c r="O16" i="7"/>
  <c r="L17" i="7"/>
  <c r="I18" i="7"/>
  <c r="Q18" i="7"/>
  <c r="N19" i="7"/>
  <c r="K20" i="7"/>
  <c r="I3" i="7"/>
  <c r="J5" i="7"/>
  <c r="K7" i="7"/>
  <c r="R8" i="7"/>
  <c r="R10" i="7"/>
  <c r="L12" i="7"/>
  <c r="Q13" i="7"/>
  <c r="K15" i="7"/>
  <c r="P16" i="7"/>
  <c r="J18" i="7"/>
  <c r="O19" i="7"/>
  <c r="O3" i="7"/>
  <c r="L7" i="7"/>
  <c r="M9" i="7"/>
  <c r="H11" i="7"/>
  <c r="M12" i="7"/>
  <c r="R13" i="7"/>
  <c r="L15" i="7"/>
  <c r="Q16" i="7"/>
  <c r="K18" i="7"/>
  <c r="P19" i="7"/>
  <c r="P3" i="7"/>
  <c r="Q5" i="7"/>
  <c r="M7" i="7"/>
  <c r="N9" i="7"/>
  <c r="I11" i="7"/>
  <c r="N12" i="7"/>
  <c r="H14" i="7"/>
  <c r="M15" i="7"/>
  <c r="R16" i="7"/>
  <c r="L18" i="7"/>
  <c r="Q19" i="7"/>
  <c r="Q3" i="7"/>
  <c r="R5" i="7"/>
  <c r="H8" i="7"/>
  <c r="O9" i="7"/>
  <c r="M11" i="7"/>
  <c r="R12" i="7"/>
  <c r="L14" i="7"/>
  <c r="Q15" i="7"/>
  <c r="K17" i="7"/>
  <c r="P18" i="7"/>
  <c r="J20" i="7"/>
  <c r="L4" i="7"/>
  <c r="H6" i="7"/>
  <c r="I8" i="7"/>
  <c r="J10" i="7"/>
  <c r="O11" i="7"/>
  <c r="N14" i="7"/>
  <c r="M17" i="7"/>
  <c r="R18" i="7"/>
  <c r="M4" i="7"/>
  <c r="J8" i="7"/>
  <c r="K10" i="7"/>
  <c r="P11" i="7"/>
  <c r="I16" i="7"/>
  <c r="H19" i="7"/>
  <c r="O6" i="7"/>
  <c r="L10" i="7"/>
  <c r="K13" i="7"/>
  <c r="P14" i="7"/>
  <c r="O17" i="7"/>
  <c r="H3" i="7"/>
  <c r="P6" i="7"/>
  <c r="P10" i="7"/>
  <c r="J12" i="7"/>
  <c r="N16" i="7"/>
  <c r="R20" i="7"/>
  <c r="K5" i="7"/>
  <c r="I13" i="7"/>
  <c r="H16" i="7"/>
  <c r="L20" i="7"/>
  <c r="N6" i="7"/>
  <c r="J13" i="7"/>
  <c r="O14" i="7"/>
  <c r="N17" i="7"/>
  <c r="P8" i="7"/>
  <c r="Q11" i="7"/>
  <c r="J16" i="7"/>
  <c r="I19" i="7"/>
  <c r="I5" i="7"/>
  <c r="Q8" i="7"/>
  <c r="O13" i="7"/>
  <c r="M19" i="7"/>
  <c r="N4" i="7"/>
  <c r="I15" i="7"/>
  <c r="H18" i="7"/>
  <c r="M20" i="7"/>
  <c r="N20" i="7"/>
  <c r="A5" i="7"/>
  <c r="A13" i="7"/>
  <c r="A6" i="7"/>
  <c r="A14" i="7"/>
  <c r="A7" i="7"/>
  <c r="A15" i="7"/>
  <c r="A8" i="7"/>
  <c r="A16" i="7"/>
  <c r="A10" i="7"/>
  <c r="A18" i="7"/>
  <c r="A3" i="7"/>
  <c r="A11" i="7"/>
  <c r="A19" i="7"/>
  <c r="A4" i="7"/>
  <c r="A12" i="7"/>
  <c r="A9" i="7"/>
  <c r="A17" i="7"/>
  <c r="A4" i="6"/>
  <c r="A12" i="6"/>
  <c r="A20" i="6"/>
  <c r="A28" i="6"/>
  <c r="A36" i="6"/>
  <c r="A44" i="6"/>
  <c r="A52" i="6"/>
  <c r="A60" i="6"/>
  <c r="A68" i="6"/>
  <c r="A76" i="6"/>
  <c r="A5" i="6"/>
  <c r="A13" i="6"/>
  <c r="A21" i="6"/>
  <c r="A29" i="6"/>
  <c r="A37" i="6"/>
  <c r="A45" i="6"/>
  <c r="A53" i="6"/>
  <c r="A61" i="6"/>
  <c r="A69" i="6"/>
  <c r="A77" i="6"/>
  <c r="A6" i="6"/>
  <c r="A14" i="6"/>
  <c r="A22" i="6"/>
  <c r="A30" i="6"/>
  <c r="A38" i="6"/>
  <c r="A46" i="6"/>
  <c r="A54" i="6"/>
  <c r="A62" i="6"/>
  <c r="A70" i="6"/>
  <c r="A78" i="6"/>
  <c r="A7" i="6"/>
  <c r="A15" i="6"/>
  <c r="A23" i="6"/>
  <c r="A31" i="6"/>
  <c r="A39" i="6"/>
  <c r="A47" i="6"/>
  <c r="A55" i="6"/>
  <c r="A63" i="6"/>
  <c r="A71" i="6"/>
  <c r="A79" i="6"/>
  <c r="A8" i="6"/>
  <c r="A16" i="6"/>
  <c r="A24" i="6"/>
  <c r="A32" i="6"/>
  <c r="A40" i="6"/>
  <c r="A48" i="6"/>
  <c r="A56" i="6"/>
  <c r="A64" i="6"/>
  <c r="A72" i="6"/>
  <c r="A80" i="6"/>
  <c r="A9" i="6"/>
  <c r="A17" i="6"/>
  <c r="A25" i="6"/>
  <c r="A33" i="6"/>
  <c r="A41" i="6"/>
  <c r="A49" i="6"/>
  <c r="A57" i="6"/>
  <c r="A65" i="6"/>
  <c r="A73" i="6"/>
  <c r="A10" i="6"/>
  <c r="A18" i="6"/>
  <c r="A26" i="6"/>
  <c r="A34" i="6"/>
  <c r="A42" i="6"/>
  <c r="A50" i="6"/>
  <c r="A58" i="6"/>
  <c r="A66" i="6"/>
  <c r="A74" i="6"/>
  <c r="A3" i="6"/>
  <c r="A11" i="6"/>
  <c r="A19" i="6"/>
  <c r="A27" i="6"/>
  <c r="A35" i="6"/>
  <c r="A43" i="6"/>
  <c r="A51" i="6"/>
  <c r="A59" i="6"/>
  <c r="A67" i="6"/>
  <c r="A75" i="6"/>
  <c r="C1" i="6"/>
  <c r="E84" i="5"/>
  <c r="E83" i="5"/>
  <c r="E82" i="5"/>
  <c r="E81" i="5"/>
  <c r="E80" i="5"/>
  <c r="E79" i="5"/>
  <c r="E78" i="5"/>
  <c r="E77" i="5"/>
  <c r="E76" i="5"/>
  <c r="E75" i="5"/>
  <c r="E74" i="5"/>
  <c r="E73" i="5"/>
  <c r="E72" i="5"/>
  <c r="E71" i="5"/>
  <c r="E70" i="5"/>
  <c r="E69" i="5"/>
  <c r="E68" i="5"/>
  <c r="E67" i="5"/>
  <c r="E66" i="5"/>
  <c r="E65" i="5"/>
  <c r="E64" i="5"/>
  <c r="E63" i="5"/>
  <c r="E62" i="5"/>
  <c r="E61" i="5"/>
  <c r="E60" i="5"/>
  <c r="E59" i="5"/>
  <c r="E58" i="5"/>
  <c r="E57" i="5"/>
  <c r="E56" i="5"/>
  <c r="E55" i="5"/>
  <c r="E54" i="5"/>
  <c r="E53" i="5"/>
  <c r="E52" i="5"/>
  <c r="E51" i="5"/>
  <c r="E50" i="5"/>
  <c r="E49" i="5"/>
  <c r="E48" i="5"/>
  <c r="E47" i="5"/>
  <c r="E46" i="5"/>
  <c r="E45" i="5"/>
  <c r="E44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D1" i="6"/>
</calcChain>
</file>

<file path=xl/sharedStrings.xml><?xml version="1.0" encoding="utf-8"?>
<sst xmlns="http://schemas.openxmlformats.org/spreadsheetml/2006/main" count="88" uniqueCount="76">
  <si>
    <t>Factors</t>
  </si>
  <si>
    <t>Shift</t>
  </si>
  <si>
    <t>Exp Form</t>
  </si>
  <si>
    <t>Derivative</t>
  </si>
  <si>
    <t>Expiry</t>
  </si>
  <si>
    <t>Tenor</t>
  </si>
  <si>
    <t>Iterations</t>
  </si>
  <si>
    <t>Days</t>
  </si>
  <si>
    <t>Qtr</t>
  </si>
  <si>
    <t>Abs Interest</t>
  </si>
  <si>
    <t>Discount</t>
  </si>
  <si>
    <t>USD</t>
  </si>
  <si>
    <t>Caplet Ivol</t>
  </si>
  <si>
    <t>USDX_000</t>
  </si>
  <si>
    <t>1YR(S)</t>
  </si>
  <si>
    <t>2YR(S)</t>
  </si>
  <si>
    <t>3YR(S)</t>
  </si>
  <si>
    <t>4YR(S)</t>
  </si>
  <si>
    <t>5YR(S)</t>
  </si>
  <si>
    <t>6YR(S)</t>
  </si>
  <si>
    <t>7YR(S)</t>
  </si>
  <si>
    <t>8YR(S)</t>
  </si>
  <si>
    <t>9YR(S)</t>
  </si>
  <si>
    <t>10YR(S)</t>
  </si>
  <si>
    <t>15YR(S)</t>
  </si>
  <si>
    <t>20YR(S)</t>
  </si>
  <si>
    <t>25YR(S)</t>
  </si>
  <si>
    <t>30YR(S)</t>
  </si>
  <si>
    <t>1 MONTH</t>
  </si>
  <si>
    <t>2 MONTH</t>
  </si>
  <si>
    <t>3 MONTH</t>
  </si>
  <si>
    <t>6 MONTH</t>
  </si>
  <si>
    <t>1 YEAR</t>
  </si>
  <si>
    <t>2 YEAR</t>
  </si>
  <si>
    <t>3 YEAR</t>
  </si>
  <si>
    <t>4 YEAR</t>
  </si>
  <si>
    <t>5 YEAR</t>
  </si>
  <si>
    <t>7 YEAR</t>
  </si>
  <si>
    <t>10 YEAR</t>
  </si>
  <si>
    <t>15 YEAR</t>
  </si>
  <si>
    <t>20 YEAR</t>
  </si>
  <si>
    <t>25 YEAR</t>
  </si>
  <si>
    <t>30 YEAR</t>
  </si>
  <si>
    <t>Use Caplet</t>
  </si>
  <si>
    <t>Threads</t>
  </si>
  <si>
    <t>Discretisation</t>
  </si>
  <si>
    <t>0, 1, 2, 3, 4, 6, 8, 10, 12, 16, 20, 24, 28, 34, 40, 50, 60, 80, 100, 120</t>
  </si>
  <si>
    <t>Notional</t>
  </si>
  <si>
    <t>Payoff</t>
  </si>
  <si>
    <t>Custom</t>
  </si>
  <si>
    <t>pv(37)*pos(rate(36) - atm(36))/4</t>
  </si>
  <si>
    <t xml:space="preserve"> </t>
  </si>
  <si>
    <t>sum{i=1:40}(pv(i+1)*pos(rate(i) - atm(i))/4)</t>
  </si>
  <si>
    <t>Function:</t>
  </si>
  <si>
    <t>Important:</t>
  </si>
  <si>
    <t>Do NOT press anything or select any cell when the calibration is running!</t>
  </si>
  <si>
    <t>"=simulation(inputRange)"</t>
  </si>
  <si>
    <t>Do NOT press anything or select any cell when the simulation is running!</t>
  </si>
  <si>
    <t>PricingStructureType</t>
  </si>
  <si>
    <t>RateCurve</t>
  </si>
  <si>
    <t>Function</t>
  </si>
  <si>
    <t>Market</t>
  </si>
  <si>
    <t>MarketName</t>
  </si>
  <si>
    <t>QR_LIVE</t>
  </si>
  <si>
    <t>Market.QR_LIVE.DiscountCurve.AUD-LIBOR-SENIOR</t>
  </si>
  <si>
    <t>RateVolatilityMatrix</t>
  </si>
  <si>
    <t>Market.QR_LIVE.RateVolatilityMatrix.AUD-BBR-BBSW-3M</t>
  </si>
  <si>
    <t>"=PedersenCalibration(inputRange)"</t>
  </si>
  <si>
    <t>Market.QR_LIVE.RateVolatilityMatrix.AUD-IRSwap-5Y</t>
  </si>
  <si>
    <t>=PedersenSetCapletRange(F2:F121)</t>
  </si>
  <si>
    <t>=PedersenSetSwaptionRange(J24:Q35)</t>
  </si>
  <si>
    <t>=PedersenCalibration1($B$2:$E$7)</t>
  </si>
  <si>
    <t>Caplet Bound</t>
  </si>
  <si>
    <t>Swaption Bound</t>
  </si>
  <si>
    <t>Calibration Successful!</t>
  </si>
  <si>
    <t>(Factors: 3, Shift: 0, ExpForm: True, Iter: 100, Cplt Bound: 1.2, Swpn Bound: 1.1, NSWPN: 54, NCPLT: 60)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</si>
</sst>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C09]dd\-mmm\-yy;@"/>
    <numFmt numFmtId="165" formatCode="d/mm/yyyy;@"/>
  </numFmts>
  <fonts count="8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i/>
      <sz val="10"/>
      <color indexed="10"/>
      <name val="Arial"/>
      <family val="2"/>
    </font>
    <font>
      <b/>
      <i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15">
    <xf numFmtId="0" fontId="0" fillId="0" borderId="0" xfId="0"/>
    <xf numFmtId="0" fontId="2" fillId="0" borderId="0" xfId="0" applyFont="1"/>
    <xf numFmtId="164" fontId="0" fillId="0" borderId="0" xfId="0" applyNumberFormat="1"/>
    <xf numFmtId="2" fontId="0" fillId="0" borderId="0" xfId="0" applyNumberFormat="1"/>
    <xf numFmtId="165" fontId="0" fillId="0" borderId="0" xfId="0" applyNumberFormat="1"/>
    <xf numFmtId="14" fontId="0" fillId="0" borderId="0" xfId="0" applyNumberFormat="1"/>
    <xf numFmtId="0" fontId="3" fillId="0" borderId="0" xfId="0" applyFont="1"/>
    <xf numFmtId="0" fontId="4" fillId="0" borderId="0" xfId="0" applyFont="1"/>
    <xf numFmtId="0" fontId="5" fillId="2" borderId="0" xfId="0" applyFont="1" applyFill="1"/>
    <xf numFmtId="0" fontId="0" fillId="3" borderId="0" xfId="0" applyFill="1"/>
    <xf numFmtId="0" fontId="2" fillId="0" borderId="0" xfId="0" quotePrefix="1" applyFont="1"/>
    <xf numFmtId="9" fontId="0" fillId="0" borderId="0" xfId="1" applyFont="1"/>
    <xf numFmtId="10" fontId="0" fillId="0" borderId="0" xfId="1" applyNumberFormat="1" applyFont="1"/>
    <xf numFmtId="10" fontId="2" fillId="0" borderId="0" xfId="1" quotePrefix="1" applyNumberFormat="1" applyFont="1"/>
    <xf numFmtId="10" fontId="2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190500</xdr:colOff>
          <xdr:row>1</xdr:row>
          <xdr:rowOff>76200</xdr:rowOff>
        </xdr:from>
        <xdr:to>
          <xdr:col>8</xdr:col>
          <xdr:colOff>400050</xdr:colOff>
          <xdr:row>3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</xdr:row>
          <xdr:rowOff>85725</xdr:rowOff>
        </xdr:from>
        <xdr:to>
          <xdr:col>8</xdr:col>
          <xdr:colOff>276225</xdr:colOff>
          <xdr:row>4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80"/>
  <sheetViews>
    <sheetView tabSelected="1" topLeftCell="A4" workbookViewId="0">
      <selection activeCell="E11" sqref="E11"/>
    </sheetView>
  </sheetViews>
  <sheetFormatPr defaultRowHeight="12.75" x14ac:dyDescent="0.2"/>
  <cols>
    <col min="1" max="1" width="57.7109375" customWidth="1"/>
    <col min="3" max="3" width="46.7109375" bestFit="1" customWidth="1"/>
    <col min="4" max="4" width="10.5703125" bestFit="1" customWidth="1"/>
    <col min="5" max="5" width="10.140625" bestFit="1" customWidth="1"/>
  </cols>
  <sheetData>
    <row r="1" spans="1:5" x14ac:dyDescent="0.2">
      <c r="C1" s="5">
        <f ca="1">TODAY()+92</f>
        <v>43743</v>
      </c>
      <c r="D1">
        <f ca="1">_xll.HLV5r3.Financial.Cache.GetValue(A3,C1)</f>
        <v>0.99342776683974032</v>
      </c>
    </row>
    <row r="3" spans="1:5" x14ac:dyDescent="0.2">
      <c r="A3" t="str">
        <f t="array" ref="A3:A80">_xll.HLV5r3.Financial.Cache.ListUpTo100PricingStructures(C4:D6)</f>
        <v>Market.QR_LIVE.RateCurve.USD-LIBOR-BBA-3M</v>
      </c>
    </row>
    <row r="4" spans="1:5" x14ac:dyDescent="0.2">
      <c r="A4" t="str">
        <v>Market.QR_LIVE.RateCurve.AUD-BBR-BBSW-3M</v>
      </c>
      <c r="C4" s="8" t="s">
        <v>58</v>
      </c>
      <c r="D4" s="8" t="s">
        <v>59</v>
      </c>
    </row>
    <row r="5" spans="1:5" x14ac:dyDescent="0.2">
      <c r="A5" t="str">
        <v>Market.QR_LIVE.RateCurve.AUD-AONIA-OIS-COMPOUND</v>
      </c>
      <c r="C5" s="8" t="s">
        <v>60</v>
      </c>
      <c r="D5" s="8" t="s">
        <v>61</v>
      </c>
    </row>
    <row r="6" spans="1:5" x14ac:dyDescent="0.2">
      <c r="A6" t="str">
        <v>Market.QR_LIVE.RateCurve.AUD-BBR-BBSW-2M</v>
      </c>
      <c r="C6" s="8" t="s">
        <v>62</v>
      </c>
      <c r="D6" s="8" t="s">
        <v>63</v>
      </c>
    </row>
    <row r="7" spans="1:5" x14ac:dyDescent="0.2">
      <c r="A7" t="str">
        <v>Market.QR_LIVE.RateCurve.EUR-EURIBOR-Reuters-1M</v>
      </c>
    </row>
    <row r="8" spans="1:5" x14ac:dyDescent="0.2">
      <c r="A8" t="str">
        <v>Market.QR_LIVE.RateCurve.EUR-EURIBOR-Reuters-3M</v>
      </c>
      <c r="C8" s="9" t="s">
        <v>64</v>
      </c>
      <c r="D8" s="9"/>
    </row>
    <row r="9" spans="1:5" x14ac:dyDescent="0.2">
      <c r="A9" t="str">
        <v>Market.QR_LIVE.RateCurve.EUR-EURIBOR-Reuters-6M</v>
      </c>
    </row>
    <row r="10" spans="1:5" x14ac:dyDescent="0.2">
      <c r="A10" t="str">
        <v>Market.QR_LIVE.RateCurve.EUR-LIBOR-BBA-1M</v>
      </c>
      <c r="C10" t="str">
        <f>_xll.HLV5r3.Financial.Cache.PedersenSetDiscountFactors(C8)</f>
        <v>Discount factors were set.</v>
      </c>
      <c r="E10" s="10" t="e">
        <f>_xll.HLV5r3.Financial.Cache.PedersenCalibration1(C8)</f>
        <v>#VALUE!</v>
      </c>
    </row>
    <row r="11" spans="1:5" x14ac:dyDescent="0.2">
      <c r="A11" t="str">
        <v>Market.QR_LIVE.RateCurve.EUR-LIBOR-BBA-3M</v>
      </c>
    </row>
    <row r="12" spans="1:5" x14ac:dyDescent="0.2">
      <c r="A12" t="str">
        <v>Market.QR_LIVE.RateCurve.EUR-LIBOR-BBA-6M</v>
      </c>
    </row>
    <row r="13" spans="1:5" x14ac:dyDescent="0.2">
      <c r="A13" t="str">
        <v>Market.QR_LIVE.RateCurve.GBP-LIBOR-BBA-3M</v>
      </c>
    </row>
    <row r="14" spans="1:5" x14ac:dyDescent="0.2">
      <c r="A14" t="str">
        <v>Market.QR_LIVE.RateCurve.JPY-LIBOR-BBA-1M</v>
      </c>
    </row>
    <row r="15" spans="1:5" x14ac:dyDescent="0.2">
      <c r="A15" t="str">
        <v>Market.QR_LIVE.RateCurve.JPY-LIBOR-BBA-3M</v>
      </c>
    </row>
    <row r="16" spans="1:5" x14ac:dyDescent="0.2">
      <c r="A16" t="str">
        <v>Market.QR_LIVE.RateCurve.JPY-LIBOR-BBA-6M</v>
      </c>
    </row>
    <row r="17" spans="1:3" x14ac:dyDescent="0.2">
      <c r="A17" t="str">
        <v>Market.QR_LIVE.RateCurve.JPY-LIBOR-ISDA-1M</v>
      </c>
    </row>
    <row r="18" spans="1:3" x14ac:dyDescent="0.2">
      <c r="A18" t="str">
        <v>Market.QR_LIVE.RateCurve.JPY-LIBOR-ISDA-3M</v>
      </c>
    </row>
    <row r="19" spans="1:3" x14ac:dyDescent="0.2">
      <c r="A19" t="str">
        <v>Market.QR_LIVE.RateCurve.JPY-LIBOR-ISDA-6M</v>
      </c>
    </row>
    <row r="20" spans="1:3" x14ac:dyDescent="0.2">
      <c r="A20" t="str">
        <v>Market.QR_LIVE.RateCurve.NZD-BBR-FRA-1M</v>
      </c>
    </row>
    <row r="21" spans="1:3" x14ac:dyDescent="0.2">
      <c r="A21" s="4" t="str">
        <v>Market.QR_LIVE.RateCurve.NZD-BBR-FRA-3M</v>
      </c>
    </row>
    <row r="22" spans="1:3" x14ac:dyDescent="0.2">
      <c r="A22" t="str">
        <v>Market.QR_LIVE.RateCurve.NZD-BBR-FRA-6M</v>
      </c>
    </row>
    <row r="23" spans="1:3" x14ac:dyDescent="0.2">
      <c r="A23" t="str">
        <v>Market.QR_LIVE.RateCurve.USD-LIBOR-BBA-1M</v>
      </c>
      <c r="C23" s="5"/>
    </row>
    <row r="24" spans="1:3" x14ac:dyDescent="0.2">
      <c r="A24" t="str">
        <v>Market.QR_LIVE.RateCurve.USD-LIBOR-BBA-6M</v>
      </c>
    </row>
    <row r="25" spans="1:3" x14ac:dyDescent="0.2">
      <c r="A25" t="str">
        <v>Market.QR_LIVE.RateCurve.GBP-LIBOR-BBA-1M</v>
      </c>
    </row>
    <row r="26" spans="1:3" x14ac:dyDescent="0.2">
      <c r="A26" t="str">
        <v>Market.QR_LIVE.RateCurve.GBP-LIBOR-BBA-6M</v>
      </c>
    </row>
    <row r="27" spans="1:3" x14ac:dyDescent="0.2">
      <c r="A27" t="str">
        <v>Market.QR_LIVE.RateCurve.CHF-LIBOR-BBA-1M</v>
      </c>
    </row>
    <row r="28" spans="1:3" x14ac:dyDescent="0.2">
      <c r="A28" t="str">
        <v>Market.QR_LIVE.RateCurve.CHF-LIBOR-BBA-6M</v>
      </c>
    </row>
    <row r="29" spans="1:3" x14ac:dyDescent="0.2">
      <c r="A29" t="str">
        <v>Market.QR_LIVE.RateCurve.CHF-LIBOR-BBA-3M</v>
      </c>
    </row>
    <row r="30" spans="1:3" x14ac:dyDescent="0.2">
      <c r="A30" t="str">
        <v>Market.QR_LIVE.RateCurve.EUR-EURIBOR-Telerate-6M</v>
      </c>
    </row>
    <row r="31" spans="1:3" x14ac:dyDescent="0.2">
      <c r="A31" t="str">
        <v>Market.QR_LIVE.RateCurve.EUR-EURIBOR-Telerate-3M</v>
      </c>
    </row>
    <row r="32" spans="1:3" x14ac:dyDescent="0.2">
      <c r="A32" t="str">
        <v>Market.QR_LIVE.RateCurve.EUR-EURIBOR-Telerate-1M</v>
      </c>
    </row>
    <row r="33" spans="1:1" x14ac:dyDescent="0.2">
      <c r="A33" t="str">
        <v>Market.QR_LIVE.RateCurve.AUD-LIBOR-BBA-3M.AUD-Deposit-1M</v>
      </c>
    </row>
    <row r="34" spans="1:1" x14ac:dyDescent="0.2">
      <c r="A34" t="str">
        <v>Market.QR_LIVE.RateCurve.AUD-LIBOR-BBA-3M.AUD-Deposit-2M</v>
      </c>
    </row>
    <row r="35" spans="1:1" x14ac:dyDescent="0.2">
      <c r="A35" t="str">
        <v>Market.QR_LIVE.RateCurve.AUD-LIBOR-BBA-3M.AUD-Deposit-3M</v>
      </c>
    </row>
    <row r="36" spans="1:1" x14ac:dyDescent="0.2">
      <c r="A36" t="str">
        <v>Market.QR_LIVE.RateCurve.AUD-LIBOR-BBA-3M.AUD-IRFuture-IR-1</v>
      </c>
    </row>
    <row r="37" spans="1:1" x14ac:dyDescent="0.2">
      <c r="A37" t="str">
        <v>Market.QR_LIVE.RateCurve.AUD-LIBOR-BBA-3M.AUD-IRFuture-IR-2</v>
      </c>
    </row>
    <row r="38" spans="1:1" x14ac:dyDescent="0.2">
      <c r="A38" t="str">
        <v>Market.QR_LIVE.RateCurve.AUD-LIBOR-BBA-3M.AUD-IRFuture-IR-3</v>
      </c>
    </row>
    <row r="39" spans="1:1" x14ac:dyDescent="0.2">
      <c r="A39" t="str">
        <v>Market.QR_LIVE.RateCurve.AUD-LIBOR-BBA-3M.AUD-IRFuture-IR-4</v>
      </c>
    </row>
    <row r="40" spans="1:1" x14ac:dyDescent="0.2">
      <c r="A40" t="str">
        <v>Market.QR_LIVE.RateCurve.AUD-LIBOR-BBA-3M.AUD-IRFuture-IR-5</v>
      </c>
    </row>
    <row r="41" spans="1:1" x14ac:dyDescent="0.2">
      <c r="A41" t="str">
        <v>Market.QR_LIVE.RateCurve.AUD-LIBOR-BBA-3M.AUD-IRFuture-IR-6</v>
      </c>
    </row>
    <row r="42" spans="1:1" x14ac:dyDescent="0.2">
      <c r="A42" t="str">
        <v>Market.QR_LIVE.RateCurve.AUD-LIBOR-BBA-3M.AUD-IRFuture-IR-7</v>
      </c>
    </row>
    <row r="43" spans="1:1" x14ac:dyDescent="0.2">
      <c r="A43" t="str">
        <v>Market.QR_LIVE.RateCurve.AUD-LIBOR-BBA-3M.AUD-IRFuture-IR-8</v>
      </c>
    </row>
    <row r="44" spans="1:1" x14ac:dyDescent="0.2">
      <c r="A44" t="str">
        <v>Market.QR_LIVE.RateCurve.AUD-LIBOR-BBA-3M.AUD-IRSwap-3Y</v>
      </c>
    </row>
    <row r="45" spans="1:1" x14ac:dyDescent="0.2">
      <c r="A45" t="str">
        <v>Market.QR_LIVE.RateCurve.AUD-LIBOR-BBA-3M.AUD-IRSwap-4Y</v>
      </c>
    </row>
    <row r="46" spans="1:1" x14ac:dyDescent="0.2">
      <c r="A46" t="str">
        <v>Market.QR_LIVE.RateCurve.AUD-LIBOR-BBA-3M.AUD-IRSwap-5Y</v>
      </c>
    </row>
    <row r="47" spans="1:1" x14ac:dyDescent="0.2">
      <c r="A47" t="str">
        <v>Market.QR_LIVE.RateCurve.AUD-LIBOR-BBA-3M.AUD-IRSwap-6Y</v>
      </c>
    </row>
    <row r="48" spans="1:1" x14ac:dyDescent="0.2">
      <c r="A48" t="str">
        <v>Market.QR_LIVE.RateCurve.AUD-LIBOR-BBA-3M.AUD-IRSwap-7Y</v>
      </c>
    </row>
    <row r="49" spans="1:1" x14ac:dyDescent="0.2">
      <c r="A49" t="str">
        <v>Market.QR_LIVE.RateCurve.AUD-LIBOR-BBA-3M.AUD-IRSwap-8Y</v>
      </c>
    </row>
    <row r="50" spans="1:1" x14ac:dyDescent="0.2">
      <c r="A50" t="str">
        <v>Market.QR_LIVE.RateCurve.AUD-LIBOR-BBA-3M.AUD-IRSwap-9Y</v>
      </c>
    </row>
    <row r="51" spans="1:1" x14ac:dyDescent="0.2">
      <c r="A51" t="str">
        <v>Market.QR_LIVE.RateCurve.AUD-LIBOR-BBA-3M.AUD-IRSwap-10Y</v>
      </c>
    </row>
    <row r="52" spans="1:1" x14ac:dyDescent="0.2">
      <c r="A52" t="str">
        <v>Market.QR_LIVE.RateCurve.AUD-LIBOR-BBA-3M.AUD-IRSwap-15Y</v>
      </c>
    </row>
    <row r="53" spans="1:1" x14ac:dyDescent="0.2">
      <c r="A53" t="str">
        <v>Market.QR_LIVE.RateCurve.AUD-LIBOR-BBA-3M.AUD-IRSwap-20Y</v>
      </c>
    </row>
    <row r="54" spans="1:1" x14ac:dyDescent="0.2">
      <c r="A54" t="str">
        <v>Market.QR_LIVE.RateCurve.AUD-LIBOR-BBA-3M.AUD-Deposit-1D</v>
      </c>
    </row>
    <row r="55" spans="1:1" x14ac:dyDescent="0.2">
      <c r="A55" t="str">
        <v>Market.QR_LIVE.RateCurve.AUD-LIBOR-BBA-3M.AUD-Deposit-1W</v>
      </c>
    </row>
    <row r="56" spans="1:1" x14ac:dyDescent="0.2">
      <c r="A56" t="str">
        <v>Market.QR_LIVE.RateCurve.AUD-LIBOR-BBA-3M.AUD-Deposit-2W</v>
      </c>
    </row>
    <row r="57" spans="1:1" x14ac:dyDescent="0.2">
      <c r="A57" t="str">
        <v>Market.QR_LIVE.RateCurve.AUD-LIBOR-BBA-3M</v>
      </c>
    </row>
    <row r="58" spans="1:1" x14ac:dyDescent="0.2">
      <c r="A58" t="str">
        <v>Market.QR_LIVE.RateCurve.GBP-LIBOR-ISDA-3M</v>
      </c>
    </row>
    <row r="59" spans="1:1" x14ac:dyDescent="0.2">
      <c r="A59" t="str">
        <v>Market.QR_LIVE.RateCurve.GBP-LIBOR-ISDA-1M</v>
      </c>
    </row>
    <row r="60" spans="1:1" x14ac:dyDescent="0.2">
      <c r="A60" t="str">
        <v>Market.QR_LIVE.RateCurve.USD-Federal Funds-H15-OIS-COMPOUND-1D</v>
      </c>
    </row>
    <row r="61" spans="1:1" x14ac:dyDescent="0.2">
      <c r="A61" t="str">
        <v>Market.QR_LIVE.RateCurve.USD-LIBOR-ISDA-6M</v>
      </c>
    </row>
    <row r="62" spans="1:1" x14ac:dyDescent="0.2">
      <c r="A62" t="str">
        <v>Market.QR_LIVE.RateCurve.GBP-LIBOR-ISDA-6M</v>
      </c>
    </row>
    <row r="63" spans="1:1" x14ac:dyDescent="0.2">
      <c r="A63" t="str">
        <v>Market.QR_LIVE.RateCurve.AUD-AONIA-OIS-COMPOUND-1D</v>
      </c>
    </row>
    <row r="64" spans="1:1" x14ac:dyDescent="0.2">
      <c r="A64" t="e">
        <v>#N/A</v>
      </c>
    </row>
    <row r="65" spans="1:1" x14ac:dyDescent="0.2">
      <c r="A65" t="e">
        <v>#N/A</v>
      </c>
    </row>
    <row r="66" spans="1:1" x14ac:dyDescent="0.2">
      <c r="A66" t="e">
        <v>#N/A</v>
      </c>
    </row>
    <row r="67" spans="1:1" x14ac:dyDescent="0.2">
      <c r="A67" t="e">
        <v>#N/A</v>
      </c>
    </row>
    <row r="68" spans="1:1" x14ac:dyDescent="0.2">
      <c r="A68" t="e">
        <v>#N/A</v>
      </c>
    </row>
    <row r="69" spans="1:1" x14ac:dyDescent="0.2">
      <c r="A69" t="e">
        <v>#N/A</v>
      </c>
    </row>
    <row r="70" spans="1:1" x14ac:dyDescent="0.2">
      <c r="A70" t="e">
        <v>#N/A</v>
      </c>
    </row>
    <row r="71" spans="1:1" x14ac:dyDescent="0.2">
      <c r="A71" t="e">
        <v>#N/A</v>
      </c>
    </row>
    <row r="72" spans="1:1" x14ac:dyDescent="0.2">
      <c r="A72" t="e">
        <v>#N/A</v>
      </c>
    </row>
    <row r="73" spans="1:1" x14ac:dyDescent="0.2">
      <c r="A73" t="e">
        <v>#N/A</v>
      </c>
    </row>
    <row r="74" spans="1:1" x14ac:dyDescent="0.2">
      <c r="A74" t="e">
        <v>#N/A</v>
      </c>
    </row>
    <row r="75" spans="1:1" x14ac:dyDescent="0.2">
      <c r="A75" t="e">
        <v>#N/A</v>
      </c>
    </row>
    <row r="76" spans="1:1" x14ac:dyDescent="0.2">
      <c r="A76" t="e">
        <v>#N/A</v>
      </c>
    </row>
    <row r="77" spans="1:1" x14ac:dyDescent="0.2">
      <c r="A77" t="e">
        <v>#N/A</v>
      </c>
    </row>
    <row r="78" spans="1:1" x14ac:dyDescent="0.2">
      <c r="A78" t="e">
        <v>#N/A</v>
      </c>
    </row>
    <row r="79" spans="1:1" x14ac:dyDescent="0.2">
      <c r="A79" t="e">
        <v>#N/A</v>
      </c>
    </row>
    <row r="80" spans="1:1" x14ac:dyDescent="0.2">
      <c r="A80" t="e">
        <v>#N/A</v>
      </c>
    </row>
  </sheetData>
  <phoneticPr fontId="1" type="noConversion"/>
  <dataValidations count="1">
    <dataValidation type="list" allowBlank="1" showInputMessage="1" showErrorMessage="1" sqref="C8" xr:uid="{00000000-0002-0000-0000-000000000000}">
      <formula1>CurveList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2:R121"/>
  <sheetViews>
    <sheetView workbookViewId="0">
      <selection activeCell="C22" sqref="C22"/>
    </sheetView>
  </sheetViews>
  <sheetFormatPr defaultRowHeight="12.75" x14ac:dyDescent="0.2"/>
  <cols>
    <col min="1" max="1" width="51.42578125" bestFit="1" customWidth="1"/>
    <col min="3" max="3" width="51.42578125" bestFit="1" customWidth="1"/>
    <col min="4" max="4" width="20.28515625" bestFit="1" customWidth="1"/>
    <col min="7" max="7" width="9.140625" style="12"/>
    <col min="10" max="10" width="9.7109375" customWidth="1"/>
  </cols>
  <sheetData>
    <row r="2" spans="1:18" x14ac:dyDescent="0.2">
      <c r="E2">
        <v>1</v>
      </c>
      <c r="F2" s="11">
        <v>0.17</v>
      </c>
      <c r="G2" s="13"/>
    </row>
    <row r="3" spans="1:18" x14ac:dyDescent="0.2">
      <c r="A3" t="str">
        <f t="array" ref="A3:A19">_xll.HLV5r3.Financial.Cache.ListUpTo100PricingStructures(C3:D5)</f>
        <v>Market.QR_LIVE.RateVolatilityMatrix.AUD-BBR-BBSW-3M</v>
      </c>
      <c r="C3" s="8" t="s">
        <v>58</v>
      </c>
      <c r="D3" s="8" t="s">
        <v>65</v>
      </c>
      <c r="E3">
        <v>2</v>
      </c>
      <c r="F3" s="11">
        <v>0.17</v>
      </c>
      <c r="H3" t="str">
        <f t="array" ref="H3:R20">_xll.HLV5r3.Financial.Cache.DisplayCurve(C7)</f>
        <v xml:space="preserve"> </v>
      </c>
      <c r="I3">
        <v>0.02</v>
      </c>
      <c r="J3">
        <v>0.03</v>
      </c>
      <c r="K3">
        <v>0.04</v>
      </c>
      <c r="L3">
        <v>0.05</v>
      </c>
      <c r="M3">
        <v>0.06</v>
      </c>
      <c r="N3">
        <v>7.0000000000000007E-2</v>
      </c>
      <c r="O3">
        <v>0.08</v>
      </c>
      <c r="P3" t="e">
        <v>#N/A</v>
      </c>
      <c r="Q3" t="e">
        <v>#N/A</v>
      </c>
      <c r="R3" t="e">
        <v>#N/A</v>
      </c>
    </row>
    <row r="4" spans="1:18" x14ac:dyDescent="0.2">
      <c r="A4" t="str">
        <v>Market.QR_LIVE.RateVolatilityMatrix.AUD-BBR-BBSW-1M</v>
      </c>
      <c r="C4" s="8" t="s">
        <v>60</v>
      </c>
      <c r="D4" s="8" t="s">
        <v>61</v>
      </c>
      <c r="E4">
        <v>3</v>
      </c>
      <c r="F4" s="11">
        <v>0.17</v>
      </c>
      <c r="H4">
        <v>0.5</v>
      </c>
      <c r="I4">
        <v>0.48005666011584303</v>
      </c>
      <c r="J4">
        <v>0.37680733391139298</v>
      </c>
      <c r="K4">
        <v>0.30025806818399697</v>
      </c>
      <c r="L4">
        <v>0.27882753700646801</v>
      </c>
      <c r="M4">
        <v>0.21888261469078499</v>
      </c>
      <c r="N4">
        <v>0.224451244297624</v>
      </c>
      <c r="O4">
        <v>0.242978006027667</v>
      </c>
      <c r="P4" t="e">
        <v>#N/A</v>
      </c>
      <c r="Q4" t="e">
        <v>#N/A</v>
      </c>
      <c r="R4" t="e">
        <v>#N/A</v>
      </c>
    </row>
    <row r="5" spans="1:18" x14ac:dyDescent="0.2">
      <c r="A5" t="str">
        <v>Market.QR_LIVE.RateVolatilityMatrix.AUD-BBR-BBSW-6M</v>
      </c>
      <c r="C5" s="8" t="s">
        <v>62</v>
      </c>
      <c r="D5" s="8" t="s">
        <v>63</v>
      </c>
      <c r="E5">
        <v>4</v>
      </c>
      <c r="F5" s="11">
        <v>0.17</v>
      </c>
      <c r="H5">
        <v>1</v>
      </c>
      <c r="I5">
        <v>0.41535710709635798</v>
      </c>
      <c r="J5">
        <v>0.33475722497376997</v>
      </c>
      <c r="K5">
        <v>0.27551061646681901</v>
      </c>
      <c r="L5">
        <v>0.25885955348141398</v>
      </c>
      <c r="M5">
        <v>0.20467820950478</v>
      </c>
      <c r="N5">
        <v>0.198437571490064</v>
      </c>
      <c r="O5">
        <v>0.20620259426531101</v>
      </c>
      <c r="P5" t="e">
        <v>#N/A</v>
      </c>
      <c r="Q5" t="e">
        <v>#N/A</v>
      </c>
      <c r="R5" t="e">
        <v>#N/A</v>
      </c>
    </row>
    <row r="6" spans="1:18" x14ac:dyDescent="0.2">
      <c r="A6" t="str">
        <v>Market.QR_LIVE.RateVolatilityMatrix.AUD-IRSwap-5Y</v>
      </c>
      <c r="E6">
        <v>5</v>
      </c>
      <c r="F6" s="11">
        <v>0.17</v>
      </c>
      <c r="H6">
        <v>2</v>
      </c>
      <c r="I6">
        <v>0.34096011945307902</v>
      </c>
      <c r="J6">
        <v>0.28284380304208401</v>
      </c>
      <c r="K6">
        <v>0.24055362800159999</v>
      </c>
      <c r="L6">
        <v>0.22865749217005099</v>
      </c>
      <c r="M6">
        <v>0.18646849232399901</v>
      </c>
      <c r="N6">
        <v>0.17484567980062901</v>
      </c>
      <c r="O6">
        <v>0.173073143267158</v>
      </c>
      <c r="P6" t="e">
        <v>#N/A</v>
      </c>
      <c r="Q6" t="e">
        <v>#N/A</v>
      </c>
      <c r="R6" t="e">
        <v>#N/A</v>
      </c>
    </row>
    <row r="7" spans="1:18" x14ac:dyDescent="0.2">
      <c r="A7" t="str">
        <v>Market.QR_LIVE.RateVolatilityMatrix.AUD-IRSwap-10Y</v>
      </c>
      <c r="C7" s="9" t="s">
        <v>68</v>
      </c>
      <c r="D7" s="9"/>
      <c r="E7">
        <v>6</v>
      </c>
      <c r="F7" s="11">
        <v>0.17</v>
      </c>
      <c r="H7">
        <v>3</v>
      </c>
      <c r="I7">
        <v>0.30291596300462797</v>
      </c>
      <c r="J7">
        <v>0.25171063040154601</v>
      </c>
      <c r="K7">
        <v>0.21435627147185099</v>
      </c>
      <c r="L7">
        <v>0.20379627130355199</v>
      </c>
      <c r="M7">
        <v>0.165520570537978</v>
      </c>
      <c r="N7">
        <v>0.15394671605531099</v>
      </c>
      <c r="O7">
        <v>0.151154410532408</v>
      </c>
      <c r="P7" t="e">
        <v>#N/A</v>
      </c>
      <c r="Q7" t="e">
        <v>#N/A</v>
      </c>
      <c r="R7" t="e">
        <v>#N/A</v>
      </c>
    </row>
    <row r="8" spans="1:18" x14ac:dyDescent="0.2">
      <c r="A8" t="str">
        <v>Market.QR_LIVE.RateVolatilityMatrix.EUR-IRSwap-5Y</v>
      </c>
      <c r="C8" s="9" t="s">
        <v>66</v>
      </c>
      <c r="E8">
        <v>7</v>
      </c>
      <c r="F8" s="11">
        <v>0.17</v>
      </c>
      <c r="H8">
        <v>4</v>
      </c>
      <c r="I8">
        <v>0.27659063985503601</v>
      </c>
      <c r="J8">
        <v>0.230919013486314</v>
      </c>
      <c r="K8">
        <v>0.19766239720627299</v>
      </c>
      <c r="L8">
        <v>0.18826498687995899</v>
      </c>
      <c r="M8">
        <v>0.15396778346082901</v>
      </c>
      <c r="N8">
        <v>0.14302041609229901</v>
      </c>
      <c r="O8">
        <v>0.13954888421296599</v>
      </c>
      <c r="P8" t="e">
        <v>#N/A</v>
      </c>
      <c r="Q8" t="e">
        <v>#N/A</v>
      </c>
      <c r="R8" t="e">
        <v>#N/A</v>
      </c>
    </row>
    <row r="9" spans="1:18" x14ac:dyDescent="0.2">
      <c r="A9" t="str">
        <v>Market.QR_LIVE.RateVolatilityMatrix.AUD-Xibor-3M</v>
      </c>
      <c r="E9">
        <v>8</v>
      </c>
      <c r="F9" s="11">
        <v>0.17</v>
      </c>
      <c r="H9">
        <v>5</v>
      </c>
      <c r="I9">
        <v>0.25895062752694797</v>
      </c>
      <c r="J9">
        <v>0.216821157618033</v>
      </c>
      <c r="K9">
        <v>0.18621971867746101</v>
      </c>
      <c r="L9">
        <v>0.17758727767997401</v>
      </c>
      <c r="M9">
        <v>0.14608507366881099</v>
      </c>
      <c r="N9">
        <v>0.13587959347863501</v>
      </c>
      <c r="O9">
        <v>0.13239605700844001</v>
      </c>
      <c r="P9" t="e">
        <v>#N/A</v>
      </c>
      <c r="Q9" t="e">
        <v>#N/A</v>
      </c>
      <c r="R9" t="e">
        <v>#N/A</v>
      </c>
    </row>
    <row r="10" spans="1:18" x14ac:dyDescent="0.2">
      <c r="A10" t="str">
        <v>Market.QR_LIVE.RateVolatilityMatrix.Instrument/String=AUD-BBR-BBSW-1M</v>
      </c>
      <c r="E10">
        <v>9</v>
      </c>
      <c r="F10" s="11">
        <v>0.17</v>
      </c>
      <c r="H10">
        <v>7</v>
      </c>
      <c r="I10">
        <v>0.23977503507244299</v>
      </c>
      <c r="J10">
        <v>0.200568299389844</v>
      </c>
      <c r="K10">
        <v>0.17217709113368401</v>
      </c>
      <c r="L10">
        <v>0.16420362248529499</v>
      </c>
      <c r="M10">
        <v>0.135570834458484</v>
      </c>
      <c r="N10">
        <v>0.126867044385506</v>
      </c>
      <c r="O10">
        <v>0.124480691445031</v>
      </c>
      <c r="P10" t="e">
        <v>#N/A</v>
      </c>
      <c r="Q10" t="e">
        <v>#N/A</v>
      </c>
      <c r="R10" t="e">
        <v>#N/A</v>
      </c>
    </row>
    <row r="11" spans="1:18" x14ac:dyDescent="0.2">
      <c r="A11" t="str">
        <v>Market.QR_LIVE.RateVolatilityMatrix.Instrument/String=AUD-IRSwap-1Y</v>
      </c>
      <c r="E11">
        <v>10</v>
      </c>
      <c r="F11" s="11">
        <v>0.17</v>
      </c>
      <c r="H11">
        <v>10</v>
      </c>
      <c r="I11">
        <v>0.217291099250841</v>
      </c>
      <c r="J11">
        <v>0.17783274175047201</v>
      </c>
      <c r="K11">
        <v>0.148991957793352</v>
      </c>
      <c r="L11">
        <v>0.14086644056466699</v>
      </c>
      <c r="M11">
        <v>0.112698836408175</v>
      </c>
      <c r="N11">
        <v>0.10662389175635301</v>
      </c>
      <c r="O11">
        <v>0.10802434106204201</v>
      </c>
      <c r="P11" t="e">
        <v>#N/A</v>
      </c>
      <c r="Q11" t="e">
        <v>#N/A</v>
      </c>
      <c r="R11" t="e">
        <v>#N/A</v>
      </c>
    </row>
    <row r="12" spans="1:18" x14ac:dyDescent="0.2">
      <c r="A12" t="str">
        <v>Market.QR_LIVE.RateVolatilityMatrix.AUD-BBR-BBSW</v>
      </c>
      <c r="E12">
        <v>11</v>
      </c>
      <c r="F12" s="11">
        <v>0.17</v>
      </c>
      <c r="H12">
        <v>12</v>
      </c>
      <c r="I12">
        <v>0.21082686867025899</v>
      </c>
      <c r="J12">
        <v>0.16938762024586099</v>
      </c>
      <c r="K12">
        <v>0.13917370731784701</v>
      </c>
      <c r="L12">
        <v>0.13078466887803</v>
      </c>
      <c r="M12">
        <v>0.105134324374864</v>
      </c>
      <c r="N12">
        <v>0.10418306452889201</v>
      </c>
      <c r="O12">
        <v>0.109991844371533</v>
      </c>
      <c r="P12" t="e">
        <v>#N/A</v>
      </c>
      <c r="Q12" t="e">
        <v>#N/A</v>
      </c>
      <c r="R12" t="e">
        <v>#N/A</v>
      </c>
    </row>
    <row r="13" spans="1:18" x14ac:dyDescent="0.2">
      <c r="A13" t="str">
        <v>Market.QR_LIVE.RateVolatilityMatrix.AUD-IRSwap</v>
      </c>
      <c r="E13">
        <v>12</v>
      </c>
      <c r="F13" s="11">
        <v>0.17</v>
      </c>
      <c r="H13">
        <v>15</v>
      </c>
      <c r="I13">
        <v>0.21700195459455501</v>
      </c>
      <c r="J13">
        <v>0.17015601394046001</v>
      </c>
      <c r="K13">
        <v>0.13693199800368799</v>
      </c>
      <c r="L13">
        <v>0.12839711422283101</v>
      </c>
      <c r="M13">
        <v>0.11319878663800401</v>
      </c>
      <c r="N13">
        <v>0.120486425044578</v>
      </c>
      <c r="O13">
        <v>0.13075244544675699</v>
      </c>
      <c r="P13" t="e">
        <v>#N/A</v>
      </c>
      <c r="Q13" t="e">
        <v>#N/A</v>
      </c>
      <c r="R13" t="e">
        <v>#N/A</v>
      </c>
    </row>
    <row r="14" spans="1:18" x14ac:dyDescent="0.2">
      <c r="A14" t="str">
        <v>Market.QR_LIVE.RateVolatilityMatrix.AUD-IRSwap-20Y</v>
      </c>
      <c r="E14">
        <v>13</v>
      </c>
      <c r="F14" s="11">
        <v>0.17</v>
      </c>
      <c r="H14">
        <v>20</v>
      </c>
      <c r="I14">
        <v>0.23729410640487</v>
      </c>
      <c r="J14">
        <v>0.17124082810657301</v>
      </c>
      <c r="K14">
        <v>0.12232496018085</v>
      </c>
      <c r="L14">
        <v>0.110325482377059</v>
      </c>
      <c r="M14">
        <v>0.114002488896845</v>
      </c>
      <c r="N14">
        <v>0.133497334703336</v>
      </c>
      <c r="O14">
        <v>0.15140848792869999</v>
      </c>
      <c r="P14" t="e">
        <v>#N/A</v>
      </c>
      <c r="Q14" t="e">
        <v>#N/A</v>
      </c>
      <c r="R14" t="e">
        <v>#N/A</v>
      </c>
    </row>
    <row r="15" spans="1:18" x14ac:dyDescent="0.2">
      <c r="A15" t="str">
        <v>Market.QR_LIVE.RateVolatilityMatrix.AUD-IRSwap-15Y</v>
      </c>
      <c r="E15">
        <v>14</v>
      </c>
      <c r="F15" s="11">
        <v>0.17</v>
      </c>
      <c r="H15" t="e">
        <v>#N/A</v>
      </c>
      <c r="I15" t="e">
        <v>#N/A</v>
      </c>
      <c r="J15" t="e">
        <v>#N/A</v>
      </c>
      <c r="K15" t="e">
        <v>#N/A</v>
      </c>
      <c r="L15" t="e">
        <v>#N/A</v>
      </c>
      <c r="M15" t="e">
        <v>#N/A</v>
      </c>
      <c r="N15" t="e">
        <v>#N/A</v>
      </c>
      <c r="O15" t="e">
        <v>#N/A</v>
      </c>
      <c r="P15" t="e">
        <v>#N/A</v>
      </c>
      <c r="Q15" t="e">
        <v>#N/A</v>
      </c>
      <c r="R15" t="e">
        <v>#N/A</v>
      </c>
    </row>
    <row r="16" spans="1:18" x14ac:dyDescent="0.2">
      <c r="A16" t="str">
        <v>Market.QR_LIVE.RateVolatilityMatrix.AUD-IRSwap-9Y</v>
      </c>
      <c r="E16">
        <v>15</v>
      </c>
      <c r="F16" s="11">
        <v>0.17</v>
      </c>
      <c r="H16" t="e">
        <v>#N/A</v>
      </c>
      <c r="I16" t="e">
        <v>#N/A</v>
      </c>
      <c r="J16" t="e">
        <v>#N/A</v>
      </c>
      <c r="K16" t="e">
        <v>#N/A</v>
      </c>
      <c r="L16" t="e">
        <v>#N/A</v>
      </c>
      <c r="M16" t="e">
        <v>#N/A</v>
      </c>
      <c r="N16" t="e">
        <v>#N/A</v>
      </c>
      <c r="O16" t="e">
        <v>#N/A</v>
      </c>
      <c r="P16" t="e">
        <v>#N/A</v>
      </c>
      <c r="Q16" t="e">
        <v>#N/A</v>
      </c>
      <c r="R16" t="e">
        <v>#N/A</v>
      </c>
    </row>
    <row r="17" spans="1:18" x14ac:dyDescent="0.2">
      <c r="A17" t="str">
        <v>Market.QR_LIVE.RateVolatilityMatrix.AUD-IRSwap-8Y</v>
      </c>
      <c r="E17">
        <v>16</v>
      </c>
      <c r="F17" s="11">
        <v>0.17</v>
      </c>
      <c r="H17" t="e">
        <v>#N/A</v>
      </c>
      <c r="I17" t="e">
        <v>#N/A</v>
      </c>
      <c r="J17" t="e">
        <v>#N/A</v>
      </c>
      <c r="K17" t="e">
        <v>#N/A</v>
      </c>
      <c r="L17" t="e">
        <v>#N/A</v>
      </c>
      <c r="M17" t="e">
        <v>#N/A</v>
      </c>
      <c r="N17" t="e">
        <v>#N/A</v>
      </c>
      <c r="O17" t="e">
        <v>#N/A</v>
      </c>
      <c r="P17" t="e">
        <v>#N/A</v>
      </c>
      <c r="Q17" t="e">
        <v>#N/A</v>
      </c>
      <c r="R17" t="e">
        <v>#N/A</v>
      </c>
    </row>
    <row r="18" spans="1:18" x14ac:dyDescent="0.2">
      <c r="A18" t="str">
        <v>Market.QR_LIVE.RateVolatilityMatrix.AUD-IRSwap-7Y</v>
      </c>
      <c r="E18">
        <v>17</v>
      </c>
      <c r="F18" s="11">
        <v>0.17</v>
      </c>
      <c r="H18" t="e">
        <v>#N/A</v>
      </c>
      <c r="I18" t="e">
        <v>#N/A</v>
      </c>
      <c r="J18" t="e">
        <v>#N/A</v>
      </c>
      <c r="K18" t="e">
        <v>#N/A</v>
      </c>
      <c r="L18" t="e">
        <v>#N/A</v>
      </c>
      <c r="M18" t="e">
        <v>#N/A</v>
      </c>
      <c r="N18" t="e">
        <v>#N/A</v>
      </c>
      <c r="O18" t="e">
        <v>#N/A</v>
      </c>
      <c r="P18" t="e">
        <v>#N/A</v>
      </c>
      <c r="Q18" t="e">
        <v>#N/A</v>
      </c>
      <c r="R18" t="e">
        <v>#N/A</v>
      </c>
    </row>
    <row r="19" spans="1:18" x14ac:dyDescent="0.2">
      <c r="A19" t="str">
        <v>Market.QR_LIVE.RateVolatilityMatrix.AUD-IRSwap-6Y</v>
      </c>
      <c r="E19">
        <v>18</v>
      </c>
      <c r="F19" s="11">
        <v>0.17</v>
      </c>
      <c r="H19" t="e">
        <v>#N/A</v>
      </c>
      <c r="I19" t="e">
        <v>#N/A</v>
      </c>
      <c r="J19" t="e">
        <v>#N/A</v>
      </c>
      <c r="K19" t="e">
        <v>#N/A</v>
      </c>
      <c r="L19" t="e">
        <v>#N/A</v>
      </c>
      <c r="M19" t="e">
        <v>#N/A</v>
      </c>
      <c r="N19" t="e">
        <v>#N/A</v>
      </c>
      <c r="O19" t="e">
        <v>#N/A</v>
      </c>
      <c r="P19" t="e">
        <v>#N/A</v>
      </c>
      <c r="Q19" t="e">
        <v>#N/A</v>
      </c>
      <c r="R19" t="e">
        <v>#N/A</v>
      </c>
    </row>
    <row r="20" spans="1:18" x14ac:dyDescent="0.2">
      <c r="C20" s="10" t="s">
        <v>69</v>
      </c>
      <c r="E20">
        <v>19</v>
      </c>
      <c r="F20" s="11">
        <v>0.17</v>
      </c>
      <c r="H20" t="e">
        <v>#N/A</v>
      </c>
      <c r="I20" t="e">
        <v>#N/A</v>
      </c>
      <c r="J20" t="e">
        <v>#N/A</v>
      </c>
      <c r="K20" t="e">
        <v>#N/A</v>
      </c>
      <c r="L20" t="e">
        <v>#N/A</v>
      </c>
      <c r="M20" t="e">
        <v>#N/A</v>
      </c>
      <c r="N20" t="e">
        <v>#N/A</v>
      </c>
      <c r="O20" t="e">
        <v>#N/A</v>
      </c>
      <c r="P20" t="e">
        <v>#N/A</v>
      </c>
      <c r="Q20" t="e">
        <v>#N/A</v>
      </c>
      <c r="R20" t="e">
        <v>#N/A</v>
      </c>
    </row>
    <row r="21" spans="1:18" x14ac:dyDescent="0.2">
      <c r="C21" s="10" t="s">
        <v>70</v>
      </c>
      <c r="E21">
        <v>20</v>
      </c>
      <c r="F21" s="11">
        <v>0.17</v>
      </c>
    </row>
    <row r="22" spans="1:18" x14ac:dyDescent="0.2">
      <c r="C22" t="str">
        <f>_xll.HLV5r3.Financial.Cache.PedersenSetCapletVolatilities(0.05, C8)</f>
        <v>Caplet Implied Vols were set successfully.</v>
      </c>
      <c r="E22">
        <v>21</v>
      </c>
      <c r="F22" s="11">
        <v>0.17</v>
      </c>
    </row>
    <row r="23" spans="1:18" x14ac:dyDescent="0.2">
      <c r="C23" t="str">
        <f>_xll.HLV5r3.Financial.Cache.PedersenSetSwaptionVolatilities(C7)</f>
        <v>Swaption Implied Vols were set successfully.</v>
      </c>
      <c r="E23">
        <v>22</v>
      </c>
      <c r="F23" s="11">
        <v>0.17</v>
      </c>
    </row>
    <row r="24" spans="1:18" x14ac:dyDescent="0.2">
      <c r="E24">
        <v>23</v>
      </c>
      <c r="F24" s="11">
        <v>0.17</v>
      </c>
    </row>
    <row r="25" spans="1:18" x14ac:dyDescent="0.2">
      <c r="E25">
        <v>24</v>
      </c>
      <c r="F25" s="11">
        <v>0.17</v>
      </c>
    </row>
    <row r="26" spans="1:18" x14ac:dyDescent="0.2">
      <c r="E26">
        <v>25</v>
      </c>
      <c r="F26" s="11">
        <v>0.17</v>
      </c>
    </row>
    <row r="27" spans="1:18" x14ac:dyDescent="0.2">
      <c r="E27">
        <v>26</v>
      </c>
      <c r="F27" s="11">
        <v>0.17</v>
      </c>
    </row>
    <row r="28" spans="1:18" x14ac:dyDescent="0.2">
      <c r="E28">
        <v>27</v>
      </c>
      <c r="F28" s="11">
        <v>0.17</v>
      </c>
    </row>
    <row r="29" spans="1:18" x14ac:dyDescent="0.2">
      <c r="E29">
        <v>28</v>
      </c>
      <c r="F29" s="11">
        <v>0.17</v>
      </c>
    </row>
    <row r="30" spans="1:18" x14ac:dyDescent="0.2">
      <c r="E30">
        <v>29</v>
      </c>
      <c r="F30" s="11">
        <v>0.17</v>
      </c>
    </row>
    <row r="31" spans="1:18" x14ac:dyDescent="0.2">
      <c r="E31">
        <v>30</v>
      </c>
      <c r="F31" s="11">
        <v>0.17</v>
      </c>
    </row>
    <row r="32" spans="1:18" x14ac:dyDescent="0.2">
      <c r="E32">
        <v>31</v>
      </c>
      <c r="F32" s="11">
        <v>0.17</v>
      </c>
    </row>
    <row r="33" spans="5:6" x14ac:dyDescent="0.2">
      <c r="E33">
        <v>32</v>
      </c>
      <c r="F33" s="11">
        <v>0.17</v>
      </c>
    </row>
    <row r="34" spans="5:6" x14ac:dyDescent="0.2">
      <c r="E34">
        <v>33</v>
      </c>
      <c r="F34" s="11">
        <v>0.17</v>
      </c>
    </row>
    <row r="35" spans="5:6" x14ac:dyDescent="0.2">
      <c r="E35">
        <v>34</v>
      </c>
      <c r="F35" s="11">
        <v>0.17</v>
      </c>
    </row>
    <row r="36" spans="5:6" x14ac:dyDescent="0.2">
      <c r="E36">
        <v>35</v>
      </c>
      <c r="F36" s="11">
        <v>0.17</v>
      </c>
    </row>
    <row r="37" spans="5:6" x14ac:dyDescent="0.2">
      <c r="E37">
        <v>36</v>
      </c>
      <c r="F37" s="11">
        <v>0.17</v>
      </c>
    </row>
    <row r="38" spans="5:6" x14ac:dyDescent="0.2">
      <c r="E38">
        <v>37</v>
      </c>
      <c r="F38" s="11">
        <v>0.17</v>
      </c>
    </row>
    <row r="39" spans="5:6" x14ac:dyDescent="0.2">
      <c r="E39">
        <v>38</v>
      </c>
      <c r="F39" s="11">
        <v>0.17</v>
      </c>
    </row>
    <row r="40" spans="5:6" x14ac:dyDescent="0.2">
      <c r="E40">
        <v>39</v>
      </c>
      <c r="F40" s="11">
        <v>0.17</v>
      </c>
    </row>
    <row r="41" spans="5:6" x14ac:dyDescent="0.2">
      <c r="E41">
        <v>40</v>
      </c>
      <c r="F41" s="11">
        <v>0.17</v>
      </c>
    </row>
    <row r="42" spans="5:6" x14ac:dyDescent="0.2">
      <c r="E42">
        <v>41</v>
      </c>
      <c r="F42" s="11">
        <v>0.17</v>
      </c>
    </row>
    <row r="43" spans="5:6" x14ac:dyDescent="0.2">
      <c r="E43">
        <v>42</v>
      </c>
      <c r="F43" s="11">
        <v>0.17</v>
      </c>
    </row>
    <row r="44" spans="5:6" x14ac:dyDescent="0.2">
      <c r="E44">
        <v>43</v>
      </c>
      <c r="F44" s="11">
        <v>0.17</v>
      </c>
    </row>
    <row r="45" spans="5:6" x14ac:dyDescent="0.2">
      <c r="E45">
        <v>44</v>
      </c>
      <c r="F45" s="11">
        <v>0.17</v>
      </c>
    </row>
    <row r="46" spans="5:6" x14ac:dyDescent="0.2">
      <c r="E46">
        <v>45</v>
      </c>
      <c r="F46" s="11">
        <v>0.17</v>
      </c>
    </row>
    <row r="47" spans="5:6" x14ac:dyDescent="0.2">
      <c r="E47">
        <v>46</v>
      </c>
      <c r="F47" s="11">
        <v>0.17</v>
      </c>
    </row>
    <row r="48" spans="5:6" x14ac:dyDescent="0.2">
      <c r="E48">
        <v>47</v>
      </c>
      <c r="F48" s="11">
        <v>0.17</v>
      </c>
    </row>
    <row r="49" spans="5:6" x14ac:dyDescent="0.2">
      <c r="E49">
        <v>48</v>
      </c>
      <c r="F49" s="11">
        <v>0.17</v>
      </c>
    </row>
    <row r="50" spans="5:6" x14ac:dyDescent="0.2">
      <c r="E50">
        <v>49</v>
      </c>
      <c r="F50" s="11">
        <v>0.17</v>
      </c>
    </row>
    <row r="51" spans="5:6" x14ac:dyDescent="0.2">
      <c r="E51">
        <v>50</v>
      </c>
      <c r="F51" s="11">
        <v>0.17</v>
      </c>
    </row>
    <row r="52" spans="5:6" x14ac:dyDescent="0.2">
      <c r="E52">
        <v>51</v>
      </c>
      <c r="F52" s="11">
        <v>0.17</v>
      </c>
    </row>
    <row r="53" spans="5:6" x14ac:dyDescent="0.2">
      <c r="E53">
        <v>52</v>
      </c>
      <c r="F53" s="11">
        <v>0.17</v>
      </c>
    </row>
    <row r="54" spans="5:6" x14ac:dyDescent="0.2">
      <c r="E54">
        <v>53</v>
      </c>
      <c r="F54" s="11">
        <v>0.17</v>
      </c>
    </row>
    <row r="55" spans="5:6" x14ac:dyDescent="0.2">
      <c r="E55">
        <v>54</v>
      </c>
      <c r="F55" s="11">
        <v>0.17</v>
      </c>
    </row>
    <row r="56" spans="5:6" x14ac:dyDescent="0.2">
      <c r="E56">
        <v>55</v>
      </c>
      <c r="F56" s="11">
        <v>0.17</v>
      </c>
    </row>
    <row r="57" spans="5:6" x14ac:dyDescent="0.2">
      <c r="E57">
        <v>56</v>
      </c>
      <c r="F57" s="11">
        <v>0.17</v>
      </c>
    </row>
    <row r="58" spans="5:6" x14ac:dyDescent="0.2">
      <c r="E58">
        <v>57</v>
      </c>
      <c r="F58" s="11">
        <v>0.17</v>
      </c>
    </row>
    <row r="59" spans="5:6" x14ac:dyDescent="0.2">
      <c r="E59">
        <v>58</v>
      </c>
      <c r="F59" s="11">
        <v>0.17</v>
      </c>
    </row>
    <row r="60" spans="5:6" x14ac:dyDescent="0.2">
      <c r="E60">
        <v>59</v>
      </c>
      <c r="F60" s="11">
        <v>0.17</v>
      </c>
    </row>
    <row r="61" spans="5:6" x14ac:dyDescent="0.2">
      <c r="E61">
        <v>60</v>
      </c>
      <c r="F61" s="11">
        <v>0.17</v>
      </c>
    </row>
    <row r="62" spans="5:6" x14ac:dyDescent="0.2">
      <c r="E62">
        <v>61</v>
      </c>
      <c r="F62" s="11">
        <v>0.17</v>
      </c>
    </row>
    <row r="63" spans="5:6" x14ac:dyDescent="0.2">
      <c r="E63">
        <v>62</v>
      </c>
      <c r="F63" s="11">
        <v>0.17</v>
      </c>
    </row>
    <row r="64" spans="5:6" x14ac:dyDescent="0.2">
      <c r="E64">
        <v>63</v>
      </c>
      <c r="F64" s="11">
        <v>0.17</v>
      </c>
    </row>
    <row r="65" spans="5:6" x14ac:dyDescent="0.2">
      <c r="E65">
        <v>64</v>
      </c>
      <c r="F65" s="11">
        <v>0.17</v>
      </c>
    </row>
    <row r="66" spans="5:6" x14ac:dyDescent="0.2">
      <c r="E66">
        <v>65</v>
      </c>
      <c r="F66" s="11">
        <v>0.17</v>
      </c>
    </row>
    <row r="67" spans="5:6" x14ac:dyDescent="0.2">
      <c r="E67">
        <v>66</v>
      </c>
      <c r="F67" s="11">
        <v>0.17</v>
      </c>
    </row>
    <row r="68" spans="5:6" x14ac:dyDescent="0.2">
      <c r="E68">
        <v>67</v>
      </c>
      <c r="F68" s="11">
        <v>0.17</v>
      </c>
    </row>
    <row r="69" spans="5:6" x14ac:dyDescent="0.2">
      <c r="E69">
        <v>68</v>
      </c>
      <c r="F69" s="11">
        <v>0.17</v>
      </c>
    </row>
    <row r="70" spans="5:6" x14ac:dyDescent="0.2">
      <c r="E70">
        <v>69</v>
      </c>
      <c r="F70" s="11">
        <v>0.17</v>
      </c>
    </row>
    <row r="71" spans="5:6" x14ac:dyDescent="0.2">
      <c r="E71">
        <v>70</v>
      </c>
      <c r="F71" s="11">
        <v>0.17</v>
      </c>
    </row>
    <row r="72" spans="5:6" x14ac:dyDescent="0.2">
      <c r="E72">
        <v>71</v>
      </c>
      <c r="F72" s="11">
        <v>0.17</v>
      </c>
    </row>
    <row r="73" spans="5:6" x14ac:dyDescent="0.2">
      <c r="E73">
        <v>72</v>
      </c>
      <c r="F73" s="11">
        <v>0.17</v>
      </c>
    </row>
    <row r="74" spans="5:6" x14ac:dyDescent="0.2">
      <c r="E74">
        <v>73</v>
      </c>
      <c r="F74" s="11">
        <v>0.17</v>
      </c>
    </row>
    <row r="75" spans="5:6" x14ac:dyDescent="0.2">
      <c r="E75">
        <v>74</v>
      </c>
      <c r="F75" s="11">
        <v>0.17</v>
      </c>
    </row>
    <row r="76" spans="5:6" x14ac:dyDescent="0.2">
      <c r="E76">
        <v>75</v>
      </c>
      <c r="F76" s="11">
        <v>0.17</v>
      </c>
    </row>
    <row r="77" spans="5:6" x14ac:dyDescent="0.2">
      <c r="E77">
        <v>76</v>
      </c>
      <c r="F77" s="11">
        <v>0.17</v>
      </c>
    </row>
    <row r="78" spans="5:6" x14ac:dyDescent="0.2">
      <c r="E78">
        <v>77</v>
      </c>
      <c r="F78" s="11">
        <v>0.17</v>
      </c>
    </row>
    <row r="79" spans="5:6" x14ac:dyDescent="0.2">
      <c r="E79">
        <v>78</v>
      </c>
      <c r="F79" s="11">
        <v>0.17</v>
      </c>
    </row>
    <row r="80" spans="5:6" x14ac:dyDescent="0.2">
      <c r="E80">
        <v>79</v>
      </c>
      <c r="F80" s="11">
        <v>0.17</v>
      </c>
    </row>
    <row r="81" spans="5:6" x14ac:dyDescent="0.2">
      <c r="E81">
        <v>80</v>
      </c>
      <c r="F81" s="11">
        <v>0.17</v>
      </c>
    </row>
    <row r="82" spans="5:6" x14ac:dyDescent="0.2">
      <c r="E82">
        <v>81</v>
      </c>
      <c r="F82" s="11">
        <v>0.17</v>
      </c>
    </row>
    <row r="83" spans="5:6" x14ac:dyDescent="0.2">
      <c r="E83">
        <v>82</v>
      </c>
      <c r="F83" s="11">
        <v>0.17</v>
      </c>
    </row>
    <row r="84" spans="5:6" x14ac:dyDescent="0.2">
      <c r="E84">
        <v>83</v>
      </c>
      <c r="F84" s="11">
        <v>0.17</v>
      </c>
    </row>
    <row r="85" spans="5:6" x14ac:dyDescent="0.2">
      <c r="E85">
        <v>84</v>
      </c>
      <c r="F85" s="11">
        <v>0.17</v>
      </c>
    </row>
    <row r="86" spans="5:6" x14ac:dyDescent="0.2">
      <c r="E86">
        <v>85</v>
      </c>
      <c r="F86" s="11">
        <v>0.17</v>
      </c>
    </row>
    <row r="87" spans="5:6" x14ac:dyDescent="0.2">
      <c r="E87">
        <v>86</v>
      </c>
      <c r="F87" s="11">
        <v>0.17</v>
      </c>
    </row>
    <row r="88" spans="5:6" x14ac:dyDescent="0.2">
      <c r="E88">
        <v>87</v>
      </c>
      <c r="F88" s="11">
        <v>0.17</v>
      </c>
    </row>
    <row r="89" spans="5:6" x14ac:dyDescent="0.2">
      <c r="E89">
        <v>88</v>
      </c>
      <c r="F89" s="11">
        <v>0.17</v>
      </c>
    </row>
    <row r="90" spans="5:6" x14ac:dyDescent="0.2">
      <c r="E90">
        <v>89</v>
      </c>
      <c r="F90" s="11">
        <v>0.17</v>
      </c>
    </row>
    <row r="91" spans="5:6" x14ac:dyDescent="0.2">
      <c r="E91">
        <v>90</v>
      </c>
      <c r="F91" s="11">
        <v>0.17</v>
      </c>
    </row>
    <row r="92" spans="5:6" x14ac:dyDescent="0.2">
      <c r="E92">
        <v>91</v>
      </c>
      <c r="F92" s="11">
        <v>0.17</v>
      </c>
    </row>
    <row r="93" spans="5:6" x14ac:dyDescent="0.2">
      <c r="E93">
        <v>92</v>
      </c>
      <c r="F93" s="11">
        <v>0.17</v>
      </c>
    </row>
    <row r="94" spans="5:6" x14ac:dyDescent="0.2">
      <c r="E94">
        <v>93</v>
      </c>
      <c r="F94" s="11">
        <v>0.17</v>
      </c>
    </row>
    <row r="95" spans="5:6" x14ac:dyDescent="0.2">
      <c r="E95">
        <v>94</v>
      </c>
      <c r="F95" s="11">
        <v>0.17</v>
      </c>
    </row>
    <row r="96" spans="5:6" x14ac:dyDescent="0.2">
      <c r="E96">
        <v>95</v>
      </c>
      <c r="F96" s="11">
        <v>0.17</v>
      </c>
    </row>
    <row r="97" spans="5:6" x14ac:dyDescent="0.2">
      <c r="E97">
        <v>96</v>
      </c>
      <c r="F97" s="11">
        <v>0.17</v>
      </c>
    </row>
    <row r="98" spans="5:6" x14ac:dyDescent="0.2">
      <c r="E98">
        <v>97</v>
      </c>
      <c r="F98" s="11">
        <v>0.17</v>
      </c>
    </row>
    <row r="99" spans="5:6" x14ac:dyDescent="0.2">
      <c r="E99">
        <v>98</v>
      </c>
      <c r="F99" s="11">
        <v>0.17</v>
      </c>
    </row>
    <row r="100" spans="5:6" x14ac:dyDescent="0.2">
      <c r="E100">
        <v>99</v>
      </c>
      <c r="F100" s="11">
        <v>0.17</v>
      </c>
    </row>
    <row r="101" spans="5:6" x14ac:dyDescent="0.2">
      <c r="E101">
        <v>100</v>
      </c>
      <c r="F101" s="11">
        <v>0.17</v>
      </c>
    </row>
    <row r="102" spans="5:6" x14ac:dyDescent="0.2">
      <c r="E102">
        <v>101</v>
      </c>
      <c r="F102" s="11">
        <v>0.17</v>
      </c>
    </row>
    <row r="103" spans="5:6" x14ac:dyDescent="0.2">
      <c r="E103">
        <v>102</v>
      </c>
      <c r="F103" s="11">
        <v>0.17</v>
      </c>
    </row>
    <row r="104" spans="5:6" x14ac:dyDescent="0.2">
      <c r="E104">
        <v>103</v>
      </c>
      <c r="F104" s="11">
        <v>0.17</v>
      </c>
    </row>
    <row r="105" spans="5:6" x14ac:dyDescent="0.2">
      <c r="E105">
        <v>104</v>
      </c>
      <c r="F105" s="11">
        <v>0.17</v>
      </c>
    </row>
    <row r="106" spans="5:6" x14ac:dyDescent="0.2">
      <c r="E106">
        <v>105</v>
      </c>
      <c r="F106" s="11">
        <v>0.17</v>
      </c>
    </row>
    <row r="107" spans="5:6" x14ac:dyDescent="0.2">
      <c r="E107">
        <v>106</v>
      </c>
      <c r="F107" s="11">
        <v>0.17</v>
      </c>
    </row>
    <row r="108" spans="5:6" x14ac:dyDescent="0.2">
      <c r="E108">
        <v>107</v>
      </c>
      <c r="F108" s="11">
        <v>0.17</v>
      </c>
    </row>
    <row r="109" spans="5:6" x14ac:dyDescent="0.2">
      <c r="E109">
        <v>108</v>
      </c>
      <c r="F109" s="11">
        <v>0.17</v>
      </c>
    </row>
    <row r="110" spans="5:6" x14ac:dyDescent="0.2">
      <c r="E110">
        <v>109</v>
      </c>
      <c r="F110" s="11">
        <v>0.17</v>
      </c>
    </row>
    <row r="111" spans="5:6" x14ac:dyDescent="0.2">
      <c r="E111">
        <v>110</v>
      </c>
      <c r="F111" s="11">
        <v>0.17</v>
      </c>
    </row>
    <row r="112" spans="5:6" x14ac:dyDescent="0.2">
      <c r="E112">
        <v>111</v>
      </c>
      <c r="F112" s="11">
        <v>0.17</v>
      </c>
    </row>
    <row r="113" spans="5:7" x14ac:dyDescent="0.2">
      <c r="E113">
        <v>112</v>
      </c>
      <c r="F113" s="11">
        <v>0.17</v>
      </c>
    </row>
    <row r="114" spans="5:7" x14ac:dyDescent="0.2">
      <c r="E114">
        <v>113</v>
      </c>
      <c r="F114" s="11">
        <v>0.17</v>
      </c>
    </row>
    <row r="115" spans="5:7" x14ac:dyDescent="0.2">
      <c r="E115">
        <v>114</v>
      </c>
      <c r="F115" s="11">
        <v>0.17</v>
      </c>
    </row>
    <row r="116" spans="5:7" x14ac:dyDescent="0.2">
      <c r="E116">
        <v>115</v>
      </c>
      <c r="F116" s="11">
        <v>0.17</v>
      </c>
    </row>
    <row r="117" spans="5:7" x14ac:dyDescent="0.2">
      <c r="E117">
        <v>116</v>
      </c>
      <c r="F117" s="11">
        <v>0.17</v>
      </c>
    </row>
    <row r="118" spans="5:7" x14ac:dyDescent="0.2">
      <c r="E118">
        <v>117</v>
      </c>
      <c r="F118" s="11">
        <v>0.17</v>
      </c>
    </row>
    <row r="119" spans="5:7" x14ac:dyDescent="0.2">
      <c r="E119">
        <v>118</v>
      </c>
      <c r="F119" s="11">
        <v>0.17</v>
      </c>
    </row>
    <row r="120" spans="5:7" x14ac:dyDescent="0.2">
      <c r="E120">
        <v>119</v>
      </c>
      <c r="F120" s="11">
        <v>0.17</v>
      </c>
    </row>
    <row r="121" spans="5:7" x14ac:dyDescent="0.2">
      <c r="E121">
        <v>120</v>
      </c>
      <c r="F121" s="11">
        <v>0.17</v>
      </c>
      <c r="G121" s="14"/>
    </row>
  </sheetData>
  <phoneticPr fontId="1" type="noConversion"/>
  <dataValidations count="1">
    <dataValidation type="list" allowBlank="1" showInputMessage="1" showErrorMessage="1" sqref="C7:C8" xr:uid="{00000000-0002-0000-0100-000000000000}">
      <formula1>VolList</formula1>
    </dataValidation>
  </dataValidations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B84"/>
  <sheetViews>
    <sheetView workbookViewId="0">
      <selection activeCell="M2" sqref="M2"/>
    </sheetView>
  </sheetViews>
  <sheetFormatPr defaultRowHeight="12.75" x14ac:dyDescent="0.2"/>
  <cols>
    <col min="8" max="8" width="12" bestFit="1" customWidth="1"/>
  </cols>
  <sheetData>
    <row r="1" spans="1:28" x14ac:dyDescent="0.2">
      <c r="A1" t="str">
        <f>_xll.HLV5r3.Financial.Cache.PedersenSetDiscountFactorRange(E4:E84)</f>
        <v>Discount factors were set successfully.</v>
      </c>
      <c r="H1" s="1" t="str">
        <f>_xll.HLV5r3.Financial.Cache.PedersenSetCapletRange(H5:H84)</f>
        <v>Caplet Implied Vols were set successfully.</v>
      </c>
      <c r="M1" t="str">
        <f>_xll.HLV5r3.Financial.Cache.PedersenSetSwaptionRange(O9:AB21)</f>
        <v>Swaption Implied Vols were set successfully.</v>
      </c>
    </row>
    <row r="2" spans="1:28" x14ac:dyDescent="0.2">
      <c r="H2" s="1"/>
    </row>
    <row r="3" spans="1:28" x14ac:dyDescent="0.2">
      <c r="A3" t="s">
        <v>7</v>
      </c>
      <c r="B3" t="s">
        <v>8</v>
      </c>
      <c r="C3" t="s">
        <v>9</v>
      </c>
      <c r="E3" t="s">
        <v>10</v>
      </c>
      <c r="H3" s="1" t="s">
        <v>12</v>
      </c>
    </row>
    <row r="4" spans="1:28" x14ac:dyDescent="0.2">
      <c r="B4">
        <v>0</v>
      </c>
      <c r="E4">
        <v>1</v>
      </c>
      <c r="H4" s="1" t="s">
        <v>11</v>
      </c>
    </row>
    <row r="5" spans="1:28" x14ac:dyDescent="0.2">
      <c r="A5">
        <v>91</v>
      </c>
      <c r="B5">
        <v>1</v>
      </c>
      <c r="C5">
        <v>1.3572528191574</v>
      </c>
      <c r="E5">
        <f>1/(1+C5/100)</f>
        <v>0.98660921856693351</v>
      </c>
      <c r="H5">
        <v>11.906000000000001</v>
      </c>
      <c r="M5" t="s">
        <v>13</v>
      </c>
      <c r="N5" s="2"/>
      <c r="O5" s="3" t="s">
        <v>14</v>
      </c>
      <c r="P5" s="3" t="s">
        <v>15</v>
      </c>
      <c r="Q5" s="3" t="s">
        <v>16</v>
      </c>
      <c r="R5" s="3" t="s">
        <v>17</v>
      </c>
      <c r="S5" s="3" t="s">
        <v>18</v>
      </c>
      <c r="T5" s="3" t="s">
        <v>19</v>
      </c>
      <c r="U5" s="3" t="s">
        <v>20</v>
      </c>
      <c r="V5" s="3" t="s">
        <v>21</v>
      </c>
      <c r="W5" s="3" t="s">
        <v>22</v>
      </c>
      <c r="X5" s="3" t="s">
        <v>23</v>
      </c>
      <c r="Y5" s="3" t="s">
        <v>24</v>
      </c>
      <c r="Z5" s="3" t="s">
        <v>25</v>
      </c>
      <c r="AA5" s="3" t="s">
        <v>26</v>
      </c>
      <c r="AB5" s="3" t="s">
        <v>27</v>
      </c>
    </row>
    <row r="6" spans="1:28" x14ac:dyDescent="0.2">
      <c r="A6">
        <v>181</v>
      </c>
      <c r="B6">
        <v>2</v>
      </c>
      <c r="C6">
        <v>2.7002329614468001</v>
      </c>
      <c r="E6">
        <f t="shared" ref="E6:E69" si="0">1/(1+C6/100)</f>
        <v>0.97370762574160419</v>
      </c>
      <c r="H6">
        <v>11.967000000000001</v>
      </c>
      <c r="N6" s="2"/>
      <c r="O6" s="3">
        <v>0.99180000000000001</v>
      </c>
      <c r="P6" s="3">
        <v>1.9282999999999999</v>
      </c>
      <c r="Q6" s="3">
        <v>2.8235000000000001</v>
      </c>
      <c r="R6" s="3">
        <v>3.6743999999999999</v>
      </c>
      <c r="S6" s="3">
        <v>4.4824999999999999</v>
      </c>
      <c r="T6" s="3">
        <v>5.2553999999999998</v>
      </c>
      <c r="U6" s="3">
        <v>5.9808000000000003</v>
      </c>
      <c r="V6" s="3">
        <v>6.6688000000000001</v>
      </c>
      <c r="W6" s="3">
        <v>7.3226000000000004</v>
      </c>
      <c r="X6" s="3">
        <v>7.9428999999999998</v>
      </c>
      <c r="Y6" s="3">
        <v>10.567600000000001</v>
      </c>
      <c r="Z6" s="3">
        <v>12.571</v>
      </c>
      <c r="AA6" s="3">
        <v>14.120100000000001</v>
      </c>
      <c r="AB6" s="3">
        <v>15.3293</v>
      </c>
    </row>
    <row r="7" spans="1:28" x14ac:dyDescent="0.2">
      <c r="A7">
        <v>273</v>
      </c>
      <c r="B7">
        <v>3</v>
      </c>
      <c r="C7">
        <v>4.0518937667200001</v>
      </c>
      <c r="E7">
        <f t="shared" si="0"/>
        <v>0.96105891377811759</v>
      </c>
      <c r="H7">
        <v>12.298</v>
      </c>
      <c r="M7" t="s">
        <v>28</v>
      </c>
      <c r="N7" s="2">
        <v>39022</v>
      </c>
      <c r="O7" s="3">
        <v>11.65</v>
      </c>
      <c r="P7" s="3">
        <v>14.95</v>
      </c>
      <c r="Q7" s="3">
        <v>15.1</v>
      </c>
      <c r="R7" s="3">
        <v>15.1</v>
      </c>
      <c r="S7" s="3">
        <v>15</v>
      </c>
      <c r="T7" s="3">
        <v>14.65</v>
      </c>
      <c r="U7" s="3">
        <v>14.35</v>
      </c>
      <c r="V7" s="3">
        <v>14</v>
      </c>
      <c r="W7" s="3">
        <v>13.7</v>
      </c>
      <c r="X7" s="3">
        <v>13.45</v>
      </c>
      <c r="Y7" s="3">
        <v>12.9</v>
      </c>
      <c r="Z7" s="3">
        <v>12.6</v>
      </c>
      <c r="AA7" s="3">
        <v>12.45</v>
      </c>
      <c r="AB7" s="3">
        <v>12.35</v>
      </c>
    </row>
    <row r="8" spans="1:28" x14ac:dyDescent="0.2">
      <c r="A8">
        <v>364</v>
      </c>
      <c r="B8">
        <v>4</v>
      </c>
      <c r="C8">
        <v>5.3615824809644002</v>
      </c>
      <c r="E8">
        <f t="shared" si="0"/>
        <v>0.94911254790679433</v>
      </c>
      <c r="H8">
        <v>12.287000000000001</v>
      </c>
      <c r="M8" t="s">
        <v>29</v>
      </c>
      <c r="N8" s="2">
        <v>39051</v>
      </c>
      <c r="O8" s="3">
        <v>12.3</v>
      </c>
      <c r="P8" s="3">
        <v>15</v>
      </c>
      <c r="Q8" s="3">
        <v>15.3</v>
      </c>
      <c r="R8" s="3">
        <v>15.15</v>
      </c>
      <c r="S8" s="3">
        <v>15.1</v>
      </c>
      <c r="T8" s="3">
        <v>14.95</v>
      </c>
      <c r="U8" s="3">
        <v>14.5</v>
      </c>
      <c r="V8" s="3">
        <v>14.35</v>
      </c>
      <c r="W8" s="3">
        <v>14.15</v>
      </c>
      <c r="X8" s="3">
        <v>13.6</v>
      </c>
      <c r="Y8" s="3">
        <v>13.1</v>
      </c>
      <c r="Z8" s="3">
        <v>13.25</v>
      </c>
      <c r="AA8" s="3">
        <v>13.15</v>
      </c>
      <c r="AB8" s="3">
        <v>12.55</v>
      </c>
    </row>
    <row r="9" spans="1:28" x14ac:dyDescent="0.2">
      <c r="A9">
        <v>458</v>
      </c>
      <c r="B9">
        <v>5</v>
      </c>
      <c r="C9">
        <v>6.6955139181365002</v>
      </c>
      <c r="E9">
        <f t="shared" si="0"/>
        <v>0.9372465282535335</v>
      </c>
      <c r="H9">
        <v>14.967000000000001</v>
      </c>
      <c r="M9" t="s">
        <v>30</v>
      </c>
      <c r="N9" s="2">
        <v>39080</v>
      </c>
      <c r="O9" s="3">
        <v>12.9</v>
      </c>
      <c r="P9" s="3">
        <v>15.4</v>
      </c>
      <c r="Q9" s="3">
        <v>15.5</v>
      </c>
      <c r="R9" s="3">
        <v>15.45</v>
      </c>
      <c r="S9" s="3">
        <v>15.35</v>
      </c>
      <c r="T9" s="3">
        <v>14.95</v>
      </c>
      <c r="U9" s="3">
        <v>14.65</v>
      </c>
      <c r="V9" s="3">
        <v>14.3</v>
      </c>
      <c r="W9" s="3">
        <v>14</v>
      </c>
      <c r="X9" s="3">
        <v>13.85</v>
      </c>
      <c r="Y9" s="3">
        <v>13.4</v>
      </c>
      <c r="Z9" s="3">
        <v>13.2</v>
      </c>
      <c r="AA9" s="3">
        <v>13.05</v>
      </c>
      <c r="AB9" s="3">
        <v>12.75</v>
      </c>
    </row>
    <row r="10" spans="1:28" x14ac:dyDescent="0.2">
      <c r="A10">
        <v>549</v>
      </c>
      <c r="B10">
        <v>6</v>
      </c>
      <c r="C10">
        <v>7.9811058153851002</v>
      </c>
      <c r="E10">
        <f t="shared" si="0"/>
        <v>0.92608794144940176</v>
      </c>
      <c r="H10">
        <v>17.234999999999999</v>
      </c>
      <c r="M10" t="s">
        <v>31</v>
      </c>
      <c r="N10" s="2">
        <v>39171</v>
      </c>
      <c r="O10" s="3">
        <v>14.65</v>
      </c>
      <c r="P10" s="3">
        <v>16.3</v>
      </c>
      <c r="Q10" s="3">
        <v>16.3</v>
      </c>
      <c r="R10" s="3">
        <v>16.149999999999999</v>
      </c>
      <c r="S10" s="3">
        <v>15.95</v>
      </c>
      <c r="T10" s="3">
        <v>15.6</v>
      </c>
      <c r="U10" s="3">
        <v>15.3</v>
      </c>
      <c r="V10" s="3">
        <v>14.95</v>
      </c>
      <c r="W10" s="3">
        <v>14.6</v>
      </c>
      <c r="X10" s="3">
        <v>14.4</v>
      </c>
      <c r="Y10" s="3">
        <v>13.9</v>
      </c>
      <c r="Z10" s="3">
        <v>13.6</v>
      </c>
      <c r="AA10" s="3">
        <v>13.4</v>
      </c>
      <c r="AB10" s="3">
        <v>13.3</v>
      </c>
    </row>
    <row r="11" spans="1:28" x14ac:dyDescent="0.2">
      <c r="A11">
        <v>640</v>
      </c>
      <c r="B11">
        <v>7</v>
      </c>
      <c r="C11">
        <v>9.2811345287052998</v>
      </c>
      <c r="E11">
        <f t="shared" si="0"/>
        <v>0.91507102695509279</v>
      </c>
      <c r="H11">
        <v>19.190000000000001</v>
      </c>
      <c r="M11" t="s">
        <v>32</v>
      </c>
      <c r="N11" s="2">
        <v>39356</v>
      </c>
      <c r="O11" s="3">
        <v>17.55</v>
      </c>
      <c r="P11" s="3">
        <v>17.7</v>
      </c>
      <c r="Q11" s="3">
        <v>17.399999999999999</v>
      </c>
      <c r="R11" s="3">
        <v>17.100000000000001</v>
      </c>
      <c r="S11" s="3">
        <v>16.8</v>
      </c>
      <c r="T11" s="3">
        <v>16.5</v>
      </c>
      <c r="U11" s="3">
        <v>16.149999999999999</v>
      </c>
      <c r="V11" s="3">
        <v>15.9</v>
      </c>
      <c r="W11" s="3">
        <v>15.6</v>
      </c>
      <c r="X11" s="3">
        <v>15.4</v>
      </c>
      <c r="Y11" s="3">
        <v>14.8</v>
      </c>
      <c r="Z11" s="3">
        <v>14.4</v>
      </c>
      <c r="AA11" s="3">
        <v>14.25</v>
      </c>
      <c r="AB11" s="3">
        <v>14.1</v>
      </c>
    </row>
    <row r="12" spans="1:28" x14ac:dyDescent="0.2">
      <c r="A12">
        <v>731</v>
      </c>
      <c r="B12">
        <v>8</v>
      </c>
      <c r="C12">
        <v>10.5916445897477</v>
      </c>
      <c r="E12">
        <f t="shared" si="0"/>
        <v>0.90422744295883639</v>
      </c>
      <c r="H12">
        <v>19.664000000000001</v>
      </c>
      <c r="M12" t="s">
        <v>33</v>
      </c>
      <c r="N12" s="2">
        <v>39722</v>
      </c>
      <c r="O12" s="3">
        <v>18.75</v>
      </c>
      <c r="P12" s="3">
        <v>18.55</v>
      </c>
      <c r="Q12" s="3">
        <v>18.2</v>
      </c>
      <c r="R12" s="3">
        <v>17.899999999999999</v>
      </c>
      <c r="S12" s="3">
        <v>17.5</v>
      </c>
      <c r="T12" s="3">
        <v>17.3</v>
      </c>
      <c r="U12" s="3">
        <v>17</v>
      </c>
      <c r="V12" s="3">
        <v>16.7</v>
      </c>
      <c r="W12" s="3">
        <v>16.45</v>
      </c>
      <c r="X12" s="3">
        <v>16.25</v>
      </c>
      <c r="Y12" s="3">
        <v>15.55</v>
      </c>
      <c r="Z12" s="3">
        <v>15.1</v>
      </c>
      <c r="AA12" s="3">
        <v>14.75</v>
      </c>
      <c r="AB12" s="3">
        <v>14.7</v>
      </c>
    </row>
    <row r="13" spans="1:28" x14ac:dyDescent="0.2">
      <c r="A13">
        <v>822</v>
      </c>
      <c r="B13">
        <v>9</v>
      </c>
      <c r="C13">
        <v>11.9278531146958</v>
      </c>
      <c r="E13">
        <f t="shared" si="0"/>
        <v>0.89343266414238309</v>
      </c>
      <c r="H13">
        <v>19.210999999999999</v>
      </c>
      <c r="M13" t="s">
        <v>34</v>
      </c>
      <c r="N13" s="2">
        <v>40087</v>
      </c>
      <c r="O13" s="3">
        <v>18.95</v>
      </c>
      <c r="P13" s="3">
        <v>18.600000000000001</v>
      </c>
      <c r="Q13" s="3">
        <v>18.399999999999999</v>
      </c>
      <c r="R13" s="3">
        <v>18.05</v>
      </c>
      <c r="S13" s="3">
        <v>17.8</v>
      </c>
      <c r="T13" s="3">
        <v>17.5</v>
      </c>
      <c r="U13" s="3">
        <v>17.3</v>
      </c>
      <c r="V13" s="3">
        <v>17</v>
      </c>
      <c r="W13" s="3">
        <v>16.8</v>
      </c>
      <c r="X13" s="3">
        <v>16.600000000000001</v>
      </c>
      <c r="Y13" s="3">
        <v>15.8</v>
      </c>
      <c r="Z13" s="3">
        <v>15.3</v>
      </c>
      <c r="AA13" s="3">
        <v>15.05</v>
      </c>
      <c r="AB13" s="3">
        <v>14.9</v>
      </c>
    </row>
    <row r="14" spans="1:28" x14ac:dyDescent="0.2">
      <c r="A14">
        <v>913</v>
      </c>
      <c r="B14">
        <v>10</v>
      </c>
      <c r="C14">
        <v>13.2888027833921</v>
      </c>
      <c r="E14">
        <f t="shared" si="0"/>
        <v>0.88269976858348254</v>
      </c>
      <c r="H14">
        <v>18.946999999999999</v>
      </c>
      <c r="M14" t="s">
        <v>35</v>
      </c>
      <c r="N14" s="2">
        <v>40451</v>
      </c>
      <c r="O14" s="3">
        <v>18.8</v>
      </c>
      <c r="P14" s="3">
        <v>18.600000000000001</v>
      </c>
      <c r="Q14" s="3">
        <v>18.3</v>
      </c>
      <c r="R14" s="3">
        <v>18.05</v>
      </c>
      <c r="S14" s="3">
        <v>17.75</v>
      </c>
      <c r="T14" s="3">
        <v>17.45</v>
      </c>
      <c r="U14" s="3">
        <v>17.25</v>
      </c>
      <c r="V14" s="3">
        <v>17.05</v>
      </c>
      <c r="W14" s="3">
        <v>16.8</v>
      </c>
      <c r="X14" s="3">
        <v>16.600000000000001</v>
      </c>
      <c r="Y14" s="3">
        <v>15.75</v>
      </c>
      <c r="Z14" s="3">
        <v>15.2</v>
      </c>
      <c r="AA14" s="3">
        <v>15</v>
      </c>
      <c r="AB14" s="3">
        <v>14.8</v>
      </c>
    </row>
    <row r="15" spans="1:28" x14ac:dyDescent="0.2">
      <c r="A15">
        <v>1004</v>
      </c>
      <c r="B15">
        <v>11</v>
      </c>
      <c r="C15">
        <v>14.669700755226801</v>
      </c>
      <c r="E15">
        <f t="shared" si="0"/>
        <v>0.87206994821988204</v>
      </c>
      <c r="H15">
        <v>18.687999999999999</v>
      </c>
      <c r="M15" t="s">
        <v>36</v>
      </c>
      <c r="N15" s="2">
        <v>40815</v>
      </c>
      <c r="O15" s="3">
        <v>18.3</v>
      </c>
      <c r="P15" s="3">
        <v>18.100000000000001</v>
      </c>
      <c r="Q15" s="3">
        <v>17.899999999999999</v>
      </c>
      <c r="R15" s="3">
        <v>17.600000000000001</v>
      </c>
      <c r="S15" s="3">
        <v>17.350000000000001</v>
      </c>
      <c r="T15" s="3">
        <v>17.05</v>
      </c>
      <c r="U15" s="3">
        <v>16.850000000000001</v>
      </c>
      <c r="V15" s="3">
        <v>16.600000000000001</v>
      </c>
      <c r="W15" s="3">
        <v>16.399999999999999</v>
      </c>
      <c r="X15" s="3">
        <v>16.2</v>
      </c>
      <c r="Y15" s="3">
        <v>15.25</v>
      </c>
      <c r="Z15" s="3">
        <v>14.8</v>
      </c>
      <c r="AA15" s="3">
        <v>14.55</v>
      </c>
      <c r="AB15" s="3">
        <v>14.35</v>
      </c>
    </row>
    <row r="16" spans="1:28" x14ac:dyDescent="0.2">
      <c r="A16">
        <v>1096</v>
      </c>
      <c r="B16">
        <v>12</v>
      </c>
      <c r="C16">
        <v>16.090086710970802</v>
      </c>
      <c r="E16">
        <f t="shared" si="0"/>
        <v>0.86139999403196021</v>
      </c>
      <c r="H16">
        <v>19.04</v>
      </c>
      <c r="M16" t="s">
        <v>37</v>
      </c>
      <c r="N16" s="2">
        <v>41548</v>
      </c>
      <c r="O16" s="3">
        <v>17.95</v>
      </c>
      <c r="P16" s="3">
        <v>17.600000000000001</v>
      </c>
      <c r="Q16" s="3">
        <v>17.3</v>
      </c>
      <c r="R16" s="3">
        <v>17.100000000000001</v>
      </c>
      <c r="S16" s="3">
        <v>16.850000000000001</v>
      </c>
      <c r="T16" s="3">
        <v>16.600000000000001</v>
      </c>
      <c r="U16" s="3">
        <v>16.350000000000001</v>
      </c>
      <c r="V16" s="3">
        <v>16.100000000000001</v>
      </c>
      <c r="W16" s="3">
        <v>15.9</v>
      </c>
      <c r="X16" s="3">
        <v>15.7</v>
      </c>
      <c r="Y16" s="3">
        <v>14.7</v>
      </c>
      <c r="Z16" s="3">
        <v>14.2</v>
      </c>
      <c r="AA16" s="3">
        <v>13.95</v>
      </c>
      <c r="AB16" s="3">
        <v>13.75</v>
      </c>
    </row>
    <row r="17" spans="1:28" x14ac:dyDescent="0.2">
      <c r="A17">
        <v>1187</v>
      </c>
      <c r="B17">
        <v>13</v>
      </c>
      <c r="C17">
        <v>17.517801167174198</v>
      </c>
      <c r="E17">
        <f t="shared" si="0"/>
        <v>0.85093491374762564</v>
      </c>
      <c r="H17">
        <v>19.305</v>
      </c>
      <c r="M17" t="s">
        <v>38</v>
      </c>
      <c r="N17" s="2">
        <v>42642</v>
      </c>
      <c r="O17" s="3">
        <v>16.7</v>
      </c>
      <c r="P17" s="3">
        <v>16.399999999999999</v>
      </c>
      <c r="Q17" s="3">
        <v>16.149999999999999</v>
      </c>
      <c r="R17" s="3">
        <v>15.85</v>
      </c>
      <c r="S17" s="3">
        <v>15.7</v>
      </c>
      <c r="T17" s="3">
        <v>15.45</v>
      </c>
      <c r="U17" s="3">
        <v>15.25</v>
      </c>
      <c r="V17" s="3">
        <v>15.1</v>
      </c>
      <c r="W17" s="3">
        <v>14.9</v>
      </c>
      <c r="X17" s="3">
        <v>14.7</v>
      </c>
      <c r="Y17" s="3">
        <v>13.55</v>
      </c>
      <c r="Z17" s="3">
        <v>13.05</v>
      </c>
      <c r="AA17" s="3">
        <v>12.85</v>
      </c>
      <c r="AB17" s="3">
        <v>12.65</v>
      </c>
    </row>
    <row r="18" spans="1:28" x14ac:dyDescent="0.2">
      <c r="A18">
        <v>1277</v>
      </c>
      <c r="B18">
        <v>14</v>
      </c>
      <c r="C18">
        <v>18.955358810796898</v>
      </c>
      <c r="E18">
        <f t="shared" si="0"/>
        <v>0.84065149312906418</v>
      </c>
      <c r="H18">
        <v>18.922000000000001</v>
      </c>
      <c r="M18" t="s">
        <v>39</v>
      </c>
      <c r="N18" s="2">
        <v>44469</v>
      </c>
      <c r="O18" s="3">
        <v>15.05</v>
      </c>
      <c r="P18" s="3">
        <v>14.8</v>
      </c>
      <c r="Q18" s="3">
        <v>14.6</v>
      </c>
      <c r="R18" s="3">
        <v>14.45</v>
      </c>
      <c r="S18" s="3">
        <v>14.25</v>
      </c>
      <c r="T18" s="3">
        <v>14.1</v>
      </c>
      <c r="U18" s="3">
        <v>13.95</v>
      </c>
      <c r="V18" s="3">
        <v>13.8</v>
      </c>
      <c r="W18" s="3">
        <v>13.6</v>
      </c>
      <c r="X18" s="3">
        <v>13.5</v>
      </c>
      <c r="Y18" s="3">
        <v>12.5</v>
      </c>
      <c r="Z18" s="3">
        <v>11.95</v>
      </c>
      <c r="AA18" s="3">
        <v>11.75</v>
      </c>
      <c r="AB18" s="3">
        <v>11.6</v>
      </c>
    </row>
    <row r="19" spans="1:28" x14ac:dyDescent="0.2">
      <c r="A19">
        <v>1369</v>
      </c>
      <c r="B19">
        <v>15</v>
      </c>
      <c r="C19">
        <v>20.453110715975601</v>
      </c>
      <c r="E19">
        <f t="shared" si="0"/>
        <v>0.83019856777129364</v>
      </c>
      <c r="H19">
        <v>18.837</v>
      </c>
      <c r="M19" t="s">
        <v>40</v>
      </c>
      <c r="N19" s="2">
        <v>46296</v>
      </c>
      <c r="O19" s="3">
        <v>13.8</v>
      </c>
      <c r="P19" s="3">
        <v>13.55</v>
      </c>
      <c r="Q19" s="3">
        <v>13.4</v>
      </c>
      <c r="R19" s="3">
        <v>13.15</v>
      </c>
      <c r="S19" s="3">
        <v>13.05</v>
      </c>
      <c r="T19" s="3">
        <v>13</v>
      </c>
      <c r="U19" s="3">
        <v>12.9</v>
      </c>
      <c r="V19" s="3">
        <v>12.75</v>
      </c>
      <c r="W19" s="3">
        <v>12.6</v>
      </c>
      <c r="X19" s="3">
        <v>12.5</v>
      </c>
      <c r="Y19" s="3">
        <v>11.7</v>
      </c>
      <c r="Z19" s="3">
        <v>11.1</v>
      </c>
      <c r="AA19" s="3">
        <v>10.9</v>
      </c>
      <c r="AB19" s="3">
        <v>10.6</v>
      </c>
    </row>
    <row r="20" spans="1:28" x14ac:dyDescent="0.2">
      <c r="A20">
        <v>1461</v>
      </c>
      <c r="B20">
        <v>16</v>
      </c>
      <c r="C20">
        <v>21.979503025595701</v>
      </c>
      <c r="E20">
        <f t="shared" si="0"/>
        <v>0.81980986575274362</v>
      </c>
      <c r="H20">
        <v>18.917999999999999</v>
      </c>
      <c r="M20" t="s">
        <v>41</v>
      </c>
      <c r="N20" s="2">
        <v>11597</v>
      </c>
      <c r="O20" s="3">
        <v>12.9</v>
      </c>
      <c r="P20" s="3">
        <v>12.7</v>
      </c>
      <c r="Q20" s="3">
        <v>12.45</v>
      </c>
      <c r="R20" s="3">
        <v>12.15</v>
      </c>
      <c r="S20" s="3">
        <v>12</v>
      </c>
      <c r="T20" s="3">
        <v>11.95</v>
      </c>
      <c r="U20" s="3">
        <v>11.8</v>
      </c>
      <c r="V20" s="3">
        <v>11.75</v>
      </c>
      <c r="W20" s="3">
        <v>11.6</v>
      </c>
      <c r="X20" s="3">
        <v>11.5</v>
      </c>
      <c r="Y20" s="3">
        <v>10.8</v>
      </c>
      <c r="Z20" s="3">
        <v>10.25</v>
      </c>
      <c r="AA20" s="3">
        <v>10.050000000000001</v>
      </c>
      <c r="AB20" s="3">
        <v>9.85</v>
      </c>
    </row>
    <row r="21" spans="1:28" x14ac:dyDescent="0.2">
      <c r="A21">
        <v>1552</v>
      </c>
      <c r="B21">
        <v>17</v>
      </c>
      <c r="C21">
        <v>23.515204992497999</v>
      </c>
      <c r="E21">
        <f t="shared" si="0"/>
        <v>0.80961692130190566</v>
      </c>
      <c r="H21">
        <v>18.956</v>
      </c>
      <c r="M21" t="s">
        <v>42</v>
      </c>
      <c r="N21" s="2">
        <v>13424</v>
      </c>
      <c r="O21" s="3">
        <v>11.95</v>
      </c>
      <c r="P21" s="3">
        <v>11.85</v>
      </c>
      <c r="Q21" s="3">
        <v>11.65</v>
      </c>
      <c r="R21" s="3">
        <v>11.35</v>
      </c>
      <c r="S21" s="3">
        <v>11.35</v>
      </c>
      <c r="T21" s="3">
        <v>11.25</v>
      </c>
      <c r="U21" s="3">
        <v>11.1</v>
      </c>
      <c r="V21" s="3">
        <v>10.95</v>
      </c>
      <c r="W21" s="3">
        <v>10.85</v>
      </c>
      <c r="X21" s="3">
        <v>10.7</v>
      </c>
      <c r="Y21" s="3">
        <v>10.050000000000001</v>
      </c>
      <c r="Z21" s="3">
        <v>9.6</v>
      </c>
      <c r="AA21" s="3">
        <v>9.35</v>
      </c>
      <c r="AB21" s="3">
        <v>9.1999999999999993</v>
      </c>
    </row>
    <row r="22" spans="1:28" x14ac:dyDescent="0.2">
      <c r="A22">
        <v>1642</v>
      </c>
      <c r="B22">
        <v>18</v>
      </c>
      <c r="C22">
        <v>25.0610983321757</v>
      </c>
      <c r="E22">
        <f t="shared" si="0"/>
        <v>0.79960916171061658</v>
      </c>
      <c r="H22">
        <v>18.646999999999998</v>
      </c>
    </row>
    <row r="23" spans="1:28" x14ac:dyDescent="0.2">
      <c r="A23">
        <v>1734</v>
      </c>
      <c r="B23">
        <v>19</v>
      </c>
      <c r="C23">
        <v>26.670112751862401</v>
      </c>
      <c r="E23">
        <f t="shared" si="0"/>
        <v>0.78945220642451608</v>
      </c>
      <c r="H23">
        <v>18.588000000000001</v>
      </c>
    </row>
    <row r="24" spans="1:28" x14ac:dyDescent="0.2">
      <c r="A24">
        <v>1826</v>
      </c>
      <c r="B24">
        <v>20</v>
      </c>
      <c r="C24">
        <v>28.306618252566999</v>
      </c>
      <c r="E24">
        <f t="shared" si="0"/>
        <v>0.7793830229642057</v>
      </c>
      <c r="H24">
        <v>18.702000000000002</v>
      </c>
    </row>
    <row r="25" spans="1:28" x14ac:dyDescent="0.2">
      <c r="A25">
        <v>1917</v>
      </c>
      <c r="B25">
        <v>21</v>
      </c>
      <c r="C25">
        <v>29.948031721153399</v>
      </c>
      <c r="E25">
        <f t="shared" si="0"/>
        <v>0.76953839681529901</v>
      </c>
      <c r="H25">
        <v>18.84</v>
      </c>
    </row>
    <row r="26" spans="1:28" x14ac:dyDescent="0.2">
      <c r="A26">
        <v>2008</v>
      </c>
      <c r="B26">
        <v>22</v>
      </c>
      <c r="C26">
        <v>31.614528789640499</v>
      </c>
      <c r="E26">
        <f t="shared" si="0"/>
        <v>0.75979453727202106</v>
      </c>
      <c r="H26">
        <v>18.757999999999999</v>
      </c>
    </row>
    <row r="27" spans="1:28" x14ac:dyDescent="0.2">
      <c r="A27">
        <v>2100</v>
      </c>
      <c r="B27">
        <v>23</v>
      </c>
      <c r="C27">
        <v>33.326629070404302</v>
      </c>
      <c r="E27">
        <f t="shared" si="0"/>
        <v>0.75003771337527858</v>
      </c>
      <c r="H27">
        <v>18.789000000000001</v>
      </c>
    </row>
    <row r="28" spans="1:28" x14ac:dyDescent="0.2">
      <c r="A28">
        <v>2191</v>
      </c>
      <c r="B28">
        <v>24</v>
      </c>
      <c r="C28">
        <v>35.046876184734202</v>
      </c>
      <c r="E28">
        <f t="shared" si="0"/>
        <v>0.74048362187369177</v>
      </c>
      <c r="H28">
        <v>18.335999999999999</v>
      </c>
    </row>
    <row r="29" spans="1:28" x14ac:dyDescent="0.2">
      <c r="A29">
        <v>2285</v>
      </c>
      <c r="B29">
        <v>25</v>
      </c>
      <c r="C29">
        <v>36.851851188499701</v>
      </c>
      <c r="E29">
        <f t="shared" si="0"/>
        <v>0.73071718892760928</v>
      </c>
      <c r="H29">
        <v>18.731000000000002</v>
      </c>
    </row>
    <row r="30" spans="1:28" x14ac:dyDescent="0.2">
      <c r="A30">
        <v>2373</v>
      </c>
      <c r="B30">
        <v>26</v>
      </c>
      <c r="C30">
        <v>38.567298897356899</v>
      </c>
      <c r="E30">
        <f t="shared" si="0"/>
        <v>0.72167099161018178</v>
      </c>
      <c r="H30">
        <v>18.204999999999998</v>
      </c>
    </row>
    <row r="31" spans="1:28" x14ac:dyDescent="0.2">
      <c r="A31">
        <v>2464</v>
      </c>
      <c r="B31">
        <v>27</v>
      </c>
      <c r="C31">
        <v>40.366578709396002</v>
      </c>
      <c r="E31">
        <f t="shared" si="0"/>
        <v>0.71242029918697525</v>
      </c>
      <c r="H31">
        <v>17.771999999999998</v>
      </c>
    </row>
    <row r="32" spans="1:28" x14ac:dyDescent="0.2">
      <c r="A32">
        <v>2558</v>
      </c>
      <c r="B32">
        <v>28</v>
      </c>
      <c r="C32">
        <v>42.253034421843303</v>
      </c>
      <c r="E32">
        <f t="shared" si="0"/>
        <v>0.70297270217418129</v>
      </c>
      <c r="H32">
        <v>18.106999999999999</v>
      </c>
    </row>
    <row r="33" spans="1:8" x14ac:dyDescent="0.2">
      <c r="A33">
        <v>2649</v>
      </c>
      <c r="B33">
        <v>29</v>
      </c>
      <c r="C33">
        <v>44.106618017594201</v>
      </c>
      <c r="E33">
        <f t="shared" si="0"/>
        <v>0.6939306561742421</v>
      </c>
      <c r="H33">
        <v>18.184999999999999</v>
      </c>
    </row>
    <row r="34" spans="1:8" x14ac:dyDescent="0.2">
      <c r="A34">
        <v>2740</v>
      </c>
      <c r="B34">
        <v>30</v>
      </c>
      <c r="C34">
        <v>45.987715197710102</v>
      </c>
      <c r="E34">
        <f t="shared" si="0"/>
        <v>0.68498914353561002</v>
      </c>
      <c r="H34">
        <v>18.163</v>
      </c>
    </row>
    <row r="35" spans="1:8" x14ac:dyDescent="0.2">
      <c r="A35">
        <v>2831</v>
      </c>
      <c r="B35">
        <v>31</v>
      </c>
      <c r="C35">
        <v>47.897068190367499</v>
      </c>
      <c r="E35">
        <f t="shared" si="0"/>
        <v>0.67614592515981309</v>
      </c>
      <c r="H35">
        <v>18.125</v>
      </c>
    </row>
    <row r="36" spans="1:8" x14ac:dyDescent="0.2">
      <c r="A36">
        <v>2922</v>
      </c>
      <c r="B36">
        <v>32</v>
      </c>
      <c r="C36">
        <v>49.835102088046199</v>
      </c>
      <c r="E36">
        <f t="shared" si="0"/>
        <v>0.66740035283079346</v>
      </c>
      <c r="H36">
        <v>17.984000000000002</v>
      </c>
    </row>
    <row r="37" spans="1:8" x14ac:dyDescent="0.2">
      <c r="A37">
        <v>3013</v>
      </c>
      <c r="B37">
        <v>33</v>
      </c>
      <c r="C37">
        <v>51.802427002526798</v>
      </c>
      <c r="E37">
        <f t="shared" si="0"/>
        <v>0.65875099611111931</v>
      </c>
      <c r="H37">
        <v>17.829000000000001</v>
      </c>
    </row>
    <row r="38" spans="1:8" x14ac:dyDescent="0.2">
      <c r="A38">
        <v>3104</v>
      </c>
      <c r="B38">
        <v>34</v>
      </c>
      <c r="C38">
        <v>53.799416714192603</v>
      </c>
      <c r="E38">
        <f t="shared" si="0"/>
        <v>0.65019752438873857</v>
      </c>
      <c r="H38">
        <v>17.664000000000001</v>
      </c>
    </row>
    <row r="39" spans="1:8" x14ac:dyDescent="0.2">
      <c r="A39">
        <v>3195</v>
      </c>
      <c r="B39">
        <v>35</v>
      </c>
      <c r="C39">
        <v>55.826539424538502</v>
      </c>
      <c r="E39">
        <f t="shared" si="0"/>
        <v>0.64173920802769668</v>
      </c>
      <c r="H39">
        <v>17.45</v>
      </c>
    </row>
    <row r="40" spans="1:8" x14ac:dyDescent="0.2">
      <c r="A40">
        <v>3287</v>
      </c>
      <c r="B40">
        <v>36</v>
      </c>
      <c r="C40">
        <v>57.906924624227997</v>
      </c>
      <c r="E40">
        <f t="shared" si="0"/>
        <v>0.63328445055826754</v>
      </c>
      <c r="H40">
        <v>17.446999999999999</v>
      </c>
    </row>
    <row r="41" spans="1:8" x14ac:dyDescent="0.2">
      <c r="A41">
        <v>3378</v>
      </c>
      <c r="B41">
        <v>37</v>
      </c>
      <c r="C41">
        <v>59.995638938128401</v>
      </c>
      <c r="E41">
        <f t="shared" si="0"/>
        <v>0.62501703586227619</v>
      </c>
      <c r="H41">
        <v>17.353999999999999</v>
      </c>
    </row>
    <row r="42" spans="1:8" x14ac:dyDescent="0.2">
      <c r="A42">
        <v>3469</v>
      </c>
      <c r="B42">
        <v>38</v>
      </c>
      <c r="C42">
        <v>62.115577043844503</v>
      </c>
      <c r="E42">
        <f t="shared" si="0"/>
        <v>0.61684387042557165</v>
      </c>
      <c r="H42">
        <v>17.143999999999998</v>
      </c>
    </row>
    <row r="43" spans="1:8" x14ac:dyDescent="0.2">
      <c r="A43">
        <v>3561</v>
      </c>
      <c r="B43">
        <v>39</v>
      </c>
      <c r="C43">
        <v>64.290854348143696</v>
      </c>
      <c r="E43">
        <f t="shared" si="0"/>
        <v>0.60867660830403303</v>
      </c>
      <c r="H43">
        <v>17.013999999999999</v>
      </c>
    </row>
    <row r="44" spans="1:8" x14ac:dyDescent="0.2">
      <c r="A44">
        <v>3653</v>
      </c>
      <c r="B44">
        <v>40</v>
      </c>
      <c r="C44">
        <v>66.499085663266101</v>
      </c>
      <c r="E44">
        <f t="shared" si="0"/>
        <v>0.60060389882406739</v>
      </c>
      <c r="H44">
        <v>17.048999999999999</v>
      </c>
    </row>
    <row r="45" spans="1:8" x14ac:dyDescent="0.2">
      <c r="A45">
        <v>3744</v>
      </c>
      <c r="B45">
        <v>41</v>
      </c>
      <c r="C45">
        <v>68.716084604098995</v>
      </c>
      <c r="E45">
        <f t="shared" si="0"/>
        <v>0.59271171586665949</v>
      </c>
      <c r="H45">
        <v>17.071000000000002</v>
      </c>
    </row>
    <row r="46" spans="1:8" x14ac:dyDescent="0.2">
      <c r="A46">
        <v>3834</v>
      </c>
      <c r="B46">
        <v>42</v>
      </c>
      <c r="C46">
        <v>70.942485021591295</v>
      </c>
      <c r="E46">
        <f t="shared" si="0"/>
        <v>0.5849920807420651</v>
      </c>
      <c r="H46">
        <v>16.73</v>
      </c>
    </row>
    <row r="47" spans="1:8" x14ac:dyDescent="0.2">
      <c r="A47">
        <v>3926</v>
      </c>
      <c r="B47">
        <v>43</v>
      </c>
      <c r="C47">
        <v>73.255770390986598</v>
      </c>
      <c r="E47">
        <f t="shared" si="0"/>
        <v>0.577181353177039</v>
      </c>
      <c r="H47">
        <v>16.657</v>
      </c>
    </row>
    <row r="48" spans="1:8" x14ac:dyDescent="0.2">
      <c r="A48">
        <v>4018</v>
      </c>
      <c r="B48">
        <v>44</v>
      </c>
      <c r="C48">
        <v>75.606322676625894</v>
      </c>
      <c r="E48">
        <f t="shared" si="0"/>
        <v>0.56945557811233938</v>
      </c>
      <c r="H48">
        <v>16.678999999999998</v>
      </c>
    </row>
    <row r="49" spans="1:8" x14ac:dyDescent="0.2">
      <c r="A49">
        <v>4109</v>
      </c>
      <c r="B49">
        <v>45</v>
      </c>
      <c r="C49">
        <v>77.967779125007397</v>
      </c>
      <c r="E49">
        <f t="shared" si="0"/>
        <v>0.5618994656878783</v>
      </c>
      <c r="H49">
        <v>16.687000000000001</v>
      </c>
    </row>
    <row r="50" spans="1:8" x14ac:dyDescent="0.2">
      <c r="A50">
        <v>4199</v>
      </c>
      <c r="B50">
        <v>46</v>
      </c>
      <c r="C50">
        <v>80.3395547724094</v>
      </c>
      <c r="E50">
        <f t="shared" si="0"/>
        <v>0.55450952025583711</v>
      </c>
      <c r="H50">
        <v>16.312000000000001</v>
      </c>
    </row>
    <row r="51" spans="1:8" x14ac:dyDescent="0.2">
      <c r="A51">
        <v>4291</v>
      </c>
      <c r="B51">
        <v>47</v>
      </c>
      <c r="C51">
        <v>82.801667748516493</v>
      </c>
      <c r="E51">
        <f t="shared" si="0"/>
        <v>0.54704096101339605</v>
      </c>
      <c r="H51">
        <v>16.309000000000001</v>
      </c>
    </row>
    <row r="52" spans="1:8" x14ac:dyDescent="0.2">
      <c r="A52">
        <v>4382</v>
      </c>
      <c r="B52">
        <v>48</v>
      </c>
      <c r="C52">
        <v>85.274761624710706</v>
      </c>
      <c r="E52">
        <f t="shared" si="0"/>
        <v>0.53973892138940238</v>
      </c>
      <c r="H52">
        <v>15.872</v>
      </c>
    </row>
    <row r="53" spans="1:8" x14ac:dyDescent="0.2">
      <c r="A53">
        <v>4476</v>
      </c>
      <c r="B53">
        <v>49</v>
      </c>
      <c r="C53">
        <v>87.868962943994006</v>
      </c>
      <c r="E53">
        <f t="shared" si="0"/>
        <v>0.53228589987911512</v>
      </c>
      <c r="H53">
        <v>16.373999999999999</v>
      </c>
    </row>
    <row r="54" spans="1:8" x14ac:dyDescent="0.2">
      <c r="A54">
        <v>4564</v>
      </c>
      <c r="B54">
        <v>50</v>
      </c>
      <c r="C54">
        <v>90.334329844479498</v>
      </c>
      <c r="E54">
        <f t="shared" si="0"/>
        <v>0.52539129479011548</v>
      </c>
      <c r="H54">
        <v>15.93</v>
      </c>
    </row>
    <row r="55" spans="1:8" x14ac:dyDescent="0.2">
      <c r="A55">
        <v>4655</v>
      </c>
      <c r="B55">
        <v>51</v>
      </c>
      <c r="C55">
        <v>92.921297137818001</v>
      </c>
      <c r="E55">
        <f t="shared" si="0"/>
        <v>0.5183460897454083</v>
      </c>
      <c r="H55">
        <v>15.564</v>
      </c>
    </row>
    <row r="56" spans="1:8" x14ac:dyDescent="0.2">
      <c r="A56">
        <v>4749</v>
      </c>
      <c r="B56">
        <v>52</v>
      </c>
      <c r="C56">
        <v>95.633798358462101</v>
      </c>
      <c r="E56">
        <f t="shared" si="0"/>
        <v>0.51115911892059074</v>
      </c>
      <c r="H56">
        <v>15.711</v>
      </c>
    </row>
    <row r="57" spans="1:8" x14ac:dyDescent="0.2">
      <c r="A57">
        <v>4840</v>
      </c>
      <c r="B57">
        <v>53</v>
      </c>
      <c r="C57">
        <v>98.298664542939406</v>
      </c>
      <c r="E57">
        <f t="shared" si="0"/>
        <v>0.50428983084929502</v>
      </c>
      <c r="H57">
        <v>15.583</v>
      </c>
    </row>
    <row r="58" spans="1:8" x14ac:dyDescent="0.2">
      <c r="A58">
        <v>4931</v>
      </c>
      <c r="B58">
        <v>54</v>
      </c>
      <c r="C58">
        <v>101.001925665865</v>
      </c>
      <c r="E58">
        <f>1/(1+C58/100)</f>
        <v>0.4975076714749227</v>
      </c>
      <c r="H58">
        <v>15.489000000000001</v>
      </c>
    </row>
    <row r="59" spans="1:8" x14ac:dyDescent="0.2">
      <c r="A59">
        <v>5022</v>
      </c>
      <c r="B59">
        <v>55</v>
      </c>
      <c r="C59">
        <v>103.743560938426</v>
      </c>
      <c r="E59">
        <f t="shared" si="0"/>
        <v>0.49081305705764772</v>
      </c>
      <c r="H59">
        <v>15.340999999999999</v>
      </c>
    </row>
    <row r="60" spans="1:8" x14ac:dyDescent="0.2">
      <c r="A60">
        <v>5114</v>
      </c>
      <c r="B60">
        <v>56</v>
      </c>
      <c r="C60">
        <v>106.55418312370399</v>
      </c>
      <c r="E60">
        <f t="shared" si="0"/>
        <v>0.48413447013131</v>
      </c>
      <c r="H60">
        <v>15.327999999999999</v>
      </c>
    </row>
    <row r="61" spans="1:8" x14ac:dyDescent="0.2">
      <c r="A61">
        <v>5205</v>
      </c>
      <c r="B61">
        <v>57</v>
      </c>
      <c r="C61">
        <v>109.372153648875</v>
      </c>
      <c r="E61">
        <f t="shared" si="0"/>
        <v>0.47761843328842946</v>
      </c>
      <c r="H61">
        <v>15.305999999999999</v>
      </c>
    </row>
    <row r="62" spans="1:8" x14ac:dyDescent="0.2">
      <c r="A62">
        <v>5295</v>
      </c>
      <c r="B62">
        <v>58</v>
      </c>
      <c r="C62">
        <v>112.19615030046801</v>
      </c>
      <c r="E62">
        <f t="shared" si="0"/>
        <v>0.47126208396524066</v>
      </c>
      <c r="H62">
        <v>15.132</v>
      </c>
    </row>
    <row r="63" spans="1:8" x14ac:dyDescent="0.2">
      <c r="A63">
        <v>5387</v>
      </c>
      <c r="B63">
        <v>59</v>
      </c>
      <c r="C63">
        <v>115.120528025599</v>
      </c>
      <c r="E63">
        <f t="shared" si="0"/>
        <v>0.46485568308060382</v>
      </c>
      <c r="H63">
        <v>15.106</v>
      </c>
    </row>
    <row r="64" spans="1:8" x14ac:dyDescent="0.2">
      <c r="A64">
        <v>5479</v>
      </c>
      <c r="B64">
        <v>60</v>
      </c>
      <c r="C64">
        <v>118.082610530785</v>
      </c>
      <c r="E64">
        <f t="shared" si="0"/>
        <v>0.45854183309991048</v>
      </c>
      <c r="H64">
        <v>15.13</v>
      </c>
    </row>
    <row r="65" spans="1:8" x14ac:dyDescent="0.2">
      <c r="A65">
        <v>5570</v>
      </c>
      <c r="B65">
        <v>61</v>
      </c>
      <c r="C65">
        <v>121.047889879332</v>
      </c>
      <c r="E65">
        <f t="shared" si="0"/>
        <v>0.45239065640748294</v>
      </c>
      <c r="H65">
        <v>15.118</v>
      </c>
    </row>
    <row r="66" spans="1:8" x14ac:dyDescent="0.2">
      <c r="A66">
        <v>5660</v>
      </c>
      <c r="B66">
        <v>62</v>
      </c>
      <c r="C66">
        <v>124.017566440127</v>
      </c>
      <c r="E66">
        <f t="shared" si="0"/>
        <v>0.4463935645275699</v>
      </c>
      <c r="H66">
        <v>14.823</v>
      </c>
    </row>
    <row r="67" spans="1:8" x14ac:dyDescent="0.2">
      <c r="A67">
        <v>5752</v>
      </c>
      <c r="B67">
        <v>63</v>
      </c>
      <c r="C67">
        <v>127.09450541639799</v>
      </c>
      <c r="E67">
        <f t="shared" si="0"/>
        <v>0.44034530829639001</v>
      </c>
      <c r="H67">
        <v>14.69</v>
      </c>
    </row>
    <row r="68" spans="1:8" x14ac:dyDescent="0.2">
      <c r="A68">
        <v>5844</v>
      </c>
      <c r="B68">
        <v>64</v>
      </c>
      <c r="C68">
        <v>130.21210471013401</v>
      </c>
      <c r="E68">
        <f t="shared" si="0"/>
        <v>0.43438202402915593</v>
      </c>
      <c r="H68">
        <v>14.67</v>
      </c>
    </row>
    <row r="69" spans="1:8" x14ac:dyDescent="0.2">
      <c r="A69">
        <v>5935</v>
      </c>
      <c r="B69">
        <v>65</v>
      </c>
      <c r="C69">
        <v>133.335283664651</v>
      </c>
      <c r="E69">
        <f t="shared" si="0"/>
        <v>0.42856784636017503</v>
      </c>
      <c r="H69">
        <v>14.635999999999999</v>
      </c>
    </row>
    <row r="70" spans="1:8" x14ac:dyDescent="0.2">
      <c r="A70">
        <v>6025</v>
      </c>
      <c r="B70">
        <v>66</v>
      </c>
      <c r="C70">
        <v>136.463482780802</v>
      </c>
      <c r="E70">
        <f t="shared" ref="E70:E84" si="1">1/(1+C70/100)</f>
        <v>0.42289827936222379</v>
      </c>
      <c r="H70">
        <v>14.372999999999999</v>
      </c>
    </row>
    <row r="71" spans="1:8" x14ac:dyDescent="0.2">
      <c r="A71">
        <v>6117</v>
      </c>
      <c r="B71">
        <v>67</v>
      </c>
      <c r="C71">
        <v>139.70223420174599</v>
      </c>
      <c r="E71">
        <f t="shared" si="1"/>
        <v>0.41718426335498709</v>
      </c>
      <c r="H71">
        <v>14.281000000000001</v>
      </c>
    </row>
    <row r="72" spans="1:8" x14ac:dyDescent="0.2">
      <c r="A72">
        <v>6209</v>
      </c>
      <c r="B72">
        <v>68</v>
      </c>
      <c r="C72">
        <v>142.98290744104699</v>
      </c>
      <c r="E72">
        <f t="shared" si="1"/>
        <v>0.41155158217975568</v>
      </c>
      <c r="H72">
        <v>14.286</v>
      </c>
    </row>
    <row r="73" spans="1:8" x14ac:dyDescent="0.2">
      <c r="A73">
        <v>6300</v>
      </c>
      <c r="B73">
        <v>69</v>
      </c>
      <c r="C73">
        <v>146.26968266991599</v>
      </c>
      <c r="E73">
        <f t="shared" si="1"/>
        <v>0.40605891442201414</v>
      </c>
      <c r="H73">
        <v>14.250999999999999</v>
      </c>
    </row>
    <row r="74" spans="1:8" x14ac:dyDescent="0.2">
      <c r="A74">
        <v>6391</v>
      </c>
      <c r="B74">
        <v>70</v>
      </c>
      <c r="C74">
        <v>149.59853408999101</v>
      </c>
      <c r="E74">
        <f t="shared" si="1"/>
        <v>0.40064337863437011</v>
      </c>
      <c r="H74">
        <v>14.202</v>
      </c>
    </row>
    <row r="75" spans="1:8" x14ac:dyDescent="0.2">
      <c r="A75">
        <v>6482</v>
      </c>
      <c r="B75">
        <v>71</v>
      </c>
      <c r="C75">
        <v>152.97013108853301</v>
      </c>
      <c r="E75">
        <f t="shared" si="1"/>
        <v>0.39530358611785116</v>
      </c>
      <c r="H75">
        <v>13.941000000000001</v>
      </c>
    </row>
    <row r="76" spans="1:8" x14ac:dyDescent="0.2">
      <c r="A76">
        <v>6576</v>
      </c>
      <c r="B76">
        <v>72</v>
      </c>
      <c r="C76">
        <v>156.49833855010601</v>
      </c>
      <c r="E76">
        <f t="shared" si="1"/>
        <v>0.38986607307191334</v>
      </c>
      <c r="H76">
        <v>14.167</v>
      </c>
    </row>
    <row r="77" spans="1:8" x14ac:dyDescent="0.2">
      <c r="A77">
        <v>6667</v>
      </c>
      <c r="B77">
        <v>73</v>
      </c>
      <c r="C77">
        <v>159.95859083067199</v>
      </c>
      <c r="E77">
        <f t="shared" si="1"/>
        <v>0.38467665054061068</v>
      </c>
      <c r="H77">
        <v>14.173</v>
      </c>
    </row>
    <row r="78" spans="1:8" x14ac:dyDescent="0.2">
      <c r="A78">
        <v>6758</v>
      </c>
      <c r="B78">
        <v>74</v>
      </c>
      <c r="C78">
        <v>163.463554704562</v>
      </c>
      <c r="E78">
        <f t="shared" si="1"/>
        <v>0.37955913907005545</v>
      </c>
      <c r="H78">
        <v>14.196999999999999</v>
      </c>
    </row>
    <row r="79" spans="1:8" x14ac:dyDescent="0.2">
      <c r="A79">
        <v>6849</v>
      </c>
      <c r="B79">
        <v>75</v>
      </c>
      <c r="C79">
        <v>167.014213553665</v>
      </c>
      <c r="E79">
        <f t="shared" si="1"/>
        <v>0.37451189833346393</v>
      </c>
      <c r="H79">
        <v>14.286</v>
      </c>
    </row>
    <row r="80" spans="1:8" x14ac:dyDescent="0.2">
      <c r="A80">
        <v>6940</v>
      </c>
      <c r="B80">
        <v>76</v>
      </c>
      <c r="C80">
        <v>170.61119786327501</v>
      </c>
      <c r="E80">
        <f t="shared" si="1"/>
        <v>0.36953385813148987</v>
      </c>
      <c r="H80">
        <v>14.363</v>
      </c>
    </row>
    <row r="81" spans="1:8" x14ac:dyDescent="0.2">
      <c r="A81">
        <v>7031</v>
      </c>
      <c r="B81">
        <v>77</v>
      </c>
      <c r="C81">
        <v>174.25518862934999</v>
      </c>
      <c r="E81">
        <f t="shared" si="1"/>
        <v>0.36462391285930368</v>
      </c>
      <c r="H81">
        <v>14.46</v>
      </c>
    </row>
    <row r="82" spans="1:8" x14ac:dyDescent="0.2">
      <c r="A82">
        <v>7122</v>
      </c>
      <c r="B82">
        <v>78</v>
      </c>
      <c r="C82">
        <v>177.94729582396101</v>
      </c>
      <c r="E82">
        <f t="shared" si="1"/>
        <v>0.3597804386027752</v>
      </c>
      <c r="H82">
        <v>14.581</v>
      </c>
    </row>
    <row r="83" spans="1:8" x14ac:dyDescent="0.2">
      <c r="A83">
        <v>7213</v>
      </c>
      <c r="B83">
        <v>79</v>
      </c>
      <c r="C83">
        <v>181.69027945000801</v>
      </c>
      <c r="E83">
        <f t="shared" si="1"/>
        <v>0.35499982532321339</v>
      </c>
      <c r="H83">
        <v>14.651</v>
      </c>
    </row>
    <row r="84" spans="1:8" x14ac:dyDescent="0.2">
      <c r="A84">
        <v>7305</v>
      </c>
      <c r="B84">
        <v>80</v>
      </c>
      <c r="C84">
        <v>185.523161840288</v>
      </c>
      <c r="E84">
        <f t="shared" si="1"/>
        <v>0.35023428346571978</v>
      </c>
      <c r="H84">
        <v>14.845000000000001</v>
      </c>
    </row>
  </sheetData>
  <phoneticPr fontId="1" type="noConversion"/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DP122"/>
  <sheetViews>
    <sheetView workbookViewId="0"/>
  </sheetViews>
  <sheetFormatPr defaultRowHeight="12.75" x14ac:dyDescent="0.2"/>
  <sheetData>
    <row r="1" spans="1:120" x14ac:dyDescent="0.2">
      <c r="A1" t="str">
        <f>_xll.HLV5r3.Financial.Cache.PedersenSetCorrelation(A3:DP122)</f>
        <v>Correlations were set successfully.</v>
      </c>
    </row>
    <row r="3" spans="1:120" x14ac:dyDescent="0.2">
      <c r="A3">
        <v>1</v>
      </c>
      <c r="B3">
        <v>0.90916542210432671</v>
      </c>
      <c r="C3">
        <v>0.73645678589223795</v>
      </c>
      <c r="D3">
        <v>0.59106266711304423</v>
      </c>
      <c r="E3">
        <v>0.48891155099124423</v>
      </c>
      <c r="F3">
        <v>0.41839147678103211</v>
      </c>
      <c r="G3">
        <v>0.36914740287248698</v>
      </c>
      <c r="H3">
        <v>0.3344104081383118</v>
      </c>
      <c r="I3">
        <v>0.30978095001694483</v>
      </c>
      <c r="J3">
        <v>0.29224883673966839</v>
      </c>
      <c r="K3">
        <v>0.27990922175555033</v>
      </c>
      <c r="L3">
        <v>0.27136135434895198</v>
      </c>
      <c r="M3">
        <v>0.26568411975719619</v>
      </c>
      <c r="N3">
        <v>0.26196550145587327</v>
      </c>
      <c r="O3">
        <v>0.25966117510877301</v>
      </c>
      <c r="P3">
        <v>0.25820846889734195</v>
      </c>
      <c r="Q3">
        <v>0.25715385178062405</v>
      </c>
      <c r="R3">
        <v>0.25609743324832118</v>
      </c>
      <c r="S3">
        <v>0.25478982222698915</v>
      </c>
      <c r="T3">
        <v>0.25308681801464911</v>
      </c>
      <c r="U3">
        <v>0.25079269750781391</v>
      </c>
      <c r="V3">
        <v>0.24804539380977311</v>
      </c>
      <c r="W3">
        <v>0.24485629756146313</v>
      </c>
      <c r="X3">
        <v>0.24135180418785185</v>
      </c>
      <c r="Y3">
        <v>0.23773463269319731</v>
      </c>
      <c r="Z3">
        <v>0.23408951506033987</v>
      </c>
      <c r="AA3">
        <v>0.23054293065312859</v>
      </c>
      <c r="AB3">
        <v>0.22721041968024236</v>
      </c>
      <c r="AC3">
        <v>0.22417970575761489</v>
      </c>
      <c r="AD3">
        <v>0.22154844351450667</v>
      </c>
      <c r="AE3">
        <v>0.21923167814140762</v>
      </c>
      <c r="AF3">
        <v>0.21734585190968744</v>
      </c>
      <c r="AG3">
        <v>0.21590289786411387</v>
      </c>
      <c r="AH3">
        <v>0.21481997263751446</v>
      </c>
      <c r="AI3">
        <v>0.21416671087484399</v>
      </c>
      <c r="AJ3">
        <v>0.21383273523315213</v>
      </c>
      <c r="AK3">
        <v>0.21384062305711624</v>
      </c>
      <c r="AL3">
        <v>0.21409567830408174</v>
      </c>
      <c r="AM3">
        <v>0.21457457723624393</v>
      </c>
      <c r="AN3">
        <v>0.21511098250206662</v>
      </c>
      <c r="AO3">
        <v>0.21577137341899325</v>
      </c>
      <c r="AP3">
        <v>0.21638698641464837</v>
      </c>
      <c r="AQ3">
        <v>0.21685863039647624</v>
      </c>
      <c r="AR3">
        <v>0.21717190388458077</v>
      </c>
      <c r="AS3">
        <v>0.21718689643912628</v>
      </c>
      <c r="AT3">
        <v>0.21686225400610529</v>
      </c>
      <c r="AU3">
        <v>0.2161962674800518</v>
      </c>
      <c r="AV3">
        <v>0.21510533822144157</v>
      </c>
      <c r="AW3">
        <v>0.21358169823214371</v>
      </c>
      <c r="AX3">
        <v>0.21161515111470891</v>
      </c>
      <c r="AY3">
        <v>0.20917765047829201</v>
      </c>
      <c r="AZ3">
        <v>0.20635257451456399</v>
      </c>
      <c r="BA3">
        <v>0.20312810639763493</v>
      </c>
      <c r="BB3">
        <v>0.19954721396390404</v>
      </c>
      <c r="BC3">
        <v>0.19569149314005579</v>
      </c>
      <c r="BD3">
        <v>0.19161031620754049</v>
      </c>
      <c r="BE3">
        <v>0.1873367597238923</v>
      </c>
      <c r="BF3">
        <v>0.18290064613815868</v>
      </c>
      <c r="BG3">
        <v>0.17843137935617442</v>
      </c>
      <c r="BH3">
        <v>0.17387458594497129</v>
      </c>
      <c r="BI3">
        <v>0.16933436027256082</v>
      </c>
      <c r="BJ3">
        <v>0.16479561302869772</v>
      </c>
      <c r="BK3">
        <v>0.16030623112363895</v>
      </c>
      <c r="BL3">
        <v>0.15589643589758637</v>
      </c>
      <c r="BM3">
        <v>0.15150038771505236</v>
      </c>
      <c r="BN3">
        <v>0.14716337927019144</v>
      </c>
      <c r="BO3">
        <v>0.14287845851959216</v>
      </c>
      <c r="BP3">
        <v>0.13861186712996637</v>
      </c>
      <c r="BQ3">
        <v>0.13435187160124804</v>
      </c>
      <c r="BR3">
        <v>0.13004076536954162</v>
      </c>
      <c r="BS3">
        <v>0.12568264026748691</v>
      </c>
      <c r="BT3">
        <v>0.12120738960312337</v>
      </c>
      <c r="BU3">
        <v>0.11660007828275788</v>
      </c>
      <c r="BV3">
        <v>0.11183064456789824</v>
      </c>
      <c r="BW3">
        <v>0.10684504738471927</v>
      </c>
      <c r="BX3">
        <v>0.10162477862261822</v>
      </c>
      <c r="BY3">
        <v>9.6119445411652835E-2</v>
      </c>
      <c r="BZ3">
        <v>9.0338153802553001E-2</v>
      </c>
      <c r="CA3">
        <v>8.424677306076403E-2</v>
      </c>
      <c r="CB3">
        <v>7.7884767818204456E-2</v>
      </c>
      <c r="CC3">
        <v>7.1237269769617001E-2</v>
      </c>
      <c r="CD3">
        <v>6.4375372889155305E-2</v>
      </c>
      <c r="CE3">
        <v>5.7369463633170116E-2</v>
      </c>
      <c r="CF3">
        <v>5.0255652794446493E-2</v>
      </c>
      <c r="CG3">
        <v>4.3149542737558916E-2</v>
      </c>
      <c r="CH3">
        <v>3.610024352814957E-2</v>
      </c>
      <c r="CI3">
        <v>2.9192210691315581E-2</v>
      </c>
      <c r="CJ3">
        <v>2.2517849910852993E-2</v>
      </c>
      <c r="CK3">
        <v>1.6104550208432114E-2</v>
      </c>
      <c r="CL3">
        <v>1.0010455400944588E-2</v>
      </c>
      <c r="CM3">
        <v>4.2707276069589208E-3</v>
      </c>
      <c r="CN3">
        <v>-1.1236904151237493E-3</v>
      </c>
      <c r="CO3">
        <v>-6.1336759339045048E-3</v>
      </c>
      <c r="CP3">
        <v>-1.0775403960677271E-2</v>
      </c>
      <c r="CQ3">
        <v>-1.5053086260104554E-2</v>
      </c>
      <c r="CR3">
        <v>-1.9001375512649167E-2</v>
      </c>
      <c r="CS3">
        <v>-2.261072072855598E-2</v>
      </c>
      <c r="CT3">
        <v>-2.5916742549285145E-2</v>
      </c>
      <c r="CU3">
        <v>-2.8942516458102502E-2</v>
      </c>
      <c r="CV3">
        <v>-3.1705838977986213E-2</v>
      </c>
      <c r="CW3">
        <v>-3.4220561104994586E-2</v>
      </c>
      <c r="CX3">
        <v>-3.6519261737333573E-2</v>
      </c>
      <c r="CY3">
        <v>-3.860874443958065E-2</v>
      </c>
      <c r="CZ3">
        <v>-4.0508795478807327E-2</v>
      </c>
      <c r="DA3">
        <v>-4.2238292178979946E-2</v>
      </c>
      <c r="DB3">
        <v>-4.3806014280150352E-2</v>
      </c>
      <c r="DC3">
        <v>-4.5220534482386436E-2</v>
      </c>
      <c r="DD3">
        <v>-4.6510593166787913E-2</v>
      </c>
      <c r="DE3">
        <v>-4.7674916996723472E-2</v>
      </c>
      <c r="DF3">
        <v>-4.8715376304141141E-2</v>
      </c>
      <c r="DG3">
        <v>-4.9655085568603943E-2</v>
      </c>
      <c r="DH3">
        <v>-5.0478149003888195E-2</v>
      </c>
      <c r="DI3">
        <v>-5.1216959293774393E-2</v>
      </c>
      <c r="DJ3">
        <v>-5.185164549137717E-2</v>
      </c>
      <c r="DK3">
        <v>-5.2396890461060025E-2</v>
      </c>
      <c r="DL3">
        <v>-5.284786262978617E-2</v>
      </c>
      <c r="DM3">
        <v>-5.3202165777059759E-2</v>
      </c>
      <c r="DN3">
        <v>-5.3457119531751272E-2</v>
      </c>
      <c r="DO3">
        <v>-5.3606773132237738E-2</v>
      </c>
      <c r="DP3">
        <v>-5.3636398205845842E-2</v>
      </c>
    </row>
    <row r="4" spans="1:120" x14ac:dyDescent="0.2">
      <c r="A4">
        <v>0.90916542210432671</v>
      </c>
      <c r="B4">
        <v>1</v>
      </c>
      <c r="C4">
        <v>0.95115067688414923</v>
      </c>
      <c r="D4">
        <v>0.87257489958026258</v>
      </c>
      <c r="E4">
        <v>0.80576586615851509</v>
      </c>
      <c r="F4">
        <v>0.7546087927777545</v>
      </c>
      <c r="G4">
        <v>0.71598683082562908</v>
      </c>
      <c r="H4">
        <v>0.68661586905239003</v>
      </c>
      <c r="I4">
        <v>0.66391450108555472</v>
      </c>
      <c r="J4">
        <v>0.64590236125511302</v>
      </c>
      <c r="K4">
        <v>0.63124225557329461</v>
      </c>
      <c r="L4">
        <v>0.61887699104654537</v>
      </c>
      <c r="M4">
        <v>0.6080646837140401</v>
      </c>
      <c r="N4">
        <v>0.59804315171610245</v>
      </c>
      <c r="O4">
        <v>0.58829746883158074</v>
      </c>
      <c r="P4">
        <v>0.57834583008153861</v>
      </c>
      <c r="Q4">
        <v>0.56776228921705996</v>
      </c>
      <c r="R4">
        <v>0.55624551846316383</v>
      </c>
      <c r="S4">
        <v>0.54366870136042977</v>
      </c>
      <c r="T4">
        <v>0.53012012318224044</v>
      </c>
      <c r="U4">
        <v>0.51568685983692297</v>
      </c>
      <c r="V4">
        <v>0.50079275528340905</v>
      </c>
      <c r="W4">
        <v>0.48578570800486753</v>
      </c>
      <c r="X4">
        <v>0.47109068405907722</v>
      </c>
      <c r="Y4">
        <v>0.4571606018327587</v>
      </c>
      <c r="Z4">
        <v>0.44426437199334173</v>
      </c>
      <c r="AA4">
        <v>0.43266554929003004</v>
      </c>
      <c r="AB4">
        <v>0.42252205075455374</v>
      </c>
      <c r="AC4">
        <v>0.41393287269536522</v>
      </c>
      <c r="AD4">
        <v>0.4069072758448769</v>
      </c>
      <c r="AE4">
        <v>0.40133807176580122</v>
      </c>
      <c r="AF4">
        <v>0.39720246055870267</v>
      </c>
      <c r="AG4">
        <v>0.39448622804757844</v>
      </c>
      <c r="AH4">
        <v>0.39297332116377237</v>
      </c>
      <c r="AI4">
        <v>0.39267978563661371</v>
      </c>
      <c r="AJ4">
        <v>0.39339925331111114</v>
      </c>
      <c r="AK4">
        <v>0.39503420413406376</v>
      </c>
      <c r="AL4">
        <v>0.39741798525013683</v>
      </c>
      <c r="AM4">
        <v>0.40037729792364518</v>
      </c>
      <c r="AN4">
        <v>0.40370138908126035</v>
      </c>
      <c r="AO4">
        <v>0.40725687422682705</v>
      </c>
      <c r="AP4">
        <v>0.41078397457312438</v>
      </c>
      <c r="AQ4">
        <v>0.41410036680311341</v>
      </c>
      <c r="AR4">
        <v>0.41704719678796898</v>
      </c>
      <c r="AS4">
        <v>0.41940736952423058</v>
      </c>
      <c r="AT4">
        <v>0.42103473562724819</v>
      </c>
      <c r="AU4">
        <v>0.42182936848058206</v>
      </c>
      <c r="AV4">
        <v>0.4216709530592303</v>
      </c>
      <c r="AW4">
        <v>0.42052828764672451</v>
      </c>
      <c r="AX4">
        <v>0.41834988076367852</v>
      </c>
      <c r="AY4">
        <v>0.41513402157151746</v>
      </c>
      <c r="AZ4">
        <v>0.41094377579513913</v>
      </c>
      <c r="BA4">
        <v>0.40584906541959193</v>
      </c>
      <c r="BB4">
        <v>0.39992589715630428</v>
      </c>
      <c r="BC4">
        <v>0.39331881178257749</v>
      </c>
      <c r="BD4">
        <v>0.38614203312013684</v>
      </c>
      <c r="BE4">
        <v>0.37851586087361599</v>
      </c>
      <c r="BF4">
        <v>0.37053150247891176</v>
      </c>
      <c r="BG4">
        <v>0.36238339533784902</v>
      </c>
      <c r="BH4">
        <v>0.35409976287797335</v>
      </c>
      <c r="BI4">
        <v>0.34582323391096587</v>
      </c>
      <c r="BJ4">
        <v>0.33762137209552534</v>
      </c>
      <c r="BK4">
        <v>0.32956961444114763</v>
      </c>
      <c r="BL4">
        <v>0.32171493330184581</v>
      </c>
      <c r="BM4">
        <v>0.31403076916995926</v>
      </c>
      <c r="BN4">
        <v>0.3065722373582383</v>
      </c>
      <c r="BO4">
        <v>0.29930853752885644</v>
      </c>
      <c r="BP4">
        <v>0.29222295440537505</v>
      </c>
      <c r="BQ4">
        <v>0.2852650588539864</v>
      </c>
      <c r="BR4">
        <v>0.27838728620991732</v>
      </c>
      <c r="BS4">
        <v>0.27153664283128837</v>
      </c>
      <c r="BT4">
        <v>0.26463554305114062</v>
      </c>
      <c r="BU4">
        <v>0.25761221039742033</v>
      </c>
      <c r="BV4">
        <v>0.25040904913292206</v>
      </c>
      <c r="BW4">
        <v>0.24290989595197798</v>
      </c>
      <c r="BX4">
        <v>0.23505657982881076</v>
      </c>
      <c r="BY4">
        <v>0.22676097047137481</v>
      </c>
      <c r="BZ4">
        <v>0.21797336079081706</v>
      </c>
      <c r="CA4">
        <v>0.20861056299032468</v>
      </c>
      <c r="CB4">
        <v>0.19868803755920614</v>
      </c>
      <c r="CC4">
        <v>0.18817984605007354</v>
      </c>
      <c r="CD4">
        <v>0.17713725251351739</v>
      </c>
      <c r="CE4">
        <v>0.16564164183451968</v>
      </c>
      <c r="CF4">
        <v>0.15377329747737642</v>
      </c>
      <c r="CG4">
        <v>0.14168419433375201</v>
      </c>
      <c r="CH4">
        <v>0.12949703500459359</v>
      </c>
      <c r="CI4">
        <v>0.1173418514921462</v>
      </c>
      <c r="CJ4">
        <v>0.10538481618552707</v>
      </c>
      <c r="CK4">
        <v>9.3715489401038216E-2</v>
      </c>
      <c r="CL4">
        <v>8.2455092028438454E-2</v>
      </c>
      <c r="CM4">
        <v>7.1681751800239127E-2</v>
      </c>
      <c r="CN4">
        <v>6.142654897486708E-2</v>
      </c>
      <c r="CO4">
        <v>5.1754412268646709E-2</v>
      </c>
      <c r="CP4">
        <v>4.2669862493241617E-2</v>
      </c>
      <c r="CQ4">
        <v>3.4181439964089233E-2</v>
      </c>
      <c r="CR4">
        <v>2.6259307926305094E-2</v>
      </c>
      <c r="CS4">
        <v>1.891284537468654E-2</v>
      </c>
      <c r="CT4">
        <v>1.2098433209356175E-2</v>
      </c>
      <c r="CU4">
        <v>5.7907318572888678E-3</v>
      </c>
      <c r="CV4">
        <v>-3.6444748100975094E-5</v>
      </c>
      <c r="CW4">
        <v>-5.412568023182132E-3</v>
      </c>
      <c r="CX4">
        <v>-1.0377740798172445E-2</v>
      </c>
      <c r="CY4">
        <v>-1.495869719780925E-2</v>
      </c>
      <c r="CZ4">
        <v>-1.9173431794350059E-2</v>
      </c>
      <c r="DA4">
        <v>-2.3063374603546089E-2</v>
      </c>
      <c r="DB4">
        <v>-2.6640958063676327E-2</v>
      </c>
      <c r="DC4">
        <v>-2.9929951350957856E-2</v>
      </c>
      <c r="DD4">
        <v>-3.2964925574024716E-2</v>
      </c>
      <c r="DE4">
        <v>-3.5749533188098148E-2</v>
      </c>
      <c r="DF4">
        <v>-3.8304583890734774E-2</v>
      </c>
      <c r="DG4">
        <v>-4.0651182782949519E-2</v>
      </c>
      <c r="DH4">
        <v>-4.2790162660867853E-2</v>
      </c>
      <c r="DI4">
        <v>-4.4746163808133246E-2</v>
      </c>
      <c r="DJ4">
        <v>-4.6518397978160826E-2</v>
      </c>
      <c r="DK4">
        <v>-4.8114746164476155E-2</v>
      </c>
      <c r="DL4">
        <v>-4.954643615882634E-2</v>
      </c>
      <c r="DM4">
        <v>-5.0808071683515713E-2</v>
      </c>
      <c r="DN4">
        <v>-5.190619842761799E-2</v>
      </c>
      <c r="DO4">
        <v>-5.2834093435503736E-2</v>
      </c>
      <c r="DP4">
        <v>-5.3583565101170225E-2</v>
      </c>
    </row>
    <row r="5" spans="1:120" x14ac:dyDescent="0.2">
      <c r="A5">
        <v>0.73645678589223795</v>
      </c>
      <c r="B5">
        <v>0.95115067688414923</v>
      </c>
      <c r="C5">
        <v>1</v>
      </c>
      <c r="D5">
        <v>0.98060259029722541</v>
      </c>
      <c r="E5">
        <v>0.94841789587861069</v>
      </c>
      <c r="F5">
        <v>0.91823546164027026</v>
      </c>
      <c r="G5">
        <v>0.89261961149318469</v>
      </c>
      <c r="H5">
        <v>0.87123688621359929</v>
      </c>
      <c r="I5">
        <v>0.85314907579681687</v>
      </c>
      <c r="J5">
        <v>0.83736968075384366</v>
      </c>
      <c r="K5">
        <v>0.82313789723324027</v>
      </c>
      <c r="L5">
        <v>0.80977535557432601</v>
      </c>
      <c r="M5">
        <v>0.79675860320447589</v>
      </c>
      <c r="N5">
        <v>0.78352464504042418</v>
      </c>
      <c r="O5">
        <v>0.7696410345334963</v>
      </c>
      <c r="P5">
        <v>0.75473792220975122</v>
      </c>
      <c r="Q5">
        <v>0.73845989802232348</v>
      </c>
      <c r="R5">
        <v>0.72061245901958415</v>
      </c>
      <c r="S5">
        <v>0.70117724015684557</v>
      </c>
      <c r="T5">
        <v>0.68040628358666122</v>
      </c>
      <c r="U5">
        <v>0.65859289823300482</v>
      </c>
      <c r="V5">
        <v>0.63633115988572453</v>
      </c>
      <c r="W5">
        <v>0.61418567342296004</v>
      </c>
      <c r="X5">
        <v>0.59276357936625557</v>
      </c>
      <c r="Y5">
        <v>0.5726582480099015</v>
      </c>
      <c r="Z5">
        <v>0.55425145360249439</v>
      </c>
      <c r="AA5">
        <v>0.53788197553449646</v>
      </c>
      <c r="AB5">
        <v>0.52372646145095147</v>
      </c>
      <c r="AC5">
        <v>0.511882014848556</v>
      </c>
      <c r="AD5">
        <v>0.50229140984919118</v>
      </c>
      <c r="AE5">
        <v>0.49484528229681013</v>
      </c>
      <c r="AF5">
        <v>0.48941833404313112</v>
      </c>
      <c r="AG5">
        <v>0.48597945800453074</v>
      </c>
      <c r="AH5">
        <v>0.48423901604294756</v>
      </c>
      <c r="AI5">
        <v>0.48416963287196907</v>
      </c>
      <c r="AJ5">
        <v>0.48551647967377226</v>
      </c>
      <c r="AK5">
        <v>0.48810428599906991</v>
      </c>
      <c r="AL5">
        <v>0.49173056218619826</v>
      </c>
      <c r="AM5">
        <v>0.496129555429557</v>
      </c>
      <c r="AN5">
        <v>0.50108151797775813</v>
      </c>
      <c r="AO5">
        <v>0.50631652729775889</v>
      </c>
      <c r="AP5">
        <v>0.5115383937173843</v>
      </c>
      <c r="AQ5">
        <v>0.51652277725857365</v>
      </c>
      <c r="AR5">
        <v>0.52102012069159809</v>
      </c>
      <c r="AS5">
        <v>0.52478055390394762</v>
      </c>
      <c r="AT5">
        <v>0.52759766119165086</v>
      </c>
      <c r="AU5">
        <v>0.52930919662963827</v>
      </c>
      <c r="AV5">
        <v>0.52978021685775611</v>
      </c>
      <c r="AW5">
        <v>0.52896709822404842</v>
      </c>
      <c r="AX5">
        <v>0.52679469440874149</v>
      </c>
      <c r="AY5">
        <v>0.52328144591153991</v>
      </c>
      <c r="AZ5">
        <v>0.51846838678772211</v>
      </c>
      <c r="BA5">
        <v>0.51247904261981048</v>
      </c>
      <c r="BB5">
        <v>0.50540684894814081</v>
      </c>
      <c r="BC5">
        <v>0.49742704002214588</v>
      </c>
      <c r="BD5">
        <v>0.48868915486460346</v>
      </c>
      <c r="BE5">
        <v>0.47936555147929522</v>
      </c>
      <c r="BF5">
        <v>0.4695846399224759</v>
      </c>
      <c r="BG5">
        <v>0.45956491922038606</v>
      </c>
      <c r="BH5">
        <v>0.44939597937517828</v>
      </c>
      <c r="BI5">
        <v>0.43923110925881026</v>
      </c>
      <c r="BJ5">
        <v>0.42919263649265477</v>
      </c>
      <c r="BK5">
        <v>0.41936771305781873</v>
      </c>
      <c r="BL5">
        <v>0.40981105099494025</v>
      </c>
      <c r="BM5">
        <v>0.40052846125313152</v>
      </c>
      <c r="BN5">
        <v>0.39157501240323317</v>
      </c>
      <c r="BO5">
        <v>0.38290603339693957</v>
      </c>
      <c r="BP5">
        <v>0.374518362984881</v>
      </c>
      <c r="BQ5">
        <v>0.36633958504980113</v>
      </c>
      <c r="BR5">
        <v>0.35833401720680536</v>
      </c>
      <c r="BS5">
        <v>0.35041244076870331</v>
      </c>
      <c r="BT5">
        <v>0.34249929395749412</v>
      </c>
      <c r="BU5">
        <v>0.33448978179197431</v>
      </c>
      <c r="BV5">
        <v>0.32631047144289066</v>
      </c>
      <c r="BW5">
        <v>0.31781161884458142</v>
      </c>
      <c r="BX5">
        <v>0.30891303457759944</v>
      </c>
      <c r="BY5">
        <v>0.29950651475311579</v>
      </c>
      <c r="BZ5">
        <v>0.28950365214069884</v>
      </c>
      <c r="CA5">
        <v>0.27879387757361745</v>
      </c>
      <c r="CB5">
        <v>0.26737103212876379</v>
      </c>
      <c r="CC5">
        <v>0.2552047496201813</v>
      </c>
      <c r="CD5">
        <v>0.24232265853221827</v>
      </c>
      <c r="CE5">
        <v>0.22880584322920147</v>
      </c>
      <c r="CF5">
        <v>0.21475811896975119</v>
      </c>
      <c r="CG5">
        <v>0.20033947776837141</v>
      </c>
      <c r="CH5">
        <v>0.18571473381644762</v>
      </c>
      <c r="CI5">
        <v>0.17103239053091601</v>
      </c>
      <c r="CJ5">
        <v>0.15649536719961579</v>
      </c>
      <c r="CK5">
        <v>0.14222915873445671</v>
      </c>
      <c r="CL5">
        <v>0.12838922114570347</v>
      </c>
      <c r="CM5">
        <v>0.11507689515141553</v>
      </c>
      <c r="CN5">
        <v>0.10235031298455741</v>
      </c>
      <c r="CO5">
        <v>9.0286826686684821E-2</v>
      </c>
      <c r="CP5">
        <v>7.8906103863571442E-2</v>
      </c>
      <c r="CQ5">
        <v>6.8225249660182383E-2</v>
      </c>
      <c r="CR5">
        <v>5.8222552403044518E-2</v>
      </c>
      <c r="CS5">
        <v>4.890536166039023E-2</v>
      </c>
      <c r="CT5">
        <v>4.0230279267402289E-2</v>
      </c>
      <c r="CU5">
        <v>3.2173028914136315E-2</v>
      </c>
      <c r="CV5">
        <v>2.4704206268633296E-2</v>
      </c>
      <c r="CW5">
        <v>1.778588062299603E-2</v>
      </c>
      <c r="CX5">
        <v>1.1377389732916842E-2</v>
      </c>
      <c r="CY5">
        <v>5.4399354100923922E-3</v>
      </c>
      <c r="CZ5">
        <v>-4.0900558638804308E-5</v>
      </c>
      <c r="DA5">
        <v>-5.1188310134664128E-3</v>
      </c>
      <c r="DB5">
        <v>-9.8074457559500696E-3</v>
      </c>
      <c r="DC5">
        <v>-1.4139302681020817E-2</v>
      </c>
      <c r="DD5">
        <v>-1.8149241860110042E-2</v>
      </c>
      <c r="DE5">
        <v>-2.1844377216061854E-2</v>
      </c>
      <c r="DF5">
        <v>-2.5257320851331252E-2</v>
      </c>
      <c r="DG5">
        <v>-2.8405215938652865E-2</v>
      </c>
      <c r="DH5">
        <v>-3.1301579198353011E-2</v>
      </c>
      <c r="DI5">
        <v>-3.3962317331192989E-2</v>
      </c>
      <c r="DJ5">
        <v>-3.6401259096939434E-2</v>
      </c>
      <c r="DK5">
        <v>-3.8620350604491718E-2</v>
      </c>
      <c r="DL5">
        <v>-4.0641696142975955E-2</v>
      </c>
      <c r="DM5">
        <v>-4.2458660765970949E-2</v>
      </c>
      <c r="DN5">
        <v>-4.4084006413474056E-2</v>
      </c>
      <c r="DO5">
        <v>-4.5511614331670738E-2</v>
      </c>
      <c r="DP5">
        <v>-4.6739664907708027E-2</v>
      </c>
    </row>
    <row r="6" spans="1:120" x14ac:dyDescent="0.2">
      <c r="A6">
        <v>0.59106266711304423</v>
      </c>
      <c r="B6">
        <v>0.87257489958026258</v>
      </c>
      <c r="C6">
        <v>0.9806025902972253</v>
      </c>
      <c r="D6">
        <v>1</v>
      </c>
      <c r="E6">
        <v>0.99202276618287022</v>
      </c>
      <c r="F6">
        <v>0.97740852627767338</v>
      </c>
      <c r="G6">
        <v>0.96210051292730758</v>
      </c>
      <c r="H6">
        <v>0.94761593993804338</v>
      </c>
      <c r="I6">
        <v>0.93408832108815876</v>
      </c>
      <c r="J6">
        <v>0.92120296869590568</v>
      </c>
      <c r="K6">
        <v>0.90859734464523145</v>
      </c>
      <c r="L6">
        <v>0.89586458672766989</v>
      </c>
      <c r="M6">
        <v>0.88264109298396776</v>
      </c>
      <c r="N6">
        <v>0.86851475820168145</v>
      </c>
      <c r="O6">
        <v>0.85312524121494471</v>
      </c>
      <c r="P6">
        <v>0.8361839591932716</v>
      </c>
      <c r="Q6">
        <v>0.81739714758594995</v>
      </c>
      <c r="R6">
        <v>0.79664440922664359</v>
      </c>
      <c r="S6">
        <v>0.77397858403787134</v>
      </c>
      <c r="T6">
        <v>0.74974309907293424</v>
      </c>
      <c r="U6">
        <v>0.72435405275478137</v>
      </c>
      <c r="V6">
        <v>0.69849264287787449</v>
      </c>
      <c r="W6">
        <v>0.67284189777745329</v>
      </c>
      <c r="X6">
        <v>0.64810661290748217</v>
      </c>
      <c r="Y6">
        <v>0.6249489086680603</v>
      </c>
      <c r="Z6">
        <v>0.60381339833897663</v>
      </c>
      <c r="AA6">
        <v>0.58507526347329875</v>
      </c>
      <c r="AB6">
        <v>0.56892206002175039</v>
      </c>
      <c r="AC6">
        <v>0.55544728466020776</v>
      </c>
      <c r="AD6">
        <v>0.54455546460213211</v>
      </c>
      <c r="AE6">
        <v>0.53614487874582872</v>
      </c>
      <c r="AF6">
        <v>0.53002953648969309</v>
      </c>
      <c r="AG6">
        <v>0.52617042767522137</v>
      </c>
      <c r="AH6">
        <v>0.52424721545652331</v>
      </c>
      <c r="AI6">
        <v>0.52420381506236591</v>
      </c>
      <c r="AJ6">
        <v>0.52576691245931106</v>
      </c>
      <c r="AK6">
        <v>0.52872030637201051</v>
      </c>
      <c r="AL6">
        <v>0.5328472587546409</v>
      </c>
      <c r="AM6">
        <v>0.53783569489935501</v>
      </c>
      <c r="AN6">
        <v>0.54346961497541091</v>
      </c>
      <c r="AO6">
        <v>0.54940388501418302</v>
      </c>
      <c r="AP6">
        <v>0.55533384399733654</v>
      </c>
      <c r="AQ6">
        <v>0.56101781411226503</v>
      </c>
      <c r="AR6">
        <v>0.56616024285226307</v>
      </c>
      <c r="AS6">
        <v>0.57050152044366942</v>
      </c>
      <c r="AT6">
        <v>0.57380829390513377</v>
      </c>
      <c r="AU6">
        <v>0.57588711452341601</v>
      </c>
      <c r="AV6">
        <v>0.57659905284518587</v>
      </c>
      <c r="AW6">
        <v>0.57589531081250045</v>
      </c>
      <c r="AX6">
        <v>0.57369212687541971</v>
      </c>
      <c r="AY6">
        <v>0.57002030097459633</v>
      </c>
      <c r="AZ6">
        <v>0.56490539041856969</v>
      </c>
      <c r="BA6">
        <v>0.55850057370371819</v>
      </c>
      <c r="BB6">
        <v>0.55090759818996915</v>
      </c>
      <c r="BC6">
        <v>0.54231319436734127</v>
      </c>
      <c r="BD6">
        <v>0.53288258113471487</v>
      </c>
      <c r="BE6">
        <v>0.52281432140695172</v>
      </c>
      <c r="BF6">
        <v>0.51225554591366329</v>
      </c>
      <c r="BG6">
        <v>0.50142881973076914</v>
      </c>
      <c r="BH6">
        <v>0.49046009455477224</v>
      </c>
      <c r="BI6">
        <v>0.47950103545469852</v>
      </c>
      <c r="BJ6">
        <v>0.46870412140710588</v>
      </c>
      <c r="BK6">
        <v>0.45815860936200437</v>
      </c>
      <c r="BL6">
        <v>0.44792309157705729</v>
      </c>
      <c r="BM6">
        <v>0.43802299203308526</v>
      </c>
      <c r="BN6">
        <v>0.42850911106657102</v>
      </c>
      <c r="BO6">
        <v>0.41933167813100436</v>
      </c>
      <c r="BP6">
        <v>0.41049388348808374</v>
      </c>
      <c r="BQ6">
        <v>0.40191445648794133</v>
      </c>
      <c r="BR6">
        <v>0.39356537632178484</v>
      </c>
      <c r="BS6">
        <v>0.38533883051296786</v>
      </c>
      <c r="BT6">
        <v>0.37716285315258657</v>
      </c>
      <c r="BU6">
        <v>0.36891802709167587</v>
      </c>
      <c r="BV6">
        <v>0.36052182249503251</v>
      </c>
      <c r="BW6">
        <v>0.35180988492757942</v>
      </c>
      <c r="BX6">
        <v>0.34269208686699326</v>
      </c>
      <c r="BY6">
        <v>0.33305154428441486</v>
      </c>
      <c r="BZ6">
        <v>0.32277775895024241</v>
      </c>
      <c r="CA6">
        <v>0.3117476694163544</v>
      </c>
      <c r="CB6">
        <v>0.29993993907881117</v>
      </c>
      <c r="CC6">
        <v>0.28732310474710598</v>
      </c>
      <c r="CD6">
        <v>0.27390529553799758</v>
      </c>
      <c r="CE6">
        <v>0.25976430796683098</v>
      </c>
      <c r="CF6">
        <v>0.2450133824943537</v>
      </c>
      <c r="CG6">
        <v>0.22980830760898749</v>
      </c>
      <c r="CH6">
        <v>0.21433394065572747</v>
      </c>
      <c r="CI6">
        <v>0.1987425529998427</v>
      </c>
      <c r="CJ6">
        <v>0.18325175754108344</v>
      </c>
      <c r="CK6">
        <v>0.16800366955971285</v>
      </c>
      <c r="CL6">
        <v>0.15316935303734655</v>
      </c>
      <c r="CM6">
        <v>0.13885986761762703</v>
      </c>
      <c r="CN6">
        <v>0.12514886362190378</v>
      </c>
      <c r="CO6">
        <v>0.1121185512056332</v>
      </c>
      <c r="CP6">
        <v>9.9797607711426928E-2</v>
      </c>
      <c r="CQ6">
        <v>8.8207655455714323E-2</v>
      </c>
      <c r="CR6">
        <v>7.7334449132498734E-2</v>
      </c>
      <c r="CS6">
        <v>6.7182998633776622E-2</v>
      </c>
      <c r="CT6">
        <v>5.7713332544696586E-2</v>
      </c>
      <c r="CU6">
        <v>4.8902726467952323E-2</v>
      </c>
      <c r="CV6">
        <v>4.0721402435475965E-2</v>
      </c>
      <c r="CW6">
        <v>3.3127625632790508E-2</v>
      </c>
      <c r="CX6">
        <v>2.6082773017191908E-2</v>
      </c>
      <c r="CY6">
        <v>1.9541834911858603E-2</v>
      </c>
      <c r="CZ6">
        <v>1.3493780226387628E-2</v>
      </c>
      <c r="DA6">
        <v>7.8794172759524255E-3</v>
      </c>
      <c r="DB6">
        <v>2.6849391807487392E-3</v>
      </c>
      <c r="DC6">
        <v>-2.1261951934231169E-3</v>
      </c>
      <c r="DD6">
        <v>-6.5872607703149014E-3</v>
      </c>
      <c r="DE6">
        <v>-1.0707579656889928E-2</v>
      </c>
      <c r="DF6">
        <v>-1.4525562957842185E-2</v>
      </c>
      <c r="DG6">
        <v>-1.8055325466585625E-2</v>
      </c>
      <c r="DH6">
        <v>-2.131772789470808E-2</v>
      </c>
      <c r="DI6">
        <v>-2.4322576457270803E-2</v>
      </c>
      <c r="DJ6">
        <v>-2.7092472394361078E-2</v>
      </c>
      <c r="DK6">
        <v>-2.9625753852498569E-2</v>
      </c>
      <c r="DL6">
        <v>-3.195061866734028E-2</v>
      </c>
      <c r="DM6">
        <v>-3.4060265827615552E-2</v>
      </c>
      <c r="DN6">
        <v>-3.5971139245766608E-2</v>
      </c>
      <c r="DO6">
        <v>-3.7678334826846453E-2</v>
      </c>
      <c r="DP6">
        <v>-3.9184849031537149E-2</v>
      </c>
    </row>
    <row r="7" spans="1:120" x14ac:dyDescent="0.2">
      <c r="A7">
        <v>0.48891155099124417</v>
      </c>
      <c r="B7">
        <v>0.80576586615851509</v>
      </c>
      <c r="C7">
        <v>0.94841789587861069</v>
      </c>
      <c r="D7">
        <v>0.99202276618287033</v>
      </c>
      <c r="E7">
        <v>1</v>
      </c>
      <c r="F7">
        <v>0.99617586925969848</v>
      </c>
      <c r="G7">
        <v>0.98840763228910578</v>
      </c>
      <c r="H7">
        <v>0.97930503037330452</v>
      </c>
      <c r="I7">
        <v>0.96965340243587739</v>
      </c>
      <c r="J7">
        <v>0.95955623305655746</v>
      </c>
      <c r="K7">
        <v>0.94890095457011892</v>
      </c>
      <c r="L7">
        <v>0.93745494712002331</v>
      </c>
      <c r="M7">
        <v>0.92495648107147044</v>
      </c>
      <c r="N7">
        <v>0.91109065494842134</v>
      </c>
      <c r="O7">
        <v>0.89554653918212956</v>
      </c>
      <c r="P7">
        <v>0.8780828515250706</v>
      </c>
      <c r="Q7">
        <v>0.85844757380303227</v>
      </c>
      <c r="R7">
        <v>0.83656460370156827</v>
      </c>
      <c r="S7">
        <v>0.81253039271859717</v>
      </c>
      <c r="T7">
        <v>0.78673733554949632</v>
      </c>
      <c r="U7">
        <v>0.75967594777612324</v>
      </c>
      <c r="V7">
        <v>0.73207661403282698</v>
      </c>
      <c r="W7">
        <v>0.70469216544869251</v>
      </c>
      <c r="X7">
        <v>0.67828626573848216</v>
      </c>
      <c r="Y7">
        <v>0.65356088750752572</v>
      </c>
      <c r="Z7">
        <v>0.63100154224114602</v>
      </c>
      <c r="AA7">
        <v>0.61100513173669802</v>
      </c>
      <c r="AB7">
        <v>0.59377040709886608</v>
      </c>
      <c r="AC7">
        <v>0.57938970499783127</v>
      </c>
      <c r="AD7">
        <v>0.56774717110102457</v>
      </c>
      <c r="AE7">
        <v>0.558751745487994</v>
      </c>
      <c r="AF7">
        <v>0.55218170735890448</v>
      </c>
      <c r="AG7">
        <v>0.54799503893642498</v>
      </c>
      <c r="AH7">
        <v>0.54586050948443432</v>
      </c>
      <c r="AI7">
        <v>0.54570251215166732</v>
      </c>
      <c r="AJ7">
        <v>0.54724161753870959</v>
      </c>
      <c r="AK7">
        <v>0.55023994047448799</v>
      </c>
      <c r="AL7">
        <v>0.55447431013713011</v>
      </c>
      <c r="AM7">
        <v>0.5596091981492306</v>
      </c>
      <c r="AN7">
        <v>0.56543358722309145</v>
      </c>
      <c r="AO7">
        <v>0.5715602539805279</v>
      </c>
      <c r="AP7">
        <v>0.57768550849633116</v>
      </c>
      <c r="AQ7">
        <v>0.58355935572661344</v>
      </c>
      <c r="AR7">
        <v>0.58886259612678071</v>
      </c>
      <c r="AS7">
        <v>0.59333365524735937</v>
      </c>
      <c r="AT7">
        <v>0.59672795949122803</v>
      </c>
      <c r="AU7">
        <v>0.5988371541119869</v>
      </c>
      <c r="AV7">
        <v>0.59952138954698642</v>
      </c>
      <c r="AW7">
        <v>0.59873016621703967</v>
      </c>
      <c r="AX7">
        <v>0.59637901500661628</v>
      </c>
      <c r="AY7">
        <v>0.59250636983233962</v>
      </c>
      <c r="AZ7">
        <v>0.58712898255140578</v>
      </c>
      <c r="BA7">
        <v>0.58041691406676854</v>
      </c>
      <c r="BB7">
        <v>0.57247775959029079</v>
      </c>
      <c r="BC7">
        <v>0.5635023553362325</v>
      </c>
      <c r="BD7">
        <v>0.55366330526413998</v>
      </c>
      <c r="BE7">
        <v>0.54317373585066731</v>
      </c>
      <c r="BF7">
        <v>0.5321907699519498</v>
      </c>
      <c r="BG7">
        <v>0.52093510970423407</v>
      </c>
      <c r="BH7">
        <v>0.50955457203871546</v>
      </c>
      <c r="BI7">
        <v>0.49819633605025387</v>
      </c>
      <c r="BJ7">
        <v>0.48702997221318656</v>
      </c>
      <c r="BK7">
        <v>0.47614330588057824</v>
      </c>
      <c r="BL7">
        <v>0.46559768049186584</v>
      </c>
      <c r="BM7">
        <v>0.45542964858577012</v>
      </c>
      <c r="BN7">
        <v>0.44568477855836197</v>
      </c>
      <c r="BO7">
        <v>0.43631249672886013</v>
      </c>
      <c r="BP7">
        <v>0.42731749084518383</v>
      </c>
      <c r="BQ7">
        <v>0.41861573802122232</v>
      </c>
      <c r="BR7">
        <v>0.41018308123993408</v>
      </c>
      <c r="BS7">
        <v>0.40190202597445757</v>
      </c>
      <c r="BT7">
        <v>0.39370274483717504</v>
      </c>
      <c r="BU7">
        <v>0.38546013571935972</v>
      </c>
      <c r="BV7">
        <v>0.37708492287005257</v>
      </c>
      <c r="BW7">
        <v>0.36840596407115184</v>
      </c>
      <c r="BX7">
        <v>0.35932881709107378</v>
      </c>
      <c r="BY7">
        <v>0.34973202710179352</v>
      </c>
      <c r="BZ7">
        <v>0.33949163968868168</v>
      </c>
      <c r="CA7">
        <v>0.32847839278079011</v>
      </c>
      <c r="CB7">
        <v>0.31666042588429566</v>
      </c>
      <c r="CC7">
        <v>0.30400586170261445</v>
      </c>
      <c r="CD7">
        <v>0.29050798566995828</v>
      </c>
      <c r="CE7">
        <v>0.27624124355313295</v>
      </c>
      <c r="CF7">
        <v>0.26132242685610046</v>
      </c>
      <c r="CG7">
        <v>0.24590035782200945</v>
      </c>
      <c r="CH7">
        <v>0.23017020943886521</v>
      </c>
      <c r="CI7">
        <v>0.21428281899900084</v>
      </c>
      <c r="CJ7">
        <v>0.19846236821600929</v>
      </c>
      <c r="CK7">
        <v>0.1828583795286822</v>
      </c>
      <c r="CL7">
        <v>0.16764990238428926</v>
      </c>
      <c r="CM7">
        <v>0.15295199792906766</v>
      </c>
      <c r="CN7">
        <v>0.1388476088188228</v>
      </c>
      <c r="CO7">
        <v>0.12542122635982747</v>
      </c>
      <c r="CP7">
        <v>0.11270701812261329</v>
      </c>
      <c r="CQ7">
        <v>0.1007288324861976</v>
      </c>
      <c r="CR7">
        <v>8.9478694987100191E-2</v>
      </c>
      <c r="CS7">
        <v>7.8959270749090676E-2</v>
      </c>
      <c r="CT7">
        <v>6.9134700115109568E-2</v>
      </c>
      <c r="CU7">
        <v>5.9983288411604378E-2</v>
      </c>
      <c r="CV7">
        <v>5.1475692120668368E-2</v>
      </c>
      <c r="CW7">
        <v>4.3568539456805437E-2</v>
      </c>
      <c r="CX7">
        <v>3.622548160849811E-2</v>
      </c>
      <c r="CY7">
        <v>2.9398068761189201E-2</v>
      </c>
      <c r="CZ7">
        <v>2.3077948254377464E-2</v>
      </c>
      <c r="DA7">
        <v>1.7203360301247944E-2</v>
      </c>
      <c r="DB7">
        <v>1.1760430172264226E-2</v>
      </c>
      <c r="DC7">
        <v>6.7108990931502317E-3</v>
      </c>
      <c r="DD7">
        <v>2.0229847949146118E-3</v>
      </c>
      <c r="DE7">
        <v>-2.3140744537807683E-3</v>
      </c>
      <c r="DF7">
        <v>-6.3415803986928768E-3</v>
      </c>
      <c r="DG7">
        <v>-1.0071803993898966E-2</v>
      </c>
      <c r="DH7">
        <v>-1.3529731687201842E-2</v>
      </c>
      <c r="DI7">
        <v>-1.6721481200657147E-2</v>
      </c>
      <c r="DJ7">
        <v>-1.9674842049460177E-2</v>
      </c>
      <c r="DK7">
        <v>-2.2386259568484397E-2</v>
      </c>
      <c r="DL7">
        <v>-2.4887461306591214E-2</v>
      </c>
      <c r="DM7">
        <v>-2.7172085020558442E-2</v>
      </c>
      <c r="DN7">
        <v>-2.9258957785643448E-2</v>
      </c>
      <c r="DO7">
        <v>-3.114463504163998E-2</v>
      </c>
      <c r="DP7">
        <v>-3.2835897711413181E-2</v>
      </c>
    </row>
    <row r="8" spans="1:120" x14ac:dyDescent="0.2">
      <c r="A8">
        <v>0.41839147678103211</v>
      </c>
      <c r="B8">
        <v>0.7546087927777545</v>
      </c>
      <c r="C8">
        <v>0.91823546164027026</v>
      </c>
      <c r="D8">
        <v>0.97740852627767338</v>
      </c>
      <c r="E8">
        <v>0.99617586925969859</v>
      </c>
      <c r="F8">
        <v>1</v>
      </c>
      <c r="G8">
        <v>0.99783964441115458</v>
      </c>
      <c r="H8">
        <v>0.99296653961685177</v>
      </c>
      <c r="I8">
        <v>0.98656785882684395</v>
      </c>
      <c r="J8">
        <v>0.97900824396211406</v>
      </c>
      <c r="K8">
        <v>0.97033156578652791</v>
      </c>
      <c r="L8">
        <v>0.96041525940801975</v>
      </c>
      <c r="M8">
        <v>0.9490603988846027</v>
      </c>
      <c r="N8">
        <v>0.93601168403661372</v>
      </c>
      <c r="O8">
        <v>0.92098828782184228</v>
      </c>
      <c r="P8">
        <v>0.90377253803349267</v>
      </c>
      <c r="Q8">
        <v>0.8841377700054176</v>
      </c>
      <c r="R8">
        <v>0.86203187717597662</v>
      </c>
      <c r="S8">
        <v>0.83757630907425651</v>
      </c>
      <c r="T8">
        <v>0.81118965980880486</v>
      </c>
      <c r="U8">
        <v>0.78340858065461405</v>
      </c>
      <c r="V8">
        <v>0.7549948778254798</v>
      </c>
      <c r="W8">
        <v>0.72674677511810937</v>
      </c>
      <c r="X8">
        <v>0.69946867185964634</v>
      </c>
      <c r="Y8">
        <v>0.67389007075752339</v>
      </c>
      <c r="Z8">
        <v>0.65052797716815691</v>
      </c>
      <c r="AA8">
        <v>0.6297954679725023</v>
      </c>
      <c r="AB8">
        <v>0.61190386974275557</v>
      </c>
      <c r="AC8">
        <v>0.59694738245490131</v>
      </c>
      <c r="AD8">
        <v>0.5848000995824123</v>
      </c>
      <c r="AE8">
        <v>0.57538208858172424</v>
      </c>
      <c r="AF8">
        <v>0.56844997618826054</v>
      </c>
      <c r="AG8">
        <v>0.5639618710755665</v>
      </c>
      <c r="AH8">
        <v>0.56158388976674145</v>
      </c>
      <c r="AI8">
        <v>0.56122675586359039</v>
      </c>
      <c r="AJ8">
        <v>0.56260974420377252</v>
      </c>
      <c r="AK8">
        <v>0.56548300094012027</v>
      </c>
      <c r="AL8">
        <v>0.56961968945143659</v>
      </c>
      <c r="AM8">
        <v>0.57467188452004958</v>
      </c>
      <c r="AN8">
        <v>0.58043236567898937</v>
      </c>
      <c r="AO8">
        <v>0.58648889700913442</v>
      </c>
      <c r="AP8">
        <v>0.59254135090132942</v>
      </c>
      <c r="AQ8">
        <v>0.59833499446890681</v>
      </c>
      <c r="AR8">
        <v>0.60353789272948344</v>
      </c>
      <c r="AS8">
        <v>0.60788888748427417</v>
      </c>
      <c r="AT8">
        <v>0.6111400299218317</v>
      </c>
      <c r="AU8">
        <v>0.61307569145759355</v>
      </c>
      <c r="AV8">
        <v>0.61355654913086177</v>
      </c>
      <c r="AW8">
        <v>0.61253198450683188</v>
      </c>
      <c r="AX8">
        <v>0.60992098811992934</v>
      </c>
      <c r="AY8">
        <v>0.60576759791516166</v>
      </c>
      <c r="AZ8">
        <v>0.60008376521891005</v>
      </c>
      <c r="BA8">
        <v>0.59305074871357344</v>
      </c>
      <c r="BB8">
        <v>0.58478130821165941</v>
      </c>
      <c r="BC8">
        <v>0.57546801450385321</v>
      </c>
      <c r="BD8">
        <v>0.56528736669227986</v>
      </c>
      <c r="BE8">
        <v>0.55446199539512531</v>
      </c>
      <c r="BF8">
        <v>0.54315466243349109</v>
      </c>
      <c r="BG8">
        <v>0.53158357571594994</v>
      </c>
      <c r="BH8">
        <v>0.51990999040818386</v>
      </c>
      <c r="BI8">
        <v>0.50827678907747142</v>
      </c>
      <c r="BJ8">
        <v>0.49686380080360903</v>
      </c>
      <c r="BK8">
        <v>0.48575595104173108</v>
      </c>
      <c r="BL8">
        <v>0.47501751184207625</v>
      </c>
      <c r="BM8">
        <v>0.46469074334906735</v>
      </c>
      <c r="BN8">
        <v>0.45481620531128958</v>
      </c>
      <c r="BO8">
        <v>0.44534424034016368</v>
      </c>
      <c r="BP8">
        <v>0.43627845400504256</v>
      </c>
      <c r="BQ8">
        <v>0.42753468121761246</v>
      </c>
      <c r="BR8">
        <v>0.41909013001780293</v>
      </c>
      <c r="BS8">
        <v>0.41082186228092765</v>
      </c>
      <c r="BT8">
        <v>0.40266092998462705</v>
      </c>
      <c r="BU8">
        <v>0.39448040350570518</v>
      </c>
      <c r="BV8">
        <v>0.38618530467361595</v>
      </c>
      <c r="BW8">
        <v>0.37760091154171216</v>
      </c>
      <c r="BX8">
        <v>0.36863078174918174</v>
      </c>
      <c r="BY8">
        <v>0.3591505380968803</v>
      </c>
      <c r="BZ8">
        <v>0.34902709644875346</v>
      </c>
      <c r="CA8">
        <v>0.33812760992977903</v>
      </c>
      <c r="CB8">
        <v>0.3264123686755791</v>
      </c>
      <c r="CC8">
        <v>0.31384934159146421</v>
      </c>
      <c r="CD8">
        <v>0.30041994409389228</v>
      </c>
      <c r="CE8">
        <v>0.28619614077719907</v>
      </c>
      <c r="CF8">
        <v>0.27129537671884202</v>
      </c>
      <c r="CG8">
        <v>0.25585968018328681</v>
      </c>
      <c r="CH8">
        <v>0.24009011821297641</v>
      </c>
      <c r="CI8">
        <v>0.22413439949005906</v>
      </c>
      <c r="CJ8">
        <v>0.20822007098284626</v>
      </c>
      <c r="CK8">
        <v>0.1925000104446144</v>
      </c>
      <c r="CL8">
        <v>0.17715803415472473</v>
      </c>
      <c r="CM8">
        <v>0.16231060867728683</v>
      </c>
      <c r="CN8">
        <v>0.1480468233055027</v>
      </c>
      <c r="CO8">
        <v>0.13445262533253105</v>
      </c>
      <c r="CP8">
        <v>0.12156572114870048</v>
      </c>
      <c r="CQ8">
        <v>0.10941091955197949</v>
      </c>
      <c r="CR8">
        <v>9.7985557254717345E-2</v>
      </c>
      <c r="CS8">
        <v>8.7290183117738368E-2</v>
      </c>
      <c r="CT8">
        <v>7.7292767881663102E-2</v>
      </c>
      <c r="CU8">
        <v>6.797231108989947E-2</v>
      </c>
      <c r="CV8">
        <v>5.9299965568334244E-2</v>
      </c>
      <c r="CW8">
        <v>5.1231796127418405E-2</v>
      </c>
      <c r="CX8">
        <v>4.3733400671017879E-2</v>
      </c>
      <c r="CY8">
        <v>3.6754136766924822E-2</v>
      </c>
      <c r="CZ8">
        <v>3.0287894823101676E-2</v>
      </c>
      <c r="DA8">
        <v>2.4271473708150554E-2</v>
      </c>
      <c r="DB8">
        <v>1.8690948729632496E-2</v>
      </c>
      <c r="DC8">
        <v>1.3507410761320903E-2</v>
      </c>
      <c r="DD8">
        <v>8.690159877555028E-3</v>
      </c>
      <c r="DE8">
        <v>4.2274674224377371E-3</v>
      </c>
      <c r="DF8">
        <v>7.6506064576857048E-5</v>
      </c>
      <c r="DG8">
        <v>-3.7739774463593609E-3</v>
      </c>
      <c r="DH8">
        <v>-7.3512862929777413E-3</v>
      </c>
      <c r="DI8">
        <v>-1.0659382299515104E-2</v>
      </c>
      <c r="DJ8">
        <v>-1.3729277616140009E-2</v>
      </c>
      <c r="DK8">
        <v>-1.6556440615547768E-2</v>
      </c>
      <c r="DL8">
        <v>-1.917490454837921E-2</v>
      </c>
      <c r="DM8">
        <v>-2.1578856654421552E-2</v>
      </c>
      <c r="DN8">
        <v>-2.3788864854962503E-2</v>
      </c>
      <c r="DO8">
        <v>-2.5802934609489597E-2</v>
      </c>
      <c r="DP8">
        <v>-2.7630815400560577E-2</v>
      </c>
    </row>
    <row r="9" spans="1:120" x14ac:dyDescent="0.2">
      <c r="A9">
        <v>0.36914740287248693</v>
      </c>
      <c r="B9">
        <v>0.71598683082562908</v>
      </c>
      <c r="C9">
        <v>0.89261961149318469</v>
      </c>
      <c r="D9">
        <v>0.96210051292730758</v>
      </c>
      <c r="E9">
        <v>0.98840763228910578</v>
      </c>
      <c r="F9">
        <v>0.99783964441115458</v>
      </c>
      <c r="G9">
        <v>1</v>
      </c>
      <c r="H9">
        <v>0.99856028628865434</v>
      </c>
      <c r="I9">
        <v>0.99496066342834344</v>
      </c>
      <c r="J9">
        <v>0.98972798698933195</v>
      </c>
      <c r="K9">
        <v>0.98300363159186965</v>
      </c>
      <c r="L9">
        <v>0.97473310966141347</v>
      </c>
      <c r="M9">
        <v>0.96475487826211981</v>
      </c>
      <c r="N9">
        <v>0.95284760529325618</v>
      </c>
      <c r="O9">
        <v>0.93874605689612278</v>
      </c>
      <c r="P9">
        <v>0.92223998520318062</v>
      </c>
      <c r="Q9">
        <v>0.90311519115474814</v>
      </c>
      <c r="R9">
        <v>0.88132939482390737</v>
      </c>
      <c r="S9">
        <v>0.85701578319224292</v>
      </c>
      <c r="T9">
        <v>0.83060429095070576</v>
      </c>
      <c r="U9">
        <v>0.8026603941657845</v>
      </c>
      <c r="V9">
        <v>0.77396654394224185</v>
      </c>
      <c r="W9">
        <v>0.74535287977016484</v>
      </c>
      <c r="X9">
        <v>0.71765447000740989</v>
      </c>
      <c r="Y9">
        <v>0.69162244063406897</v>
      </c>
      <c r="Z9">
        <v>0.6678008464049322</v>
      </c>
      <c r="AA9">
        <v>0.64661710261289496</v>
      </c>
      <c r="AB9">
        <v>0.62829606902566937</v>
      </c>
      <c r="AC9">
        <v>0.61293690024673675</v>
      </c>
      <c r="AD9">
        <v>0.60041016963578431</v>
      </c>
      <c r="AE9">
        <v>0.59064699807062793</v>
      </c>
      <c r="AF9">
        <v>0.58339132095032908</v>
      </c>
      <c r="AG9">
        <v>0.57860299724543029</v>
      </c>
      <c r="AH9">
        <v>0.57594992095137876</v>
      </c>
      <c r="AI9">
        <v>0.57533296084995367</v>
      </c>
      <c r="AJ9">
        <v>0.57647237224469305</v>
      </c>
      <c r="AK9">
        <v>0.57911140406294015</v>
      </c>
      <c r="AL9">
        <v>0.58302133026682879</v>
      </c>
      <c r="AM9">
        <v>0.58784742518326505</v>
      </c>
      <c r="AN9">
        <v>0.59338518220912895</v>
      </c>
      <c r="AO9">
        <v>0.59920705906256433</v>
      </c>
      <c r="AP9">
        <v>0.60501725010803964</v>
      </c>
      <c r="AQ9">
        <v>0.61055791435248596</v>
      </c>
      <c r="AR9">
        <v>0.61549060380238574</v>
      </c>
      <c r="AS9">
        <v>0.61955577053524591</v>
      </c>
      <c r="AT9">
        <v>0.62250574415583504</v>
      </c>
      <c r="AU9">
        <v>0.62412253054095301</v>
      </c>
      <c r="AV9">
        <v>0.62426816912738059</v>
      </c>
      <c r="AW9">
        <v>0.62289297132439936</v>
      </c>
      <c r="AX9">
        <v>0.61992149547796049</v>
      </c>
      <c r="AY9">
        <v>0.61540282972004356</v>
      </c>
      <c r="AZ9">
        <v>0.60934693900932535</v>
      </c>
      <c r="BA9">
        <v>0.6019430826586798</v>
      </c>
      <c r="BB9">
        <v>0.59330940646651587</v>
      </c>
      <c r="BC9">
        <v>0.5836391928320197</v>
      </c>
      <c r="BD9">
        <v>0.5731115585005957</v>
      </c>
      <c r="BE9">
        <v>0.56195598151231696</v>
      </c>
      <c r="BF9">
        <v>0.55033838163323823</v>
      </c>
      <c r="BG9">
        <v>0.53847501847742629</v>
      </c>
      <c r="BH9">
        <v>0.52653528049751841</v>
      </c>
      <c r="BI9">
        <v>0.51465877255902215</v>
      </c>
      <c r="BJ9">
        <v>0.50303132605719014</v>
      </c>
      <c r="BK9">
        <v>0.49173456578911984</v>
      </c>
      <c r="BL9">
        <v>0.48083533893943642</v>
      </c>
      <c r="BM9">
        <v>0.47037861789825802</v>
      </c>
      <c r="BN9">
        <v>0.46040019810706923</v>
      </c>
      <c r="BO9">
        <v>0.45085184088542285</v>
      </c>
      <c r="BP9">
        <v>0.44173481927750247</v>
      </c>
      <c r="BQ9">
        <v>0.43296571740747652</v>
      </c>
      <c r="BR9">
        <v>0.42452170293528996</v>
      </c>
      <c r="BS9">
        <v>0.41627636932983464</v>
      </c>
      <c r="BT9">
        <v>0.40816077351983782</v>
      </c>
      <c r="BU9">
        <v>0.40004789948237518</v>
      </c>
      <c r="BV9">
        <v>0.39183775641473056</v>
      </c>
      <c r="BW9">
        <v>0.38335309826998071</v>
      </c>
      <c r="BX9">
        <v>0.37449679466490299</v>
      </c>
      <c r="BY9">
        <v>0.36514202385917255</v>
      </c>
      <c r="BZ9">
        <v>0.35514906677776076</v>
      </c>
      <c r="CA9">
        <v>0.344382635158614</v>
      </c>
      <c r="CB9">
        <v>0.33279686962997257</v>
      </c>
      <c r="CC9">
        <v>0.32035943608501022</v>
      </c>
      <c r="CD9">
        <v>0.30704225701353566</v>
      </c>
      <c r="CE9">
        <v>0.29291516595688794</v>
      </c>
      <c r="CF9">
        <v>0.27809507825893198</v>
      </c>
      <c r="CG9">
        <v>0.26271794076489424</v>
      </c>
      <c r="CH9">
        <v>0.24698851613335776</v>
      </c>
      <c r="CI9">
        <v>0.23105088936218376</v>
      </c>
      <c r="CJ9">
        <v>0.21513474539711949</v>
      </c>
      <c r="CK9">
        <v>0.19939429340221101</v>
      </c>
      <c r="CL9">
        <v>0.18401658115141561</v>
      </c>
      <c r="CM9">
        <v>0.16911825274463976</v>
      </c>
      <c r="CN9">
        <v>0.15479288568081537</v>
      </c>
      <c r="CO9">
        <v>0.14112754413037681</v>
      </c>
      <c r="CP9">
        <v>0.12816228643258817</v>
      </c>
      <c r="CQ9">
        <v>0.11592235523963242</v>
      </c>
      <c r="CR9">
        <v>0.10440951857277543</v>
      </c>
      <c r="CS9">
        <v>9.3622506028179814E-2</v>
      </c>
      <c r="CT9">
        <v>8.3532679536691079E-2</v>
      </c>
      <c r="CU9">
        <v>7.4119496584261382E-2</v>
      </c>
      <c r="CV9">
        <v>6.5354453706384139E-2</v>
      </c>
      <c r="CW9">
        <v>5.7193703508709746E-2</v>
      </c>
      <c r="CX9">
        <v>4.9604363455790688E-2</v>
      </c>
      <c r="CY9">
        <v>4.2534179255917189E-2</v>
      </c>
      <c r="CZ9">
        <v>3.5979049954219536E-2</v>
      </c>
      <c r="DA9">
        <v>2.9874785999101101E-2</v>
      </c>
      <c r="DB9">
        <v>2.4207412470861708E-2</v>
      </c>
      <c r="DC9">
        <v>1.8937924896500386E-2</v>
      </c>
      <c r="DD9">
        <v>1.4036250678451066E-2</v>
      </c>
      <c r="DE9">
        <v>9.4900113563021384E-3</v>
      </c>
      <c r="DF9">
        <v>5.2555504569737257E-3</v>
      </c>
      <c r="DG9">
        <v>1.3221095721972804E-3</v>
      </c>
      <c r="DH9">
        <v>-2.338906844628542E-3</v>
      </c>
      <c r="DI9">
        <v>-5.7303002502355517E-3</v>
      </c>
      <c r="DJ9">
        <v>-8.8851536036394473E-3</v>
      </c>
      <c r="DK9">
        <v>-1.179849313139179E-2</v>
      </c>
      <c r="DL9">
        <v>-1.4506023585019361E-2</v>
      </c>
      <c r="DM9">
        <v>-1.7002506074496441E-2</v>
      </c>
      <c r="DN9">
        <v>-1.9309936403588024E-2</v>
      </c>
      <c r="DO9">
        <v>-2.1427715232372926E-2</v>
      </c>
      <c r="DP9">
        <v>-2.3368075122463892E-2</v>
      </c>
    </row>
    <row r="10" spans="1:120" x14ac:dyDescent="0.2">
      <c r="A10">
        <v>0.33441040813831185</v>
      </c>
      <c r="B10">
        <v>0.68661586905239003</v>
      </c>
      <c r="C10">
        <v>0.87123688621359929</v>
      </c>
      <c r="D10">
        <v>0.94761593993804349</v>
      </c>
      <c r="E10">
        <v>0.97930503037330452</v>
      </c>
      <c r="F10">
        <v>0.99296653961685177</v>
      </c>
      <c r="G10">
        <v>0.99856028628865445</v>
      </c>
      <c r="H10">
        <v>1</v>
      </c>
      <c r="I10">
        <v>0.99887728252156338</v>
      </c>
      <c r="J10">
        <v>0.99581877462989232</v>
      </c>
      <c r="K10">
        <v>0.99102401379691518</v>
      </c>
      <c r="L10">
        <v>0.98447831967611243</v>
      </c>
      <c r="M10">
        <v>0.97604013717794424</v>
      </c>
      <c r="N10">
        <v>0.96550414887696923</v>
      </c>
      <c r="O10">
        <v>0.95260971020543705</v>
      </c>
      <c r="P10">
        <v>0.93714224739690122</v>
      </c>
      <c r="Q10">
        <v>0.91888985229368048</v>
      </c>
      <c r="R10">
        <v>0.89780925925724464</v>
      </c>
      <c r="S10">
        <v>0.87403479834981912</v>
      </c>
      <c r="T10">
        <v>0.84799711267140765</v>
      </c>
      <c r="U10">
        <v>0.8202777491503318</v>
      </c>
      <c r="V10">
        <v>0.79167232856821179</v>
      </c>
      <c r="W10">
        <v>0.7630337377326426</v>
      </c>
      <c r="X10">
        <v>0.7352213569082785</v>
      </c>
      <c r="Y10">
        <v>0.70900427204526395</v>
      </c>
      <c r="Z10">
        <v>0.68495131686355937</v>
      </c>
      <c r="AA10">
        <v>0.66350330379660527</v>
      </c>
      <c r="AB10">
        <v>0.64489991390160228</v>
      </c>
      <c r="AC10">
        <v>0.62924777369131579</v>
      </c>
      <c r="AD10">
        <v>0.61641839385815189</v>
      </c>
      <c r="AE10">
        <v>0.60635395079589294</v>
      </c>
      <c r="AF10">
        <v>0.59879182389713259</v>
      </c>
      <c r="AG10">
        <v>0.59369498524706998</v>
      </c>
      <c r="AH10">
        <v>0.59073534853900744</v>
      </c>
      <c r="AI10">
        <v>0.5898068584276287</v>
      </c>
      <c r="AJ10">
        <v>0.59063176838224662</v>
      </c>
      <c r="AK10">
        <v>0.5929499364320121</v>
      </c>
      <c r="AL10">
        <v>0.59653116924961369</v>
      </c>
      <c r="AM10">
        <v>0.60101801251310827</v>
      </c>
      <c r="AN10">
        <v>0.60620738910553984</v>
      </c>
      <c r="AO10">
        <v>0.61166253694454509</v>
      </c>
      <c r="AP10">
        <v>0.61709250445642405</v>
      </c>
      <c r="AQ10">
        <v>0.62223730887591788</v>
      </c>
      <c r="AR10">
        <v>0.62675613738836311</v>
      </c>
      <c r="AS10">
        <v>0.63039161658613208</v>
      </c>
      <c r="AT10">
        <v>0.63289930232010883</v>
      </c>
      <c r="AU10">
        <v>0.63406185025981321</v>
      </c>
      <c r="AV10">
        <v>0.63374379340686848</v>
      </c>
      <c r="AW10">
        <v>0.6318973226582153</v>
      </c>
      <c r="AX10">
        <v>0.62845447652201736</v>
      </c>
      <c r="AY10">
        <v>0.62346942880350731</v>
      </c>
      <c r="AZ10">
        <v>0.61695246942100479</v>
      </c>
      <c r="BA10">
        <v>0.60909911177064979</v>
      </c>
      <c r="BB10">
        <v>0.60003369059263767</v>
      </c>
      <c r="BC10">
        <v>0.58995001310745498</v>
      </c>
      <c r="BD10">
        <v>0.57902907284439442</v>
      </c>
      <c r="BE10">
        <v>0.56750590144755397</v>
      </c>
      <c r="BF10">
        <v>0.55554790177334401</v>
      </c>
      <c r="BG10">
        <v>0.54337059909728957</v>
      </c>
      <c r="BH10">
        <v>0.53114757660998269</v>
      </c>
      <c r="BI10">
        <v>0.51901612566055455</v>
      </c>
      <c r="BJ10">
        <v>0.50716537207570234</v>
      </c>
      <c r="BK10">
        <v>0.49567319304448504</v>
      </c>
      <c r="BL10">
        <v>0.48460904970004137</v>
      </c>
      <c r="BM10">
        <v>0.47401816447297612</v>
      </c>
      <c r="BN10">
        <v>0.46393209335583396</v>
      </c>
      <c r="BO10">
        <v>0.45430398198100036</v>
      </c>
      <c r="BP10">
        <v>0.44513187636814022</v>
      </c>
      <c r="BQ10">
        <v>0.43633351111099966</v>
      </c>
      <c r="BR10">
        <v>0.4278851938527653</v>
      </c>
      <c r="BS10">
        <v>0.41965807453295034</v>
      </c>
      <c r="BT10">
        <v>0.41158266432674212</v>
      </c>
      <c r="BU10">
        <v>0.40353274956496821</v>
      </c>
      <c r="BV10">
        <v>0.39540372658113487</v>
      </c>
      <c r="BW10">
        <v>0.38701661526889281</v>
      </c>
      <c r="BX10">
        <v>0.3782740484509664</v>
      </c>
      <c r="BY10">
        <v>0.36904714561868746</v>
      </c>
      <c r="BZ10">
        <v>0.35919113618400522</v>
      </c>
      <c r="CA10">
        <v>0.34856875719712771</v>
      </c>
      <c r="CB10">
        <v>0.33712911047407035</v>
      </c>
      <c r="CC10">
        <v>0.32483916023530046</v>
      </c>
      <c r="CD10">
        <v>0.31166295355204526</v>
      </c>
      <c r="CE10">
        <v>0.29766821506323615</v>
      </c>
      <c r="CF10">
        <v>0.28297034071813454</v>
      </c>
      <c r="CG10">
        <v>0.26769973941656494</v>
      </c>
      <c r="CH10">
        <v>0.25206330629485607</v>
      </c>
      <c r="CI10">
        <v>0.23620105685277829</v>
      </c>
      <c r="CJ10">
        <v>0.22034395945987489</v>
      </c>
      <c r="CK10">
        <v>0.20464627445142414</v>
      </c>
      <c r="CL10">
        <v>0.18929717835982879</v>
      </c>
      <c r="CM10">
        <v>0.17441282014190282</v>
      </c>
      <c r="CN10">
        <v>0.16009000427935494</v>
      </c>
      <c r="CO10">
        <v>0.14641679066029956</v>
      </c>
      <c r="CP10">
        <v>0.13343488318592509</v>
      </c>
      <c r="CQ10">
        <v>0.12116953832897456</v>
      </c>
      <c r="CR10">
        <v>0.10962637070692149</v>
      </c>
      <c r="CS10">
        <v>9.8802616549400007E-2</v>
      </c>
      <c r="CT10">
        <v>8.8672639181252288E-2</v>
      </c>
      <c r="CU10">
        <v>7.9216246845167648E-2</v>
      </c>
      <c r="CV10">
        <v>7.040513260141211E-2</v>
      </c>
      <c r="CW10">
        <v>6.2196057733027152E-2</v>
      </c>
      <c r="CX10">
        <v>5.45573735679021E-2</v>
      </c>
      <c r="CY10">
        <v>4.7435524282962993E-2</v>
      </c>
      <c r="CZ10">
        <v>4.0828338284433614E-2</v>
      </c>
      <c r="DA10">
        <v>3.4670904308144998E-2</v>
      </c>
      <c r="DB10">
        <v>2.8949186716976369E-2</v>
      </c>
      <c r="DC10">
        <v>2.3624485113179095E-2</v>
      </c>
      <c r="DD10">
        <v>1.8666985204562975E-2</v>
      </c>
      <c r="DE10">
        <v>1.4063955123823876E-2</v>
      </c>
      <c r="DF10">
        <v>9.7712978636345267E-3</v>
      </c>
      <c r="DG10">
        <v>5.778409670045166E-3</v>
      </c>
      <c r="DH10">
        <v>2.056071420194715E-3</v>
      </c>
      <c r="DI10">
        <v>-1.3979611873304191E-3</v>
      </c>
      <c r="DJ10">
        <v>-4.6181876875652332E-3</v>
      </c>
      <c r="DK10">
        <v>-7.5994675188725122E-3</v>
      </c>
      <c r="DL10">
        <v>-1.0378851239950337E-2</v>
      </c>
      <c r="DM10">
        <v>-1.2951625831410605E-2</v>
      </c>
      <c r="DN10">
        <v>-1.5341107480179049E-2</v>
      </c>
      <c r="DO10">
        <v>-1.7548023560113663E-2</v>
      </c>
      <c r="DP10">
        <v>-1.9586832530210489E-2</v>
      </c>
    </row>
    <row r="11" spans="1:120" x14ac:dyDescent="0.2">
      <c r="A11">
        <v>0.30978095001694483</v>
      </c>
      <c r="B11">
        <v>0.66391450108555472</v>
      </c>
      <c r="C11">
        <v>0.85314907579681687</v>
      </c>
      <c r="D11">
        <v>0.93408832108815876</v>
      </c>
      <c r="E11">
        <v>0.96965340243587739</v>
      </c>
      <c r="F11">
        <v>0.98656785882684406</v>
      </c>
      <c r="G11">
        <v>0.99496066342834344</v>
      </c>
      <c r="H11">
        <v>0.99887728252156327</v>
      </c>
      <c r="I11">
        <v>1</v>
      </c>
      <c r="J11">
        <v>0.99900765507341216</v>
      </c>
      <c r="K11">
        <v>0.99613342308948294</v>
      </c>
      <c r="L11">
        <v>0.99138258844671168</v>
      </c>
      <c r="M11">
        <v>0.98462195607267156</v>
      </c>
      <c r="N11">
        <v>0.97564904602757752</v>
      </c>
      <c r="O11">
        <v>0.96419948766456665</v>
      </c>
      <c r="P11">
        <v>0.95004546656802624</v>
      </c>
      <c r="Q11">
        <v>0.93296866376679999</v>
      </c>
      <c r="R11">
        <v>0.91291541175883184</v>
      </c>
      <c r="S11">
        <v>0.89001203097821691</v>
      </c>
      <c r="T11">
        <v>0.86468045567366147</v>
      </c>
      <c r="U11">
        <v>0.83750763215879509</v>
      </c>
      <c r="V11">
        <v>0.80929543045790542</v>
      </c>
      <c r="W11">
        <v>0.78091226381439616</v>
      </c>
      <c r="X11">
        <v>0.75323642955585679</v>
      </c>
      <c r="Y11">
        <v>0.72705230600055515</v>
      </c>
      <c r="Z11">
        <v>0.70295191980218241</v>
      </c>
      <c r="AA11">
        <v>0.68138929811328874</v>
      </c>
      <c r="AB11">
        <v>0.66261962196691893</v>
      </c>
      <c r="AC11">
        <v>0.64675970772645552</v>
      </c>
      <c r="AD11">
        <v>0.63368570585823081</v>
      </c>
      <c r="AE11">
        <v>0.62335080073815907</v>
      </c>
      <c r="AF11">
        <v>0.61549111228923337</v>
      </c>
      <c r="AG11">
        <v>0.61007349581800085</v>
      </c>
      <c r="AH11">
        <v>0.60677572770397337</v>
      </c>
      <c r="AI11">
        <v>0.60548710801735472</v>
      </c>
      <c r="AJ11">
        <v>0.60593275738874341</v>
      </c>
      <c r="AK11">
        <v>0.60785152336047921</v>
      </c>
      <c r="AL11">
        <v>0.61101239612078273</v>
      </c>
      <c r="AM11">
        <v>0.6150577096367098</v>
      </c>
      <c r="AN11">
        <v>0.61978532054881796</v>
      </c>
      <c r="AO11">
        <v>0.62475370355780324</v>
      </c>
      <c r="AP11">
        <v>0.62967690273258747</v>
      </c>
      <c r="AQ11">
        <v>0.63429385011486905</v>
      </c>
      <c r="AR11">
        <v>0.63826440697810205</v>
      </c>
      <c r="AS11">
        <v>0.64133438385610042</v>
      </c>
      <c r="AT11">
        <v>0.64326449873194635</v>
      </c>
      <c r="AU11">
        <v>0.64384080747038697</v>
      </c>
      <c r="AV11">
        <v>0.6429312592583204</v>
      </c>
      <c r="AW11">
        <v>0.64049127708688747</v>
      </c>
      <c r="AX11">
        <v>0.63646185627123064</v>
      </c>
      <c r="AY11">
        <v>0.63090281305210871</v>
      </c>
      <c r="AZ11">
        <v>0.62382647181051831</v>
      </c>
      <c r="BA11">
        <v>0.61543395782107202</v>
      </c>
      <c r="BB11">
        <v>0.60585642641804671</v>
      </c>
      <c r="BC11">
        <v>0.59528834128194674</v>
      </c>
      <c r="BD11">
        <v>0.58391220875364469</v>
      </c>
      <c r="BE11">
        <v>0.57196794008914764</v>
      </c>
      <c r="BF11">
        <v>0.55962317175714238</v>
      </c>
      <c r="BG11">
        <v>0.54709346375614887</v>
      </c>
      <c r="BH11">
        <v>0.53455381831549509</v>
      </c>
      <c r="BI11">
        <v>0.52214001333150151</v>
      </c>
      <c r="BJ11">
        <v>0.51004232379281877</v>
      </c>
      <c r="BK11">
        <v>0.49833466553568401</v>
      </c>
      <c r="BL11">
        <v>0.48708863559519805</v>
      </c>
      <c r="BM11">
        <v>0.47634830523445476</v>
      </c>
      <c r="BN11">
        <v>0.46614094043600357</v>
      </c>
      <c r="BO11">
        <v>0.45642109656141761</v>
      </c>
      <c r="BP11">
        <v>0.44718280432143437</v>
      </c>
      <c r="BQ11">
        <v>0.43834522511591384</v>
      </c>
      <c r="BR11">
        <v>0.42988311634975196</v>
      </c>
      <c r="BS11">
        <v>0.42166571492872351</v>
      </c>
      <c r="BT11">
        <v>0.41362270282728192</v>
      </c>
      <c r="BU11">
        <v>0.40562893793891952</v>
      </c>
      <c r="BV11">
        <v>0.39757586358825775</v>
      </c>
      <c r="BW11">
        <v>0.38928280777006929</v>
      </c>
      <c r="BX11">
        <v>0.38065266822351052</v>
      </c>
      <c r="BY11">
        <v>0.37155466981711299</v>
      </c>
      <c r="BZ11">
        <v>0.36184003267099873</v>
      </c>
      <c r="CA11">
        <v>0.35136969938306023</v>
      </c>
      <c r="CB11">
        <v>0.34008852827289787</v>
      </c>
      <c r="CC11">
        <v>0.32796245448013578</v>
      </c>
      <c r="CD11">
        <v>0.31494858518306751</v>
      </c>
      <c r="CE11">
        <v>0.30111255763870459</v>
      </c>
      <c r="CF11">
        <v>0.28656747186325904</v>
      </c>
      <c r="CG11">
        <v>0.27143843533015977</v>
      </c>
      <c r="CH11">
        <v>0.2559334215899256</v>
      </c>
      <c r="CI11">
        <v>0.24018797234270425</v>
      </c>
      <c r="CJ11">
        <v>0.22443377599564698</v>
      </c>
      <c r="CK11">
        <v>0.20882413484036005</v>
      </c>
      <c r="CL11">
        <v>0.19354966117570785</v>
      </c>
      <c r="CM11">
        <v>0.17872549037279639</v>
      </c>
      <c r="CN11">
        <v>0.16445079508942034</v>
      </c>
      <c r="CO11">
        <v>0.15081447920497651</v>
      </c>
      <c r="CP11">
        <v>0.1378595049941328</v>
      </c>
      <c r="CQ11">
        <v>0.12561081903777277</v>
      </c>
      <c r="CR11">
        <v>0.11407745976067339</v>
      </c>
      <c r="CS11">
        <v>0.10325545645484295</v>
      </c>
      <c r="CT11">
        <v>9.3121858086939374E-2</v>
      </c>
      <c r="CU11">
        <v>8.3656846029005805E-2</v>
      </c>
      <c r="CV11">
        <v>7.4832105771156093E-2</v>
      </c>
      <c r="CW11">
        <v>6.6605477351545955E-2</v>
      </c>
      <c r="CX11">
        <v>5.8946278569217421E-2</v>
      </c>
      <c r="CY11">
        <v>5.1799904978735482E-2</v>
      </c>
      <c r="CZ11">
        <v>4.5166047755881705E-2</v>
      </c>
      <c r="DA11">
        <v>3.8979291739298823E-2</v>
      </c>
      <c r="DB11">
        <v>3.3225525503813295E-2</v>
      </c>
      <c r="DC11">
        <v>2.7866610206058257E-2</v>
      </c>
      <c r="DD11">
        <v>2.2872764561083451E-2</v>
      </c>
      <c r="DE11">
        <v>1.8231100721855027E-2</v>
      </c>
      <c r="DF11">
        <v>1.3897305034378957E-2</v>
      </c>
      <c r="DG11">
        <v>9.8607530926110645E-3</v>
      </c>
      <c r="DH11">
        <v>6.092023319527462E-3</v>
      </c>
      <c r="DI11">
        <v>2.5890037652456194E-3</v>
      </c>
      <c r="DJ11">
        <v>-6.8376752275023909E-4</v>
      </c>
      <c r="DK11">
        <v>-3.7211879517097114E-3</v>
      </c>
      <c r="DL11">
        <v>-6.5614941188849082E-3</v>
      </c>
      <c r="DM11">
        <v>-9.2004546687207284E-3</v>
      </c>
      <c r="DN11">
        <v>-1.1662691284940048E-2</v>
      </c>
      <c r="DO11">
        <v>-1.395031738885069E-2</v>
      </c>
      <c r="DP11">
        <v>-1.6079915749338296E-2</v>
      </c>
    </row>
    <row r="12" spans="1:120" x14ac:dyDescent="0.2">
      <c r="A12">
        <v>0.29224883673966839</v>
      </c>
      <c r="B12">
        <v>0.64590236125511313</v>
      </c>
      <c r="C12">
        <v>0.83736968075384366</v>
      </c>
      <c r="D12">
        <v>0.92120296869590557</v>
      </c>
      <c r="E12">
        <v>0.95955623305655746</v>
      </c>
      <c r="F12">
        <v>0.97900824396211417</v>
      </c>
      <c r="G12">
        <v>0.98972798698933184</v>
      </c>
      <c r="H12">
        <v>0.99581877462989221</v>
      </c>
      <c r="I12">
        <v>0.99900765507341227</v>
      </c>
      <c r="J12">
        <v>1</v>
      </c>
      <c r="K12">
        <v>0.99904185416335944</v>
      </c>
      <c r="L12">
        <v>0.99614707338006148</v>
      </c>
      <c r="M12">
        <v>0.99118301623925442</v>
      </c>
      <c r="N12">
        <v>0.98394074421234057</v>
      </c>
      <c r="O12">
        <v>0.97414613416981888</v>
      </c>
      <c r="P12">
        <v>0.96155118961625219</v>
      </c>
      <c r="Q12">
        <v>0.94592379254016501</v>
      </c>
      <c r="R12">
        <v>0.92719144963291289</v>
      </c>
      <c r="S12">
        <v>0.90546371438352069</v>
      </c>
      <c r="T12">
        <v>0.88114485098495987</v>
      </c>
      <c r="U12">
        <v>0.85481731576464826</v>
      </c>
      <c r="V12">
        <v>0.82728190015774883</v>
      </c>
      <c r="W12">
        <v>0.79941576297762451</v>
      </c>
      <c r="X12">
        <v>0.77211079265012228</v>
      </c>
      <c r="Y12">
        <v>0.74616400931921933</v>
      </c>
      <c r="Z12">
        <v>0.72218877146026872</v>
      </c>
      <c r="AA12">
        <v>0.70065231841312758</v>
      </c>
      <c r="AB12">
        <v>0.68182612677680621</v>
      </c>
      <c r="AC12">
        <v>0.66583910988439743</v>
      </c>
      <c r="AD12">
        <v>0.65257554232984805</v>
      </c>
      <c r="AE12">
        <v>0.6419999226056492</v>
      </c>
      <c r="AF12">
        <v>0.63385122855834741</v>
      </c>
      <c r="AG12">
        <v>0.6281012424388388</v>
      </c>
      <c r="AH12">
        <v>0.62443501959938685</v>
      </c>
      <c r="AI12">
        <v>0.62273915130985158</v>
      </c>
      <c r="AJ12">
        <v>0.62274247391295368</v>
      </c>
      <c r="AK12">
        <v>0.62418498392763255</v>
      </c>
      <c r="AL12">
        <v>0.62683497131187615</v>
      </c>
      <c r="AM12">
        <v>0.63033714532417151</v>
      </c>
      <c r="AN12">
        <v>0.63448991908174301</v>
      </c>
      <c r="AO12">
        <v>0.63885050795930187</v>
      </c>
      <c r="AP12">
        <v>0.64313855089070804</v>
      </c>
      <c r="AQ12">
        <v>0.64709293172112725</v>
      </c>
      <c r="AR12">
        <v>0.65037698384069098</v>
      </c>
      <c r="AS12">
        <v>0.65274078526371637</v>
      </c>
      <c r="AT12">
        <v>0.6539522122160617</v>
      </c>
      <c r="AU12">
        <v>0.65380311647648426</v>
      </c>
      <c r="AV12">
        <v>0.65216615215802443</v>
      </c>
      <c r="AW12">
        <v>0.64900153137622829</v>
      </c>
      <c r="AX12">
        <v>0.64426050881890806</v>
      </c>
      <c r="AY12">
        <v>0.63800958833507904</v>
      </c>
      <c r="AZ12">
        <v>0.63026476769121476</v>
      </c>
      <c r="BA12">
        <v>0.62123232733065936</v>
      </c>
      <c r="BB12">
        <v>0.61105127039376894</v>
      </c>
      <c r="BC12">
        <v>0.59991679743835924</v>
      </c>
      <c r="BD12">
        <v>0.58801269174419479</v>
      </c>
      <c r="BE12">
        <v>0.57558333705173048</v>
      </c>
      <c r="BF12">
        <v>0.56279554664784515</v>
      </c>
      <c r="BG12">
        <v>0.54986563180221981</v>
      </c>
      <c r="BH12">
        <v>0.53696760781959574</v>
      </c>
      <c r="BI12">
        <v>0.52423622993148322</v>
      </c>
      <c r="BJ12">
        <v>0.51186119557134024</v>
      </c>
      <c r="BK12">
        <v>0.49991219060476366</v>
      </c>
      <c r="BL12">
        <v>0.48846245654179182</v>
      </c>
      <c r="BM12">
        <v>0.47755358320391789</v>
      </c>
      <c r="BN12">
        <v>0.46720867087542284</v>
      </c>
      <c r="BO12">
        <v>0.4573832076111094</v>
      </c>
      <c r="BP12">
        <v>0.44806691264458831</v>
      </c>
      <c r="BQ12">
        <v>0.4391802785470712</v>
      </c>
      <c r="BR12">
        <v>0.43069608370750856</v>
      </c>
      <c r="BS12">
        <v>0.42248203976326121</v>
      </c>
      <c r="BT12">
        <v>0.41446664091444368</v>
      </c>
      <c r="BU12">
        <v>0.40652616319526802</v>
      </c>
      <c r="BV12">
        <v>0.39854839384027535</v>
      </c>
      <c r="BW12">
        <v>0.39035134175735131</v>
      </c>
      <c r="BX12">
        <v>0.3818382993014372</v>
      </c>
      <c r="BY12">
        <v>0.37287679759675829</v>
      </c>
      <c r="BZ12">
        <v>0.3633148531753862</v>
      </c>
      <c r="CA12">
        <v>0.35301171155431349</v>
      </c>
      <c r="CB12">
        <v>0.34190842926160608</v>
      </c>
      <c r="CC12">
        <v>0.32996968281037908</v>
      </c>
      <c r="CD12">
        <v>0.31714625923634659</v>
      </c>
      <c r="CE12">
        <v>0.30350146389038929</v>
      </c>
      <c r="CF12">
        <v>0.28914531588098924</v>
      </c>
      <c r="CG12">
        <v>0.27419778436823888</v>
      </c>
      <c r="CH12">
        <v>0.25886674001260024</v>
      </c>
      <c r="CI12">
        <v>0.24328287774818685</v>
      </c>
      <c r="CJ12">
        <v>0.22767786103613499</v>
      </c>
      <c r="CK12">
        <v>0.21220331626278563</v>
      </c>
      <c r="CL12">
        <v>0.19705058708123624</v>
      </c>
      <c r="CM12">
        <v>0.18233333048694025</v>
      </c>
      <c r="CN12">
        <v>0.16815229054791636</v>
      </c>
      <c r="CO12">
        <v>0.15459722248946081</v>
      </c>
      <c r="CP12">
        <v>0.14171190670279638</v>
      </c>
      <c r="CQ12">
        <v>0.12952089453427496</v>
      </c>
      <c r="CR12">
        <v>0.11803618080230643</v>
      </c>
      <c r="CS12">
        <v>0.10725293932110375</v>
      </c>
      <c r="CT12">
        <v>9.7150722808785339E-2</v>
      </c>
      <c r="CU12">
        <v>8.7710039402569162E-2</v>
      </c>
      <c r="CV12">
        <v>7.8902547273623544E-2</v>
      </c>
      <c r="CW12">
        <v>7.0687475604370151E-2</v>
      </c>
      <c r="CX12">
        <v>6.303501478022025E-2</v>
      </c>
      <c r="CY12">
        <v>5.5889682321323658E-2</v>
      </c>
      <c r="CZ12">
        <v>4.9253065133480309E-2</v>
      </c>
      <c r="DA12">
        <v>4.3059411514346335E-2</v>
      </c>
      <c r="DB12">
        <v>3.7294560479414464E-2</v>
      </c>
      <c r="DC12">
        <v>3.1921137694556956E-2</v>
      </c>
      <c r="DD12">
        <v>2.6909257526060833E-2</v>
      </c>
      <c r="DE12">
        <v>2.2246036456145243E-2</v>
      </c>
      <c r="DF12">
        <v>1.7887172797891478E-2</v>
      </c>
      <c r="DG12">
        <v>1.3821872483655774E-2</v>
      </c>
      <c r="DH12">
        <v>1.0020836580670876E-2</v>
      </c>
      <c r="DI12">
        <v>6.4818193471337469E-3</v>
      </c>
      <c r="DJ12">
        <v>3.1687041168823741E-3</v>
      </c>
      <c r="DK12">
        <v>8.6438512480203065E-5</v>
      </c>
      <c r="DL12">
        <v>-2.8042824050674756E-3</v>
      </c>
      <c r="DM12">
        <v>-5.4996828698906583E-3</v>
      </c>
      <c r="DN12">
        <v>-8.0256534027693931E-3</v>
      </c>
      <c r="DO12">
        <v>-1.0385764289740512E-2</v>
      </c>
      <c r="DP12">
        <v>-1.2598677551827404E-2</v>
      </c>
    </row>
    <row r="13" spans="1:120" x14ac:dyDescent="0.2">
      <c r="A13">
        <v>0.27990922175555033</v>
      </c>
      <c r="B13">
        <v>0.63124225557329461</v>
      </c>
      <c r="C13">
        <v>0.82313789723324038</v>
      </c>
      <c r="D13">
        <v>0.90859734464523145</v>
      </c>
      <c r="E13">
        <v>0.94890095457011903</v>
      </c>
      <c r="F13">
        <v>0.97033156578652802</v>
      </c>
      <c r="G13">
        <v>0.98300363159186965</v>
      </c>
      <c r="H13">
        <v>0.99102401379691507</v>
      </c>
      <c r="I13">
        <v>0.99613342308948305</v>
      </c>
      <c r="J13">
        <v>0.99904185416335933</v>
      </c>
      <c r="K13">
        <v>1</v>
      </c>
      <c r="L13">
        <v>0.99901809709078926</v>
      </c>
      <c r="M13">
        <v>0.99596097568676811</v>
      </c>
      <c r="N13">
        <v>0.99060647685388781</v>
      </c>
      <c r="O13">
        <v>0.98266626902671073</v>
      </c>
      <c r="P13">
        <v>0.97186645520384896</v>
      </c>
      <c r="Q13">
        <v>0.957954440664748</v>
      </c>
      <c r="R13">
        <v>0.9408308298223852</v>
      </c>
      <c r="S13">
        <v>0.92057994253626463</v>
      </c>
      <c r="T13">
        <v>0.89757883090740254</v>
      </c>
      <c r="U13">
        <v>0.87239591084381185</v>
      </c>
      <c r="V13">
        <v>0.84582284604288038</v>
      </c>
      <c r="W13">
        <v>0.81873840941465148</v>
      </c>
      <c r="X13">
        <v>0.79204246741627671</v>
      </c>
      <c r="Y13">
        <v>0.76654178652350702</v>
      </c>
      <c r="Z13">
        <v>0.74286909886595287</v>
      </c>
      <c r="AA13">
        <v>0.72150475041838702</v>
      </c>
      <c r="AB13">
        <v>0.70273680336490085</v>
      </c>
      <c r="AC13">
        <v>0.6867084511986109</v>
      </c>
      <c r="AD13">
        <v>0.67331507279538505</v>
      </c>
      <c r="AE13">
        <v>0.66253288130019627</v>
      </c>
      <c r="AF13">
        <v>0.65410785785858372</v>
      </c>
      <c r="AG13">
        <v>0.64801725397508003</v>
      </c>
      <c r="AH13">
        <v>0.64395492225297624</v>
      </c>
      <c r="AI13">
        <v>0.64180646509854955</v>
      </c>
      <c r="AJ13">
        <v>0.64130523750923041</v>
      </c>
      <c r="AK13">
        <v>0.64219408697509661</v>
      </c>
      <c r="AL13">
        <v>0.64424103911758124</v>
      </c>
      <c r="AM13">
        <v>0.64709504061604761</v>
      </c>
      <c r="AN13">
        <v>0.65055546196243907</v>
      </c>
      <c r="AO13">
        <v>0.65418077153736887</v>
      </c>
      <c r="AP13">
        <v>0.65769710708947426</v>
      </c>
      <c r="AQ13">
        <v>0.66084452812640571</v>
      </c>
      <c r="AR13">
        <v>0.66329221521709048</v>
      </c>
      <c r="AS13">
        <v>0.66479612068613259</v>
      </c>
      <c r="AT13">
        <v>0.66513312621935439</v>
      </c>
      <c r="AU13">
        <v>0.6641033454412737</v>
      </c>
      <c r="AV13">
        <v>0.66158557913667881</v>
      </c>
      <c r="AW13">
        <v>0.6575469496128149</v>
      </c>
      <c r="AX13">
        <v>0.65195025058345912</v>
      </c>
      <c r="AY13">
        <v>0.64487014395205922</v>
      </c>
      <c r="AZ13">
        <v>0.63632793995993508</v>
      </c>
      <c r="BA13">
        <v>0.62653510580998395</v>
      </c>
      <c r="BB13">
        <v>0.61563974516783393</v>
      </c>
      <c r="BC13">
        <v>0.60383802026683786</v>
      </c>
      <c r="BD13">
        <v>0.59131483798296391</v>
      </c>
      <c r="BE13">
        <v>0.57831897971991741</v>
      </c>
      <c r="BF13">
        <v>0.56501558717053002</v>
      </c>
      <c r="BG13">
        <v>0.55162212413510436</v>
      </c>
      <c r="BH13">
        <v>0.53830971812852246</v>
      </c>
      <c r="BI13">
        <v>0.52521235083400775</v>
      </c>
      <c r="BJ13">
        <v>0.51251775171885738</v>
      </c>
      <c r="BK13">
        <v>0.50029089313649211</v>
      </c>
      <c r="BL13">
        <v>0.48860608055954796</v>
      </c>
      <c r="BM13">
        <v>0.47750133793899546</v>
      </c>
      <c r="BN13">
        <v>0.46699553228515983</v>
      </c>
      <c r="BO13">
        <v>0.45704472423604037</v>
      </c>
      <c r="BP13">
        <v>0.44763376813513345</v>
      </c>
      <c r="BQ13">
        <v>0.4386845023825186</v>
      </c>
      <c r="BR13">
        <v>0.43016746179378218</v>
      </c>
      <c r="BS13">
        <v>0.4219489179477573</v>
      </c>
      <c r="BT13">
        <v>0.41395618058642569</v>
      </c>
      <c r="BU13">
        <v>0.40606704719123687</v>
      </c>
      <c r="BV13">
        <v>0.39816608326920383</v>
      </c>
      <c r="BW13">
        <v>0.39007029790755376</v>
      </c>
      <c r="BX13">
        <v>0.38168358548247439</v>
      </c>
      <c r="BY13">
        <v>0.37287207942633116</v>
      </c>
      <c r="BZ13">
        <v>0.36348128358264986</v>
      </c>
      <c r="CA13">
        <v>0.35336888381930259</v>
      </c>
      <c r="CB13">
        <v>0.34247251115166577</v>
      </c>
      <c r="CC13">
        <v>0.3307552858968914</v>
      </c>
      <c r="CD13">
        <v>0.31816204974610307</v>
      </c>
      <c r="CE13">
        <v>0.30475338445352856</v>
      </c>
      <c r="CF13">
        <v>0.29063545348611114</v>
      </c>
      <c r="CG13">
        <v>0.27592273247831567</v>
      </c>
      <c r="CH13">
        <v>0.26082183024410976</v>
      </c>
      <c r="CI13">
        <v>0.24545793686432546</v>
      </c>
      <c r="CJ13">
        <v>0.23006181755881783</v>
      </c>
      <c r="CK13">
        <v>0.21478246708643775</v>
      </c>
      <c r="CL13">
        <v>0.19981110028544738</v>
      </c>
      <c r="CM13">
        <v>0.1852594710398513</v>
      </c>
      <c r="CN13">
        <v>0.17122903649950827</v>
      </c>
      <c r="CO13">
        <v>0.15781013199790195</v>
      </c>
      <c r="CP13">
        <v>0.14504720460610013</v>
      </c>
      <c r="CQ13">
        <v>0.13296417663942595</v>
      </c>
      <c r="CR13">
        <v>0.1215755362156329</v>
      </c>
      <c r="CS13">
        <v>0.11087597629750728</v>
      </c>
      <c r="CT13">
        <v>0.10084742996779721</v>
      </c>
      <c r="CU13">
        <v>9.1470769592886303E-2</v>
      </c>
      <c r="CV13">
        <v>8.2717602226845793E-2</v>
      </c>
      <c r="CW13">
        <v>7.4548892868122746E-2</v>
      </c>
      <c r="CX13">
        <v>6.6935647208830121E-2</v>
      </c>
      <c r="CY13">
        <v>5.9821708983852431E-2</v>
      </c>
      <c r="CZ13">
        <v>5.3210597227881469E-2</v>
      </c>
      <c r="DA13">
        <v>4.7036463328443211E-2</v>
      </c>
      <c r="DB13">
        <v>4.1285172073915063E-2</v>
      </c>
      <c r="DC13">
        <v>3.5920230330833823E-2</v>
      </c>
      <c r="DD13">
        <v>3.0911690904249656E-2</v>
      </c>
      <c r="DE13">
        <v>2.6246796893655753E-2</v>
      </c>
      <c r="DF13">
        <v>2.188143920680875E-2</v>
      </c>
      <c r="DG13">
        <v>1.7804613762853218E-2</v>
      </c>
      <c r="DH13">
        <v>1.3987412940843541E-2</v>
      </c>
      <c r="DI13">
        <v>1.0427293559213383E-2</v>
      </c>
      <c r="DJ13">
        <v>7.0877222780660696E-3</v>
      </c>
      <c r="DK13">
        <v>3.9734527248320743E-3</v>
      </c>
      <c r="DL13">
        <v>1.0441884692750547E-3</v>
      </c>
      <c r="DM13">
        <v>-1.696685701411694E-3</v>
      </c>
      <c r="DN13">
        <v>-4.276307475280133E-3</v>
      </c>
      <c r="DO13">
        <v>-6.6997334734582876E-3</v>
      </c>
      <c r="DP13">
        <v>-8.9876834700980297E-3</v>
      </c>
    </row>
    <row r="14" spans="1:120" x14ac:dyDescent="0.2">
      <c r="A14">
        <v>0.27136135434895198</v>
      </c>
      <c r="B14">
        <v>0.61887699104654537</v>
      </c>
      <c r="C14">
        <v>0.80977535557432589</v>
      </c>
      <c r="D14">
        <v>0.89586458672766989</v>
      </c>
      <c r="E14">
        <v>0.93745494712002353</v>
      </c>
      <c r="F14">
        <v>0.96041525940801964</v>
      </c>
      <c r="G14">
        <v>0.97473310966141335</v>
      </c>
      <c r="H14">
        <v>0.98447831967611243</v>
      </c>
      <c r="I14">
        <v>0.99138258844671157</v>
      </c>
      <c r="J14">
        <v>0.99614707338006148</v>
      </c>
      <c r="K14">
        <v>0.99901809709078915</v>
      </c>
      <c r="L14">
        <v>1</v>
      </c>
      <c r="M14">
        <v>0.9989495588691788</v>
      </c>
      <c r="N14">
        <v>0.99562865805918466</v>
      </c>
      <c r="O14">
        <v>0.98973161906739315</v>
      </c>
      <c r="P14">
        <v>0.98095432792639903</v>
      </c>
      <c r="Q14">
        <v>0.96901769889570366</v>
      </c>
      <c r="R14">
        <v>0.95378774059298488</v>
      </c>
      <c r="S14">
        <v>0.93531511333641926</v>
      </c>
      <c r="T14">
        <v>0.91394009735410153</v>
      </c>
      <c r="U14">
        <v>0.8902071340910207</v>
      </c>
      <c r="V14">
        <v>0.8648902697670966</v>
      </c>
      <c r="W14">
        <v>0.83886203752100741</v>
      </c>
      <c r="X14">
        <v>0.81302446226696756</v>
      </c>
      <c r="Y14">
        <v>0.78819049628002702</v>
      </c>
      <c r="Z14">
        <v>0.76500985363554741</v>
      </c>
      <c r="AA14">
        <v>0.743975638014297</v>
      </c>
      <c r="AB14">
        <v>0.72539276385818152</v>
      </c>
      <c r="AC14">
        <v>0.70942037827622773</v>
      </c>
      <c r="AD14">
        <v>0.69596794107956195</v>
      </c>
      <c r="AE14">
        <v>0.68502395442258224</v>
      </c>
      <c r="AF14">
        <v>0.67634511067338221</v>
      </c>
      <c r="AG14">
        <v>0.6699146237268635</v>
      </c>
      <c r="AH14">
        <v>0.66543679639302744</v>
      </c>
      <c r="AI14">
        <v>0.66279774910661438</v>
      </c>
      <c r="AJ14">
        <v>0.66173615246539585</v>
      </c>
      <c r="AK14">
        <v>0.66199959079775916</v>
      </c>
      <c r="AL14">
        <v>0.66335598756380987</v>
      </c>
      <c r="AM14">
        <v>0.66546055494967227</v>
      </c>
      <c r="AN14">
        <v>0.66811387862724836</v>
      </c>
      <c r="AO14">
        <v>0.67087848649180681</v>
      </c>
      <c r="AP14">
        <v>0.67348769085977567</v>
      </c>
      <c r="AQ14">
        <v>0.67568417505032152</v>
      </c>
      <c r="AR14">
        <v>0.67714543922618586</v>
      </c>
      <c r="AS14">
        <v>0.67763522638415674</v>
      </c>
      <c r="AT14">
        <v>0.67694088065893898</v>
      </c>
      <c r="AU14">
        <v>0.67487361113780864</v>
      </c>
      <c r="AV14">
        <v>0.67131970673310637</v>
      </c>
      <c r="AW14">
        <v>0.66625554013011046</v>
      </c>
      <c r="AX14">
        <v>0.65965667903094327</v>
      </c>
      <c r="AY14">
        <v>0.65160759426684056</v>
      </c>
      <c r="AZ14">
        <v>0.64213659513182975</v>
      </c>
      <c r="BA14">
        <v>0.63146048078299788</v>
      </c>
      <c r="BB14">
        <v>0.61973756370118827</v>
      </c>
      <c r="BC14">
        <v>0.60716538274045984</v>
      </c>
      <c r="BD14">
        <v>0.59392986185954666</v>
      </c>
      <c r="BE14">
        <v>0.58028402967556569</v>
      </c>
      <c r="BF14">
        <v>0.5663907720352056</v>
      </c>
      <c r="BG14">
        <v>0.55246879804977456</v>
      </c>
      <c r="BH14">
        <v>0.53868476333998261</v>
      </c>
      <c r="BI14">
        <v>0.52517193459484623</v>
      </c>
      <c r="BJ14">
        <v>0.51211469085359029</v>
      </c>
      <c r="BK14">
        <v>0.49957298761742441</v>
      </c>
      <c r="BL14">
        <v>0.48762133082385517</v>
      </c>
      <c r="BM14">
        <v>0.47629339952535776</v>
      </c>
      <c r="BN14">
        <v>0.46560350212359475</v>
      </c>
      <c r="BO14">
        <v>0.455508039232638</v>
      </c>
      <c r="BP14">
        <v>0.44598632924971721</v>
      </c>
      <c r="BQ14">
        <v>0.43696169812626251</v>
      </c>
      <c r="BR14">
        <v>0.42840202079303874</v>
      </c>
      <c r="BS14">
        <v>0.42017238053494094</v>
      </c>
      <c r="BT14">
        <v>0.41219868680723659</v>
      </c>
      <c r="BU14">
        <v>0.40436030871440443</v>
      </c>
      <c r="BV14">
        <v>0.39653916730040717</v>
      </c>
      <c r="BW14">
        <v>0.38855148197699663</v>
      </c>
      <c r="BX14">
        <v>0.38030182461316797</v>
      </c>
      <c r="BY14">
        <v>0.37165530579781791</v>
      </c>
      <c r="BZ14">
        <v>0.36245553161236366</v>
      </c>
      <c r="CA14">
        <v>0.35255852351743322</v>
      </c>
      <c r="CB14">
        <v>0.34189901077518642</v>
      </c>
      <c r="CC14">
        <v>0.33043814210852679</v>
      </c>
      <c r="CD14">
        <v>0.31811514784573913</v>
      </c>
      <c r="CE14">
        <v>0.3049874566333321</v>
      </c>
      <c r="CF14">
        <v>0.29115648649624659</v>
      </c>
      <c r="CG14">
        <v>0.27673097427534149</v>
      </c>
      <c r="CH14">
        <v>0.26191512020933866</v>
      </c>
      <c r="CI14">
        <v>0.246827997251996</v>
      </c>
      <c r="CJ14">
        <v>0.2316985733610295</v>
      </c>
      <c r="CK14">
        <v>0.21667235000286877</v>
      </c>
      <c r="CL14">
        <v>0.20193959691613805</v>
      </c>
      <c r="CM14">
        <v>0.18760986709850525</v>
      </c>
      <c r="CN14">
        <v>0.17378443544708461</v>
      </c>
      <c r="CO14">
        <v>0.16055400839096329</v>
      </c>
      <c r="CP14">
        <v>0.14796353452279026</v>
      </c>
      <c r="CQ14">
        <v>0.13603615198544908</v>
      </c>
      <c r="CR14">
        <v>0.12478844687130473</v>
      </c>
      <c r="CS14">
        <v>0.11421498946631203</v>
      </c>
      <c r="CT14">
        <v>0.10429994866400441</v>
      </c>
      <c r="CU14">
        <v>9.5024627783633478E-2</v>
      </c>
      <c r="CV14">
        <v>8.6360611963425607E-2</v>
      </c>
      <c r="CW14">
        <v>7.8270852577926348E-2</v>
      </c>
      <c r="CX14">
        <v>7.0727177363505131E-2</v>
      </c>
      <c r="CY14">
        <v>6.3672984884445713E-2</v>
      </c>
      <c r="CZ14">
        <v>5.7113716185867955E-2</v>
      </c>
      <c r="DA14">
        <v>5.0983663738160198E-2</v>
      </c>
      <c r="DB14">
        <v>4.5268779579182024E-2</v>
      </c>
      <c r="DC14">
        <v>3.9933572201310726E-2</v>
      </c>
      <c r="DD14">
        <v>3.4948067859406719E-2</v>
      </c>
      <c r="DE14">
        <v>3.0299734932849886E-2</v>
      </c>
      <c r="DF14">
        <v>2.5944834158424072E-2</v>
      </c>
      <c r="DG14">
        <v>2.1872117117070856E-2</v>
      </c>
      <c r="DH14">
        <v>1.8053252463296147E-2</v>
      </c>
      <c r="DI14">
        <v>1.4485299899748807E-2</v>
      </c>
      <c r="DJ14">
        <v>1.113146330793922E-2</v>
      </c>
      <c r="DK14">
        <v>7.9962498127331121E-3</v>
      </c>
      <c r="DL14">
        <v>5.0383730607140437E-3</v>
      </c>
      <c r="DM14">
        <v>2.2608610296408782E-3</v>
      </c>
      <c r="DN14">
        <v>-3.6473567676650843E-4</v>
      </c>
      <c r="DO14">
        <v>-2.8451107764853921E-3</v>
      </c>
      <c r="DP14">
        <v>-5.2032004185343008E-3</v>
      </c>
    </row>
    <row r="15" spans="1:120" x14ac:dyDescent="0.2">
      <c r="A15">
        <v>0.26568411975719619</v>
      </c>
      <c r="B15">
        <v>0.6080646837140401</v>
      </c>
      <c r="C15">
        <v>0.79675860320447589</v>
      </c>
      <c r="D15">
        <v>0.88264109298396776</v>
      </c>
      <c r="E15">
        <v>0.92495648107147044</v>
      </c>
      <c r="F15">
        <v>0.94906039888460281</v>
      </c>
      <c r="G15">
        <v>0.96475487826211981</v>
      </c>
      <c r="H15">
        <v>0.97604013717794424</v>
      </c>
      <c r="I15">
        <v>0.98462195607267156</v>
      </c>
      <c r="J15">
        <v>0.99118301623925431</v>
      </c>
      <c r="K15">
        <v>0.995960975686768</v>
      </c>
      <c r="L15">
        <v>0.99894955886917869</v>
      </c>
      <c r="M15">
        <v>1</v>
      </c>
      <c r="N15">
        <v>0.99885263386177703</v>
      </c>
      <c r="O15">
        <v>0.99518429981521694</v>
      </c>
      <c r="P15">
        <v>0.98865698256216206</v>
      </c>
      <c r="Q15">
        <v>0.97895946025280034</v>
      </c>
      <c r="R15">
        <v>0.96591548622755607</v>
      </c>
      <c r="S15">
        <v>0.94953322584419331</v>
      </c>
      <c r="T15">
        <v>0.93010621839881813</v>
      </c>
      <c r="U15">
        <v>0.90814458157388389</v>
      </c>
      <c r="V15">
        <v>0.88439489107150437</v>
      </c>
      <c r="W15">
        <v>0.85971518530592106</v>
      </c>
      <c r="X15">
        <v>0.83500288031402248</v>
      </c>
      <c r="Y15">
        <v>0.81107311966925399</v>
      </c>
      <c r="Z15">
        <v>0.78858970462326206</v>
      </c>
      <c r="AA15">
        <v>0.76805794544611261</v>
      </c>
      <c r="AB15">
        <v>0.74979970210533531</v>
      </c>
      <c r="AC15">
        <v>0.73399161900147591</v>
      </c>
      <c r="AD15">
        <v>0.72056016648864252</v>
      </c>
      <c r="AE15">
        <v>0.70950682880264737</v>
      </c>
      <c r="AF15">
        <v>0.70060277924033065</v>
      </c>
      <c r="AG15">
        <v>0.69383762739703758</v>
      </c>
      <c r="AH15">
        <v>0.68892778050298265</v>
      </c>
      <c r="AI15">
        <v>0.68576143398945566</v>
      </c>
      <c r="AJ15">
        <v>0.6840836180404839</v>
      </c>
      <c r="AK15">
        <v>0.68364811300500072</v>
      </c>
      <c r="AL15">
        <v>0.68422338292311635</v>
      </c>
      <c r="AM15">
        <v>0.68547262992201019</v>
      </c>
      <c r="AN15">
        <v>0.68719839272749872</v>
      </c>
      <c r="AO15">
        <v>0.6889698253778993</v>
      </c>
      <c r="AP15">
        <v>0.69052823167462885</v>
      </c>
      <c r="AQ15">
        <v>0.6916206836007267</v>
      </c>
      <c r="AR15">
        <v>0.69193555543201257</v>
      </c>
      <c r="AS15">
        <v>0.69124622237553135</v>
      </c>
      <c r="AT15">
        <v>0.68935252792167234</v>
      </c>
      <c r="AU15">
        <v>0.68607948072450242</v>
      </c>
      <c r="AV15">
        <v>0.68132246242833372</v>
      </c>
      <c r="AW15">
        <v>0.67506968665751388</v>
      </c>
      <c r="AX15">
        <v>0.66731084852915912</v>
      </c>
      <c r="AY15">
        <v>0.65814212998318988</v>
      </c>
      <c r="AZ15">
        <v>0.64760034583708703</v>
      </c>
      <c r="BA15">
        <v>0.63590805880121848</v>
      </c>
      <c r="BB15">
        <v>0.62323513499913819</v>
      </c>
      <c r="BC15">
        <v>0.60978075112317465</v>
      </c>
      <c r="BD15">
        <v>0.59573180502476775</v>
      </c>
      <c r="BE15">
        <v>0.58134547666917891</v>
      </c>
      <c r="BF15">
        <v>0.56678188703694876</v>
      </c>
      <c r="BG15">
        <v>0.55226089054559846</v>
      </c>
      <c r="BH15">
        <v>0.53794306122836344</v>
      </c>
      <c r="BI15">
        <v>0.52396103521154225</v>
      </c>
      <c r="BJ15">
        <v>0.51049445017105188</v>
      </c>
      <c r="BK15">
        <v>0.49759783725819978</v>
      </c>
      <c r="BL15">
        <v>0.48534503356378766</v>
      </c>
      <c r="BM15">
        <v>0.4737644287476328</v>
      </c>
      <c r="BN15">
        <v>0.46286560965193718</v>
      </c>
      <c r="BO15">
        <v>0.4526048215015035</v>
      </c>
      <c r="BP15">
        <v>0.44295538160683751</v>
      </c>
      <c r="BQ15">
        <v>0.43384205753555211</v>
      </c>
      <c r="BR15">
        <v>0.42522978940581829</v>
      </c>
      <c r="BS15">
        <v>0.41698266066341472</v>
      </c>
      <c r="BT15">
        <v>0.40902500179088913</v>
      </c>
      <c r="BU15">
        <v>0.40123793517309514</v>
      </c>
      <c r="BV15">
        <v>0.39350113416183541</v>
      </c>
      <c r="BW15">
        <v>0.3856303686418372</v>
      </c>
      <c r="BX15">
        <v>0.37753115038856289</v>
      </c>
      <c r="BY15">
        <v>0.36906776692447157</v>
      </c>
      <c r="BZ15">
        <v>0.36008267827045642</v>
      </c>
      <c r="CA15">
        <v>0.35043023803078205</v>
      </c>
      <c r="CB15">
        <v>0.34004262169656541</v>
      </c>
      <c r="CC15">
        <v>0.32887880836754679</v>
      </c>
      <c r="CD15">
        <v>0.31687249511303389</v>
      </c>
      <c r="CE15">
        <v>0.30407754344466859</v>
      </c>
      <c r="CF15">
        <v>0.29058979536844931</v>
      </c>
      <c r="CG15">
        <v>0.2765116941286192</v>
      </c>
      <c r="CH15">
        <v>0.26204385240682077</v>
      </c>
      <c r="CI15">
        <v>0.24729853585102116</v>
      </c>
      <c r="CJ15">
        <v>0.23250181267637066</v>
      </c>
      <c r="CK15">
        <v>0.21779480531373868</v>
      </c>
      <c r="CL15">
        <v>0.20336586569538614</v>
      </c>
      <c r="CM15">
        <v>0.18932201489544517</v>
      </c>
      <c r="CN15">
        <v>0.17576335935448925</v>
      </c>
      <c r="CO15">
        <v>0.16278073253280118</v>
      </c>
      <c r="CP15">
        <v>0.15041942019879312</v>
      </c>
      <c r="CQ15">
        <v>0.13870158364565635</v>
      </c>
      <c r="CR15">
        <v>0.12764550541165329</v>
      </c>
      <c r="CS15">
        <v>0.11724595907333367</v>
      </c>
      <c r="CT15">
        <v>0.10748931336096816</v>
      </c>
      <c r="CU15">
        <v>9.8357308079995182E-2</v>
      </c>
      <c r="CV15">
        <v>8.9821576510644069E-2</v>
      </c>
      <c r="CW15">
        <v>8.1847347856744149E-2</v>
      </c>
      <c r="CX15">
        <v>7.4407278023831291E-2</v>
      </c>
      <c r="CY15">
        <v>6.7444519761861138E-2</v>
      </c>
      <c r="CZ15">
        <v>6.0966520558522808E-2</v>
      </c>
      <c r="DA15">
        <v>5.4907933780233106E-2</v>
      </c>
      <c r="DB15">
        <v>4.9254898828646171E-2</v>
      </c>
      <c r="DC15">
        <v>4.3973034115705266E-2</v>
      </c>
      <c r="DD15">
        <v>3.903240599091632E-2</v>
      </c>
      <c r="DE15">
        <v>3.4420867732540064E-2</v>
      </c>
      <c r="DF15">
        <v>3.0095166020942837E-2</v>
      </c>
      <c r="DG15">
        <v>2.6043848965774836E-2</v>
      </c>
      <c r="DH15">
        <v>2.2239308322841277E-2</v>
      </c>
      <c r="DI15">
        <v>1.8678177819233328E-2</v>
      </c>
      <c r="DJ15">
        <v>1.5323528597916426E-2</v>
      </c>
      <c r="DK15">
        <v>1.2179590606804692E-2</v>
      </c>
      <c r="DL15">
        <v>9.2041692422285201E-3</v>
      </c>
      <c r="DM15">
        <v>6.3999250228364774E-3</v>
      </c>
      <c r="DN15">
        <v>3.7371116210382972E-3</v>
      </c>
      <c r="DO15">
        <v>1.2072877354377643E-3</v>
      </c>
      <c r="DP15">
        <v>-1.2147810916898617E-3</v>
      </c>
    </row>
    <row r="16" spans="1:120" x14ac:dyDescent="0.2">
      <c r="A16">
        <v>0.26196550145587327</v>
      </c>
      <c r="B16">
        <v>0.59804315171610234</v>
      </c>
      <c r="C16">
        <v>0.78352464504042418</v>
      </c>
      <c r="D16">
        <v>0.86851475820168134</v>
      </c>
      <c r="E16">
        <v>0.91109065494842134</v>
      </c>
      <c r="F16">
        <v>0.93601168403661383</v>
      </c>
      <c r="G16">
        <v>0.95284760529325629</v>
      </c>
      <c r="H16">
        <v>0.96550414887696911</v>
      </c>
      <c r="I16">
        <v>0.97564904602757752</v>
      </c>
      <c r="J16">
        <v>0.98394074421234068</v>
      </c>
      <c r="K16">
        <v>0.99060647685388781</v>
      </c>
      <c r="L16">
        <v>0.99562865805918443</v>
      </c>
      <c r="M16">
        <v>0.99885263386177703</v>
      </c>
      <c r="N16">
        <v>1</v>
      </c>
      <c r="O16">
        <v>0.99872705581368371</v>
      </c>
      <c r="P16">
        <v>0.9946611196812295</v>
      </c>
      <c r="Q16">
        <v>0.98745390335606509</v>
      </c>
      <c r="R16">
        <v>0.97687970328415752</v>
      </c>
      <c r="S16">
        <v>0.96289588107418</v>
      </c>
      <c r="T16">
        <v>0.94573901105713276</v>
      </c>
      <c r="U16">
        <v>0.92587428880014588</v>
      </c>
      <c r="V16">
        <v>0.90401052704497975</v>
      </c>
      <c r="W16">
        <v>0.88098224063167019</v>
      </c>
      <c r="X16">
        <v>0.85767474584141445</v>
      </c>
      <c r="Y16">
        <v>0.83490076484527409</v>
      </c>
      <c r="Z16">
        <v>0.8133347103100973</v>
      </c>
      <c r="AA16">
        <v>0.79349317469353342</v>
      </c>
      <c r="AB16">
        <v>0.77571460607677101</v>
      </c>
      <c r="AC16">
        <v>0.76019441405660892</v>
      </c>
      <c r="AD16">
        <v>0.74687865401311226</v>
      </c>
      <c r="AE16">
        <v>0.73578277749204302</v>
      </c>
      <c r="AF16">
        <v>0.72669572377281144</v>
      </c>
      <c r="AG16">
        <v>0.71961385097334718</v>
      </c>
      <c r="AH16">
        <v>0.71426744988256219</v>
      </c>
      <c r="AI16">
        <v>0.71054809781911077</v>
      </c>
      <c r="AJ16">
        <v>0.70820823118320331</v>
      </c>
      <c r="AK16">
        <v>0.70700941978802279</v>
      </c>
      <c r="AL16">
        <v>0.70672101402835219</v>
      </c>
      <c r="AM16">
        <v>0.70701621273617798</v>
      </c>
      <c r="AN16">
        <v>0.70770009585756788</v>
      </c>
      <c r="AO16">
        <v>0.70835102645938408</v>
      </c>
      <c r="AP16">
        <v>0.70871931663622034</v>
      </c>
      <c r="AQ16">
        <v>0.70855809879733944</v>
      </c>
      <c r="AR16">
        <v>0.70756926056634628</v>
      </c>
      <c r="AS16">
        <v>0.70553797069567059</v>
      </c>
      <c r="AT16">
        <v>0.7022781257887547</v>
      </c>
      <c r="AU16">
        <v>0.6976317208584577</v>
      </c>
      <c r="AV16">
        <v>0.69150472249900496</v>
      </c>
      <c r="AW16">
        <v>0.6838999531447012</v>
      </c>
      <c r="AX16">
        <v>0.6748225680726857</v>
      </c>
      <c r="AY16">
        <v>0.66438240002256044</v>
      </c>
      <c r="AZ16">
        <v>0.65262646405087277</v>
      </c>
      <c r="BA16">
        <v>0.63978365496116996</v>
      </c>
      <c r="BB16">
        <v>0.62603644340209053</v>
      </c>
      <c r="BC16">
        <v>0.61158616913239061</v>
      </c>
      <c r="BD16">
        <v>0.59662071136860384</v>
      </c>
      <c r="BE16">
        <v>0.5814012526711243</v>
      </c>
      <c r="BF16">
        <v>0.56608486078611109</v>
      </c>
      <c r="BG16">
        <v>0.55089205436074318</v>
      </c>
      <c r="BH16">
        <v>0.53597615039121416</v>
      </c>
      <c r="BI16">
        <v>0.52146890437428794</v>
      </c>
      <c r="BJ16">
        <v>0.50754406633796834</v>
      </c>
      <c r="BK16">
        <v>0.49425020367451694</v>
      </c>
      <c r="BL16">
        <v>0.48165951788927885</v>
      </c>
      <c r="BM16">
        <v>0.46979440485748669</v>
      </c>
      <c r="BN16">
        <v>0.45865938103185178</v>
      </c>
      <c r="BO16">
        <v>0.44821009649880433</v>
      </c>
      <c r="BP16">
        <v>0.43841334495868933</v>
      </c>
      <c r="BQ16">
        <v>0.42919537715038253</v>
      </c>
      <c r="BR16">
        <v>0.42051789684249902</v>
      </c>
      <c r="BS16">
        <v>0.41224414661080566</v>
      </c>
      <c r="BT16">
        <v>0.40429681979427262</v>
      </c>
      <c r="BU16">
        <v>0.39655882335552317</v>
      </c>
      <c r="BV16">
        <v>0.38890825111043875</v>
      </c>
      <c r="BW16">
        <v>0.38116069767094019</v>
      </c>
      <c r="BX16">
        <v>0.37322282968913489</v>
      </c>
      <c r="BY16">
        <v>0.36495854768921088</v>
      </c>
      <c r="BZ16">
        <v>0.35620992175542193</v>
      </c>
      <c r="CA16">
        <v>0.34682960958602616</v>
      </c>
      <c r="CB16">
        <v>0.3367477830215897</v>
      </c>
      <c r="CC16">
        <v>0.32592110021827492</v>
      </c>
      <c r="CD16">
        <v>0.31427779539136358</v>
      </c>
      <c r="CE16">
        <v>0.30186784148702761</v>
      </c>
      <c r="CF16">
        <v>0.28878059844233162</v>
      </c>
      <c r="CG16">
        <v>0.27511170266098578</v>
      </c>
      <c r="CH16">
        <v>0.26105694273720748</v>
      </c>
      <c r="CI16">
        <v>0.24672102135036278</v>
      </c>
      <c r="CJ16">
        <v>0.23232598158544657</v>
      </c>
      <c r="CK16">
        <v>0.21800749215644707</v>
      </c>
      <c r="CL16">
        <v>0.20395105944060932</v>
      </c>
      <c r="CM16">
        <v>0.19026069433904633</v>
      </c>
      <c r="CN16">
        <v>0.17703435693538969</v>
      </c>
      <c r="CO16">
        <v>0.16436258189247452</v>
      </c>
      <c r="CP16">
        <v>0.15229088726324286</v>
      </c>
      <c r="CQ16">
        <v>0.14084019565387679</v>
      </c>
      <c r="CR16">
        <v>0.13003001210472029</v>
      </c>
      <c r="CS16">
        <v>0.11985566361853578</v>
      </c>
      <c r="CT16">
        <v>0.11030557290542688</v>
      </c>
      <c r="CU16">
        <v>0.10136203440824937</v>
      </c>
      <c r="CV16">
        <v>9.2996770479839605E-2</v>
      </c>
      <c r="CW16">
        <v>8.5177456344375388E-2</v>
      </c>
      <c r="CX16">
        <v>7.7877710800037969E-2</v>
      </c>
      <c r="CY16">
        <v>7.1040617405517009E-2</v>
      </c>
      <c r="CZ16">
        <v>6.467567135701871E-2</v>
      </c>
      <c r="DA16">
        <v>5.8718122207236975E-2</v>
      </c>
      <c r="DB16">
        <v>5.3154446818756224E-2</v>
      </c>
      <c r="DC16">
        <v>4.7951390443138078E-2</v>
      </c>
      <c r="DD16">
        <v>4.3079273866433745E-2</v>
      </c>
      <c r="DE16">
        <v>3.8526362248223756E-2</v>
      </c>
      <c r="DF16">
        <v>3.4250061230633941E-2</v>
      </c>
      <c r="DG16">
        <v>3.0238768691259112E-2</v>
      </c>
      <c r="DH16">
        <v>2.6465713952276732E-2</v>
      </c>
      <c r="DI16">
        <v>2.2927130165634836E-2</v>
      </c>
      <c r="DJ16">
        <v>1.9586026239495589E-2</v>
      </c>
      <c r="DK16">
        <v>1.6446357120535392E-2</v>
      </c>
      <c r="DL16">
        <v>1.3465047578413516E-2</v>
      </c>
      <c r="DM16">
        <v>1.0644400790068098E-2</v>
      </c>
      <c r="DN16">
        <v>7.9533776953457751E-3</v>
      </c>
      <c r="DO16">
        <v>5.3816248792185693E-3</v>
      </c>
      <c r="DP16">
        <v>2.901511617699437E-3</v>
      </c>
    </row>
    <row r="17" spans="1:120" x14ac:dyDescent="0.2">
      <c r="A17">
        <v>0.25966117510877301</v>
      </c>
      <c r="B17">
        <v>0.58829746883158074</v>
      </c>
      <c r="C17">
        <v>0.7696410345334963</v>
      </c>
      <c r="D17">
        <v>0.8531252412149446</v>
      </c>
      <c r="E17">
        <v>0.89554653918212968</v>
      </c>
      <c r="F17">
        <v>0.92098828782184228</v>
      </c>
      <c r="G17">
        <v>0.93874605689612256</v>
      </c>
      <c r="H17">
        <v>0.95260971020543705</v>
      </c>
      <c r="I17">
        <v>0.96419948766456665</v>
      </c>
      <c r="J17">
        <v>0.97414613416981888</v>
      </c>
      <c r="K17">
        <v>0.98266626902671073</v>
      </c>
      <c r="L17">
        <v>0.98973161906739304</v>
      </c>
      <c r="M17">
        <v>0.99518429981521705</v>
      </c>
      <c r="N17">
        <v>0.9987270558136836</v>
      </c>
      <c r="O17">
        <v>1</v>
      </c>
      <c r="P17">
        <v>0.9985913368703454</v>
      </c>
      <c r="Q17">
        <v>0.9941134556169543</v>
      </c>
      <c r="R17">
        <v>0.98628449059924561</v>
      </c>
      <c r="S17">
        <v>0.97500267047014078</v>
      </c>
      <c r="T17">
        <v>0.96043758777594934</v>
      </c>
      <c r="U17">
        <v>0.94299886202524263</v>
      </c>
      <c r="V17">
        <v>0.92334668274771858</v>
      </c>
      <c r="W17">
        <v>0.90228240158802953</v>
      </c>
      <c r="X17">
        <v>0.88067120071050276</v>
      </c>
      <c r="Y17">
        <v>0.85931816692367879</v>
      </c>
      <c r="Z17">
        <v>0.83890424387072737</v>
      </c>
      <c r="AA17">
        <v>0.81995597878968052</v>
      </c>
      <c r="AB17">
        <v>0.80282772564751681</v>
      </c>
      <c r="AC17">
        <v>0.78773446608446462</v>
      </c>
      <c r="AD17">
        <v>0.77464439628806647</v>
      </c>
      <c r="AE17">
        <v>0.76358755701759184</v>
      </c>
      <c r="AF17">
        <v>0.75437410501777646</v>
      </c>
      <c r="AG17">
        <v>0.74700696484296825</v>
      </c>
      <c r="AH17">
        <v>0.74123242953094171</v>
      </c>
      <c r="AI17">
        <v>0.73694647081182507</v>
      </c>
      <c r="AJ17">
        <v>0.73390996915060414</v>
      </c>
      <c r="AK17">
        <v>0.7318938793481522</v>
      </c>
      <c r="AL17">
        <v>0.73066891262779754</v>
      </c>
      <c r="AM17">
        <v>0.72991992444853271</v>
      </c>
      <c r="AN17">
        <v>0.72945554621177078</v>
      </c>
      <c r="AO17">
        <v>0.72886580265236889</v>
      </c>
      <c r="AP17">
        <v>0.7279109735501933</v>
      </c>
      <c r="AQ17">
        <v>0.72635213420174549</v>
      </c>
      <c r="AR17">
        <v>0.72390720426676192</v>
      </c>
      <c r="AS17">
        <v>0.72037552959940265</v>
      </c>
      <c r="AT17">
        <v>0.71558676836507862</v>
      </c>
      <c r="AU17">
        <v>0.70940280250750543</v>
      </c>
      <c r="AV17">
        <v>0.70174194266732748</v>
      </c>
      <c r="AW17">
        <v>0.69262443342974678</v>
      </c>
      <c r="AX17">
        <v>0.68207227315624597</v>
      </c>
      <c r="AY17">
        <v>0.67021091018776358</v>
      </c>
      <c r="AZ17">
        <v>0.65709928078791879</v>
      </c>
      <c r="BA17">
        <v>0.64297312509390847</v>
      </c>
      <c r="BB17">
        <v>0.62802887640631366</v>
      </c>
      <c r="BC17">
        <v>0.61247039362695688</v>
      </c>
      <c r="BD17">
        <v>0.59648652866004748</v>
      </c>
      <c r="BE17">
        <v>0.58034246449779214</v>
      </c>
      <c r="BF17">
        <v>0.56419193051996697</v>
      </c>
      <c r="BG17">
        <v>0.54825555777996704</v>
      </c>
      <c r="BH17">
        <v>0.53267835983002132</v>
      </c>
      <c r="BI17">
        <v>0.51759097776899632</v>
      </c>
      <c r="BJ17">
        <v>0.50315997077965713</v>
      </c>
      <c r="BK17">
        <v>0.48942755843918678</v>
      </c>
      <c r="BL17">
        <v>0.47646338204689004</v>
      </c>
      <c r="BM17">
        <v>0.46428303085974382</v>
      </c>
      <c r="BN17">
        <v>0.45288562997469656</v>
      </c>
      <c r="BO17">
        <v>0.4422259249118683</v>
      </c>
      <c r="BP17">
        <v>0.4322636019578</v>
      </c>
      <c r="BQ17">
        <v>0.42292644883445812</v>
      </c>
      <c r="BR17">
        <v>0.41417261972459812</v>
      </c>
      <c r="BS17">
        <v>0.40586477200348497</v>
      </c>
      <c r="BT17">
        <v>0.39792393463808889</v>
      </c>
      <c r="BU17">
        <v>0.3902348296829205</v>
      </c>
      <c r="BV17">
        <v>0.38267463243007244</v>
      </c>
      <c r="BW17">
        <v>0.37505912506470956</v>
      </c>
      <c r="BX17">
        <v>0.36729638975251122</v>
      </c>
      <c r="BY17">
        <v>0.35925036055267906</v>
      </c>
      <c r="BZ17">
        <v>0.3507634681976286</v>
      </c>
      <c r="CA17">
        <v>0.34168675613991489</v>
      </c>
      <c r="CB17">
        <v>0.33194886328281015</v>
      </c>
      <c r="CC17">
        <v>0.32150398247628625</v>
      </c>
      <c r="CD17">
        <v>0.31027493554069197</v>
      </c>
      <c r="CE17">
        <v>0.29830737273905289</v>
      </c>
      <c r="CF17">
        <v>0.28568335500552283</v>
      </c>
      <c r="CG17">
        <v>0.27249095771920434</v>
      </c>
      <c r="CH17">
        <v>0.25891993831109666</v>
      </c>
      <c r="CI17">
        <v>0.24506665291431162</v>
      </c>
      <c r="CJ17">
        <v>0.23114777244595833</v>
      </c>
      <c r="CK17">
        <v>0.21729260942077813</v>
      </c>
      <c r="CL17">
        <v>0.20368259403888228</v>
      </c>
      <c r="CM17">
        <v>0.19041843542972858</v>
      </c>
      <c r="CN17">
        <v>0.17759480641153627</v>
      </c>
      <c r="CO17">
        <v>0.16530153894448371</v>
      </c>
      <c r="CP17">
        <v>0.15358424139754756</v>
      </c>
      <c r="CQ17">
        <v>0.1424623617375585</v>
      </c>
      <c r="CR17">
        <v>0.13195622885430505</v>
      </c>
      <c r="CS17">
        <v>0.12206191417972422</v>
      </c>
      <c r="CT17">
        <v>0.11276992739102056</v>
      </c>
      <c r="CU17">
        <v>0.10406317000489367</v>
      </c>
      <c r="CV17">
        <v>9.5913520562892277E-2</v>
      </c>
      <c r="CW17">
        <v>8.8291280469437003E-2</v>
      </c>
      <c r="CX17">
        <v>8.1171164456530956E-2</v>
      </c>
      <c r="CY17">
        <v>7.4496391301817413E-2</v>
      </c>
      <c r="CZ17">
        <v>6.8278553792771313E-2</v>
      </c>
      <c r="DA17">
        <v>6.2453773925207907E-2</v>
      </c>
      <c r="DB17">
        <v>5.7008984614183959E-2</v>
      </c>
      <c r="DC17">
        <v>5.1912102002688761E-2</v>
      </c>
      <c r="DD17">
        <v>4.7133878999154645E-2</v>
      </c>
      <c r="DE17">
        <v>4.2663132722194456E-2</v>
      </c>
      <c r="DF17">
        <v>3.8458033075139508E-2</v>
      </c>
      <c r="DG17">
        <v>3.450690640176754E-2</v>
      </c>
      <c r="DH17">
        <v>3.0783928838333047E-2</v>
      </c>
      <c r="DI17">
        <v>2.7284948981325087E-2</v>
      </c>
      <c r="DJ17">
        <v>2.3973041573227067E-2</v>
      </c>
      <c r="DK17">
        <v>2.0851830486239443E-2</v>
      </c>
      <c r="DL17">
        <v>1.7877450299797502E-2</v>
      </c>
      <c r="DM17">
        <v>1.5051826405828909E-2</v>
      </c>
      <c r="DN17">
        <v>1.2342617132150794E-2</v>
      </c>
      <c r="DO17">
        <v>9.7374245290980654E-3</v>
      </c>
      <c r="DP17">
        <v>7.2060889219841811E-3</v>
      </c>
    </row>
    <row r="18" spans="1:120" x14ac:dyDescent="0.2">
      <c r="A18">
        <v>0.25820846889734195</v>
      </c>
      <c r="B18">
        <v>0.57834583008153861</v>
      </c>
      <c r="C18">
        <v>0.75473792220975122</v>
      </c>
      <c r="D18">
        <v>0.8361839591932716</v>
      </c>
      <c r="E18">
        <v>0.87808285152507071</v>
      </c>
      <c r="F18">
        <v>0.90377253803349267</v>
      </c>
      <c r="G18">
        <v>0.92223998520318062</v>
      </c>
      <c r="H18">
        <v>0.93714224739690122</v>
      </c>
      <c r="I18">
        <v>0.95004546656802613</v>
      </c>
      <c r="J18">
        <v>0.96155118961625219</v>
      </c>
      <c r="K18">
        <v>0.97186645520384896</v>
      </c>
      <c r="L18">
        <v>0.98095432792639914</v>
      </c>
      <c r="M18">
        <v>0.98865698256216228</v>
      </c>
      <c r="N18">
        <v>0.9946611196812295</v>
      </c>
      <c r="O18">
        <v>0.99859133687034529</v>
      </c>
      <c r="P18">
        <v>1</v>
      </c>
      <c r="Q18">
        <v>0.99845421955585711</v>
      </c>
      <c r="R18">
        <v>0.9936120551380736</v>
      </c>
      <c r="S18">
        <v>0.98530533953718924</v>
      </c>
      <c r="T18">
        <v>0.97362752667270247</v>
      </c>
      <c r="U18">
        <v>0.95892246720485474</v>
      </c>
      <c r="V18">
        <v>0.94179104633339039</v>
      </c>
      <c r="W18">
        <v>0.92299176361479063</v>
      </c>
      <c r="X18">
        <v>0.90336136810276313</v>
      </c>
      <c r="Y18">
        <v>0.88369171185530626</v>
      </c>
      <c r="Z18">
        <v>0.86466562292793048</v>
      </c>
      <c r="AA18">
        <v>0.84681784461530252</v>
      </c>
      <c r="AB18">
        <v>0.83051755347425982</v>
      </c>
      <c r="AC18">
        <v>0.81599945355355263</v>
      </c>
      <c r="AD18">
        <v>0.80325612997610429</v>
      </c>
      <c r="AE18">
        <v>0.79233274542184795</v>
      </c>
      <c r="AF18">
        <v>0.78306340832913568</v>
      </c>
      <c r="AG18">
        <v>0.77545774521395894</v>
      </c>
      <c r="AH18">
        <v>0.76927951558964935</v>
      </c>
      <c r="AI18">
        <v>0.76443040628607439</v>
      </c>
      <c r="AJ18">
        <v>0.76068055541959834</v>
      </c>
      <c r="AK18">
        <v>0.75781166483169948</v>
      </c>
      <c r="AL18">
        <v>0.75559641895870744</v>
      </c>
      <c r="AM18">
        <v>0.75373288879757838</v>
      </c>
      <c r="AN18">
        <v>0.75203405884075281</v>
      </c>
      <c r="AO18">
        <v>0.75010412524337611</v>
      </c>
      <c r="AP18">
        <v>0.74771430168771769</v>
      </c>
      <c r="AQ18">
        <v>0.74463529495235081</v>
      </c>
      <c r="AR18">
        <v>0.74060365028777841</v>
      </c>
      <c r="AS18">
        <v>0.73543483533138965</v>
      </c>
      <c r="AT18">
        <v>0.72897583075519956</v>
      </c>
      <c r="AU18">
        <v>0.72111147137253118</v>
      </c>
      <c r="AV18">
        <v>0.71177378289386095</v>
      </c>
      <c r="AW18">
        <v>0.70100302151982408</v>
      </c>
      <c r="AX18">
        <v>0.68883934499912347</v>
      </c>
      <c r="AY18">
        <v>0.67542556740487258</v>
      </c>
      <c r="AZ18">
        <v>0.66083414391425233</v>
      </c>
      <c r="BA18">
        <v>0.64530824878007931</v>
      </c>
      <c r="BB18">
        <v>0.62905919468733562</v>
      </c>
      <c r="BC18">
        <v>0.61229385055930396</v>
      </c>
      <c r="BD18">
        <v>0.59520218521241497</v>
      </c>
      <c r="BE18">
        <v>0.57805302343742748</v>
      </c>
      <c r="BF18">
        <v>0.56099669699413002</v>
      </c>
      <c r="BG18">
        <v>0.54425338926336864</v>
      </c>
      <c r="BH18">
        <v>0.52795877149202075</v>
      </c>
      <c r="BI18">
        <v>0.51224211420151988</v>
      </c>
      <c r="BJ18">
        <v>0.4972617137238361</v>
      </c>
      <c r="BK18">
        <v>0.48305304879252597</v>
      </c>
      <c r="BL18">
        <v>0.46968220963244789</v>
      </c>
      <c r="BM18">
        <v>0.45715736023652553</v>
      </c>
      <c r="BN18">
        <v>0.44547196626173924</v>
      </c>
      <c r="BO18">
        <v>0.43457941540494877</v>
      </c>
      <c r="BP18">
        <v>0.42443191942083797</v>
      </c>
      <c r="BQ18">
        <v>0.41495881784406169</v>
      </c>
      <c r="BR18">
        <v>0.40611444205904657</v>
      </c>
      <c r="BS18">
        <v>0.39776122753769644</v>
      </c>
      <c r="BT18">
        <v>0.38981834308242108</v>
      </c>
      <c r="BU18">
        <v>0.38217253655020644</v>
      </c>
      <c r="BV18">
        <v>0.3747007329254351</v>
      </c>
      <c r="BW18">
        <v>0.36721928793405495</v>
      </c>
      <c r="BX18">
        <v>0.35963806178186286</v>
      </c>
      <c r="BY18">
        <v>0.35182146623114879</v>
      </c>
      <c r="BZ18">
        <v>0.343613264521966</v>
      </c>
      <c r="CA18">
        <v>0.33486290422502979</v>
      </c>
      <c r="CB18">
        <v>0.32549820599876522</v>
      </c>
      <c r="CC18">
        <v>0.31547092516557923</v>
      </c>
      <c r="CD18">
        <v>0.30469866620975855</v>
      </c>
      <c r="CE18">
        <v>0.29322245207950454</v>
      </c>
      <c r="CF18">
        <v>0.28111633104681683</v>
      </c>
      <c r="CG18">
        <v>0.26846026643640142</v>
      </c>
      <c r="CH18">
        <v>0.25543680115476014</v>
      </c>
      <c r="CI18">
        <v>0.24213319980076586</v>
      </c>
      <c r="CJ18">
        <v>0.22875955687427013</v>
      </c>
      <c r="CK18">
        <v>0.21543774174012598</v>
      </c>
      <c r="CL18">
        <v>0.20234397470990514</v>
      </c>
      <c r="CM18">
        <v>0.18957531183200227</v>
      </c>
      <c r="CN18">
        <v>0.17722194832494839</v>
      </c>
      <c r="CO18">
        <v>0.1653725072783061</v>
      </c>
      <c r="CP18">
        <v>0.154072500486616</v>
      </c>
      <c r="CQ18">
        <v>0.14333961199382567</v>
      </c>
      <c r="CR18">
        <v>0.13319449225716154</v>
      </c>
      <c r="CS18">
        <v>0.12363419531507887</v>
      </c>
      <c r="CT18">
        <v>0.11465118393200734</v>
      </c>
      <c r="CU18">
        <v>0.10622905004843476</v>
      </c>
      <c r="CV18">
        <v>9.833986107081534E-2</v>
      </c>
      <c r="CW18">
        <v>9.095666770246004E-2</v>
      </c>
      <c r="CX18">
        <v>8.405540590736045E-2</v>
      </c>
      <c r="CY18">
        <v>7.7579642908488913E-2</v>
      </c>
      <c r="CZ18">
        <v>7.1543052535675902E-2</v>
      </c>
      <c r="DA18">
        <v>6.5882900284951404E-2</v>
      </c>
      <c r="DB18">
        <v>6.0586721717470697E-2</v>
      </c>
      <c r="DC18">
        <v>5.5623589081998784E-2</v>
      </c>
      <c r="DD18">
        <v>5.0964926861760157E-2</v>
      </c>
      <c r="DE18">
        <v>4.6600193854880997E-2</v>
      </c>
      <c r="DF18">
        <v>4.248843895039528E-2</v>
      </c>
      <c r="DG18">
        <v>3.8618008643709345E-2</v>
      </c>
      <c r="DH18">
        <v>3.496412426103835E-2</v>
      </c>
      <c r="DI18">
        <v>3.1522341049366409E-2</v>
      </c>
      <c r="DJ18">
        <v>2.8255857203767974E-2</v>
      </c>
      <c r="DK18">
        <v>2.5167966173423487E-2</v>
      </c>
      <c r="DL18">
        <v>2.2214148423087873E-2</v>
      </c>
      <c r="DM18">
        <v>1.9395940624119219E-2</v>
      </c>
      <c r="DN18">
        <v>1.6679768698436771E-2</v>
      </c>
      <c r="DO18">
        <v>1.4051149362959994E-2</v>
      </c>
      <c r="DP18">
        <v>1.147736677846075E-2</v>
      </c>
    </row>
    <row r="19" spans="1:120" x14ac:dyDescent="0.2">
      <c r="A19">
        <v>0.25715385178062405</v>
      </c>
      <c r="B19">
        <v>0.56776228921706007</v>
      </c>
      <c r="C19">
        <v>0.73845989802232348</v>
      </c>
      <c r="D19">
        <v>0.81739714758595006</v>
      </c>
      <c r="E19">
        <v>0.85844757380303227</v>
      </c>
      <c r="F19">
        <v>0.88413777000541771</v>
      </c>
      <c r="G19">
        <v>0.90311519115474814</v>
      </c>
      <c r="H19">
        <v>0.91888985229368048</v>
      </c>
      <c r="I19">
        <v>0.93296866376679988</v>
      </c>
      <c r="J19">
        <v>0.94592379254016501</v>
      </c>
      <c r="K19">
        <v>0.95795444066474789</v>
      </c>
      <c r="L19">
        <v>0.96901769889570366</v>
      </c>
      <c r="M19">
        <v>0.97895946025280023</v>
      </c>
      <c r="N19">
        <v>0.9874539033560652</v>
      </c>
      <c r="O19">
        <v>0.99411345561695419</v>
      </c>
      <c r="P19">
        <v>0.99845421955585711</v>
      </c>
      <c r="Q19">
        <v>1</v>
      </c>
      <c r="R19">
        <v>0.99834195723399877</v>
      </c>
      <c r="S19">
        <v>0.99324135695799609</v>
      </c>
      <c r="T19">
        <v>0.98470762749450358</v>
      </c>
      <c r="U19">
        <v>0.97300998912936076</v>
      </c>
      <c r="V19">
        <v>0.95867997936612714</v>
      </c>
      <c r="W19">
        <v>0.94242396943585749</v>
      </c>
      <c r="X19">
        <v>0.92504211477540554</v>
      </c>
      <c r="Y19">
        <v>0.90730715011678875</v>
      </c>
      <c r="Z19">
        <v>0.88989886837500631</v>
      </c>
      <c r="AA19">
        <v>0.87335790299675065</v>
      </c>
      <c r="AB19">
        <v>0.85806655558925526</v>
      </c>
      <c r="AC19">
        <v>0.84427915089570948</v>
      </c>
      <c r="AD19">
        <v>0.83201399983589774</v>
      </c>
      <c r="AE19">
        <v>0.82133171677951744</v>
      </c>
      <c r="AF19">
        <v>0.81209251632010604</v>
      </c>
      <c r="AG19">
        <v>0.80431243982538581</v>
      </c>
      <c r="AH19">
        <v>0.79777434251244583</v>
      </c>
      <c r="AI19">
        <v>0.79238610958414468</v>
      </c>
      <c r="AJ19">
        <v>0.78792829739972792</v>
      </c>
      <c r="AK19">
        <v>0.7841942294434322</v>
      </c>
      <c r="AL19">
        <v>0.78095920977118827</v>
      </c>
      <c r="AM19">
        <v>0.77793586020847771</v>
      </c>
      <c r="AN19">
        <v>0.77494234258815897</v>
      </c>
      <c r="AO19">
        <v>0.77159918348973444</v>
      </c>
      <c r="AP19">
        <v>0.76768936492607864</v>
      </c>
      <c r="AQ19">
        <v>0.76299492823228987</v>
      </c>
      <c r="AR19">
        <v>0.75727326124626371</v>
      </c>
      <c r="AS19">
        <v>0.75035781096636101</v>
      </c>
      <c r="AT19">
        <v>0.74211425268985065</v>
      </c>
      <c r="AU19">
        <v>0.73245293196903483</v>
      </c>
      <c r="AV19">
        <v>0.72132098608347806</v>
      </c>
      <c r="AW19">
        <v>0.70878108237045911</v>
      </c>
      <c r="AX19">
        <v>0.69489262887765202</v>
      </c>
      <c r="AY19">
        <v>0.67981737993896896</v>
      </c>
      <c r="AZ19">
        <v>0.66364267279666223</v>
      </c>
      <c r="BA19">
        <v>0.64661977436874507</v>
      </c>
      <c r="BB19">
        <v>0.62897568628995937</v>
      </c>
      <c r="BC19">
        <v>0.61092066272431356</v>
      </c>
      <c r="BD19">
        <v>0.59264602380439624</v>
      </c>
      <c r="BE19">
        <v>0.57442387360351033</v>
      </c>
      <c r="BF19">
        <v>0.55640131105875412</v>
      </c>
      <c r="BG19">
        <v>0.53879718763590057</v>
      </c>
      <c r="BH19">
        <v>0.52173737506134543</v>
      </c>
      <c r="BI19">
        <v>0.50534935198790176</v>
      </c>
      <c r="BJ19">
        <v>0.48978223532913734</v>
      </c>
      <c r="BK19">
        <v>0.4750644922167695</v>
      </c>
      <c r="BL19">
        <v>0.46125767935981343</v>
      </c>
      <c r="BM19">
        <v>0.44836216933668233</v>
      </c>
      <c r="BN19">
        <v>0.43636545673557853</v>
      </c>
      <c r="BO19">
        <v>0.42521926821908895</v>
      </c>
      <c r="BP19">
        <v>0.41486795870950371</v>
      </c>
      <c r="BQ19">
        <v>0.40524255813307725</v>
      </c>
      <c r="BR19">
        <v>0.39629330788208511</v>
      </c>
      <c r="BS19">
        <v>0.38788275214497953</v>
      </c>
      <c r="BT19">
        <v>0.37992826858009104</v>
      </c>
      <c r="BU19">
        <v>0.372318698805784</v>
      </c>
      <c r="BV19">
        <v>0.36493152429833275</v>
      </c>
      <c r="BW19">
        <v>0.35758410475488789</v>
      </c>
      <c r="BX19">
        <v>0.35018839284356434</v>
      </c>
      <c r="BY19">
        <v>0.34260992354022274</v>
      </c>
      <c r="BZ19">
        <v>0.33469463340980149</v>
      </c>
      <c r="CA19">
        <v>0.3262906909968315</v>
      </c>
      <c r="CB19">
        <v>0.31732575217522363</v>
      </c>
      <c r="CC19">
        <v>0.30774923906064977</v>
      </c>
      <c r="CD19">
        <v>0.29747373471256072</v>
      </c>
      <c r="CE19">
        <v>0.28653553184269248</v>
      </c>
      <c r="CF19">
        <v>0.27499991330832257</v>
      </c>
      <c r="CG19">
        <v>0.26293826773874784</v>
      </c>
      <c r="CH19">
        <v>0.25052469872966365</v>
      </c>
      <c r="CI19">
        <v>0.2378367789198956</v>
      </c>
      <c r="CJ19">
        <v>0.22507663229257527</v>
      </c>
      <c r="CK19">
        <v>0.21235773273599531</v>
      </c>
      <c r="CL19">
        <v>0.19984992157552614</v>
      </c>
      <c r="CM19">
        <v>0.18764606509810941</v>
      </c>
      <c r="CN19">
        <v>0.17583085081967267</v>
      </c>
      <c r="CO19">
        <v>0.16449107545312286</v>
      </c>
      <c r="CP19">
        <v>0.15367194158642836</v>
      </c>
      <c r="CQ19">
        <v>0.14338899887875323</v>
      </c>
      <c r="CR19">
        <v>0.13366284126246811</v>
      </c>
      <c r="CS19">
        <v>0.12449156595963679</v>
      </c>
      <c r="CT19">
        <v>0.11586952352093684</v>
      </c>
      <c r="CU19">
        <v>0.10778099236786214</v>
      </c>
      <c r="CV19">
        <v>0.10019832965967754</v>
      </c>
      <c r="CW19">
        <v>9.3097396762550758E-2</v>
      </c>
      <c r="CX19">
        <v>8.6455459664032341E-2</v>
      </c>
      <c r="CY19">
        <v>8.0216671134585846E-2</v>
      </c>
      <c r="CZ19">
        <v>7.4396746778361555E-2</v>
      </c>
      <c r="DA19">
        <v>6.8934373109498126E-2</v>
      </c>
      <c r="DB19">
        <v>6.3817778457706406E-2</v>
      </c>
      <c r="DC19">
        <v>5.9017246153333182E-2</v>
      </c>
      <c r="DD19">
        <v>5.4505090712718335E-2</v>
      </c>
      <c r="DE19">
        <v>5.0271470234879302E-2</v>
      </c>
      <c r="DF19">
        <v>4.627644175140358E-2</v>
      </c>
      <c r="DG19">
        <v>4.2508486872853371E-2</v>
      </c>
      <c r="DH19">
        <v>3.8943922473193358E-2</v>
      </c>
      <c r="DI19">
        <v>3.5578098821399284E-2</v>
      </c>
      <c r="DJ19">
        <v>3.2374431906644956E-2</v>
      </c>
      <c r="DK19">
        <v>2.9335860853638818E-2</v>
      </c>
      <c r="DL19">
        <v>2.6417352776837818E-2</v>
      </c>
      <c r="DM19">
        <v>2.3620029540880879E-2</v>
      </c>
      <c r="DN19">
        <v>2.0909135904406028E-2</v>
      </c>
      <c r="DO19">
        <v>1.826805052712302E-2</v>
      </c>
      <c r="DP19">
        <v>1.5661472759757145E-2</v>
      </c>
    </row>
    <row r="20" spans="1:120" x14ac:dyDescent="0.2">
      <c r="A20">
        <v>0.25609743324832124</v>
      </c>
      <c r="B20">
        <v>0.55624551846316383</v>
      </c>
      <c r="C20">
        <v>0.72061245901958415</v>
      </c>
      <c r="D20">
        <v>0.79664440922664359</v>
      </c>
      <c r="E20">
        <v>0.83656460370156827</v>
      </c>
      <c r="F20">
        <v>0.86203187717597651</v>
      </c>
      <c r="G20">
        <v>0.88132939482390737</v>
      </c>
      <c r="H20">
        <v>0.89780925925724475</v>
      </c>
      <c r="I20">
        <v>0.91291541175883173</v>
      </c>
      <c r="J20">
        <v>0.92719144963291289</v>
      </c>
      <c r="K20">
        <v>0.94083082982238531</v>
      </c>
      <c r="L20">
        <v>0.95378774059298499</v>
      </c>
      <c r="M20">
        <v>0.96591548622755607</v>
      </c>
      <c r="N20">
        <v>0.97687970328415763</v>
      </c>
      <c r="O20">
        <v>0.9862844905992455</v>
      </c>
      <c r="P20">
        <v>0.9936120551380736</v>
      </c>
      <c r="Q20">
        <v>0.99834195723399888</v>
      </c>
      <c r="R20">
        <v>1</v>
      </c>
      <c r="S20">
        <v>0.99827004283166654</v>
      </c>
      <c r="T20">
        <v>0.99307379866920087</v>
      </c>
      <c r="U20">
        <v>0.98459835082172054</v>
      </c>
      <c r="V20">
        <v>0.97329755616602698</v>
      </c>
      <c r="W20">
        <v>0.95981734345392555</v>
      </c>
      <c r="X20">
        <v>0.94491374396421235</v>
      </c>
      <c r="Y20">
        <v>0.92933453998290549</v>
      </c>
      <c r="Z20">
        <v>0.91375165454818141</v>
      </c>
      <c r="AA20">
        <v>0.89870859558205063</v>
      </c>
      <c r="AB20">
        <v>0.88459904781361365</v>
      </c>
      <c r="AC20">
        <v>0.87169562032552173</v>
      </c>
      <c r="AD20">
        <v>0.86004321356404712</v>
      </c>
      <c r="AE20">
        <v>0.84971791253230422</v>
      </c>
      <c r="AF20">
        <v>0.84060723718937269</v>
      </c>
      <c r="AG20">
        <v>0.83273320993548328</v>
      </c>
      <c r="AH20">
        <v>0.82589874782857398</v>
      </c>
      <c r="AI20">
        <v>0.82001854140683106</v>
      </c>
      <c r="AJ20">
        <v>0.8148840091024504</v>
      </c>
      <c r="AK20">
        <v>0.81030095143526426</v>
      </c>
      <c r="AL20">
        <v>0.80604776905609909</v>
      </c>
      <c r="AM20">
        <v>0.80185257659336029</v>
      </c>
      <c r="AN20">
        <v>0.79753926642618844</v>
      </c>
      <c r="AO20">
        <v>0.79274654344191686</v>
      </c>
      <c r="AP20">
        <v>0.78726985522862303</v>
      </c>
      <c r="AQ20">
        <v>0.78090380126201431</v>
      </c>
      <c r="AR20">
        <v>0.7734284536763304</v>
      </c>
      <c r="AS20">
        <v>0.76469666345888909</v>
      </c>
      <c r="AT20">
        <v>0.75459391139992482</v>
      </c>
      <c r="AU20">
        <v>0.74305794996555841</v>
      </c>
      <c r="AV20">
        <v>0.7300524173010885</v>
      </c>
      <c r="AW20">
        <v>0.7156640650971382</v>
      </c>
      <c r="AX20">
        <v>0.69997240431962138</v>
      </c>
      <c r="AY20">
        <v>0.68315932880127261</v>
      </c>
      <c r="AZ20">
        <v>0.66532845719997513</v>
      </c>
      <c r="BA20">
        <v>0.64673940158620569</v>
      </c>
      <c r="BB20">
        <v>0.62763559299720251</v>
      </c>
      <c r="BC20">
        <v>0.60823110556275284</v>
      </c>
      <c r="BD20">
        <v>0.58871864562152088</v>
      </c>
      <c r="BE20">
        <v>0.56937353242569344</v>
      </c>
      <c r="BF20">
        <v>0.55033969899124535</v>
      </c>
      <c r="BG20">
        <v>0.53183414827373343</v>
      </c>
      <c r="BH20">
        <v>0.51397243111065294</v>
      </c>
      <c r="BI20">
        <v>0.49688008576817105</v>
      </c>
      <c r="BJ20">
        <v>0.48069620702111393</v>
      </c>
      <c r="BK20">
        <v>0.4654423236545695</v>
      </c>
      <c r="BL20">
        <v>0.45117454675980984</v>
      </c>
      <c r="BM20">
        <v>0.43788509499437972</v>
      </c>
      <c r="BN20">
        <v>0.42555549186512631</v>
      </c>
      <c r="BO20">
        <v>0.41413547068644191</v>
      </c>
      <c r="BP20">
        <v>0.40356137898029354</v>
      </c>
      <c r="BQ20">
        <v>0.39376590272168704</v>
      </c>
      <c r="BR20">
        <v>0.38469521051586003</v>
      </c>
      <c r="BS20">
        <v>0.37621224164844513</v>
      </c>
      <c r="BT20">
        <v>0.3682326291225444</v>
      </c>
      <c r="BU20">
        <v>0.36064764776272956</v>
      </c>
      <c r="BV20">
        <v>0.35333587426311253</v>
      </c>
      <c r="BW20">
        <v>0.34611626565185372</v>
      </c>
      <c r="BX20">
        <v>0.33890333565986391</v>
      </c>
      <c r="BY20">
        <v>0.33156431917495932</v>
      </c>
      <c r="BZ20">
        <v>0.32394832226094311</v>
      </c>
      <c r="CA20">
        <v>0.31590253412051006</v>
      </c>
      <c r="CB20">
        <v>0.30735531523993603</v>
      </c>
      <c r="CC20">
        <v>0.2982539151721742</v>
      </c>
      <c r="CD20">
        <v>0.28850633742794357</v>
      </c>
      <c r="CE20">
        <v>0.27814397368924088</v>
      </c>
      <c r="CF20">
        <v>0.26722299203710653</v>
      </c>
      <c r="CG20">
        <v>0.25580561124796986</v>
      </c>
      <c r="CH20">
        <v>0.24405656554777935</v>
      </c>
      <c r="CI20">
        <v>0.23204301895244422</v>
      </c>
      <c r="CJ20">
        <v>0.21995791931738179</v>
      </c>
      <c r="CK20">
        <v>0.20790537177110849</v>
      </c>
      <c r="CL20">
        <v>0.19604768878818374</v>
      </c>
      <c r="CM20">
        <v>0.18447298655421759</v>
      </c>
      <c r="CN20">
        <v>0.17325939063067286</v>
      </c>
      <c r="CO20">
        <v>0.1624912357255219</v>
      </c>
      <c r="CP20">
        <v>0.15221307763069222</v>
      </c>
      <c r="CQ20">
        <v>0.14243802346796489</v>
      </c>
      <c r="CR20">
        <v>0.13318613479293251</v>
      </c>
      <c r="CS20">
        <v>0.12445658395334869</v>
      </c>
      <c r="CT20">
        <v>0.11624546140946153</v>
      </c>
      <c r="CU20">
        <v>0.10853774439251777</v>
      </c>
      <c r="CV20">
        <v>0.10130612918880205</v>
      </c>
      <c r="CW20">
        <v>9.452931104570611E-2</v>
      </c>
      <c r="CX20">
        <v>8.8185970111545831E-2</v>
      </c>
      <c r="CY20">
        <v>8.2221104406435513E-2</v>
      </c>
      <c r="CZ20">
        <v>7.6652368700841064E-2</v>
      </c>
      <c r="DA20">
        <v>7.1420113597854162E-2</v>
      </c>
      <c r="DB20">
        <v>6.6513416367740941E-2</v>
      </c>
      <c r="DC20">
        <v>6.1903735045034138E-2</v>
      </c>
      <c r="DD20">
        <v>5.7564529070762073E-2</v>
      </c>
      <c r="DE20">
        <v>5.3486720108805397E-2</v>
      </c>
      <c r="DF20">
        <v>4.963148186539558E-2</v>
      </c>
      <c r="DG20">
        <v>4.5987558572980328E-2</v>
      </c>
      <c r="DH20">
        <v>4.2532391183485729E-2</v>
      </c>
      <c r="DI20">
        <v>3.9261260306591841E-2</v>
      </c>
      <c r="DJ20">
        <v>3.6137878890609772E-2</v>
      </c>
      <c r="DK20">
        <v>3.3164834657815716E-2</v>
      </c>
      <c r="DL20">
        <v>3.0296751076481006E-2</v>
      </c>
      <c r="DM20">
        <v>2.753432920483298E-2</v>
      </c>
      <c r="DN20">
        <v>2.4841778005041629E-2</v>
      </c>
      <c r="DO20">
        <v>2.2200337694138476E-2</v>
      </c>
      <c r="DP20">
        <v>1.9572213119396747E-2</v>
      </c>
    </row>
    <row r="21" spans="1:120" x14ac:dyDescent="0.2">
      <c r="A21">
        <v>0.25478982222698915</v>
      </c>
      <c r="B21">
        <v>0.54366870136042977</v>
      </c>
      <c r="C21">
        <v>0.70117724015684546</v>
      </c>
      <c r="D21">
        <v>0.77397858403787145</v>
      </c>
      <c r="E21">
        <v>0.81253039271859717</v>
      </c>
      <c r="F21">
        <v>0.83757630907425651</v>
      </c>
      <c r="G21">
        <v>0.85701578319224281</v>
      </c>
      <c r="H21">
        <v>0.87403479834981912</v>
      </c>
      <c r="I21">
        <v>0.89001203097821691</v>
      </c>
      <c r="J21">
        <v>0.9054637143835208</v>
      </c>
      <c r="K21">
        <v>0.92057994253626452</v>
      </c>
      <c r="L21">
        <v>0.93531511333641915</v>
      </c>
      <c r="M21">
        <v>0.94953322584419331</v>
      </c>
      <c r="N21">
        <v>0.96289588107418012</v>
      </c>
      <c r="O21">
        <v>0.97500267047014089</v>
      </c>
      <c r="P21">
        <v>0.98530533953718924</v>
      </c>
      <c r="Q21">
        <v>0.99324135695799609</v>
      </c>
      <c r="R21">
        <v>0.99827004283166654</v>
      </c>
      <c r="S21">
        <v>1</v>
      </c>
      <c r="T21">
        <v>0.99825885409021542</v>
      </c>
      <c r="U21">
        <v>0.99314836228420467</v>
      </c>
      <c r="V21">
        <v>0.98503787543827492</v>
      </c>
      <c r="W21">
        <v>0.9745061255288332</v>
      </c>
      <c r="X21">
        <v>0.9622583674122156</v>
      </c>
      <c r="Y21">
        <v>0.94901226938804539</v>
      </c>
      <c r="Z21">
        <v>0.9354268376528605</v>
      </c>
      <c r="AA21">
        <v>0.92204552926621441</v>
      </c>
      <c r="AB21">
        <v>0.90927093186185692</v>
      </c>
      <c r="AC21">
        <v>0.8973922138919318</v>
      </c>
      <c r="AD21">
        <v>0.88648097675960835</v>
      </c>
      <c r="AE21">
        <v>0.87662810536110325</v>
      </c>
      <c r="AF21">
        <v>0.86774917340811741</v>
      </c>
      <c r="AG21">
        <v>0.85987128743423802</v>
      </c>
      <c r="AH21">
        <v>0.85281815963944629</v>
      </c>
      <c r="AI21">
        <v>0.84651130462122404</v>
      </c>
      <c r="AJ21">
        <v>0.84075356034197979</v>
      </c>
      <c r="AK21">
        <v>0.83536347343356121</v>
      </c>
      <c r="AL21">
        <v>0.83012305836594058</v>
      </c>
      <c r="AM21">
        <v>0.82477646518544945</v>
      </c>
      <c r="AN21">
        <v>0.81915381100260332</v>
      </c>
      <c r="AO21">
        <v>0.81291343800410476</v>
      </c>
      <c r="AP21">
        <v>0.80586373089907415</v>
      </c>
      <c r="AQ21">
        <v>0.79781266019971309</v>
      </c>
      <c r="AR21">
        <v>0.78856437942569924</v>
      </c>
      <c r="AS21">
        <v>0.77799219918015339</v>
      </c>
      <c r="AT21">
        <v>0.76600202199717016</v>
      </c>
      <c r="AU21">
        <v>0.7525603692045838</v>
      </c>
      <c r="AV21">
        <v>0.73764829981814328</v>
      </c>
      <c r="AW21">
        <v>0.72137765667584319</v>
      </c>
      <c r="AX21">
        <v>0.70384873932120307</v>
      </c>
      <c r="AY21">
        <v>0.68526415963815779</v>
      </c>
      <c r="AZ21">
        <v>0.66574474677890738</v>
      </c>
      <c r="BA21">
        <v>0.64555876225414943</v>
      </c>
      <c r="BB21">
        <v>0.62496627769035917</v>
      </c>
      <c r="BC21">
        <v>0.60418534053365092</v>
      </c>
      <c r="BD21">
        <v>0.58341048104813242</v>
      </c>
      <c r="BE21">
        <v>0.56291973797329709</v>
      </c>
      <c r="BF21">
        <v>0.54285419977852345</v>
      </c>
      <c r="BG21">
        <v>0.52342836994010378</v>
      </c>
      <c r="BH21">
        <v>0.50474735937099102</v>
      </c>
      <c r="BI21">
        <v>0.48693455556109999</v>
      </c>
      <c r="BJ21">
        <v>0.47011857056688605</v>
      </c>
      <c r="BK21">
        <v>0.45431399882857038</v>
      </c>
      <c r="BL21">
        <v>0.43957087508986031</v>
      </c>
      <c r="BM21">
        <v>0.4258731275859659</v>
      </c>
      <c r="BN21">
        <v>0.41319630690832043</v>
      </c>
      <c r="BO21">
        <v>0.40148798826528487</v>
      </c>
      <c r="BP21">
        <v>0.39067647641256348</v>
      </c>
      <c r="BQ21">
        <v>0.38069622553366372</v>
      </c>
      <c r="BR21">
        <v>0.3714891572962114</v>
      </c>
      <c r="BS21">
        <v>0.36291913319194785</v>
      </c>
      <c r="BT21">
        <v>0.35490018800672612</v>
      </c>
      <c r="BU21">
        <v>0.34732603089930869</v>
      </c>
      <c r="BV21">
        <v>0.34007726280947487</v>
      </c>
      <c r="BW21">
        <v>0.33297485611727146</v>
      </c>
      <c r="BX21">
        <v>0.32593627385611701</v>
      </c>
      <c r="BY21">
        <v>0.3188312661335389</v>
      </c>
      <c r="BZ21">
        <v>0.31151286814940476</v>
      </c>
      <c r="CA21">
        <v>0.30382784363706572</v>
      </c>
      <c r="CB21">
        <v>0.29570605823868984</v>
      </c>
      <c r="CC21">
        <v>0.287092905283925</v>
      </c>
      <c r="CD21">
        <v>0.27789234640411248</v>
      </c>
      <c r="CE21">
        <v>0.26813093996367365</v>
      </c>
      <c r="CF21">
        <v>0.25785544687459772</v>
      </c>
      <c r="CG21">
        <v>0.24711873052041852</v>
      </c>
      <c r="CH21">
        <v>0.2360752066350508</v>
      </c>
      <c r="CI21">
        <v>0.22478134922424689</v>
      </c>
      <c r="CJ21">
        <v>0.21341972665845399</v>
      </c>
      <c r="CK21">
        <v>0.20208430077554723</v>
      </c>
      <c r="CL21">
        <v>0.19092881526605535</v>
      </c>
      <c r="CM21">
        <v>0.18003615999525571</v>
      </c>
      <c r="CN21">
        <v>0.16947692474557136</v>
      </c>
      <c r="CO21">
        <v>0.1593323804069828</v>
      </c>
      <c r="CP21">
        <v>0.14964605362526165</v>
      </c>
      <c r="CQ21">
        <v>0.14042826480007459</v>
      </c>
      <c r="CR21">
        <v>0.13169818197159738</v>
      </c>
      <c r="CS21">
        <v>0.123455935168578</v>
      </c>
      <c r="CT21">
        <v>0.11569921402195517</v>
      </c>
      <c r="CU21">
        <v>0.10841366223880203</v>
      </c>
      <c r="CV21">
        <v>0.10157232051825861</v>
      </c>
      <c r="CW21">
        <v>9.5156720038689441E-2</v>
      </c>
      <c r="CX21">
        <v>8.9147003764721927E-2</v>
      </c>
      <c r="CY21">
        <v>8.3489218625372494E-2</v>
      </c>
      <c r="CZ21">
        <v>7.8202804065433007E-2</v>
      </c>
      <c r="DA21">
        <v>7.3230074815328242E-2</v>
      </c>
      <c r="DB21">
        <v>6.8560952151300689E-2</v>
      </c>
      <c r="DC21">
        <v>6.4168130534938403E-2</v>
      </c>
      <c r="DD21">
        <v>6.0026429198030078E-2</v>
      </c>
      <c r="DE21">
        <v>5.612753363686801E-2</v>
      </c>
      <c r="DF21">
        <v>5.2433835457854613E-2</v>
      </c>
      <c r="DG21">
        <v>4.8934465705319043E-2</v>
      </c>
      <c r="DH21">
        <v>4.5608038226479575E-2</v>
      </c>
      <c r="DI21">
        <v>4.2449859943475853E-2</v>
      </c>
      <c r="DJ21">
        <v>3.9424038817681063E-2</v>
      </c>
      <c r="DK21">
        <v>3.6532803205661081E-2</v>
      </c>
      <c r="DL21">
        <v>3.3730650647922827E-2</v>
      </c>
      <c r="DM21">
        <v>3.1017860352213673E-2</v>
      </c>
      <c r="DN21">
        <v>2.8357748624805289E-2</v>
      </c>
      <c r="DO21">
        <v>2.5729529155681007E-2</v>
      </c>
      <c r="DP21">
        <v>2.3093041058029434E-2</v>
      </c>
    </row>
    <row r="22" spans="1:120" x14ac:dyDescent="0.2">
      <c r="A22">
        <v>0.25308681801464916</v>
      </c>
      <c r="B22">
        <v>0.53012012318224044</v>
      </c>
      <c r="C22">
        <v>0.68040628358666122</v>
      </c>
      <c r="D22">
        <v>0.74974309907293413</v>
      </c>
      <c r="E22">
        <v>0.78673733554949632</v>
      </c>
      <c r="F22">
        <v>0.81118965980880486</v>
      </c>
      <c r="G22">
        <v>0.83060429095070576</v>
      </c>
      <c r="H22">
        <v>0.84799711267140754</v>
      </c>
      <c r="I22">
        <v>0.86468045567366147</v>
      </c>
      <c r="J22">
        <v>0.88114485098495976</v>
      </c>
      <c r="K22">
        <v>0.89757883090740254</v>
      </c>
      <c r="L22">
        <v>0.91394009735410164</v>
      </c>
      <c r="M22">
        <v>0.93010621839881802</v>
      </c>
      <c r="N22">
        <v>0.94573901105713287</v>
      </c>
      <c r="O22">
        <v>0.96043758777594934</v>
      </c>
      <c r="P22">
        <v>0.97362752667270247</v>
      </c>
      <c r="Q22">
        <v>0.98470762749450358</v>
      </c>
      <c r="R22">
        <v>0.99307379866920098</v>
      </c>
      <c r="S22">
        <v>0.99825885409021553</v>
      </c>
      <c r="T22">
        <v>1</v>
      </c>
      <c r="U22">
        <v>0.99830774820677959</v>
      </c>
      <c r="V22">
        <v>0.99346506962192782</v>
      </c>
      <c r="W22">
        <v>0.98597841323491153</v>
      </c>
      <c r="X22">
        <v>0.97649716555698207</v>
      </c>
      <c r="Y22">
        <v>0.96570438856444496</v>
      </c>
      <c r="Z22">
        <v>0.95424172014264708</v>
      </c>
      <c r="AA22">
        <v>0.94264933047055399</v>
      </c>
      <c r="AB22">
        <v>0.93133608580066141</v>
      </c>
      <c r="AC22">
        <v>0.92060528699886723</v>
      </c>
      <c r="AD22">
        <v>0.91055440233161378</v>
      </c>
      <c r="AE22">
        <v>0.90128799022048478</v>
      </c>
      <c r="AF22">
        <v>0.8927492071105404</v>
      </c>
      <c r="AG22">
        <v>0.88496922985301441</v>
      </c>
      <c r="AH22">
        <v>0.87779264831426396</v>
      </c>
      <c r="AI22">
        <v>0.87114753962381797</v>
      </c>
      <c r="AJ22">
        <v>0.86484803432504798</v>
      </c>
      <c r="AK22">
        <v>0.85872539190557329</v>
      </c>
      <c r="AL22">
        <v>0.85256555527293998</v>
      </c>
      <c r="AM22">
        <v>0.84612864516064368</v>
      </c>
      <c r="AN22">
        <v>0.83925109680939247</v>
      </c>
      <c r="AO22">
        <v>0.83161168973136901</v>
      </c>
      <c r="AP22">
        <v>0.8230318451510078</v>
      </c>
      <c r="AQ22">
        <v>0.81333329943353727</v>
      </c>
      <c r="AR22">
        <v>0.80234489022702804</v>
      </c>
      <c r="AS22">
        <v>0.78996059628037962</v>
      </c>
      <c r="AT22">
        <v>0.77610712154309469</v>
      </c>
      <c r="AU22">
        <v>0.76077988927805029</v>
      </c>
      <c r="AV22">
        <v>0.74397830433175838</v>
      </c>
      <c r="AW22">
        <v>0.72583933624281582</v>
      </c>
      <c r="AX22">
        <v>0.70648453461470972</v>
      </c>
      <c r="AY22">
        <v>0.68613712625508372</v>
      </c>
      <c r="AZ22">
        <v>0.66493589186509616</v>
      </c>
      <c r="BA22">
        <v>0.64315782024669821</v>
      </c>
      <c r="BB22">
        <v>0.62107964853834696</v>
      </c>
      <c r="BC22">
        <v>0.59892365369030276</v>
      </c>
      <c r="BD22">
        <v>0.57688655696874369</v>
      </c>
      <c r="BE22">
        <v>0.55524877963229469</v>
      </c>
      <c r="BF22">
        <v>0.53414896984379867</v>
      </c>
      <c r="BG22">
        <v>0.51379892028854324</v>
      </c>
      <c r="BH22">
        <v>0.49429333701628542</v>
      </c>
      <c r="BI22">
        <v>0.47575352857041581</v>
      </c>
      <c r="BJ22">
        <v>0.4582973250237431</v>
      </c>
      <c r="BK22">
        <v>0.44193276615253679</v>
      </c>
      <c r="BL22">
        <v>0.42670343885968326</v>
      </c>
      <c r="BM22">
        <v>0.41258493301511728</v>
      </c>
      <c r="BN22">
        <v>0.39954705530710954</v>
      </c>
      <c r="BO22">
        <v>0.38753512279271912</v>
      </c>
      <c r="BP22">
        <v>0.37646951751655727</v>
      </c>
      <c r="BQ22">
        <v>0.36628655696832352</v>
      </c>
      <c r="BR22">
        <v>0.35692394729235888</v>
      </c>
      <c r="BS22">
        <v>0.34824680436981331</v>
      </c>
      <c r="BT22">
        <v>0.34016782737818158</v>
      </c>
      <c r="BU22">
        <v>0.33258325833942476</v>
      </c>
      <c r="BV22">
        <v>0.32537639655454276</v>
      </c>
      <c r="BW22">
        <v>0.31837075927055347</v>
      </c>
      <c r="BX22">
        <v>0.31148714823280838</v>
      </c>
      <c r="BY22">
        <v>0.30459847950757263</v>
      </c>
      <c r="BZ22">
        <v>0.29756260317594085</v>
      </c>
      <c r="CA22">
        <v>0.29022643921444796</v>
      </c>
      <c r="CB22">
        <v>0.28252221654887805</v>
      </c>
      <c r="CC22">
        <v>0.27439388638519663</v>
      </c>
      <c r="CD22">
        <v>0.26574211045620177</v>
      </c>
      <c r="CE22">
        <v>0.25658873484770084</v>
      </c>
      <c r="CF22">
        <v>0.24697124927153585</v>
      </c>
      <c r="CG22">
        <v>0.23693311032271366</v>
      </c>
      <c r="CH22">
        <v>0.22661777426270069</v>
      </c>
      <c r="CI22">
        <v>0.21607076898479743</v>
      </c>
      <c r="CJ22">
        <v>0.20546353040652926</v>
      </c>
      <c r="CK22">
        <v>0.19487908753469316</v>
      </c>
      <c r="CL22">
        <v>0.18446188655459569</v>
      </c>
      <c r="CM22">
        <v>0.17428893077679689</v>
      </c>
      <c r="CN22">
        <v>0.16442259651796204</v>
      </c>
      <c r="CO22">
        <v>0.1549404138729947</v>
      </c>
      <c r="CP22">
        <v>0.14588448630662879</v>
      </c>
      <c r="CQ22">
        <v>0.13726201825914494</v>
      </c>
      <c r="CR22">
        <v>0.12909084412723648</v>
      </c>
      <c r="CS22">
        <v>0.12137195203272719</v>
      </c>
      <c r="CT22">
        <v>0.11410435879256088</v>
      </c>
      <c r="CU22">
        <v>0.10727433967657914</v>
      </c>
      <c r="CV22">
        <v>0.10085526744300477</v>
      </c>
      <c r="CW22">
        <v>9.4831373350612008E-2</v>
      </c>
      <c r="CX22">
        <v>8.9184291746003841E-2</v>
      </c>
      <c r="CY22">
        <v>8.3861328278205624E-2</v>
      </c>
      <c r="CZ22">
        <v>7.8883501631630215E-2</v>
      </c>
      <c r="DA22">
        <v>7.4195275965937835E-2</v>
      </c>
      <c r="DB22">
        <v>6.9787490282482559E-2</v>
      </c>
      <c r="DC22">
        <v>6.5634036338353144E-2</v>
      </c>
      <c r="DD22">
        <v>6.1711295179839525E-2</v>
      </c>
      <c r="DE22">
        <v>5.801174660441448E-2</v>
      </c>
      <c r="DF22">
        <v>5.4499063046873512E-2</v>
      </c>
      <c r="DG22">
        <v>5.1162893336443228E-2</v>
      </c>
      <c r="DH22">
        <v>4.7983005069780052E-2</v>
      </c>
      <c r="DI22">
        <v>4.4954901100937347E-2</v>
      </c>
      <c r="DJ22">
        <v>4.2043169241009787E-2</v>
      </c>
      <c r="DK22">
        <v>3.9249720004065042E-2</v>
      </c>
      <c r="DL22">
        <v>3.6529166722485046E-2</v>
      </c>
      <c r="DM22">
        <v>3.3881390718237245E-2</v>
      </c>
      <c r="DN22">
        <v>3.1269077249893473E-2</v>
      </c>
      <c r="DO22">
        <v>2.8669617471233349E-2</v>
      </c>
      <c r="DP22">
        <v>2.6040823671080324E-2</v>
      </c>
    </row>
    <row r="23" spans="1:120" x14ac:dyDescent="0.2">
      <c r="A23">
        <v>0.25079269750781386</v>
      </c>
      <c r="B23">
        <v>0.51568685983692297</v>
      </c>
      <c r="C23">
        <v>0.65859289823300471</v>
      </c>
      <c r="D23">
        <v>0.72435405275478137</v>
      </c>
      <c r="E23">
        <v>0.75967594777612313</v>
      </c>
      <c r="F23">
        <v>0.78340858065461405</v>
      </c>
      <c r="G23">
        <v>0.80266039416578461</v>
      </c>
      <c r="H23">
        <v>0.8202777491503318</v>
      </c>
      <c r="I23">
        <v>0.83750763215879509</v>
      </c>
      <c r="J23">
        <v>0.85481731576464826</v>
      </c>
      <c r="K23">
        <v>0.87239591084381174</v>
      </c>
      <c r="L23">
        <v>0.8902071340910207</v>
      </c>
      <c r="M23">
        <v>0.90814458157388389</v>
      </c>
      <c r="N23">
        <v>0.92587428880014599</v>
      </c>
      <c r="O23">
        <v>0.94299886202524263</v>
      </c>
      <c r="P23">
        <v>0.95892246720485452</v>
      </c>
      <c r="Q23">
        <v>0.97300998912936076</v>
      </c>
      <c r="R23">
        <v>0.98459835082172065</v>
      </c>
      <c r="S23">
        <v>0.99314836228420478</v>
      </c>
      <c r="T23">
        <v>0.9983077482067797</v>
      </c>
      <c r="U23">
        <v>1</v>
      </c>
      <c r="V23">
        <v>0.99841696994309836</v>
      </c>
      <c r="W23">
        <v>0.9939919763620253</v>
      </c>
      <c r="X23">
        <v>0.98731507223495873</v>
      </c>
      <c r="Y23">
        <v>0.97903144667685782</v>
      </c>
      <c r="Z23">
        <v>0.96976156986308348</v>
      </c>
      <c r="AA23">
        <v>0.96003911253078755</v>
      </c>
      <c r="AB23">
        <v>0.95027680250547464</v>
      </c>
      <c r="AC23">
        <v>0.94078896353687025</v>
      </c>
      <c r="AD23">
        <v>0.93169758545749326</v>
      </c>
      <c r="AE23">
        <v>0.92311941177368151</v>
      </c>
      <c r="AF23">
        <v>0.91502384050685248</v>
      </c>
      <c r="AG23">
        <v>0.90744512476779693</v>
      </c>
      <c r="AH23">
        <v>0.90024809221164637</v>
      </c>
      <c r="AI23">
        <v>0.89336679411816</v>
      </c>
      <c r="AJ23">
        <v>0.88662646521596689</v>
      </c>
      <c r="AK23">
        <v>0.87987044917846735</v>
      </c>
      <c r="AL23">
        <v>0.87288880310712669</v>
      </c>
      <c r="AM23">
        <v>0.86545713973049554</v>
      </c>
      <c r="AN23">
        <v>0.85741806824777267</v>
      </c>
      <c r="AO23">
        <v>0.84847089467839576</v>
      </c>
      <c r="AP23">
        <v>0.83844985393850291</v>
      </c>
      <c r="AQ23">
        <v>0.82719038483861684</v>
      </c>
      <c r="AR23">
        <v>0.8145457607522314</v>
      </c>
      <c r="AS23">
        <v>0.800430331661523</v>
      </c>
      <c r="AT23">
        <v>0.78479127640424484</v>
      </c>
      <c r="AU23">
        <v>0.76765240492296394</v>
      </c>
      <c r="AV23">
        <v>0.74903166926238729</v>
      </c>
      <c r="AW23">
        <v>0.72909069026495621</v>
      </c>
      <c r="AX23">
        <v>0.70797180037529417</v>
      </c>
      <c r="AY23">
        <v>0.68591861917405172</v>
      </c>
      <c r="AZ23">
        <v>0.663087883424611</v>
      </c>
      <c r="BA23">
        <v>0.63976533288471471</v>
      </c>
      <c r="BB23">
        <v>0.61624395263837362</v>
      </c>
      <c r="BC23">
        <v>0.59275041646632121</v>
      </c>
      <c r="BD23">
        <v>0.56948392722555541</v>
      </c>
      <c r="BE23">
        <v>0.54672705118064535</v>
      </c>
      <c r="BF23">
        <v>0.52461660219741935</v>
      </c>
      <c r="BG23">
        <v>0.50336139328008034</v>
      </c>
      <c r="BH23">
        <v>0.48304629832074841</v>
      </c>
      <c r="BI23">
        <v>0.46379056993880813</v>
      </c>
      <c r="BJ23">
        <v>0.44570144748477886</v>
      </c>
      <c r="BK23">
        <v>0.42878098703725781</v>
      </c>
      <c r="BL23">
        <v>0.41306597503978726</v>
      </c>
      <c r="BM23">
        <v>0.39852414909828643</v>
      </c>
      <c r="BN23">
        <v>0.38511981578893023</v>
      </c>
      <c r="BO23">
        <v>0.37279599526029389</v>
      </c>
      <c r="BP23">
        <v>0.36146553768639905</v>
      </c>
      <c r="BQ23">
        <v>0.35106661316179005</v>
      </c>
      <c r="BR23">
        <v>0.34153285055706123</v>
      </c>
      <c r="BS23">
        <v>0.33273095118197665</v>
      </c>
      <c r="BT23">
        <v>0.32457247187240607</v>
      </c>
      <c r="BU23">
        <v>0.31695631517062223</v>
      </c>
      <c r="BV23">
        <v>0.30976894501109015</v>
      </c>
      <c r="BW23">
        <v>0.30283685956159967</v>
      </c>
      <c r="BX23">
        <v>0.29608443824767</v>
      </c>
      <c r="BY23">
        <v>0.28938837682191731</v>
      </c>
      <c r="BZ23">
        <v>0.28261188145653371</v>
      </c>
      <c r="CA23">
        <v>0.27560264622834807</v>
      </c>
      <c r="CB23">
        <v>0.26829596978748904</v>
      </c>
      <c r="CC23">
        <v>0.26063476968343774</v>
      </c>
      <c r="CD23">
        <v>0.25251718982520738</v>
      </c>
      <c r="CE23">
        <v>0.24396068340546312</v>
      </c>
      <c r="CF23">
        <v>0.23499374414573518</v>
      </c>
      <c r="CG23">
        <v>0.22565058743149474</v>
      </c>
      <c r="CH23">
        <v>0.21606356851796865</v>
      </c>
      <c r="CI23">
        <v>0.20626730314289696</v>
      </c>
      <c r="CJ23">
        <v>0.19642156201422001</v>
      </c>
      <c r="CK23">
        <v>0.18659820003604394</v>
      </c>
      <c r="CL23">
        <v>0.1769317920464509</v>
      </c>
      <c r="CM23">
        <v>0.16749311704739062</v>
      </c>
      <c r="CN23">
        <v>0.15833587633418367</v>
      </c>
      <c r="CO23">
        <v>0.14953332460377275</v>
      </c>
      <c r="CP23">
        <v>0.14112581215019268</v>
      </c>
      <c r="CQ23">
        <v>0.13311717882602875</v>
      </c>
      <c r="CR23">
        <v>0.12552365121736472</v>
      </c>
      <c r="CS23">
        <v>0.11834681977664067</v>
      </c>
      <c r="CT23">
        <v>0.11158682322573775</v>
      </c>
      <c r="CU23">
        <v>0.10523046809891398</v>
      </c>
      <c r="CV23">
        <v>9.925141891861719E-2</v>
      </c>
      <c r="CW23">
        <v>9.3636471996516105E-2</v>
      </c>
      <c r="CX23">
        <v>8.8368694491481103E-2</v>
      </c>
      <c r="CY23">
        <v>8.3396782626921587E-2</v>
      </c>
      <c r="CZ23">
        <v>7.8743123607314766E-2</v>
      </c>
      <c r="DA23">
        <v>7.4354443109878821E-2</v>
      </c>
      <c r="DB23">
        <v>7.0222487069610359E-2</v>
      </c>
      <c r="DC23">
        <v>6.6322310216068645E-2</v>
      </c>
      <c r="DD23">
        <v>6.2632014010855441E-2</v>
      </c>
      <c r="DE23">
        <v>5.9144806668331301E-2</v>
      </c>
      <c r="DF23">
        <v>5.5825682061512595E-2</v>
      </c>
      <c r="DG23">
        <v>5.266490606971487E-2</v>
      </c>
      <c r="DH23">
        <v>4.9643363580670348E-2</v>
      </c>
      <c r="DI23">
        <v>4.6756850731385718E-2</v>
      </c>
      <c r="DJ23">
        <v>4.3970493635105933E-2</v>
      </c>
      <c r="DK23">
        <v>4.1285890213978639E-2</v>
      </c>
      <c r="DL23">
        <v>3.8657967058008384E-2</v>
      </c>
      <c r="DM23">
        <v>3.6086220398732702E-2</v>
      </c>
      <c r="DN23">
        <v>3.3532858738636116E-2</v>
      </c>
      <c r="DO23">
        <v>3.0973635407769731E-2</v>
      </c>
      <c r="DP23">
        <v>2.8364551461353062E-2</v>
      </c>
    </row>
    <row r="24" spans="1:120" x14ac:dyDescent="0.2">
      <c r="A24">
        <v>0.24804539380977314</v>
      </c>
      <c r="B24">
        <v>0.50079275528340894</v>
      </c>
      <c r="C24">
        <v>0.63633115988572453</v>
      </c>
      <c r="D24">
        <v>0.6984926428778746</v>
      </c>
      <c r="E24">
        <v>0.73207661403282698</v>
      </c>
      <c r="F24">
        <v>0.7549948778254798</v>
      </c>
      <c r="G24">
        <v>0.77396654394224185</v>
      </c>
      <c r="H24">
        <v>0.7916723285682119</v>
      </c>
      <c r="I24">
        <v>0.80929543045790542</v>
      </c>
      <c r="J24">
        <v>0.82728190015774883</v>
      </c>
      <c r="K24">
        <v>0.84582284604288027</v>
      </c>
      <c r="L24">
        <v>0.8648902697670966</v>
      </c>
      <c r="M24">
        <v>0.88439489107150426</v>
      </c>
      <c r="N24">
        <v>0.90401052704497964</v>
      </c>
      <c r="O24">
        <v>0.92334668274771858</v>
      </c>
      <c r="P24">
        <v>0.94179104633339039</v>
      </c>
      <c r="Q24">
        <v>0.95867997936612714</v>
      </c>
      <c r="R24">
        <v>0.97329755616602709</v>
      </c>
      <c r="S24">
        <v>0.98503787543827515</v>
      </c>
      <c r="T24">
        <v>0.99346506962192782</v>
      </c>
      <c r="U24">
        <v>0.99841696994309848</v>
      </c>
      <c r="V24">
        <v>1</v>
      </c>
      <c r="W24">
        <v>0.99857066783296999</v>
      </c>
      <c r="X24">
        <v>0.99466050499151515</v>
      </c>
      <c r="Y24">
        <v>0.98887441365130146</v>
      </c>
      <c r="Z24">
        <v>0.98180900459976095</v>
      </c>
      <c r="AA24">
        <v>0.97398870530327597</v>
      </c>
      <c r="AB24">
        <v>0.96582746050925394</v>
      </c>
      <c r="AC24">
        <v>0.95764737039019343</v>
      </c>
      <c r="AD24">
        <v>0.94959276651822155</v>
      </c>
      <c r="AE24">
        <v>0.94179059863434933</v>
      </c>
      <c r="AF24">
        <v>0.9342342591072782</v>
      </c>
      <c r="AG24">
        <v>0.92695994599145548</v>
      </c>
      <c r="AH24">
        <v>0.91985154081808573</v>
      </c>
      <c r="AI24">
        <v>0.91284799607161227</v>
      </c>
      <c r="AJ24">
        <v>0.90578501478532025</v>
      </c>
      <c r="AK24">
        <v>0.89851694950397254</v>
      </c>
      <c r="AL24">
        <v>0.89083780656690814</v>
      </c>
      <c r="AM24">
        <v>0.8825378222630289</v>
      </c>
      <c r="AN24">
        <v>0.87346503361130912</v>
      </c>
      <c r="AO24">
        <v>0.86333878968533329</v>
      </c>
      <c r="AP24">
        <v>0.85200548729590131</v>
      </c>
      <c r="AQ24">
        <v>0.83931345136429369</v>
      </c>
      <c r="AR24">
        <v>0.82513956415216261</v>
      </c>
      <c r="AS24">
        <v>0.8094176038698736</v>
      </c>
      <c r="AT24">
        <v>0.79211427136942303</v>
      </c>
      <c r="AU24">
        <v>0.77328057659053728</v>
      </c>
      <c r="AV24">
        <v>0.75295249891759919</v>
      </c>
      <c r="AW24">
        <v>0.73131532091868356</v>
      </c>
      <c r="AX24">
        <v>0.70853146987834859</v>
      </c>
      <c r="AY24">
        <v>0.68486395557832513</v>
      </c>
      <c r="AZ24">
        <v>0.66048742539448035</v>
      </c>
      <c r="BA24">
        <v>0.63569612777175066</v>
      </c>
      <c r="BB24">
        <v>0.61079886592186894</v>
      </c>
      <c r="BC24">
        <v>0.58602666864506692</v>
      </c>
      <c r="BD24">
        <v>0.56158187690408856</v>
      </c>
      <c r="BE24">
        <v>0.53774887178300035</v>
      </c>
      <c r="BF24">
        <v>0.51466344781866802</v>
      </c>
      <c r="BG24">
        <v>0.49253149254472861</v>
      </c>
      <c r="BH24">
        <v>0.47142878247727782</v>
      </c>
      <c r="BI24">
        <v>0.45147293374137287</v>
      </c>
      <c r="BJ24">
        <v>0.43276093154227974</v>
      </c>
      <c r="BK24">
        <v>0.41528954691422088</v>
      </c>
      <c r="BL24">
        <v>0.39908890555198046</v>
      </c>
      <c r="BM24">
        <v>0.38411925989861989</v>
      </c>
      <c r="BN24">
        <v>0.37033988594659523</v>
      </c>
      <c r="BO24">
        <v>0.35769157618019348</v>
      </c>
      <c r="BP24">
        <v>0.34608014402887965</v>
      </c>
      <c r="BQ24">
        <v>0.33544557131912733</v>
      </c>
      <c r="BR24">
        <v>0.32571753720773239</v>
      </c>
      <c r="BS24">
        <v>0.31676457402845304</v>
      </c>
      <c r="BT24">
        <v>0.3084974160720545</v>
      </c>
      <c r="BU24">
        <v>0.3008175522868658</v>
      </c>
      <c r="BV24">
        <v>0.29361506468117343</v>
      </c>
      <c r="BW24">
        <v>0.28671975033083397</v>
      </c>
      <c r="BX24">
        <v>0.28005971188060746</v>
      </c>
      <c r="BY24">
        <v>0.27351607416637169</v>
      </c>
      <c r="BZ24">
        <v>0.26695781917961681</v>
      </c>
      <c r="CA24">
        <v>0.26023418990827396</v>
      </c>
      <c r="CB24">
        <v>0.25328413010217732</v>
      </c>
      <c r="CC24">
        <v>0.24605020335646205</v>
      </c>
      <c r="CD24">
        <v>0.23842895060834826</v>
      </c>
      <c r="CE24">
        <v>0.23043386607170441</v>
      </c>
      <c r="CF24">
        <v>0.22208521561329247</v>
      </c>
      <c r="CG24">
        <v>0.21340844700251144</v>
      </c>
      <c r="CH24">
        <v>0.20452494265050894</v>
      </c>
      <c r="CI24">
        <v>0.19545864261878096</v>
      </c>
      <c r="CJ24">
        <v>0.18635760459560455</v>
      </c>
      <c r="CK24">
        <v>0.17728227904953228</v>
      </c>
      <c r="CL24">
        <v>0.16835719156958096</v>
      </c>
      <c r="CM24">
        <v>0.15964650840747382</v>
      </c>
      <c r="CN24">
        <v>0.15119498602810966</v>
      </c>
      <c r="CO24">
        <v>0.14307115906554949</v>
      </c>
      <c r="CP24">
        <v>0.13531316299775661</v>
      </c>
      <c r="CQ24">
        <v>0.12792129616646492</v>
      </c>
      <c r="CR24">
        <v>0.12090983818024331</v>
      </c>
      <c r="CS24">
        <v>0.11428070112382746</v>
      </c>
      <c r="CT24">
        <v>0.10803476850949174</v>
      </c>
      <c r="CU24">
        <v>0.10215933806650458</v>
      </c>
      <c r="CV24">
        <v>9.6628218097043389E-2</v>
      </c>
      <c r="CW24">
        <v>9.1430543454271485E-2</v>
      </c>
      <c r="CX24">
        <v>8.655069801831157E-2</v>
      </c>
      <c r="CY24">
        <v>8.1938875413265444E-2</v>
      </c>
      <c r="CZ24">
        <v>7.7618503203446709E-2</v>
      </c>
      <c r="DA24">
        <v>7.3538685065169501E-2</v>
      </c>
      <c r="DB24">
        <v>6.9692026069362575E-2</v>
      </c>
      <c r="DC24">
        <v>6.6054667613384452E-2</v>
      </c>
      <c r="DD24">
        <v>6.260649305259032E-2</v>
      </c>
      <c r="DE24">
        <v>5.9341471682147838E-2</v>
      </c>
      <c r="DF24">
        <v>5.62258681828137E-2</v>
      </c>
      <c r="DG24">
        <v>5.3250665781578894E-2</v>
      </c>
      <c r="DH24">
        <v>5.0397820074237723E-2</v>
      </c>
      <c r="DI24">
        <v>4.7663545503751702E-2</v>
      </c>
      <c r="DJ24">
        <v>4.5013606396355627E-2</v>
      </c>
      <c r="DK24">
        <v>4.2449331527210303E-2</v>
      </c>
      <c r="DL24">
        <v>3.9926193660867887E-2</v>
      </c>
      <c r="DM24">
        <v>3.7443397080634551E-2</v>
      </c>
      <c r="DN24">
        <v>3.49629769613388E-2</v>
      </c>
      <c r="DO24">
        <v>3.2459399707413059E-2</v>
      </c>
      <c r="DP24">
        <v>2.9887361414227799E-2</v>
      </c>
    </row>
    <row r="25" spans="1:120" x14ac:dyDescent="0.2">
      <c r="A25">
        <v>0.24485629756146313</v>
      </c>
      <c r="B25">
        <v>0.48578570800486748</v>
      </c>
      <c r="C25">
        <v>0.61418567342296004</v>
      </c>
      <c r="D25">
        <v>0.67284189777745318</v>
      </c>
      <c r="E25">
        <v>0.70469216544869251</v>
      </c>
      <c r="F25">
        <v>0.72674677511810937</v>
      </c>
      <c r="G25">
        <v>0.74535287977016484</v>
      </c>
      <c r="H25">
        <v>0.7630337377326426</v>
      </c>
      <c r="I25">
        <v>0.78091226381439616</v>
      </c>
      <c r="J25">
        <v>0.7994157629776244</v>
      </c>
      <c r="K25">
        <v>0.81873840941465148</v>
      </c>
      <c r="L25">
        <v>0.83886203752100741</v>
      </c>
      <c r="M25">
        <v>0.85971518530592095</v>
      </c>
      <c r="N25">
        <v>0.88098224063167008</v>
      </c>
      <c r="O25">
        <v>0.90228240158802964</v>
      </c>
      <c r="P25">
        <v>0.92299176361479063</v>
      </c>
      <c r="Q25">
        <v>0.94242396943585749</v>
      </c>
      <c r="R25">
        <v>0.95981734345392555</v>
      </c>
      <c r="S25">
        <v>0.9745061255288332</v>
      </c>
      <c r="T25">
        <v>0.98597841323491142</v>
      </c>
      <c r="U25">
        <v>0.9939919763620253</v>
      </c>
      <c r="V25">
        <v>0.9985706678329701</v>
      </c>
      <c r="W25">
        <v>1</v>
      </c>
      <c r="X25">
        <v>0.99875026856798765</v>
      </c>
      <c r="Y25">
        <v>0.99538733017971937</v>
      </c>
      <c r="Z25">
        <v>0.99048182802973639</v>
      </c>
      <c r="AA25">
        <v>0.98454665495581695</v>
      </c>
      <c r="AB25">
        <v>0.97799469216177903</v>
      </c>
      <c r="AC25">
        <v>0.97115256372995762</v>
      </c>
      <c r="AD25">
        <v>0.96418422807374415</v>
      </c>
      <c r="AE25">
        <v>0.95722462321238677</v>
      </c>
      <c r="AF25">
        <v>0.95028851344517684</v>
      </c>
      <c r="AG25">
        <v>0.94341262058651154</v>
      </c>
      <c r="AH25">
        <v>0.93649832833976776</v>
      </c>
      <c r="AI25">
        <v>0.92948821420860051</v>
      </c>
      <c r="AJ25">
        <v>0.92222750661845221</v>
      </c>
      <c r="AK25">
        <v>0.91458007168917199</v>
      </c>
      <c r="AL25">
        <v>0.90634386285210433</v>
      </c>
      <c r="AM25">
        <v>0.8973218847535166</v>
      </c>
      <c r="AN25">
        <v>0.88736696250465918</v>
      </c>
      <c r="AO25">
        <v>0.87621734539131979</v>
      </c>
      <c r="AP25">
        <v>0.86373050574333221</v>
      </c>
      <c r="AQ25">
        <v>0.84976648631789942</v>
      </c>
      <c r="AR25">
        <v>0.83422425072356454</v>
      </c>
      <c r="AS25">
        <v>0.81705533496000216</v>
      </c>
      <c r="AT25">
        <v>0.79824492837432914</v>
      </c>
      <c r="AU25">
        <v>0.77786873562380243</v>
      </c>
      <c r="AV25">
        <v>0.75598057377986061</v>
      </c>
      <c r="AW25">
        <v>0.73278735006449991</v>
      </c>
      <c r="AX25">
        <v>0.70847046954008375</v>
      </c>
      <c r="AY25">
        <v>0.68331122381388965</v>
      </c>
      <c r="AZ25">
        <v>0.65750160847431816</v>
      </c>
      <c r="BA25">
        <v>0.63134409573819417</v>
      </c>
      <c r="BB25">
        <v>0.60516252625638323</v>
      </c>
      <c r="BC25">
        <v>0.57919233122121883</v>
      </c>
      <c r="BD25">
        <v>0.55363958565505189</v>
      </c>
      <c r="BE25">
        <v>0.52879041292309636</v>
      </c>
      <c r="BF25">
        <v>0.50478034191106824</v>
      </c>
      <c r="BG25">
        <v>0.48181262942286424</v>
      </c>
      <c r="BH25">
        <v>0.45995508278134062</v>
      </c>
      <c r="BI25">
        <v>0.43932396178314181</v>
      </c>
      <c r="BJ25">
        <v>0.42000684538181843</v>
      </c>
      <c r="BK25">
        <v>0.40199600355699699</v>
      </c>
      <c r="BL25">
        <v>0.38531520583719192</v>
      </c>
      <c r="BM25">
        <v>0.3699178628047301</v>
      </c>
      <c r="BN25">
        <v>0.35575871813017246</v>
      </c>
      <c r="BO25">
        <v>0.3427764424422739</v>
      </c>
      <c r="BP25">
        <v>0.33087049480030545</v>
      </c>
      <c r="BQ25">
        <v>0.3199825333761665</v>
      </c>
      <c r="BR25">
        <v>0.31003846073740826</v>
      </c>
      <c r="BS25">
        <v>0.30090890895646488</v>
      </c>
      <c r="BT25">
        <v>0.29250389819474454</v>
      </c>
      <c r="BU25">
        <v>0.28472748716980528</v>
      </c>
      <c r="BV25">
        <v>0.27747355672496682</v>
      </c>
      <c r="BW25">
        <v>0.27057542902313297</v>
      </c>
      <c r="BX25">
        <v>0.26396503720480879</v>
      </c>
      <c r="BY25">
        <v>0.25752820400269172</v>
      </c>
      <c r="BZ25">
        <v>0.2511399977541014</v>
      </c>
      <c r="CA25">
        <v>0.24465179388739969</v>
      </c>
      <c r="CB25">
        <v>0.23800670252346132</v>
      </c>
      <c r="CC25">
        <v>0.23114745014415231</v>
      </c>
      <c r="CD25">
        <v>0.22396995397150957</v>
      </c>
      <c r="CE25">
        <v>0.2164843067281727</v>
      </c>
      <c r="CF25">
        <v>0.20870336547766105</v>
      </c>
      <c r="CG25">
        <v>0.20064458699747784</v>
      </c>
      <c r="CH25">
        <v>0.19241875383810567</v>
      </c>
      <c r="CI25">
        <v>0.1840397170415195</v>
      </c>
      <c r="CJ25">
        <v>0.17564412047125283</v>
      </c>
      <c r="CK25">
        <v>0.16728111942853457</v>
      </c>
      <c r="CL25">
        <v>0.15906531148766842</v>
      </c>
      <c r="CM25">
        <v>0.15105403627433572</v>
      </c>
      <c r="CN25">
        <v>0.1432831228275529</v>
      </c>
      <c r="CO25">
        <v>0.13581606304655575</v>
      </c>
      <c r="CP25">
        <v>0.12868850288488684</v>
      </c>
      <c r="CQ25">
        <v>0.12189700392054485</v>
      </c>
      <c r="CR25">
        <v>0.11545367692021716</v>
      </c>
      <c r="CS25">
        <v>0.10936045711026073</v>
      </c>
      <c r="CT25">
        <v>0.10361870149224296</v>
      </c>
      <c r="CU25">
        <v>9.8215977797234386E-2</v>
      </c>
      <c r="CV25">
        <v>9.3126146683904606E-2</v>
      </c>
      <c r="CW25">
        <v>8.834039009158165E-2</v>
      </c>
      <c r="CX25">
        <v>8.3844279972313751E-2</v>
      </c>
      <c r="CY25">
        <v>7.9589501295079607E-2</v>
      </c>
      <c r="CZ25">
        <v>7.5600239841773179E-2</v>
      </c>
      <c r="DA25">
        <v>7.1827953378854684E-2</v>
      </c>
      <c r="DB25">
        <v>6.8266040851016951E-2</v>
      </c>
      <c r="DC25">
        <v>6.4891627378166408E-2</v>
      </c>
      <c r="DD25">
        <v>6.1686393958530067E-2</v>
      </c>
      <c r="DE25">
        <v>5.8645029122009612E-2</v>
      </c>
      <c r="DF25">
        <v>5.5734978523994769E-2</v>
      </c>
      <c r="DG25">
        <v>5.2948020041047865E-2</v>
      </c>
      <c r="DH25">
        <v>5.0267093414526287E-2</v>
      </c>
      <c r="DI25">
        <v>4.7688920238918693E-2</v>
      </c>
      <c r="DJ25">
        <v>4.5179898026119367E-2</v>
      </c>
      <c r="DK25">
        <v>4.2741166834989179E-2</v>
      </c>
      <c r="DL25">
        <v>4.0328895051126627E-2</v>
      </c>
      <c r="DM25">
        <v>3.7942044174856297E-2</v>
      </c>
      <c r="DN25">
        <v>3.5542694054967093E-2</v>
      </c>
      <c r="DO25">
        <v>3.3104322879860731E-2</v>
      </c>
      <c r="DP25">
        <v>3.0580708016977196E-2</v>
      </c>
    </row>
    <row r="26" spans="1:120" x14ac:dyDescent="0.2">
      <c r="A26">
        <v>0.24135180418785185</v>
      </c>
      <c r="B26">
        <v>0.47109068405907722</v>
      </c>
      <c r="C26">
        <v>0.59276357936625568</v>
      </c>
      <c r="D26">
        <v>0.64810661290748217</v>
      </c>
      <c r="E26">
        <v>0.67828626573848216</v>
      </c>
      <c r="F26">
        <v>0.69946867185964634</v>
      </c>
      <c r="G26">
        <v>0.71765447000740989</v>
      </c>
      <c r="H26">
        <v>0.7352213569082785</v>
      </c>
      <c r="I26">
        <v>0.75323642955585679</v>
      </c>
      <c r="J26">
        <v>0.77211079265012228</v>
      </c>
      <c r="K26">
        <v>0.79204246741627671</v>
      </c>
      <c r="L26">
        <v>0.81302446226696756</v>
      </c>
      <c r="M26">
        <v>0.83500288031402259</v>
      </c>
      <c r="N26">
        <v>0.85767474584141445</v>
      </c>
      <c r="O26">
        <v>0.88067120071050276</v>
      </c>
      <c r="P26">
        <v>0.90336136810276302</v>
      </c>
      <c r="Q26">
        <v>0.92504211477540554</v>
      </c>
      <c r="R26">
        <v>0.94491374396421257</v>
      </c>
      <c r="S26">
        <v>0.9622583674122156</v>
      </c>
      <c r="T26">
        <v>0.97649716555698218</v>
      </c>
      <c r="U26">
        <v>0.98731507223495896</v>
      </c>
      <c r="V26">
        <v>0.99466050499151515</v>
      </c>
      <c r="W26">
        <v>0.99875026856798776</v>
      </c>
      <c r="X26">
        <v>1</v>
      </c>
      <c r="Y26">
        <v>0.99893349885852978</v>
      </c>
      <c r="Z26">
        <v>0.99609661985858544</v>
      </c>
      <c r="AA26">
        <v>0.99198872414640904</v>
      </c>
      <c r="AB26">
        <v>0.98701970906863778</v>
      </c>
      <c r="AC26">
        <v>0.98151734739688046</v>
      </c>
      <c r="AD26">
        <v>0.97566240597718656</v>
      </c>
      <c r="AE26">
        <v>0.96959549032227654</v>
      </c>
      <c r="AF26">
        <v>0.96334932731055345</v>
      </c>
      <c r="AG26">
        <v>0.95696024085359088</v>
      </c>
      <c r="AH26">
        <v>0.95034466250581939</v>
      </c>
      <c r="AI26">
        <v>0.94344766296447979</v>
      </c>
      <c r="AJ26">
        <v>0.93612269559655314</v>
      </c>
      <c r="AK26">
        <v>0.92824122798714603</v>
      </c>
      <c r="AL26">
        <v>0.91960463178545471</v>
      </c>
      <c r="AM26">
        <v>0.91002700260458336</v>
      </c>
      <c r="AN26">
        <v>0.89936458365537797</v>
      </c>
      <c r="AO26">
        <v>0.88737270469271146</v>
      </c>
      <c r="AP26">
        <v>0.87391857872150713</v>
      </c>
      <c r="AQ26">
        <v>0.85887225345393192</v>
      </c>
      <c r="AR26">
        <v>0.84215251681022318</v>
      </c>
      <c r="AS26">
        <v>0.82372656732395311</v>
      </c>
      <c r="AT26">
        <v>0.8035962790188329</v>
      </c>
      <c r="AU26">
        <v>0.78185947162479474</v>
      </c>
      <c r="AV26">
        <v>0.75858649190682859</v>
      </c>
      <c r="AW26">
        <v>0.7340036742141034</v>
      </c>
      <c r="AX26">
        <v>0.70831009686078394</v>
      </c>
      <c r="AY26">
        <v>0.68180368129777547</v>
      </c>
      <c r="AZ26">
        <v>0.65469308696033479</v>
      </c>
      <c r="BA26">
        <v>0.62728854218294072</v>
      </c>
      <c r="BB26">
        <v>0.59992827455234643</v>
      </c>
      <c r="BC26">
        <v>0.57285219787938735</v>
      </c>
      <c r="BD26">
        <v>0.54627060341810774</v>
      </c>
      <c r="BE26">
        <v>0.52047164885017616</v>
      </c>
      <c r="BF26">
        <v>0.49559139496450977</v>
      </c>
      <c r="BG26">
        <v>0.4718311207212148</v>
      </c>
      <c r="BH26">
        <v>0.44925195337301821</v>
      </c>
      <c r="BI26">
        <v>0.42796934796088937</v>
      </c>
      <c r="BJ26">
        <v>0.40806249051729099</v>
      </c>
      <c r="BK26">
        <v>0.38952025653594019</v>
      </c>
      <c r="BL26">
        <v>0.37236036908671977</v>
      </c>
      <c r="BM26">
        <v>0.35653024790846899</v>
      </c>
      <c r="BN26">
        <v>0.34198070952810555</v>
      </c>
      <c r="BO26">
        <v>0.3286484780574378</v>
      </c>
      <c r="BP26">
        <v>0.31642723261793876</v>
      </c>
      <c r="BQ26">
        <v>0.30526025991682199</v>
      </c>
      <c r="BR26">
        <v>0.29506982729375814</v>
      </c>
      <c r="BS26">
        <v>0.28572872939597055</v>
      </c>
      <c r="BT26">
        <v>0.27714641148735608</v>
      </c>
      <c r="BU26">
        <v>0.2692293419824891</v>
      </c>
      <c r="BV26">
        <v>0.26187524071305762</v>
      </c>
      <c r="BW26">
        <v>0.25492101477945278</v>
      </c>
      <c r="BX26">
        <v>0.248302245132099</v>
      </c>
      <c r="BY26">
        <v>0.2419098809663123</v>
      </c>
      <c r="BZ26">
        <v>0.23562503518140004</v>
      </c>
      <c r="CA26">
        <v>0.22930188198237839</v>
      </c>
      <c r="CB26">
        <v>0.22288807788224133</v>
      </c>
      <c r="CC26">
        <v>0.21632723533041912</v>
      </c>
      <c r="CD26">
        <v>0.20951563932815429</v>
      </c>
      <c r="CE26">
        <v>0.2024607056108704</v>
      </c>
      <c r="CF26">
        <v>0.19516916954159538</v>
      </c>
      <c r="CG26">
        <v>0.18765144793782709</v>
      </c>
      <c r="CH26">
        <v>0.18000866338464591</v>
      </c>
      <c r="CI26">
        <v>0.17224535521663328</v>
      </c>
      <c r="CJ26">
        <v>0.16448745065506035</v>
      </c>
      <c r="CK26">
        <v>0.15677320467088598</v>
      </c>
      <c r="CL26">
        <v>0.14920772451468517</v>
      </c>
      <c r="CM26">
        <v>0.14184145718536834</v>
      </c>
      <c r="CN26">
        <v>0.13470155435155576</v>
      </c>
      <c r="CO26">
        <v>0.12784620248074974</v>
      </c>
      <c r="CP26">
        <v>0.12130823873511994</v>
      </c>
      <c r="CQ26">
        <v>0.11508037529478599</v>
      </c>
      <c r="CR26">
        <v>0.10917238919672365</v>
      </c>
      <c r="CS26">
        <v>0.10358581868722314</v>
      </c>
      <c r="CT26">
        <v>9.8322077148580753E-2</v>
      </c>
      <c r="CU26">
        <v>9.3368906106295627E-2</v>
      </c>
      <c r="CV26">
        <v>8.8699943588492064E-2</v>
      </c>
      <c r="CW26">
        <v>8.4308091047961498E-2</v>
      </c>
      <c r="CX26">
        <v>8.0179899406346788E-2</v>
      </c>
      <c r="CY26">
        <v>7.6268440725108952E-2</v>
      </c>
      <c r="CZ26">
        <v>7.2598401898088541E-2</v>
      </c>
      <c r="DA26">
        <v>6.9123428562851863E-2</v>
      </c>
      <c r="DB26">
        <v>6.5837633227911557E-2</v>
      </c>
      <c r="DC26">
        <v>6.2718960700335918E-2</v>
      </c>
      <c r="DD26">
        <v>5.9750875593817282E-2</v>
      </c>
      <c r="DE26">
        <v>5.6928696368715566E-2</v>
      </c>
      <c r="DF26">
        <v>5.422091872571827E-2</v>
      </c>
      <c r="DG26">
        <v>5.162018692664911E-2</v>
      </c>
      <c r="DH26">
        <v>4.9110304946718197E-2</v>
      </c>
      <c r="DI26">
        <v>4.6688573850076562E-2</v>
      </c>
      <c r="DJ26">
        <v>4.4322068429607016E-2</v>
      </c>
      <c r="DK26">
        <v>4.20117901362572E-2</v>
      </c>
      <c r="DL26">
        <v>3.9714761079391397E-2</v>
      </c>
      <c r="DM26">
        <v>3.7429803827452979E-2</v>
      </c>
      <c r="DN26">
        <v>3.5119310665790014E-2</v>
      </c>
      <c r="DO26">
        <v>3.2756155626808281E-2</v>
      </c>
      <c r="DP26">
        <v>3.0293735156084488E-2</v>
      </c>
    </row>
    <row r="27" spans="1:120" x14ac:dyDescent="0.2">
      <c r="A27">
        <v>0.23773463269319728</v>
      </c>
      <c r="B27">
        <v>0.45716060183275864</v>
      </c>
      <c r="C27">
        <v>0.5726582480099015</v>
      </c>
      <c r="D27">
        <v>0.6249489086680603</v>
      </c>
      <c r="E27">
        <v>0.65356088750752572</v>
      </c>
      <c r="F27">
        <v>0.67389007075752339</v>
      </c>
      <c r="G27">
        <v>0.69162244063406897</v>
      </c>
      <c r="H27">
        <v>0.70900427204526395</v>
      </c>
      <c r="I27">
        <v>0.72705230600055526</v>
      </c>
      <c r="J27">
        <v>0.74616400931921933</v>
      </c>
      <c r="K27">
        <v>0.76654178652350702</v>
      </c>
      <c r="L27">
        <v>0.78819049628002713</v>
      </c>
      <c r="M27">
        <v>0.81107311966925411</v>
      </c>
      <c r="N27">
        <v>0.83490076484527409</v>
      </c>
      <c r="O27">
        <v>0.85931816692367868</v>
      </c>
      <c r="P27">
        <v>0.88369171185530637</v>
      </c>
      <c r="Q27">
        <v>0.90730715011678864</v>
      </c>
      <c r="R27">
        <v>0.92933453998290549</v>
      </c>
      <c r="S27">
        <v>0.9490122693880455</v>
      </c>
      <c r="T27">
        <v>0.96570438856444485</v>
      </c>
      <c r="U27">
        <v>0.97903144667685782</v>
      </c>
      <c r="V27">
        <v>0.98887441365130158</v>
      </c>
      <c r="W27">
        <v>0.99538733017971925</v>
      </c>
      <c r="X27">
        <v>0.99893349885852967</v>
      </c>
      <c r="Y27">
        <v>1</v>
      </c>
      <c r="Z27">
        <v>0.99910459897432191</v>
      </c>
      <c r="AA27">
        <v>0.9967336871143988</v>
      </c>
      <c r="AB27">
        <v>0.99329224806115846</v>
      </c>
      <c r="AC27">
        <v>0.9891061947410682</v>
      </c>
      <c r="AD27">
        <v>0.98437002551341946</v>
      </c>
      <c r="AE27">
        <v>0.97922761930715874</v>
      </c>
      <c r="AF27">
        <v>0.97372617960990593</v>
      </c>
      <c r="AG27">
        <v>0.96790050046341403</v>
      </c>
      <c r="AH27">
        <v>0.96167986242859138</v>
      </c>
      <c r="AI27">
        <v>0.95501004483824292</v>
      </c>
      <c r="AJ27">
        <v>0.94775145707097797</v>
      </c>
      <c r="AK27">
        <v>0.93978110557692729</v>
      </c>
      <c r="AL27">
        <v>0.93090330362446894</v>
      </c>
      <c r="AM27">
        <v>0.92094087529797974</v>
      </c>
      <c r="AN27">
        <v>0.90975222075019002</v>
      </c>
      <c r="AO27">
        <v>0.89710760437747561</v>
      </c>
      <c r="AP27">
        <v>0.88288226841141026</v>
      </c>
      <c r="AQ27">
        <v>0.86695438367354327</v>
      </c>
      <c r="AR27">
        <v>0.84925994538883798</v>
      </c>
      <c r="AS27">
        <v>0.82977937675987434</v>
      </c>
      <c r="AT27">
        <v>0.80852926226293775</v>
      </c>
      <c r="AU27">
        <v>0.78562636748875603</v>
      </c>
      <c r="AV27">
        <v>0.76115640357385228</v>
      </c>
      <c r="AW27">
        <v>0.73536247736863547</v>
      </c>
      <c r="AX27">
        <v>0.70845976683938694</v>
      </c>
      <c r="AY27">
        <v>0.68076119277541092</v>
      </c>
      <c r="AZ27">
        <v>0.65249105824412246</v>
      </c>
      <c r="BA27">
        <v>0.62396718263353845</v>
      </c>
      <c r="BB27">
        <v>0.59554115452051359</v>
      </c>
      <c r="BC27">
        <v>0.56745751809481015</v>
      </c>
      <c r="BD27">
        <v>0.53993151260891004</v>
      </c>
      <c r="BE27">
        <v>0.51325349200533266</v>
      </c>
      <c r="BF27">
        <v>0.48756113342834922</v>
      </c>
      <c r="BG27">
        <v>0.46305443119196316</v>
      </c>
      <c r="BH27">
        <v>0.43978920278589623</v>
      </c>
      <c r="BI27">
        <v>0.4178807858144773</v>
      </c>
      <c r="BJ27">
        <v>0.39740131858200539</v>
      </c>
      <c r="BK27">
        <v>0.37833705022925601</v>
      </c>
      <c r="BL27">
        <v>0.36070056981160281</v>
      </c>
      <c r="BM27">
        <v>0.34443398057111158</v>
      </c>
      <c r="BN27">
        <v>0.32948484802905237</v>
      </c>
      <c r="BO27">
        <v>0.31578804044934616</v>
      </c>
      <c r="BP27">
        <v>0.30323232062788774</v>
      </c>
      <c r="BQ27">
        <v>0.29176228933962678</v>
      </c>
      <c r="BR27">
        <v>0.28129684014291617</v>
      </c>
      <c r="BS27">
        <v>0.27171084077664881</v>
      </c>
      <c r="BT27">
        <v>0.26291332655893174</v>
      </c>
      <c r="BU27">
        <v>0.25481286758001881</v>
      </c>
      <c r="BV27">
        <v>0.24731086554687115</v>
      </c>
      <c r="BW27">
        <v>0.24024773564386426</v>
      </c>
      <c r="BX27">
        <v>0.23356250405730422</v>
      </c>
      <c r="BY27">
        <v>0.2271513448813714</v>
      </c>
      <c r="BZ27">
        <v>0.2209012383406285</v>
      </c>
      <c r="CA27">
        <v>0.2146695883517806</v>
      </c>
      <c r="CB27">
        <v>0.20840883711102196</v>
      </c>
      <c r="CC27">
        <v>0.20206404443686843</v>
      </c>
      <c r="CD27">
        <v>0.19553285580657204</v>
      </c>
      <c r="CE27">
        <v>0.18882068063652982</v>
      </c>
      <c r="CF27">
        <v>0.18192944509973297</v>
      </c>
      <c r="CG27">
        <v>0.17486368909614625</v>
      </c>
      <c r="CH27">
        <v>0.16771594940860082</v>
      </c>
      <c r="CI27">
        <v>0.16048242341797958</v>
      </c>
      <c r="CJ27">
        <v>0.15327935749058802</v>
      </c>
      <c r="CK27">
        <v>0.14613468341776098</v>
      </c>
      <c r="CL27">
        <v>0.13914480861665737</v>
      </c>
      <c r="CM27">
        <v>0.13235329886377314</v>
      </c>
      <c r="CN27">
        <v>0.12577914295296455</v>
      </c>
      <c r="CO27">
        <v>0.11947509611348317</v>
      </c>
      <c r="CP27">
        <v>0.11347105565630615</v>
      </c>
      <c r="CQ27">
        <v>0.10775580264310242</v>
      </c>
      <c r="CR27">
        <v>0.10233668655648066</v>
      </c>
      <c r="CS27">
        <v>9.7214457594643117E-2</v>
      </c>
      <c r="CT27">
        <v>9.2390247295448133E-2</v>
      </c>
      <c r="CU27">
        <v>8.7851803337607726E-2</v>
      </c>
      <c r="CV27">
        <v>8.357229644308721E-2</v>
      </c>
      <c r="CW27">
        <v>7.9546037953403315E-2</v>
      </c>
      <c r="CX27">
        <v>7.5760254881703654E-2</v>
      </c>
      <c r="CY27">
        <v>7.2169338372315497E-2</v>
      </c>
      <c r="CZ27">
        <v>6.8798133085218455E-2</v>
      </c>
      <c r="DA27">
        <v>6.5602321008388961E-2</v>
      </c>
      <c r="DB27">
        <v>6.2576599144557946E-2</v>
      </c>
      <c r="DC27">
        <v>5.9699569156126703E-2</v>
      </c>
      <c r="DD27">
        <v>5.6956356923064271E-2</v>
      </c>
      <c r="DE27">
        <v>5.4342889225064167E-2</v>
      </c>
      <c r="DF27">
        <v>5.1828533907315219E-2</v>
      </c>
      <c r="DG27">
        <v>4.9406784883997724E-2</v>
      </c>
      <c r="DH27">
        <v>4.7062240154966059E-2</v>
      </c>
      <c r="DI27">
        <v>4.479279164140141E-2</v>
      </c>
      <c r="DJ27">
        <v>4.2566217336900684E-2</v>
      </c>
      <c r="DK27">
        <v>4.0383425053542366E-2</v>
      </c>
      <c r="DL27">
        <v>3.8202401538207288E-2</v>
      </c>
      <c r="DM27">
        <v>3.6021956984980931E-2</v>
      </c>
      <c r="DN27">
        <v>3.3804991971548994E-2</v>
      </c>
      <c r="DO27">
        <v>3.1524177381953407E-2</v>
      </c>
      <c r="DP27">
        <v>2.9133015981516082E-2</v>
      </c>
    </row>
    <row r="28" spans="1:120" x14ac:dyDescent="0.2">
      <c r="A28">
        <v>0.23408951506033987</v>
      </c>
      <c r="B28">
        <v>0.44426437199334168</v>
      </c>
      <c r="C28">
        <v>0.55425145360249439</v>
      </c>
      <c r="D28">
        <v>0.60381339833897663</v>
      </c>
      <c r="E28">
        <v>0.63100154224114613</v>
      </c>
      <c r="F28">
        <v>0.65052797716815702</v>
      </c>
      <c r="G28">
        <v>0.66780084640493209</v>
      </c>
      <c r="H28">
        <v>0.68495131686355937</v>
      </c>
      <c r="I28">
        <v>0.7029519198021823</v>
      </c>
      <c r="J28">
        <v>0.72218877146026883</v>
      </c>
      <c r="K28">
        <v>0.74286909886595287</v>
      </c>
      <c r="L28">
        <v>0.76500985363554741</v>
      </c>
      <c r="M28">
        <v>0.78858970462326206</v>
      </c>
      <c r="N28">
        <v>0.8133347103100973</v>
      </c>
      <c r="O28">
        <v>0.83890424387072748</v>
      </c>
      <c r="P28">
        <v>0.86466562292793037</v>
      </c>
      <c r="Q28">
        <v>0.88989886837500631</v>
      </c>
      <c r="R28">
        <v>0.91375165454818141</v>
      </c>
      <c r="S28">
        <v>0.93542683765286039</v>
      </c>
      <c r="T28">
        <v>0.95424172014264708</v>
      </c>
      <c r="U28">
        <v>0.96976156986308326</v>
      </c>
      <c r="V28">
        <v>0.98180900459976095</v>
      </c>
      <c r="W28">
        <v>0.9904818280297365</v>
      </c>
      <c r="X28">
        <v>0.99609661985858533</v>
      </c>
      <c r="Y28">
        <v>0.99910459897432202</v>
      </c>
      <c r="Z28">
        <v>1</v>
      </c>
      <c r="AA28">
        <v>0.99925217278429102</v>
      </c>
      <c r="AB28">
        <v>0.99726176950250567</v>
      </c>
      <c r="AC28">
        <v>0.99434981787149035</v>
      </c>
      <c r="AD28">
        <v>0.99072146976974373</v>
      </c>
      <c r="AE28">
        <v>0.9865217928347928</v>
      </c>
      <c r="AF28">
        <v>0.98180884433757776</v>
      </c>
      <c r="AG28">
        <v>0.97661489210504049</v>
      </c>
      <c r="AH28">
        <v>0.97087950545395008</v>
      </c>
      <c r="AI28">
        <v>0.96454774409323618</v>
      </c>
      <c r="AJ28">
        <v>0.95748539886331629</v>
      </c>
      <c r="AK28">
        <v>0.94957286172584077</v>
      </c>
      <c r="AL28">
        <v>0.9406165545887345</v>
      </c>
      <c r="AM28">
        <v>0.93044568883219358</v>
      </c>
      <c r="AN28">
        <v>0.91891922634849377</v>
      </c>
      <c r="AO28">
        <v>0.90581985141034327</v>
      </c>
      <c r="AP28">
        <v>0.89102884105556879</v>
      </c>
      <c r="AQ28">
        <v>0.87443026836769544</v>
      </c>
      <c r="AR28">
        <v>0.85597432019128383</v>
      </c>
      <c r="AS28">
        <v>0.83565188290579995</v>
      </c>
      <c r="AT28">
        <v>0.81349209035625869</v>
      </c>
      <c r="AU28">
        <v>0.78962712090526599</v>
      </c>
      <c r="AV28">
        <v>0.76415645798294607</v>
      </c>
      <c r="AW28">
        <v>0.73733729327934328</v>
      </c>
      <c r="AX28">
        <v>0.70939918792075107</v>
      </c>
      <c r="AY28">
        <v>0.68066823083286399</v>
      </c>
      <c r="AZ28">
        <v>0.65138336121647256</v>
      </c>
      <c r="BA28">
        <v>0.62186964019504387</v>
      </c>
      <c r="BB28">
        <v>0.59249123237103996</v>
      </c>
      <c r="BC28">
        <v>0.56349750106365193</v>
      </c>
      <c r="BD28">
        <v>0.53510936357051264</v>
      </c>
      <c r="BE28">
        <v>0.50761978250590811</v>
      </c>
      <c r="BF28">
        <v>0.48116910760946985</v>
      </c>
      <c r="BG28">
        <v>0.45595700151634261</v>
      </c>
      <c r="BH28">
        <v>0.43203546016706901</v>
      </c>
      <c r="BI28">
        <v>0.40952066666385184</v>
      </c>
      <c r="BJ28">
        <v>0.3884788671787085</v>
      </c>
      <c r="BK28">
        <v>0.36889498797022374</v>
      </c>
      <c r="BL28">
        <v>0.35077703086433593</v>
      </c>
      <c r="BM28">
        <v>0.3340628065352752</v>
      </c>
      <c r="BN28">
        <v>0.31869716574674428</v>
      </c>
      <c r="BO28">
        <v>0.30461341857964325</v>
      </c>
      <c r="BP28">
        <v>0.29169600884131675</v>
      </c>
      <c r="BQ28">
        <v>0.27989069615536133</v>
      </c>
      <c r="BR28">
        <v>0.26911312768740214</v>
      </c>
      <c r="BS28">
        <v>0.25924008399903264</v>
      </c>
      <c r="BT28">
        <v>0.25018022390647576</v>
      </c>
      <c r="BU28">
        <v>0.24184394642956508</v>
      </c>
      <c r="BV28">
        <v>0.23413600731683007</v>
      </c>
      <c r="BW28">
        <v>0.22690012103298604</v>
      </c>
      <c r="BX28">
        <v>0.22007849358454984</v>
      </c>
      <c r="BY28">
        <v>0.21357245527122898</v>
      </c>
      <c r="BZ28">
        <v>0.20727463357131287</v>
      </c>
      <c r="CA28">
        <v>0.2010461158942714</v>
      </c>
      <c r="CB28">
        <v>0.19484430562181387</v>
      </c>
      <c r="CC28">
        <v>0.18861635586177614</v>
      </c>
      <c r="CD28">
        <v>0.18226224333819044</v>
      </c>
      <c r="CE28">
        <v>0.17578629030026849</v>
      </c>
      <c r="CF28">
        <v>0.16918718689783105</v>
      </c>
      <c r="CG28">
        <v>0.16246476376069266</v>
      </c>
      <c r="CH28">
        <v>0.15570452844937627</v>
      </c>
      <c r="CI28">
        <v>0.1488953237765509</v>
      </c>
      <c r="CJ28">
        <v>0.14214510564166349</v>
      </c>
      <c r="CK28">
        <v>0.13547219920028117</v>
      </c>
      <c r="CL28">
        <v>0.12896525108072271</v>
      </c>
      <c r="CM28">
        <v>0.12266113914116117</v>
      </c>
      <c r="CN28">
        <v>0.11657121885673735</v>
      </c>
      <c r="CO28">
        <v>0.11074282174090203</v>
      </c>
      <c r="CP28">
        <v>0.10520271044920275</v>
      </c>
      <c r="CQ28">
        <v>9.9935673266440414E-2</v>
      </c>
      <c r="CR28">
        <v>9.4946503868977614E-2</v>
      </c>
      <c r="CS28">
        <v>9.0234780608024381E-2</v>
      </c>
      <c r="CT28">
        <v>8.5800955476422136E-2</v>
      </c>
      <c r="CU28">
        <v>8.1632564316865344E-2</v>
      </c>
      <c r="CV28">
        <v>7.7702013196435799E-2</v>
      </c>
      <c r="CW28">
        <v>7.4004632269338233E-2</v>
      </c>
      <c r="CX28">
        <v>7.0528032246938641E-2</v>
      </c>
      <c r="CY28">
        <v>6.7227742660144321E-2</v>
      </c>
      <c r="CZ28">
        <v>6.4128439277956861E-2</v>
      </c>
      <c r="DA28">
        <v>6.1187590645776668E-2</v>
      </c>
      <c r="DB28">
        <v>5.8400338054690214E-2</v>
      </c>
      <c r="DC28">
        <v>5.5745736109215002E-2</v>
      </c>
      <c r="DD28">
        <v>5.3210445437619089E-2</v>
      </c>
      <c r="DE28">
        <v>5.0790904511740648E-2</v>
      </c>
      <c r="DF28">
        <v>4.8457137576263458E-2</v>
      </c>
      <c r="DG28">
        <v>4.6203514170377533E-2</v>
      </c>
      <c r="DH28">
        <v>4.401527514831946E-2</v>
      </c>
      <c r="DI28">
        <v>4.1890948438634494E-2</v>
      </c>
      <c r="DJ28">
        <v>3.9798978952372402E-2</v>
      </c>
      <c r="DK28">
        <v>3.7740257849467634E-2</v>
      </c>
      <c r="DL28">
        <v>3.5673827894733244E-2</v>
      </c>
      <c r="DM28">
        <v>3.3598581768637975E-2</v>
      </c>
      <c r="DN28">
        <v>3.1478173421252684E-2</v>
      </c>
      <c r="DO28">
        <v>2.9285453811403905E-2</v>
      </c>
      <c r="DP28">
        <v>2.6974553680142684E-2</v>
      </c>
    </row>
    <row r="29" spans="1:120" x14ac:dyDescent="0.2">
      <c r="A29">
        <v>0.23054293065312859</v>
      </c>
      <c r="B29">
        <v>0.43266554929003004</v>
      </c>
      <c r="C29">
        <v>0.53788197553449635</v>
      </c>
      <c r="D29">
        <v>0.58507526347329875</v>
      </c>
      <c r="E29">
        <v>0.61100513173669802</v>
      </c>
      <c r="F29">
        <v>0.62979546797250219</v>
      </c>
      <c r="G29">
        <v>0.64661710261289507</v>
      </c>
      <c r="H29">
        <v>0.66350330379660527</v>
      </c>
      <c r="I29">
        <v>0.68138929811328885</v>
      </c>
      <c r="J29">
        <v>0.70065231841312747</v>
      </c>
      <c r="K29">
        <v>0.72150475041838702</v>
      </c>
      <c r="L29">
        <v>0.74397563801429689</v>
      </c>
      <c r="M29">
        <v>0.76805794544611261</v>
      </c>
      <c r="N29">
        <v>0.79349317469353353</v>
      </c>
      <c r="O29">
        <v>0.81995597878968063</v>
      </c>
      <c r="P29">
        <v>0.84681784461530252</v>
      </c>
      <c r="Q29">
        <v>0.87335790299675065</v>
      </c>
      <c r="R29">
        <v>0.89870859558205052</v>
      </c>
      <c r="S29">
        <v>0.9220455292662143</v>
      </c>
      <c r="T29">
        <v>0.94264933047055388</v>
      </c>
      <c r="U29">
        <v>0.96003911253078766</v>
      </c>
      <c r="V29">
        <v>0.97398870530327575</v>
      </c>
      <c r="W29">
        <v>0.98454665495581706</v>
      </c>
      <c r="X29">
        <v>0.99198872414640904</v>
      </c>
      <c r="Y29">
        <v>0.9967336871143988</v>
      </c>
      <c r="Z29">
        <v>0.99925217278429113</v>
      </c>
      <c r="AA29">
        <v>1</v>
      </c>
      <c r="AB29">
        <v>0.99936895791414793</v>
      </c>
      <c r="AC29">
        <v>0.99767472858766981</v>
      </c>
      <c r="AD29">
        <v>0.9951300058457172</v>
      </c>
      <c r="AE29">
        <v>0.99187878231971738</v>
      </c>
      <c r="AF29">
        <v>0.98798667623795988</v>
      </c>
      <c r="AG29">
        <v>0.98348262719886104</v>
      </c>
      <c r="AH29">
        <v>0.97831381651253779</v>
      </c>
      <c r="AI29">
        <v>0.97242320353590916</v>
      </c>
      <c r="AJ29">
        <v>0.96568044596313385</v>
      </c>
      <c r="AK29">
        <v>0.95796696979826435</v>
      </c>
      <c r="AL29">
        <v>0.94909071477636575</v>
      </c>
      <c r="AM29">
        <v>0.93888470897479859</v>
      </c>
      <c r="AN29">
        <v>0.9272068143210932</v>
      </c>
      <c r="AO29">
        <v>0.91384951148423477</v>
      </c>
      <c r="AP29">
        <v>0.89869800601851468</v>
      </c>
      <c r="AQ29">
        <v>0.88163996882156925</v>
      </c>
      <c r="AR29">
        <v>0.8626365855851531</v>
      </c>
      <c r="AS29">
        <v>0.84168636726739099</v>
      </c>
      <c r="AT29">
        <v>0.81882849789765</v>
      </c>
      <c r="AU29">
        <v>0.7942071650659136</v>
      </c>
      <c r="AV29">
        <v>0.76793377772084059</v>
      </c>
      <c r="AW29">
        <v>0.74027688205952835</v>
      </c>
      <c r="AX29">
        <v>0.71147842154479957</v>
      </c>
      <c r="AY29">
        <v>0.68187596472515599</v>
      </c>
      <c r="AZ29">
        <v>0.6517219376803205</v>
      </c>
      <c r="BA29">
        <v>0.62134827916569679</v>
      </c>
      <c r="BB29">
        <v>0.5911309250278729</v>
      </c>
      <c r="BC29">
        <v>0.56132411169363083</v>
      </c>
      <c r="BD29">
        <v>0.53215532193531978</v>
      </c>
      <c r="BE29">
        <v>0.50392055202232222</v>
      </c>
      <c r="BF29">
        <v>0.47676386445900709</v>
      </c>
      <c r="BG29">
        <v>0.450885587824775</v>
      </c>
      <c r="BH29">
        <v>0.42633552849425382</v>
      </c>
      <c r="BI29">
        <v>0.40323137095076206</v>
      </c>
      <c r="BJ29">
        <v>0.38163508594397549</v>
      </c>
      <c r="BK29">
        <v>0.36153116385925599</v>
      </c>
      <c r="BL29">
        <v>0.34292401142506079</v>
      </c>
      <c r="BM29">
        <v>0.32574787291987833</v>
      </c>
      <c r="BN29">
        <v>0.30994558739457378</v>
      </c>
      <c r="BO29">
        <v>0.29544895648039898</v>
      </c>
      <c r="BP29">
        <v>0.28213892400039653</v>
      </c>
      <c r="BQ29">
        <v>0.26996208672801364</v>
      </c>
      <c r="BR29">
        <v>0.25883085905475911</v>
      </c>
      <c r="BS29">
        <v>0.24862383148241674</v>
      </c>
      <c r="BT29">
        <v>0.23924920936973323</v>
      </c>
      <c r="BU29">
        <v>0.23061874271748325</v>
      </c>
      <c r="BV29">
        <v>0.22264029218294171</v>
      </c>
      <c r="BW29">
        <v>0.21516047654757089</v>
      </c>
      <c r="BX29">
        <v>0.20812427143169585</v>
      </c>
      <c r="BY29">
        <v>0.20143819645656863</v>
      </c>
      <c r="BZ29">
        <v>0.19500009028540186</v>
      </c>
      <c r="CA29">
        <v>0.18867511022230726</v>
      </c>
      <c r="CB29">
        <v>0.18242583809605245</v>
      </c>
      <c r="CC29">
        <v>0.17620220101306822</v>
      </c>
      <c r="CD29">
        <v>0.16990761904211135</v>
      </c>
      <c r="CE29">
        <v>0.16354631390677368</v>
      </c>
      <c r="CF29">
        <v>0.15711534188086532</v>
      </c>
      <c r="CG29">
        <v>0.15061146667538475</v>
      </c>
      <c r="CH29">
        <v>0.14411469147070105</v>
      </c>
      <c r="CI29">
        <v>0.13760791357700347</v>
      </c>
      <c r="CJ29">
        <v>0.13119222979313908</v>
      </c>
      <c r="CK29">
        <v>0.12487732874190216</v>
      </c>
      <c r="CL29">
        <v>0.1187451811133849</v>
      </c>
      <c r="CM29">
        <v>0.11282624983595903</v>
      </c>
      <c r="CN29">
        <v>0.10712492511437015</v>
      </c>
      <c r="CO29">
        <v>0.10168311447631823</v>
      </c>
      <c r="CP29">
        <v>9.6524323076002602E-2</v>
      </c>
      <c r="CQ29">
        <v>9.1629323798677803E-2</v>
      </c>
      <c r="CR29">
        <v>8.7000195481416548E-2</v>
      </c>
      <c r="CS29">
        <v>8.2634887911552879E-2</v>
      </c>
      <c r="CT29">
        <v>7.8532797060235943E-2</v>
      </c>
      <c r="CU29">
        <v>7.4680972911622026E-2</v>
      </c>
      <c r="CV29">
        <v>7.1050747757392035E-2</v>
      </c>
      <c r="CW29">
        <v>6.7638022262292041E-2</v>
      </c>
      <c r="CX29">
        <v>6.4430482878599635E-2</v>
      </c>
      <c r="CY29">
        <v>6.1384479797252776E-2</v>
      </c>
      <c r="CZ29">
        <v>5.8524314900075168E-2</v>
      </c>
      <c r="DA29">
        <v>5.5808843428949075E-2</v>
      </c>
      <c r="DB29">
        <v>5.3233526448985435E-2</v>
      </c>
      <c r="DC29">
        <v>5.0777655487136364E-2</v>
      </c>
      <c r="DD29">
        <v>4.8429216449561711E-2</v>
      </c>
      <c r="DE29">
        <v>4.6185095245795581E-2</v>
      </c>
      <c r="DF29">
        <v>4.4015733052355732E-2</v>
      </c>
      <c r="DG29">
        <v>4.1916367691934887E-2</v>
      </c>
      <c r="DH29">
        <v>3.9872738811700899E-2</v>
      </c>
      <c r="DI29">
        <v>3.7884053371569783E-2</v>
      </c>
      <c r="DJ29">
        <v>3.5919373053077852E-2</v>
      </c>
      <c r="DK29">
        <v>3.3979696214116305E-2</v>
      </c>
      <c r="DL29">
        <v>3.2025172053548247E-2</v>
      </c>
      <c r="DM29">
        <v>3.0054967165620873E-2</v>
      </c>
      <c r="DN29">
        <v>2.8033725103141609E-2</v>
      </c>
      <c r="DO29">
        <v>2.5934961841470327E-2</v>
      </c>
      <c r="DP29">
        <v>2.3714068298213879E-2</v>
      </c>
    </row>
    <row r="30" spans="1:120" x14ac:dyDescent="0.2">
      <c r="A30">
        <v>0.22721041968024236</v>
      </c>
      <c r="B30">
        <v>0.42252205075455374</v>
      </c>
      <c r="C30">
        <v>0.52372646145095136</v>
      </c>
      <c r="D30">
        <v>0.56892206002175039</v>
      </c>
      <c r="E30">
        <v>0.59377040709886608</v>
      </c>
      <c r="F30">
        <v>0.61190386974275568</v>
      </c>
      <c r="G30">
        <v>0.62829606902566937</v>
      </c>
      <c r="H30">
        <v>0.64489991390160228</v>
      </c>
      <c r="I30">
        <v>0.66261962196691893</v>
      </c>
      <c r="J30">
        <v>0.68182612677680621</v>
      </c>
      <c r="K30">
        <v>0.70273680336490096</v>
      </c>
      <c r="L30">
        <v>0.72539276385818152</v>
      </c>
      <c r="M30">
        <v>0.7497997021053352</v>
      </c>
      <c r="N30">
        <v>0.7757146060767709</v>
      </c>
      <c r="O30">
        <v>0.80282772564751681</v>
      </c>
      <c r="P30">
        <v>0.83051755347425982</v>
      </c>
      <c r="Q30">
        <v>0.85806655558925526</v>
      </c>
      <c r="R30">
        <v>0.88459904781361354</v>
      </c>
      <c r="S30">
        <v>0.90927093186185692</v>
      </c>
      <c r="T30">
        <v>0.93133608580066141</v>
      </c>
      <c r="U30">
        <v>0.95027680250547464</v>
      </c>
      <c r="V30">
        <v>0.96582746050925372</v>
      </c>
      <c r="W30">
        <v>0.97799469216177914</v>
      </c>
      <c r="X30">
        <v>0.9870197090686379</v>
      </c>
      <c r="Y30">
        <v>0.99329224806115846</v>
      </c>
      <c r="Z30">
        <v>0.99726176950250567</v>
      </c>
      <c r="AA30">
        <v>0.99936895791414793</v>
      </c>
      <c r="AB30">
        <v>1</v>
      </c>
      <c r="AC30">
        <v>0.99945949805868073</v>
      </c>
      <c r="AD30">
        <v>0.99796670549463706</v>
      </c>
      <c r="AE30">
        <v>0.99566266466968967</v>
      </c>
      <c r="AF30">
        <v>0.9926169496104007</v>
      </c>
      <c r="AG30">
        <v>0.98885449246689971</v>
      </c>
      <c r="AH30">
        <v>0.98432777249305892</v>
      </c>
      <c r="AI30">
        <v>0.97897608900803323</v>
      </c>
      <c r="AJ30">
        <v>0.97267144587205367</v>
      </c>
      <c r="AK30">
        <v>0.96529416108230914</v>
      </c>
      <c r="AL30">
        <v>0.95665275658054505</v>
      </c>
      <c r="AM30">
        <v>0.94658161187850265</v>
      </c>
      <c r="AN30">
        <v>0.9349357818087648</v>
      </c>
      <c r="AO30">
        <v>0.92151470029372118</v>
      </c>
      <c r="AP30">
        <v>0.90620532670114518</v>
      </c>
      <c r="AQ30">
        <v>0.88889655325939476</v>
      </c>
      <c r="AR30">
        <v>0.86955721438951172</v>
      </c>
      <c r="AS30">
        <v>0.84819050966068277</v>
      </c>
      <c r="AT30">
        <v>0.82484326247176887</v>
      </c>
      <c r="AU30">
        <v>0.79966802002404647</v>
      </c>
      <c r="AV30">
        <v>0.77278634110549993</v>
      </c>
      <c r="AW30">
        <v>0.74447521017758733</v>
      </c>
      <c r="AX30">
        <v>0.71498724718154127</v>
      </c>
      <c r="AY30">
        <v>0.68466963161791405</v>
      </c>
      <c r="AZ30">
        <v>0.65378717767220917</v>
      </c>
      <c r="BA30">
        <v>0.62267841609066332</v>
      </c>
      <c r="BB30">
        <v>0.59173028208023615</v>
      </c>
      <c r="BC30">
        <v>0.56120221928778391</v>
      </c>
      <c r="BD30">
        <v>0.531328922812489</v>
      </c>
      <c r="BE30">
        <v>0.50241018020496486</v>
      </c>
      <c r="BF30">
        <v>0.4745946908461518</v>
      </c>
      <c r="BG30">
        <v>0.44808462604465987</v>
      </c>
      <c r="BH30">
        <v>0.4229291701710074</v>
      </c>
      <c r="BI30">
        <v>0.39924845490267119</v>
      </c>
      <c r="BJ30">
        <v>0.37710163775768446</v>
      </c>
      <c r="BK30">
        <v>0.35647385621620237</v>
      </c>
      <c r="BL30">
        <v>0.33736673293882607</v>
      </c>
      <c r="BM30">
        <v>0.31971185745758079</v>
      </c>
      <c r="BN30">
        <v>0.3034506976765437</v>
      </c>
      <c r="BO30">
        <v>0.28851367849273207</v>
      </c>
      <c r="BP30">
        <v>0.27477889567460617</v>
      </c>
      <c r="BQ30">
        <v>0.26219349732940167</v>
      </c>
      <c r="BR30">
        <v>0.25066678132064069</v>
      </c>
      <c r="BS30">
        <v>0.24007885807686122</v>
      </c>
      <c r="BT30">
        <v>0.23033738492765754</v>
      </c>
      <c r="BU30">
        <v>0.22135510159019517</v>
      </c>
      <c r="BV30">
        <v>0.21304238102499107</v>
      </c>
      <c r="BW30">
        <v>0.20524841141630326</v>
      </c>
      <c r="BX30">
        <v>0.19792054133266221</v>
      </c>
      <c r="BY30">
        <v>0.19097021911547732</v>
      </c>
      <c r="BZ30">
        <v>0.1843000342380175</v>
      </c>
      <c r="CA30">
        <v>0.17777953517321424</v>
      </c>
      <c r="CB30">
        <v>0.17137655417132217</v>
      </c>
      <c r="CC30">
        <v>0.16504443225621687</v>
      </c>
      <c r="CD30">
        <v>0.15869092931543111</v>
      </c>
      <c r="CE30">
        <v>0.15232117155546687</v>
      </c>
      <c r="CF30">
        <v>0.14593229685457279</v>
      </c>
      <c r="CG30">
        <v>0.13951940254742717</v>
      </c>
      <c r="CH30">
        <v>0.1331588172599196</v>
      </c>
      <c r="CI30">
        <v>0.12682866632430431</v>
      </c>
      <c r="CJ30">
        <v>0.1206249280734704</v>
      </c>
      <c r="CK30">
        <v>0.11454961936717341</v>
      </c>
      <c r="CL30">
        <v>0.10867923295933356</v>
      </c>
      <c r="CM30">
        <v>0.10303819342114839</v>
      </c>
      <c r="CN30">
        <v>9.7624589364486702E-2</v>
      </c>
      <c r="CO30">
        <v>9.2475121270789676E-2</v>
      </c>
      <c r="CP30">
        <v>8.7609899311315867E-2</v>
      </c>
      <c r="CQ30">
        <v>8.300560965246595E-2</v>
      </c>
      <c r="CR30">
        <v>7.8661636424697048E-2</v>
      </c>
      <c r="CS30">
        <v>7.4573835161068136E-2</v>
      </c>
      <c r="CT30">
        <v>7.0740156677580421E-2</v>
      </c>
      <c r="CU30">
        <v>6.7146929200259678E-2</v>
      </c>
      <c r="CV30">
        <v>6.3764052549430683E-2</v>
      </c>
      <c r="CW30">
        <v>6.0587634373520154E-2</v>
      </c>
      <c r="CX30">
        <v>5.7605035005929221E-2</v>
      </c>
      <c r="CY30">
        <v>5.4773212732852079E-2</v>
      </c>
      <c r="CZ30">
        <v>5.2115730534947412E-2</v>
      </c>
      <c r="DA30">
        <v>4.9592572067135229E-2</v>
      </c>
      <c r="DB30">
        <v>4.7199290059357336E-2</v>
      </c>
      <c r="DC30">
        <v>4.491519300253035E-2</v>
      </c>
      <c r="DD30">
        <v>4.2729390238235049E-2</v>
      </c>
      <c r="DE30">
        <v>4.0639126557445317E-2</v>
      </c>
      <c r="DF30">
        <v>3.8615011661957313E-2</v>
      </c>
      <c r="DG30">
        <v>3.6653104882091614E-2</v>
      </c>
      <c r="DH30">
        <v>3.4739520433918862E-2</v>
      </c>
      <c r="DI30">
        <v>3.2874116446452384E-2</v>
      </c>
      <c r="DJ30">
        <v>3.1026538968547224E-2</v>
      </c>
      <c r="DK30">
        <v>2.9197944079727752E-2</v>
      </c>
      <c r="DL30">
        <v>2.7349642843060032E-2</v>
      </c>
      <c r="DM30">
        <v>2.5481178091645476E-2</v>
      </c>
      <c r="DN30">
        <v>2.3558391034314969E-2</v>
      </c>
      <c r="DO30">
        <v>2.1555825354961363E-2</v>
      </c>
      <c r="DP30">
        <v>1.9430675212274231E-2</v>
      </c>
    </row>
    <row r="31" spans="1:120" x14ac:dyDescent="0.2">
      <c r="A31">
        <v>0.22417970575761492</v>
      </c>
      <c r="B31">
        <v>0.41393287269536522</v>
      </c>
      <c r="C31">
        <v>0.51188201484855611</v>
      </c>
      <c r="D31">
        <v>0.55544728466020776</v>
      </c>
      <c r="E31">
        <v>0.57938970499783127</v>
      </c>
      <c r="F31">
        <v>0.59694738245490131</v>
      </c>
      <c r="G31">
        <v>0.61293690024673675</v>
      </c>
      <c r="H31">
        <v>0.62924777369131579</v>
      </c>
      <c r="I31">
        <v>0.64675970772645552</v>
      </c>
      <c r="J31">
        <v>0.66583910988439743</v>
      </c>
      <c r="K31">
        <v>0.6867084511986109</v>
      </c>
      <c r="L31">
        <v>0.70942037827622773</v>
      </c>
      <c r="M31">
        <v>0.73399161900147591</v>
      </c>
      <c r="N31">
        <v>0.76019441405660881</v>
      </c>
      <c r="O31">
        <v>0.78773446608446474</v>
      </c>
      <c r="P31">
        <v>0.81599945355355263</v>
      </c>
      <c r="Q31">
        <v>0.84427915089570948</v>
      </c>
      <c r="R31">
        <v>0.87169562032552173</v>
      </c>
      <c r="S31">
        <v>0.8973922138919318</v>
      </c>
      <c r="T31">
        <v>0.92060528699886723</v>
      </c>
      <c r="U31">
        <v>0.94078896353687047</v>
      </c>
      <c r="V31">
        <v>0.95764737039019332</v>
      </c>
      <c r="W31">
        <v>0.97115256372995773</v>
      </c>
      <c r="X31">
        <v>0.98151734739688046</v>
      </c>
      <c r="Y31">
        <v>0.98910619474106809</v>
      </c>
      <c r="Z31">
        <v>0.99434981787149024</v>
      </c>
      <c r="AA31">
        <v>0.9976747285876697</v>
      </c>
      <c r="AB31">
        <v>0.99945949805868095</v>
      </c>
      <c r="AC31">
        <v>1</v>
      </c>
      <c r="AD31">
        <v>0.9995160452425671</v>
      </c>
      <c r="AE31">
        <v>0.99814605734931294</v>
      </c>
      <c r="AF31">
        <v>0.99596049159269229</v>
      </c>
      <c r="AG31">
        <v>0.99297967854763869</v>
      </c>
      <c r="AH31">
        <v>0.98915919934951924</v>
      </c>
      <c r="AI31">
        <v>0.98443358817257653</v>
      </c>
      <c r="AJ31">
        <v>0.97867570433533124</v>
      </c>
      <c r="AK31">
        <v>0.97176293102837608</v>
      </c>
      <c r="AL31">
        <v>0.96350343794102589</v>
      </c>
      <c r="AM31">
        <v>0.95373068112098713</v>
      </c>
      <c r="AN31">
        <v>0.94229525828323679</v>
      </c>
      <c r="AO31">
        <v>0.92900090102611266</v>
      </c>
      <c r="AP31">
        <v>0.91373396869390133</v>
      </c>
      <c r="AQ31">
        <v>0.89638232115756811</v>
      </c>
      <c r="AR31">
        <v>0.87691894056472464</v>
      </c>
      <c r="AS31">
        <v>0.85534896100305458</v>
      </c>
      <c r="AT31">
        <v>0.83172407696299921</v>
      </c>
      <c r="AU31">
        <v>0.80620169481877491</v>
      </c>
      <c r="AV31">
        <v>0.77891141700359945</v>
      </c>
      <c r="AW31">
        <v>0.75013574933597937</v>
      </c>
      <c r="AX31">
        <v>0.72013605042740003</v>
      </c>
      <c r="AY31">
        <v>0.68926719161591843</v>
      </c>
      <c r="AZ31">
        <v>0.65780500235631467</v>
      </c>
      <c r="BA31">
        <v>0.62609417613525753</v>
      </c>
      <c r="BB31">
        <v>0.59453180008594186</v>
      </c>
      <c r="BC31">
        <v>0.56338253823412199</v>
      </c>
      <c r="BD31">
        <v>0.53288911594541499</v>
      </c>
      <c r="BE31">
        <v>0.50335545153531724</v>
      </c>
      <c r="BF31">
        <v>0.47493599002451509</v>
      </c>
      <c r="BG31">
        <v>0.44783574590614267</v>
      </c>
      <c r="BH31">
        <v>0.42210481143655582</v>
      </c>
      <c r="BI31">
        <v>0.39786659961971638</v>
      </c>
      <c r="BJ31">
        <v>0.37517896339660328</v>
      </c>
      <c r="BK31">
        <v>0.35402867610890193</v>
      </c>
      <c r="BL31">
        <v>0.33441543043215377</v>
      </c>
      <c r="BM31">
        <v>0.31626912575702532</v>
      </c>
      <c r="BN31">
        <v>0.29953030725524843</v>
      </c>
      <c r="BO31">
        <v>0.28412832349320977</v>
      </c>
      <c r="BP31">
        <v>0.26993893008684777</v>
      </c>
      <c r="BQ31">
        <v>0.25690959098920163</v>
      </c>
      <c r="BR31">
        <v>0.24494650281226527</v>
      </c>
      <c r="BS31">
        <v>0.23393100480467444</v>
      </c>
      <c r="BT31">
        <v>0.22377000580518394</v>
      </c>
      <c r="BU31">
        <v>0.21437677117072543</v>
      </c>
      <c r="BV31">
        <v>0.20566354816639512</v>
      </c>
      <c r="BW31">
        <v>0.19748168235264832</v>
      </c>
      <c r="BX31">
        <v>0.18978030470391288</v>
      </c>
      <c r="BY31">
        <v>0.18247556094794673</v>
      </c>
      <c r="BZ31">
        <v>0.17547420303494649</v>
      </c>
      <c r="CA31">
        <v>0.16865039988581951</v>
      </c>
      <c r="CB31">
        <v>0.16197732008372914</v>
      </c>
      <c r="CC31">
        <v>0.15541233132417501</v>
      </c>
      <c r="CD31">
        <v>0.14886861449014488</v>
      </c>
      <c r="CE31">
        <v>0.14235327138852938</v>
      </c>
      <c r="CF31">
        <v>0.13586541578055036</v>
      </c>
      <c r="CG31">
        <v>0.12940009943729702</v>
      </c>
      <c r="CH31">
        <v>0.12303196569737526</v>
      </c>
      <c r="CI31">
        <v>0.11673597062798942</v>
      </c>
      <c r="CJ31">
        <v>0.11060482959782955</v>
      </c>
      <c r="CK31">
        <v>0.10463410773413553</v>
      </c>
      <c r="CL31">
        <v>9.8896162438207758E-2</v>
      </c>
      <c r="CM31">
        <v>9.340994417084518E-2</v>
      </c>
      <c r="CN31">
        <v>8.8168141566556307E-2</v>
      </c>
      <c r="CO31">
        <v>8.3202312294926459E-2</v>
      </c>
      <c r="CP31">
        <v>7.8529263337256322E-2</v>
      </c>
      <c r="CQ31">
        <v>7.4121573648611466E-2</v>
      </c>
      <c r="CR31">
        <v>6.9975825414063136E-2</v>
      </c>
      <c r="CS31">
        <v>6.6085382912616911E-2</v>
      </c>
      <c r="CT31">
        <v>6.2446370183404321E-2</v>
      </c>
      <c r="CU31">
        <v>5.9044101445752908E-2</v>
      </c>
      <c r="CV31">
        <v>5.5846670455210294E-2</v>
      </c>
      <c r="CW31">
        <v>5.2849949545311081E-2</v>
      </c>
      <c r="CX31">
        <v>5.0040617043233093E-2</v>
      </c>
      <c r="CY31">
        <v>4.7375838405101907E-2</v>
      </c>
      <c r="CZ31">
        <v>4.4878226212427312E-2</v>
      </c>
      <c r="DA31">
        <v>4.2508458282191991E-2</v>
      </c>
      <c r="DB31">
        <v>4.0261978609150928E-2</v>
      </c>
      <c r="DC31">
        <v>3.8117873950033083E-2</v>
      </c>
      <c r="DD31">
        <v>3.606612698757207E-2</v>
      </c>
      <c r="DE31">
        <v>3.4104239648673644E-2</v>
      </c>
      <c r="DF31">
        <v>3.2202709091249379E-2</v>
      </c>
      <c r="DG31">
        <v>3.0358365653258949E-2</v>
      </c>
      <c r="DH31">
        <v>2.8557560159829787E-2</v>
      </c>
      <c r="DI31">
        <v>2.6800777657407848E-2</v>
      </c>
      <c r="DJ31">
        <v>2.505821529364009E-2</v>
      </c>
      <c r="DK31">
        <v>2.3331247098711112E-2</v>
      </c>
      <c r="DL31">
        <v>2.1582376098533352E-2</v>
      </c>
      <c r="DM31">
        <v>1.9811706573115689E-2</v>
      </c>
      <c r="DN31">
        <v>1.7986479951685369E-2</v>
      </c>
      <c r="DO31">
        <v>1.6082728634453966E-2</v>
      </c>
      <c r="DP31">
        <v>1.4060054037010257E-2</v>
      </c>
    </row>
    <row r="32" spans="1:120" x14ac:dyDescent="0.2">
      <c r="A32">
        <v>0.22154844351450667</v>
      </c>
      <c r="B32">
        <v>0.40690727584487685</v>
      </c>
      <c r="C32">
        <v>0.50229140984919118</v>
      </c>
      <c r="D32">
        <v>0.54455546460213211</v>
      </c>
      <c r="E32">
        <v>0.56774717110102457</v>
      </c>
      <c r="F32">
        <v>0.58480009958241219</v>
      </c>
      <c r="G32">
        <v>0.60041016963578442</v>
      </c>
      <c r="H32">
        <v>0.616418393858152</v>
      </c>
      <c r="I32">
        <v>0.63368570585823081</v>
      </c>
      <c r="J32">
        <v>0.65257554232984794</v>
      </c>
      <c r="K32">
        <v>0.67331507279538505</v>
      </c>
      <c r="L32">
        <v>0.69596794107956195</v>
      </c>
      <c r="M32">
        <v>0.72056016648864263</v>
      </c>
      <c r="N32">
        <v>0.74687865401311226</v>
      </c>
      <c r="O32">
        <v>0.77464439628806647</v>
      </c>
      <c r="P32">
        <v>0.80325612997610429</v>
      </c>
      <c r="Q32">
        <v>0.83201399983589774</v>
      </c>
      <c r="R32">
        <v>0.86004321356404712</v>
      </c>
      <c r="S32">
        <v>0.88648097675960846</v>
      </c>
      <c r="T32">
        <v>0.91055440233161378</v>
      </c>
      <c r="U32">
        <v>0.93169758545749326</v>
      </c>
      <c r="V32">
        <v>0.94959276651822133</v>
      </c>
      <c r="W32">
        <v>0.96418422807374404</v>
      </c>
      <c r="X32">
        <v>0.97566240597718656</v>
      </c>
      <c r="Y32">
        <v>0.98437002551341946</v>
      </c>
      <c r="Z32">
        <v>0.99072146976974385</v>
      </c>
      <c r="AA32">
        <v>0.99513000584571731</v>
      </c>
      <c r="AB32">
        <v>0.99796670549463706</v>
      </c>
      <c r="AC32">
        <v>0.99951604524256699</v>
      </c>
      <c r="AD32">
        <v>1</v>
      </c>
      <c r="AE32">
        <v>0.99954964679234626</v>
      </c>
      <c r="AF32">
        <v>0.99823540906578645</v>
      </c>
      <c r="AG32">
        <v>0.99607257062401988</v>
      </c>
      <c r="AH32">
        <v>0.99301768375112487</v>
      </c>
      <c r="AI32">
        <v>0.98899949258804198</v>
      </c>
      <c r="AJ32">
        <v>0.98389059156634584</v>
      </c>
      <c r="AK32">
        <v>0.97756340568833255</v>
      </c>
      <c r="AL32">
        <v>0.96982513008869586</v>
      </c>
      <c r="AM32">
        <v>0.96050594426319202</v>
      </c>
      <c r="AN32">
        <v>0.94945051430480465</v>
      </c>
      <c r="AO32">
        <v>0.93646419450105078</v>
      </c>
      <c r="AP32">
        <v>0.9214303908741398</v>
      </c>
      <c r="AQ32">
        <v>0.90423371943365671</v>
      </c>
      <c r="AR32">
        <v>0.88484809676074117</v>
      </c>
      <c r="AS32">
        <v>0.86327758487290873</v>
      </c>
      <c r="AT32">
        <v>0.83957628232646153</v>
      </c>
      <c r="AU32">
        <v>0.81390298339005085</v>
      </c>
      <c r="AV32">
        <v>0.78639316649485291</v>
      </c>
      <c r="AW32">
        <v>0.75733226294728939</v>
      </c>
      <c r="AX32">
        <v>0.72698837698955288</v>
      </c>
      <c r="AY32">
        <v>0.69572210447816418</v>
      </c>
      <c r="AZ32">
        <v>0.6638192380272151</v>
      </c>
      <c r="BA32">
        <v>0.63163011217326548</v>
      </c>
      <c r="BB32">
        <v>0.5995611264677454</v>
      </c>
      <c r="BC32">
        <v>0.56788239638384375</v>
      </c>
      <c r="BD32">
        <v>0.53684521338035107</v>
      </c>
      <c r="BE32">
        <v>0.50675825815750919</v>
      </c>
      <c r="BF32">
        <v>0.47778260815440038</v>
      </c>
      <c r="BG32">
        <v>0.45012721151483764</v>
      </c>
      <c r="BH32">
        <v>0.42384446172672025</v>
      </c>
      <c r="BI32">
        <v>0.39906194417444218</v>
      </c>
      <c r="BJ32">
        <v>0.37583765526548324</v>
      </c>
      <c r="BK32">
        <v>0.35416080803133027</v>
      </c>
      <c r="BL32">
        <v>0.33403024578316209</v>
      </c>
      <c r="BM32">
        <v>0.31537477755047277</v>
      </c>
      <c r="BN32">
        <v>0.29813476186124138</v>
      </c>
      <c r="BO32">
        <v>0.28223843518925229</v>
      </c>
      <c r="BP32">
        <v>0.26755986520143304</v>
      </c>
      <c r="BQ32">
        <v>0.25404653584423798</v>
      </c>
      <c r="BR32">
        <v>0.24160148405526966</v>
      </c>
      <c r="BS32">
        <v>0.2301070189558958</v>
      </c>
      <c r="BT32">
        <v>0.21946909750257984</v>
      </c>
      <c r="BU32">
        <v>0.20960098144353431</v>
      </c>
      <c r="BV32">
        <v>0.20041632878772725</v>
      </c>
      <c r="BW32">
        <v>0.19176802163690632</v>
      </c>
      <c r="BX32">
        <v>0.18360657389526194</v>
      </c>
      <c r="BY32">
        <v>0.17585254436624564</v>
      </c>
      <c r="BZ32">
        <v>0.16841640885341291</v>
      </c>
      <c r="CA32">
        <v>0.16117719975972813</v>
      </c>
      <c r="CB32">
        <v>0.15411354756065182</v>
      </c>
      <c r="CC32">
        <v>0.14718761208483952</v>
      </c>
      <c r="CD32">
        <v>0.1403190259573478</v>
      </c>
      <c r="CE32">
        <v>0.13351814498701259</v>
      </c>
      <c r="CF32">
        <v>0.1267878382384087</v>
      </c>
      <c r="CG32">
        <v>0.12012485691873699</v>
      </c>
      <c r="CH32">
        <v>0.11360417988263452</v>
      </c>
      <c r="CI32">
        <v>0.1071990742036598</v>
      </c>
      <c r="CJ32">
        <v>0.10100083411798488</v>
      </c>
      <c r="CK32">
        <v>9.4999765532512132E-2</v>
      </c>
      <c r="CL32">
        <v>8.926543353773371E-2</v>
      </c>
      <c r="CM32">
        <v>8.381180165035286E-2</v>
      </c>
      <c r="CN32">
        <v>7.8626861411715085E-2</v>
      </c>
      <c r="CO32">
        <v>7.3737263924989957E-2</v>
      </c>
      <c r="CP32">
        <v>6.9156407346671903E-2</v>
      </c>
      <c r="CQ32">
        <v>6.4852713859674407E-2</v>
      </c>
      <c r="CR32">
        <v>6.0819880378719458E-2</v>
      </c>
      <c r="CS32">
        <v>5.7048277832673702E-2</v>
      </c>
      <c r="CT32">
        <v>5.3531859382240379E-2</v>
      </c>
      <c r="CU32">
        <v>5.0254577540753069E-2</v>
      </c>
      <c r="CV32">
        <v>4.7182313025027796E-2</v>
      </c>
      <c r="CW32">
        <v>4.4310305589973842E-2</v>
      </c>
      <c r="CX32">
        <v>4.1624110950215003E-2</v>
      </c>
      <c r="CY32">
        <v>3.9080788390242087E-2</v>
      </c>
      <c r="CZ32">
        <v>3.6701702653283118E-2</v>
      </c>
      <c r="DA32">
        <v>3.4447816109198275E-2</v>
      </c>
      <c r="DB32">
        <v>3.2314288398907792E-2</v>
      </c>
      <c r="DC32">
        <v>3.0279728513317953E-2</v>
      </c>
      <c r="DD32">
        <v>2.8334701921778428E-2</v>
      </c>
      <c r="DE32">
        <v>2.6476924378315406E-2</v>
      </c>
      <c r="DF32">
        <v>2.4676490290601583E-2</v>
      </c>
      <c r="DG32">
        <v>2.2930955438314689E-2</v>
      </c>
      <c r="DH32">
        <v>2.1226761426791689E-2</v>
      </c>
      <c r="DI32">
        <v>1.9565017219133334E-2</v>
      </c>
      <c r="DJ32">
        <v>1.7916406572015653E-2</v>
      </c>
      <c r="DK32">
        <v>1.6282629298071099E-2</v>
      </c>
      <c r="DL32">
        <v>1.4627405973019935E-2</v>
      </c>
      <c r="DM32">
        <v>1.295159801792756E-2</v>
      </c>
      <c r="DN32">
        <v>1.1224060846090407E-2</v>
      </c>
      <c r="DO32">
        <v>9.4227977600583011E-3</v>
      </c>
      <c r="DP32">
        <v>7.5104739505900834E-3</v>
      </c>
    </row>
    <row r="33" spans="1:120" x14ac:dyDescent="0.2">
      <c r="A33">
        <v>0.21923167814140765</v>
      </c>
      <c r="B33">
        <v>0.40133807176580127</v>
      </c>
      <c r="C33">
        <v>0.49484528229681007</v>
      </c>
      <c r="D33">
        <v>0.53614487874582872</v>
      </c>
      <c r="E33">
        <v>0.558751745487994</v>
      </c>
      <c r="F33">
        <v>0.57538208858172424</v>
      </c>
      <c r="G33">
        <v>0.59064699807062782</v>
      </c>
      <c r="H33">
        <v>0.60635395079589283</v>
      </c>
      <c r="I33">
        <v>0.62335080073815896</v>
      </c>
      <c r="J33">
        <v>0.64199992260564909</v>
      </c>
      <c r="K33">
        <v>0.66253288130019627</v>
      </c>
      <c r="L33">
        <v>0.68502395442258224</v>
      </c>
      <c r="M33">
        <v>0.70950682880264737</v>
      </c>
      <c r="N33">
        <v>0.73578277749204291</v>
      </c>
      <c r="O33">
        <v>0.76358755701759173</v>
      </c>
      <c r="P33">
        <v>0.79233274542184795</v>
      </c>
      <c r="Q33">
        <v>0.82133171677951755</v>
      </c>
      <c r="R33">
        <v>0.84971791253230422</v>
      </c>
      <c r="S33">
        <v>0.87662810536110325</v>
      </c>
      <c r="T33">
        <v>0.90128799022048467</v>
      </c>
      <c r="U33">
        <v>0.92311941177368151</v>
      </c>
      <c r="V33">
        <v>0.94179059863434944</v>
      </c>
      <c r="W33">
        <v>0.95722462321238688</v>
      </c>
      <c r="X33">
        <v>0.96959549032227677</v>
      </c>
      <c r="Y33">
        <v>0.97922761930715885</v>
      </c>
      <c r="Z33">
        <v>0.9865217928347928</v>
      </c>
      <c r="AA33">
        <v>0.99187878231971716</v>
      </c>
      <c r="AB33">
        <v>0.99566266466968967</v>
      </c>
      <c r="AC33">
        <v>0.99814605734931294</v>
      </c>
      <c r="AD33">
        <v>0.99954964679234626</v>
      </c>
      <c r="AE33">
        <v>1</v>
      </c>
      <c r="AF33">
        <v>0.99956168081943675</v>
      </c>
      <c r="AG33">
        <v>0.99824664560961984</v>
      </c>
      <c r="AH33">
        <v>0.99601017428185301</v>
      </c>
      <c r="AI33">
        <v>0.99277455739638454</v>
      </c>
      <c r="AJ33">
        <v>0.98841092239833872</v>
      </c>
      <c r="AK33">
        <v>0.98278511352758136</v>
      </c>
      <c r="AL33">
        <v>0.97570262357441961</v>
      </c>
      <c r="AM33">
        <v>0.96698836015895739</v>
      </c>
      <c r="AN33">
        <v>0.9564793117735001</v>
      </c>
      <c r="AO33">
        <v>0.94398013360478039</v>
      </c>
      <c r="AP33">
        <v>0.92936886200719915</v>
      </c>
      <c r="AQ33">
        <v>0.91252468913067597</v>
      </c>
      <c r="AR33">
        <v>0.89341902931561323</v>
      </c>
      <c r="AS33">
        <v>0.87205219923023625</v>
      </c>
      <c r="AT33">
        <v>0.8484778687582889</v>
      </c>
      <c r="AU33">
        <v>0.82285297384451239</v>
      </c>
      <c r="AV33">
        <v>0.79531652768938133</v>
      </c>
      <c r="AW33">
        <v>0.76615417282242027</v>
      </c>
      <c r="AX33">
        <v>0.73563854702992515</v>
      </c>
      <c r="AY33">
        <v>0.70413433156435146</v>
      </c>
      <c r="AZ33">
        <v>0.67193570214645104</v>
      </c>
      <c r="BA33">
        <v>0.6393981020067947</v>
      </c>
      <c r="BB33">
        <v>0.60693636409123408</v>
      </c>
      <c r="BC33">
        <v>0.57482619223204345</v>
      </c>
      <c r="BD33">
        <v>0.54332790924636376</v>
      </c>
      <c r="BE33">
        <v>0.51275553860917866</v>
      </c>
      <c r="BF33">
        <v>0.48327757674142274</v>
      </c>
      <c r="BG33">
        <v>0.45510784239550645</v>
      </c>
      <c r="BH33">
        <v>0.42830259511783741</v>
      </c>
      <c r="BI33">
        <v>0.40299434084173869</v>
      </c>
      <c r="BJ33">
        <v>0.3792426192548396</v>
      </c>
      <c r="BK33">
        <v>0.35704003000533263</v>
      </c>
      <c r="BL33">
        <v>0.33638539359861247</v>
      </c>
      <c r="BM33">
        <v>0.31720730385226859</v>
      </c>
      <c r="BN33">
        <v>0.29944636662173824</v>
      </c>
      <c r="BO33">
        <v>0.28302992413642675</v>
      </c>
      <c r="BP33">
        <v>0.26783085928597261</v>
      </c>
      <c r="BQ33">
        <v>0.25379641937420738</v>
      </c>
      <c r="BR33">
        <v>0.24082640294879812</v>
      </c>
      <c r="BS33">
        <v>0.22880386130444466</v>
      </c>
      <c r="BT33">
        <v>0.21763342886893111</v>
      </c>
      <c r="BU33">
        <v>0.20722791889454453</v>
      </c>
      <c r="BV33">
        <v>0.19750168780511571</v>
      </c>
      <c r="BW33">
        <v>0.18830872780717581</v>
      </c>
      <c r="BX33">
        <v>0.1796003527235229</v>
      </c>
      <c r="BY33">
        <v>0.17130114179340761</v>
      </c>
      <c r="BZ33">
        <v>0.1633247730679116</v>
      </c>
      <c r="CA33">
        <v>0.15555540879157126</v>
      </c>
      <c r="CB33">
        <v>0.14797717667519805</v>
      </c>
      <c r="CC33">
        <v>0.14055780409128785</v>
      </c>
      <c r="CD33">
        <v>0.13322445880663869</v>
      </c>
      <c r="CE33">
        <v>0.12599194854286422</v>
      </c>
      <c r="CF33">
        <v>0.1188688964953839</v>
      </c>
      <c r="CG33">
        <v>0.11185548739598863</v>
      </c>
      <c r="CH33">
        <v>0.10502923449343551</v>
      </c>
      <c r="CI33">
        <v>9.8363354730971853E-2</v>
      </c>
      <c r="CJ33">
        <v>9.1949685448625043E-2</v>
      </c>
      <c r="CK33">
        <v>8.5774597694065313E-2</v>
      </c>
      <c r="CL33">
        <v>7.990629815698104E-2</v>
      </c>
      <c r="CM33">
        <v>7.4354401739090442E-2</v>
      </c>
      <c r="CN33">
        <v>6.9102991175369152E-2</v>
      </c>
      <c r="CO33">
        <v>6.4174055359851226E-2</v>
      </c>
      <c r="CP33">
        <v>5.9577639020865859E-2</v>
      </c>
      <c r="CQ33">
        <v>5.5277916865070331E-2</v>
      </c>
      <c r="CR33">
        <v>5.1265648952844273E-2</v>
      </c>
      <c r="CS33">
        <v>4.7527734945466624E-2</v>
      </c>
      <c r="CT33">
        <v>4.4055620790936383E-2</v>
      </c>
      <c r="CU33">
        <v>4.0831497090104786E-2</v>
      </c>
      <c r="CV33">
        <v>3.7818692383146162E-2</v>
      </c>
      <c r="CW33">
        <v>3.5011355440838249E-2</v>
      </c>
      <c r="CX33">
        <v>3.2393465427846484E-2</v>
      </c>
      <c r="CY33">
        <v>2.9921623578809804E-2</v>
      </c>
      <c r="CZ33">
        <v>2.7615683978159365E-2</v>
      </c>
      <c r="DA33">
        <v>2.5436474090048868E-2</v>
      </c>
      <c r="DB33">
        <v>2.3378600632272324E-2</v>
      </c>
      <c r="DC33">
        <v>2.1419993181986029E-2</v>
      </c>
      <c r="DD33">
        <v>1.9551512130490025E-2</v>
      </c>
      <c r="DE33">
        <v>1.7770955960338636E-2</v>
      </c>
      <c r="DF33">
        <v>1.6047786728717248E-2</v>
      </c>
      <c r="DG33">
        <v>1.4380174704934554E-2</v>
      </c>
      <c r="DH33">
        <v>1.2754566928642477E-2</v>
      </c>
      <c r="DI33">
        <v>1.1172630932062397E-2</v>
      </c>
      <c r="DJ33">
        <v>9.6055193724324858E-3</v>
      </c>
      <c r="DK33">
        <v>8.0553364256989706E-3</v>
      </c>
      <c r="DL33">
        <v>6.4870740323332635E-3</v>
      </c>
      <c r="DM33">
        <v>4.9025570405522769E-3</v>
      </c>
      <c r="DN33">
        <v>3.272506810201727E-3</v>
      </c>
      <c r="DO33">
        <v>1.5773994371090136E-3</v>
      </c>
      <c r="DP33">
        <v>-2.1633079673992979E-4</v>
      </c>
    </row>
    <row r="34" spans="1:120" x14ac:dyDescent="0.2">
      <c r="A34">
        <v>0.21734585190968747</v>
      </c>
      <c r="B34">
        <v>0.39720246055870267</v>
      </c>
      <c r="C34">
        <v>0.48941833404313112</v>
      </c>
      <c r="D34">
        <v>0.53002953648969309</v>
      </c>
      <c r="E34">
        <v>0.55218170735890448</v>
      </c>
      <c r="F34">
        <v>0.56844997618826065</v>
      </c>
      <c r="G34">
        <v>0.58339132095032908</v>
      </c>
      <c r="H34">
        <v>0.5987918238971327</v>
      </c>
      <c r="I34">
        <v>0.61549111228923326</v>
      </c>
      <c r="J34">
        <v>0.63385122855834741</v>
      </c>
      <c r="K34">
        <v>0.65410785785858372</v>
      </c>
      <c r="L34">
        <v>0.67634511067338221</v>
      </c>
      <c r="M34">
        <v>0.70060277924033065</v>
      </c>
      <c r="N34">
        <v>0.72669572377281144</v>
      </c>
      <c r="O34">
        <v>0.75437410501777658</v>
      </c>
      <c r="P34">
        <v>0.78306340832913568</v>
      </c>
      <c r="Q34">
        <v>0.81209251632010604</v>
      </c>
      <c r="R34">
        <v>0.84060723718937269</v>
      </c>
      <c r="S34">
        <v>0.86774917340811741</v>
      </c>
      <c r="T34">
        <v>0.8927492071105404</v>
      </c>
      <c r="U34">
        <v>0.91502384050685248</v>
      </c>
      <c r="V34">
        <v>0.93423425910727831</v>
      </c>
      <c r="W34">
        <v>0.95028851344517684</v>
      </c>
      <c r="X34">
        <v>0.96334932731055345</v>
      </c>
      <c r="Y34">
        <v>0.97372617960990615</v>
      </c>
      <c r="Z34">
        <v>0.98180884433757787</v>
      </c>
      <c r="AA34">
        <v>0.98798667623795988</v>
      </c>
      <c r="AB34">
        <v>0.9926169496104007</v>
      </c>
      <c r="AC34">
        <v>0.9959604915926924</v>
      </c>
      <c r="AD34">
        <v>0.99823540906578656</v>
      </c>
      <c r="AE34">
        <v>0.99956168081943675</v>
      </c>
      <c r="AF34">
        <v>1</v>
      </c>
      <c r="AG34">
        <v>0.99955517754750722</v>
      </c>
      <c r="AH34">
        <v>0.99818189446268057</v>
      </c>
      <c r="AI34">
        <v>0.99579493429513621</v>
      </c>
      <c r="AJ34">
        <v>0.99226302893744633</v>
      </c>
      <c r="AK34">
        <v>0.98744427407701574</v>
      </c>
      <c r="AL34">
        <v>0.9811416703430702</v>
      </c>
      <c r="AM34">
        <v>0.97317318221398963</v>
      </c>
      <c r="AN34">
        <v>0.96336683551229252</v>
      </c>
      <c r="AO34">
        <v>0.95152417557725122</v>
      </c>
      <c r="AP34">
        <v>0.93751574132334803</v>
      </c>
      <c r="AQ34">
        <v>0.92121338589296942</v>
      </c>
      <c r="AR34">
        <v>0.9025827369524323</v>
      </c>
      <c r="AS34">
        <v>0.88161776177067708</v>
      </c>
      <c r="AT34">
        <v>0.85836909944810469</v>
      </c>
      <c r="AU34">
        <v>0.83298859488044219</v>
      </c>
      <c r="AV34">
        <v>0.80561647506080203</v>
      </c>
      <c r="AW34">
        <v>0.77653577644233562</v>
      </c>
      <c r="AX34">
        <v>0.74602179363594123</v>
      </c>
      <c r="AY34">
        <v>0.71444112502345902</v>
      </c>
      <c r="AZ34">
        <v>0.68209495965542466</v>
      </c>
      <c r="BA34">
        <v>0.64934321983241927</v>
      </c>
      <c r="BB34">
        <v>0.61660797230845343</v>
      </c>
      <c r="BC34">
        <v>0.58417056754768026</v>
      </c>
      <c r="BD34">
        <v>0.55230069832320139</v>
      </c>
      <c r="BE34">
        <v>0.52131810620945207</v>
      </c>
      <c r="BF34">
        <v>0.4913993913453279</v>
      </c>
      <c r="BG34">
        <v>0.46276419194649893</v>
      </c>
      <c r="BH34">
        <v>0.43547379699689859</v>
      </c>
      <c r="BI34">
        <v>0.40966639340716937</v>
      </c>
      <c r="BJ34">
        <v>0.38540442774593842</v>
      </c>
      <c r="BK34">
        <v>0.36268457482342187</v>
      </c>
      <c r="BL34">
        <v>0.34150664567321909</v>
      </c>
      <c r="BM34">
        <v>0.32179961046581018</v>
      </c>
      <c r="BN34">
        <v>0.3035049567761805</v>
      </c>
      <c r="BO34">
        <v>0.28654919811658058</v>
      </c>
      <c r="BP34">
        <v>0.27080457246999534</v>
      </c>
      <c r="BQ34">
        <v>0.25621777679059399</v>
      </c>
      <c r="BR34">
        <v>0.24268539036298223</v>
      </c>
      <c r="BS34">
        <v>0.23009079101615615</v>
      </c>
      <c r="BT34">
        <v>0.21833707434115476</v>
      </c>
      <c r="BU34">
        <v>0.2073360657122518</v>
      </c>
      <c r="BV34">
        <v>0.19700217670847467</v>
      </c>
      <c r="BW34">
        <v>0.18718989771268793</v>
      </c>
      <c r="BX34">
        <v>0.17785076573539652</v>
      </c>
      <c r="BY34">
        <v>0.16891309219067488</v>
      </c>
      <c r="BZ34">
        <v>0.16029309823304785</v>
      </c>
      <c r="CA34">
        <v>0.15188024966196687</v>
      </c>
      <c r="CB34">
        <v>0.14366431643061997</v>
      </c>
      <c r="CC34">
        <v>0.13561919773424858</v>
      </c>
      <c r="CD34">
        <v>0.12768077242440948</v>
      </c>
      <c r="CE34">
        <v>0.11986959174237462</v>
      </c>
      <c r="CF34">
        <v>0.1122019330382404</v>
      </c>
      <c r="CG34">
        <v>0.10468321689496796</v>
      </c>
      <c r="CH34">
        <v>9.7395726470877034E-2</v>
      </c>
      <c r="CI34">
        <v>9.0314394659832514E-2</v>
      </c>
      <c r="CJ34">
        <v>8.353364084543681E-2</v>
      </c>
      <c r="CK34">
        <v>7.7037326057791705E-2</v>
      </c>
      <c r="CL34">
        <v>7.0893696380060572E-2</v>
      </c>
      <c r="CM34">
        <v>6.5108854935066962E-2</v>
      </c>
      <c r="CN34">
        <v>5.9663731251378117E-2</v>
      </c>
      <c r="CO34">
        <v>5.457601032591005E-2</v>
      </c>
      <c r="CP34">
        <v>4.9852392344413375E-2</v>
      </c>
      <c r="CQ34">
        <v>4.545284967501264E-2</v>
      </c>
      <c r="CR34">
        <v>4.1365104071242831E-2</v>
      </c>
      <c r="CS34">
        <v>3.7572155642829445E-2</v>
      </c>
      <c r="CT34">
        <v>3.4062568905646136E-2</v>
      </c>
      <c r="CU34">
        <v>3.0816458892459299E-2</v>
      </c>
      <c r="CV34">
        <v>2.779417716115604E-2</v>
      </c>
      <c r="CW34">
        <v>2.4988364636467603E-2</v>
      </c>
      <c r="CX34">
        <v>2.238098688932456E-2</v>
      </c>
      <c r="CY34">
        <v>1.9927772879301382E-2</v>
      </c>
      <c r="CZ34">
        <v>1.7646814560456345E-2</v>
      </c>
      <c r="DA34">
        <v>1.5498369531938307E-2</v>
      </c>
      <c r="DB34">
        <v>1.3476251883172795E-2</v>
      </c>
      <c r="DC34">
        <v>1.1557438874113164E-2</v>
      </c>
      <c r="DD34">
        <v>9.732799411363997E-3</v>
      </c>
      <c r="DE34">
        <v>8.0001043310862895E-3</v>
      </c>
      <c r="DF34">
        <v>6.3278718586242547E-3</v>
      </c>
      <c r="DG34">
        <v>4.7148529490266414E-3</v>
      </c>
      <c r="DH34">
        <v>3.1472858354561718E-3</v>
      </c>
      <c r="DI34">
        <v>1.627377226419466E-3</v>
      </c>
      <c r="DJ34">
        <v>1.2669249542148538E-4</v>
      </c>
      <c r="DK34">
        <v>-1.3522397803151134E-3</v>
      </c>
      <c r="DL34">
        <v>-2.8431247126806773E-3</v>
      </c>
      <c r="DM34">
        <v>-4.3430344534698016E-3</v>
      </c>
      <c r="DN34">
        <v>-5.8791916312532387E-3</v>
      </c>
      <c r="DO34">
        <v>-7.4682463186169961E-3</v>
      </c>
      <c r="DP34">
        <v>-9.1394163704574816E-3</v>
      </c>
    </row>
    <row r="35" spans="1:120" x14ac:dyDescent="0.2">
      <c r="A35">
        <v>0.2159028978641139</v>
      </c>
      <c r="B35">
        <v>0.39448622804757844</v>
      </c>
      <c r="C35">
        <v>0.48597945800453074</v>
      </c>
      <c r="D35">
        <v>0.52617042767522149</v>
      </c>
      <c r="E35">
        <v>0.54799503893642498</v>
      </c>
      <c r="F35">
        <v>0.5639618710755665</v>
      </c>
      <c r="G35">
        <v>0.57860299724543029</v>
      </c>
      <c r="H35">
        <v>0.59369498524706998</v>
      </c>
      <c r="I35">
        <v>0.61007349581800074</v>
      </c>
      <c r="J35">
        <v>0.6281012424388388</v>
      </c>
      <c r="K35">
        <v>0.64801725397508003</v>
      </c>
      <c r="L35">
        <v>0.6699146237268635</v>
      </c>
      <c r="M35">
        <v>0.69383762739703747</v>
      </c>
      <c r="N35">
        <v>0.71961385097334707</v>
      </c>
      <c r="O35">
        <v>0.74700696484296825</v>
      </c>
      <c r="P35">
        <v>0.77545774521395894</v>
      </c>
      <c r="Q35">
        <v>0.80431243982538592</v>
      </c>
      <c r="R35">
        <v>0.83273320993548328</v>
      </c>
      <c r="S35">
        <v>0.85987128743423802</v>
      </c>
      <c r="T35">
        <v>0.88496922985301452</v>
      </c>
      <c r="U35">
        <v>0.90744512476779693</v>
      </c>
      <c r="V35">
        <v>0.92695994599145548</v>
      </c>
      <c r="W35">
        <v>0.94341262058651154</v>
      </c>
      <c r="X35">
        <v>0.95696024085359099</v>
      </c>
      <c r="Y35">
        <v>0.96790050046341403</v>
      </c>
      <c r="Z35">
        <v>0.97661489210504049</v>
      </c>
      <c r="AA35">
        <v>0.98348262719886115</v>
      </c>
      <c r="AB35">
        <v>0.98885449246689983</v>
      </c>
      <c r="AC35">
        <v>0.99297967854763869</v>
      </c>
      <c r="AD35">
        <v>0.99607257062401999</v>
      </c>
      <c r="AE35">
        <v>0.99824664560961995</v>
      </c>
      <c r="AF35">
        <v>0.99955517754750722</v>
      </c>
      <c r="AG35">
        <v>1</v>
      </c>
      <c r="AH35">
        <v>0.99952992933820684</v>
      </c>
      <c r="AI35">
        <v>0.99805386819312125</v>
      </c>
      <c r="AJ35">
        <v>0.99543690277049668</v>
      </c>
      <c r="AK35">
        <v>0.99152811083895498</v>
      </c>
      <c r="AL35">
        <v>0.9861276299224756</v>
      </c>
      <c r="AM35">
        <v>0.97904462394398306</v>
      </c>
      <c r="AN35">
        <v>0.97009680891362249</v>
      </c>
      <c r="AO35">
        <v>0.95908061239395781</v>
      </c>
      <c r="AP35">
        <v>0.94585667160155762</v>
      </c>
      <c r="AQ35">
        <v>0.93028752669976988</v>
      </c>
      <c r="AR35">
        <v>0.91232990206094444</v>
      </c>
      <c r="AS35">
        <v>0.89196874218744893</v>
      </c>
      <c r="AT35">
        <v>0.86924885361896431</v>
      </c>
      <c r="AU35">
        <v>0.84431375363627292</v>
      </c>
      <c r="AV35">
        <v>0.81730248489937807</v>
      </c>
      <c r="AW35">
        <v>0.7884927089112983</v>
      </c>
      <c r="AX35">
        <v>0.75816010619560192</v>
      </c>
      <c r="AY35">
        <v>0.72667106376472401</v>
      </c>
      <c r="AZ35">
        <v>0.69433238764865968</v>
      </c>
      <c r="BA35">
        <v>0.66150742787466743</v>
      </c>
      <c r="BB35">
        <v>0.62862447346513617</v>
      </c>
      <c r="BC35">
        <v>0.59597048004202702</v>
      </c>
      <c r="BD35">
        <v>0.56382469229731935</v>
      </c>
      <c r="BE35">
        <v>0.53251286391781127</v>
      </c>
      <c r="BF35">
        <v>0.50222037071966208</v>
      </c>
      <c r="BG35">
        <v>0.4731734998535494</v>
      </c>
      <c r="BH35">
        <v>0.44543974159890481</v>
      </c>
      <c r="BI35">
        <v>0.41916377773514762</v>
      </c>
      <c r="BJ35">
        <v>0.39441213041983197</v>
      </c>
      <c r="BK35">
        <v>0.37118644535620793</v>
      </c>
      <c r="BL35">
        <v>0.34948828862237047</v>
      </c>
      <c r="BM35">
        <v>0.32924783680849812</v>
      </c>
      <c r="BN35">
        <v>0.31040790815400432</v>
      </c>
      <c r="BO35">
        <v>0.29289433761875705</v>
      </c>
      <c r="BP35">
        <v>0.27657916733126603</v>
      </c>
      <c r="BQ35">
        <v>0.26140837797024508</v>
      </c>
      <c r="BR35">
        <v>0.24727512116990966</v>
      </c>
      <c r="BS35">
        <v>0.23406291874877261</v>
      </c>
      <c r="BT35">
        <v>0.22167287792508683</v>
      </c>
      <c r="BU35">
        <v>0.2100153798148138</v>
      </c>
      <c r="BV35">
        <v>0.19900415017453246</v>
      </c>
      <c r="BW35">
        <v>0.18849367441416956</v>
      </c>
      <c r="BX35">
        <v>0.17843500901362785</v>
      </c>
      <c r="BY35">
        <v>0.16875986920977623</v>
      </c>
      <c r="BZ35">
        <v>0.15938648500935923</v>
      </c>
      <c r="CA35">
        <v>0.1502098653785621</v>
      </c>
      <c r="CB35">
        <v>0.14122537332212237</v>
      </c>
      <c r="CC35">
        <v>0.13241409192102113</v>
      </c>
      <c r="CD35">
        <v>0.12372164529217328</v>
      </c>
      <c r="CE35">
        <v>0.11517575910820575</v>
      </c>
      <c r="CF35">
        <v>0.10680244802854606</v>
      </c>
      <c r="CG35">
        <v>9.8614357033266528E-2</v>
      </c>
      <c r="CH35">
        <v>9.0700896195275466E-2</v>
      </c>
      <c r="CI35">
        <v>8.304053908842636E-2</v>
      </c>
      <c r="CJ35">
        <v>7.5732432725363508E-2</v>
      </c>
      <c r="CK35">
        <v>6.8759448500477369E-2</v>
      </c>
      <c r="CL35">
        <v>6.2191375874394175E-2</v>
      </c>
      <c r="CM35">
        <v>5.6031617900930301E-2</v>
      </c>
      <c r="CN35">
        <v>5.0258801225801557E-2</v>
      </c>
      <c r="CO35">
        <v>4.4886613798573408E-2</v>
      </c>
      <c r="CP35">
        <v>3.9918499116947115E-2</v>
      </c>
      <c r="CQ35">
        <v>3.531015907878296E-2</v>
      </c>
      <c r="CR35">
        <v>3.1046208877399381E-2</v>
      </c>
      <c r="CS35">
        <v>2.7105287610310679E-2</v>
      </c>
      <c r="CT35">
        <v>2.3472729625928234E-2</v>
      </c>
      <c r="CU35">
        <v>2.0126119562028904E-2</v>
      </c>
      <c r="CV35">
        <v>1.7022501519426119E-2</v>
      </c>
      <c r="CW35">
        <v>1.4152499979240975E-2</v>
      </c>
      <c r="CX35">
        <v>1.1495586252424734E-2</v>
      </c>
      <c r="CY35">
        <v>9.0062724527840178E-3</v>
      </c>
      <c r="CZ35">
        <v>6.7005685479430655E-3</v>
      </c>
      <c r="DA35">
        <v>4.5376973387164501E-3</v>
      </c>
      <c r="DB35">
        <v>2.5104496644438958E-3</v>
      </c>
      <c r="DC35">
        <v>5.9461287040905755E-4</v>
      </c>
      <c r="DD35">
        <v>-1.2193124012692255E-3</v>
      </c>
      <c r="DE35">
        <v>-2.9336421700143357E-3</v>
      </c>
      <c r="DF35">
        <v>-4.5810608571493711E-3</v>
      </c>
      <c r="DG35">
        <v>-6.1623951803441487E-3</v>
      </c>
      <c r="DH35">
        <v>-7.6916647605403086E-3</v>
      </c>
      <c r="DI35">
        <v>-9.166207372680547E-3</v>
      </c>
      <c r="DJ35">
        <v>-1.0614079429198829E-2</v>
      </c>
      <c r="DK35">
        <v>-1.2032212560086084E-2</v>
      </c>
      <c r="DL35">
        <v>-1.3452977869146674E-2</v>
      </c>
      <c r="DM35">
        <v>-1.4872070086988416E-2</v>
      </c>
      <c r="DN35">
        <v>-1.6314409968515808E-2</v>
      </c>
      <c r="DO35">
        <v>-1.7793215251807513E-2</v>
      </c>
      <c r="DP35">
        <v>-1.9332549795707324E-2</v>
      </c>
    </row>
    <row r="36" spans="1:120" x14ac:dyDescent="0.2">
      <c r="A36">
        <v>0.21481997263751446</v>
      </c>
      <c r="B36">
        <v>0.39297332116377237</v>
      </c>
      <c r="C36">
        <v>0.48423901604294761</v>
      </c>
      <c r="D36">
        <v>0.52424721545652331</v>
      </c>
      <c r="E36">
        <v>0.54586050948443432</v>
      </c>
      <c r="F36">
        <v>0.56158388976674145</v>
      </c>
      <c r="G36">
        <v>0.57594992095137876</v>
      </c>
      <c r="H36">
        <v>0.59073534853900744</v>
      </c>
      <c r="I36">
        <v>0.60677572770397337</v>
      </c>
      <c r="J36">
        <v>0.62443501959938685</v>
      </c>
      <c r="K36">
        <v>0.64395492225297613</v>
      </c>
      <c r="L36">
        <v>0.66543679639302744</v>
      </c>
      <c r="M36">
        <v>0.68892778050298265</v>
      </c>
      <c r="N36">
        <v>0.71426744988256219</v>
      </c>
      <c r="O36">
        <v>0.74123242953094159</v>
      </c>
      <c r="P36">
        <v>0.76927951558964935</v>
      </c>
      <c r="Q36">
        <v>0.79777434251244572</v>
      </c>
      <c r="R36">
        <v>0.82589874782857398</v>
      </c>
      <c r="S36">
        <v>0.8528181596394464</v>
      </c>
      <c r="T36">
        <v>0.87779264831426396</v>
      </c>
      <c r="U36">
        <v>0.90024809221164637</v>
      </c>
      <c r="V36">
        <v>0.91985154081808584</v>
      </c>
      <c r="W36">
        <v>0.93649832833976776</v>
      </c>
      <c r="X36">
        <v>0.95034466250581928</v>
      </c>
      <c r="Y36">
        <v>0.96167986242859138</v>
      </c>
      <c r="Z36">
        <v>0.97087950545394996</v>
      </c>
      <c r="AA36">
        <v>0.97831381651253768</v>
      </c>
      <c r="AB36">
        <v>0.98432777249305881</v>
      </c>
      <c r="AC36">
        <v>0.98915919934951912</v>
      </c>
      <c r="AD36">
        <v>0.99301768375112487</v>
      </c>
      <c r="AE36">
        <v>0.99601017428185312</v>
      </c>
      <c r="AF36">
        <v>0.99818189446268069</v>
      </c>
      <c r="AG36">
        <v>0.99952992933820684</v>
      </c>
      <c r="AH36">
        <v>1</v>
      </c>
      <c r="AI36">
        <v>0.99949119929914065</v>
      </c>
      <c r="AJ36">
        <v>0.99786623778416406</v>
      </c>
      <c r="AK36">
        <v>0.99496372354317542</v>
      </c>
      <c r="AL36">
        <v>0.99058051078322229</v>
      </c>
      <c r="AM36">
        <v>0.98451559135882372</v>
      </c>
      <c r="AN36">
        <v>0.97657508317927688</v>
      </c>
      <c r="AO36">
        <v>0.96654850801753611</v>
      </c>
      <c r="AP36">
        <v>0.95428422983461936</v>
      </c>
      <c r="AQ36">
        <v>0.9396339912752858</v>
      </c>
      <c r="AR36">
        <v>0.9225422933998656</v>
      </c>
      <c r="AS36">
        <v>0.90298264508149628</v>
      </c>
      <c r="AT36">
        <v>0.88099134924842804</v>
      </c>
      <c r="AU36">
        <v>0.85670060201495268</v>
      </c>
      <c r="AV36">
        <v>0.8302456448147999</v>
      </c>
      <c r="AW36">
        <v>0.80189608441968463</v>
      </c>
      <c r="AX36">
        <v>0.77192572243964208</v>
      </c>
      <c r="AY36">
        <v>0.74069871556907152</v>
      </c>
      <c r="AZ36">
        <v>0.70852577950976003</v>
      </c>
      <c r="BA36">
        <v>0.67577276084197069</v>
      </c>
      <c r="BB36">
        <v>0.64287296780552838</v>
      </c>
      <c r="BC36">
        <v>0.61011868604877817</v>
      </c>
      <c r="BD36">
        <v>0.57779887935648977</v>
      </c>
      <c r="BE36">
        <v>0.54624549438646564</v>
      </c>
      <c r="BF36">
        <v>0.5156531862956083</v>
      </c>
      <c r="BG36">
        <v>0.48625562624534002</v>
      </c>
      <c r="BH36">
        <v>0.45812768799923376</v>
      </c>
      <c r="BI36">
        <v>0.4314210608649362</v>
      </c>
      <c r="BJ36">
        <v>0.40620761808209599</v>
      </c>
      <c r="BK36">
        <v>0.38249462838534565</v>
      </c>
      <c r="BL36">
        <v>0.36028631247787007</v>
      </c>
      <c r="BM36">
        <v>0.33951473606607341</v>
      </c>
      <c r="BN36">
        <v>0.32012451147966581</v>
      </c>
      <c r="BO36">
        <v>0.30204093913055952</v>
      </c>
      <c r="BP36">
        <v>0.28513640484922942</v>
      </c>
      <c r="BQ36">
        <v>0.26935582116242424</v>
      </c>
      <c r="BR36">
        <v>0.25458891796271649</v>
      </c>
      <c r="BS36">
        <v>0.24071898032383215</v>
      </c>
      <c r="BT36">
        <v>0.22764487615382017</v>
      </c>
      <c r="BU36">
        <v>0.21527493149234067</v>
      </c>
      <c r="BV36">
        <v>0.20352155726344814</v>
      </c>
      <c r="BW36">
        <v>0.19223856503939929</v>
      </c>
      <c r="BX36">
        <v>0.18137613884158446</v>
      </c>
      <c r="BY36">
        <v>0.1708687535280238</v>
      </c>
      <c r="BZ36">
        <v>0.16063617279389708</v>
      </c>
      <c r="CA36">
        <v>0.15057906400660176</v>
      </c>
      <c r="CB36">
        <v>0.14069864518122646</v>
      </c>
      <c r="CC36">
        <v>0.13098381956365471</v>
      </c>
      <c r="CD36">
        <v>0.12139108827342181</v>
      </c>
      <c r="CE36">
        <v>0.1119568803000148</v>
      </c>
      <c r="CF36">
        <v>0.1027189142041222</v>
      </c>
      <c r="CG36">
        <v>9.3698984894982712E-2</v>
      </c>
      <c r="CH36">
        <v>8.4996028929523113E-2</v>
      </c>
      <c r="CI36">
        <v>7.6593990489431912E-2</v>
      </c>
      <c r="CJ36">
        <v>6.8598825270177993E-2</v>
      </c>
      <c r="CK36">
        <v>6.0994001664736952E-2</v>
      </c>
      <c r="CL36">
        <v>5.3852390295481799E-2</v>
      </c>
      <c r="CM36">
        <v>4.7175519310687669E-2</v>
      </c>
      <c r="CN36">
        <v>4.0940642595934176E-2</v>
      </c>
      <c r="CO36">
        <v>3.5157715497906666E-2</v>
      </c>
      <c r="CP36">
        <v>2.9827107839799472E-2</v>
      </c>
      <c r="CQ36">
        <v>2.4900207013066979E-2</v>
      </c>
      <c r="CR36">
        <v>2.0358446727759869E-2</v>
      </c>
      <c r="CS36">
        <v>1.6175659557659636E-2</v>
      </c>
      <c r="CT36">
        <v>1.2333632202900839E-2</v>
      </c>
      <c r="CU36">
        <v>8.8070351058702322E-3</v>
      </c>
      <c r="CV36">
        <v>5.5491438773397073E-3</v>
      </c>
      <c r="CW36">
        <v>2.548197551711874E-3</v>
      </c>
      <c r="CX36">
        <v>-2.1932372906383518E-4</v>
      </c>
      <c r="CY36">
        <v>-2.8005721877586696E-3</v>
      </c>
      <c r="CZ36">
        <v>-5.1818373521228638E-3</v>
      </c>
      <c r="DA36">
        <v>-7.4053832776266862E-3</v>
      </c>
      <c r="DB36">
        <v>-9.4797485553565833E-3</v>
      </c>
      <c r="DC36">
        <v>-1.1430535255446388E-2</v>
      </c>
      <c r="DD36">
        <v>-1.3267991949824594E-2</v>
      </c>
      <c r="DE36">
        <v>-1.4994597227342846E-2</v>
      </c>
      <c r="DF36">
        <v>-1.6644523332098458E-2</v>
      </c>
      <c r="DG36">
        <v>-1.8218274858343715E-2</v>
      </c>
      <c r="DH36">
        <v>-1.9730261133017537E-2</v>
      </c>
      <c r="DI36">
        <v>-2.1177429458254272E-2</v>
      </c>
      <c r="DJ36">
        <v>-2.2587484574791712E-2</v>
      </c>
      <c r="DK36">
        <v>-2.3956780528702995E-2</v>
      </c>
      <c r="DL36">
        <v>-2.5316277491790353E-2</v>
      </c>
      <c r="DM36">
        <v>-2.6660119010290872E-2</v>
      </c>
      <c r="DN36">
        <v>-2.801067900234501E-2</v>
      </c>
      <c r="DO36">
        <v>-2.9377248528606615E-2</v>
      </c>
      <c r="DP36">
        <v>-3.0778012236502807E-2</v>
      </c>
    </row>
    <row r="37" spans="1:120" x14ac:dyDescent="0.2">
      <c r="A37">
        <v>0.21416671087484396</v>
      </c>
      <c r="B37">
        <v>0.39267978563661371</v>
      </c>
      <c r="C37">
        <v>0.48416963287196907</v>
      </c>
      <c r="D37">
        <v>0.5242038150623658</v>
      </c>
      <c r="E37">
        <v>0.54570251215166732</v>
      </c>
      <c r="F37">
        <v>0.5612267558635905</v>
      </c>
      <c r="G37">
        <v>0.57533296084995367</v>
      </c>
      <c r="H37">
        <v>0.5898068584276287</v>
      </c>
      <c r="I37">
        <v>0.60548710801735472</v>
      </c>
      <c r="J37">
        <v>0.62273915130985158</v>
      </c>
      <c r="K37">
        <v>0.64180646509854955</v>
      </c>
      <c r="L37">
        <v>0.66279774910661438</v>
      </c>
      <c r="M37">
        <v>0.68576143398945555</v>
      </c>
      <c r="N37">
        <v>0.71054809781911088</v>
      </c>
      <c r="O37">
        <v>0.73694647081182507</v>
      </c>
      <c r="P37">
        <v>0.76443040628607428</v>
      </c>
      <c r="Q37">
        <v>0.79238610958414468</v>
      </c>
      <c r="R37">
        <v>0.82001854140683117</v>
      </c>
      <c r="S37">
        <v>0.84651130462122393</v>
      </c>
      <c r="T37">
        <v>0.87114753962381786</v>
      </c>
      <c r="U37">
        <v>0.89336679411816</v>
      </c>
      <c r="V37">
        <v>0.91284799607161227</v>
      </c>
      <c r="W37">
        <v>0.92948821420860051</v>
      </c>
      <c r="X37">
        <v>0.94344766296447968</v>
      </c>
      <c r="Y37">
        <v>0.95501004483824292</v>
      </c>
      <c r="Z37">
        <v>0.96454774409323629</v>
      </c>
      <c r="AA37">
        <v>0.97242320353590916</v>
      </c>
      <c r="AB37">
        <v>0.97897608900803323</v>
      </c>
      <c r="AC37">
        <v>0.98443358817257642</v>
      </c>
      <c r="AD37">
        <v>0.98899949258804221</v>
      </c>
      <c r="AE37">
        <v>0.99277455739638454</v>
      </c>
      <c r="AF37">
        <v>0.99579493429513632</v>
      </c>
      <c r="AG37">
        <v>0.99805386819312136</v>
      </c>
      <c r="AH37">
        <v>0.99949119929914065</v>
      </c>
      <c r="AI37">
        <v>1</v>
      </c>
      <c r="AJ37">
        <v>0.99943629783131938</v>
      </c>
      <c r="AK37">
        <v>0.9976295881616406</v>
      </c>
      <c r="AL37">
        <v>0.99437252537339982</v>
      </c>
      <c r="AM37">
        <v>0.98945279962039268</v>
      </c>
      <c r="AN37">
        <v>0.98266392636385058</v>
      </c>
      <c r="AO37">
        <v>0.97378667132911323</v>
      </c>
      <c r="AP37">
        <v>0.96265534288974131</v>
      </c>
      <c r="AQ37">
        <v>0.9491089284655746</v>
      </c>
      <c r="AR37">
        <v>0.93307709869068656</v>
      </c>
      <c r="AS37">
        <v>0.91451932585401974</v>
      </c>
      <c r="AT37">
        <v>0.89346073776634716</v>
      </c>
      <c r="AU37">
        <v>0.87001928769930492</v>
      </c>
      <c r="AV37">
        <v>0.84432361058397043</v>
      </c>
      <c r="AW37">
        <v>0.81663266652251187</v>
      </c>
      <c r="AX37">
        <v>0.78721594462133337</v>
      </c>
      <c r="AY37">
        <v>0.75643301266136209</v>
      </c>
      <c r="AZ37">
        <v>0.72459676585666344</v>
      </c>
      <c r="BA37">
        <v>0.69207446376356285</v>
      </c>
      <c r="BB37">
        <v>0.65930273161575237</v>
      </c>
      <c r="BC37">
        <v>0.62657913851366598</v>
      </c>
      <c r="BD37">
        <v>0.5942021094988329</v>
      </c>
      <c r="BE37">
        <v>0.56250987148327669</v>
      </c>
      <c r="BF37">
        <v>0.53170667141188421</v>
      </c>
      <c r="BG37">
        <v>0.50203416887474284</v>
      </c>
      <c r="BH37">
        <v>0.47357563261866892</v>
      </c>
      <c r="BI37">
        <v>0.44649034796526904</v>
      </c>
      <c r="BJ37">
        <v>0.42085659233660466</v>
      </c>
      <c r="BK37">
        <v>0.39668798066869887</v>
      </c>
      <c r="BL37">
        <v>0.37399220935816146</v>
      </c>
      <c r="BM37">
        <v>0.35270389028030386</v>
      </c>
      <c r="BN37">
        <v>0.33276998420095433</v>
      </c>
      <c r="BO37">
        <v>0.31411543813652254</v>
      </c>
      <c r="BP37">
        <v>0.29661329496008376</v>
      </c>
      <c r="BQ37">
        <v>0.28020739908702696</v>
      </c>
      <c r="BR37">
        <v>0.2647837732787669</v>
      </c>
      <c r="BS37">
        <v>0.25022531125976871</v>
      </c>
      <c r="BT37">
        <v>0.23642824157114162</v>
      </c>
      <c r="BU37">
        <v>0.223298280051037</v>
      </c>
      <c r="BV37">
        <v>0.21074576804044901</v>
      </c>
      <c r="BW37">
        <v>0.19862330040209331</v>
      </c>
      <c r="BX37">
        <v>0.18687935752707041</v>
      </c>
      <c r="BY37">
        <v>0.17545083988610746</v>
      </c>
      <c r="BZ37">
        <v>0.16425829476308684</v>
      </c>
      <c r="CA37">
        <v>0.15320818670231096</v>
      </c>
      <c r="CB37">
        <v>0.14230757430285562</v>
      </c>
      <c r="CC37">
        <v>0.13155382339616092</v>
      </c>
      <c r="CD37">
        <v>0.12091556768592697</v>
      </c>
      <c r="CE37">
        <v>0.11043921302974968</v>
      </c>
      <c r="CF37">
        <v>0.10017629938179637</v>
      </c>
      <c r="CG37">
        <v>9.0159737131897191E-2</v>
      </c>
      <c r="CH37">
        <v>8.0500472522023345E-2</v>
      </c>
      <c r="CI37">
        <v>7.1189953243092019E-2</v>
      </c>
      <c r="CJ37">
        <v>6.23431879078227E-2</v>
      </c>
      <c r="CK37">
        <v>5.3945976295034094E-2</v>
      </c>
      <c r="CL37">
        <v>4.6075864195432664E-2</v>
      </c>
      <c r="CM37">
        <v>3.8733639417666992E-2</v>
      </c>
      <c r="CN37">
        <v>3.1896005479536582E-2</v>
      </c>
      <c r="CO37">
        <v>2.5569786832770752E-2</v>
      </c>
      <c r="CP37">
        <v>1.9752373604034562E-2</v>
      </c>
      <c r="CQ37">
        <v>1.4390950457311896E-2</v>
      </c>
      <c r="CR37">
        <v>9.4637487284636099E-3</v>
      </c>
      <c r="CS37">
        <v>4.9393897315716589E-3</v>
      </c>
      <c r="CT37">
        <v>7.9582914409584372E-4</v>
      </c>
      <c r="CU37">
        <v>-2.995629777131705E-3</v>
      </c>
      <c r="CV37">
        <v>-6.4857705547737522E-3</v>
      </c>
      <c r="CW37">
        <v>-9.6892069098324408E-3</v>
      </c>
      <c r="CX37">
        <v>-1.2632947804118911E-2</v>
      </c>
      <c r="CY37">
        <v>-1.536619265414688E-2</v>
      </c>
      <c r="CZ37">
        <v>-1.7877804383642878E-2</v>
      </c>
      <c r="DA37">
        <v>-2.0212012696203291E-2</v>
      </c>
      <c r="DB37">
        <v>-2.2378942863227159E-2</v>
      </c>
      <c r="DC37">
        <v>-2.4405858251999576E-2</v>
      </c>
      <c r="DD37">
        <v>-2.6304068091040668E-2</v>
      </c>
      <c r="DE37">
        <v>-2.8076374671439558E-2</v>
      </c>
      <c r="DF37">
        <v>-2.9758683165225765E-2</v>
      </c>
      <c r="DG37">
        <v>-3.1351320510361678E-2</v>
      </c>
      <c r="DH37">
        <v>-3.2869190681605515E-2</v>
      </c>
      <c r="DI37">
        <v>-3.4308956838034893E-2</v>
      </c>
      <c r="DJ37">
        <v>-3.5698003159509203E-2</v>
      </c>
      <c r="DK37">
        <v>-3.7032058939359867E-2</v>
      </c>
      <c r="DL37">
        <v>-3.834064191949093E-2</v>
      </c>
      <c r="DM37">
        <v>-3.9616145440038046E-2</v>
      </c>
      <c r="DN37">
        <v>-4.0878160844866444E-2</v>
      </c>
      <c r="DO37">
        <v>-4.2131618601358757E-2</v>
      </c>
      <c r="DP37">
        <v>-4.3388110595705708E-2</v>
      </c>
    </row>
    <row r="38" spans="1:120" x14ac:dyDescent="0.2">
      <c r="A38">
        <v>0.2138327352331521</v>
      </c>
      <c r="B38">
        <v>0.39339925331111114</v>
      </c>
      <c r="C38">
        <v>0.48551647967377232</v>
      </c>
      <c r="D38">
        <v>0.52576691245931095</v>
      </c>
      <c r="E38">
        <v>0.54724161753870948</v>
      </c>
      <c r="F38">
        <v>0.56260974420377252</v>
      </c>
      <c r="G38">
        <v>0.57647237224469305</v>
      </c>
      <c r="H38">
        <v>0.59063176838224662</v>
      </c>
      <c r="I38">
        <v>0.60593275738874341</v>
      </c>
      <c r="J38">
        <v>0.62274247391295368</v>
      </c>
      <c r="K38">
        <v>0.64130523750923041</v>
      </c>
      <c r="L38">
        <v>0.66173615246539597</v>
      </c>
      <c r="M38">
        <v>0.6840836180404839</v>
      </c>
      <c r="N38">
        <v>0.70820823118320331</v>
      </c>
      <c r="O38">
        <v>0.73390996915060402</v>
      </c>
      <c r="P38">
        <v>0.76068055541959834</v>
      </c>
      <c r="Q38">
        <v>0.78792829739972781</v>
      </c>
      <c r="R38">
        <v>0.81488400910245029</v>
      </c>
      <c r="S38">
        <v>0.84075356034197979</v>
      </c>
      <c r="T38">
        <v>0.86484803432504809</v>
      </c>
      <c r="U38">
        <v>0.88662646521596677</v>
      </c>
      <c r="V38">
        <v>0.90578501478532014</v>
      </c>
      <c r="W38">
        <v>0.92222750661845221</v>
      </c>
      <c r="X38">
        <v>0.93612269559655303</v>
      </c>
      <c r="Y38">
        <v>0.94775145707097785</v>
      </c>
      <c r="Z38">
        <v>0.95748539886331629</v>
      </c>
      <c r="AA38">
        <v>0.96568044596313385</v>
      </c>
      <c r="AB38">
        <v>0.97267144587205379</v>
      </c>
      <c r="AC38">
        <v>0.97867570433533124</v>
      </c>
      <c r="AD38">
        <v>0.98389059156634584</v>
      </c>
      <c r="AE38">
        <v>0.98841092239833883</v>
      </c>
      <c r="AF38">
        <v>0.99226302893744645</v>
      </c>
      <c r="AG38">
        <v>0.99543690277049657</v>
      </c>
      <c r="AH38">
        <v>0.99786623778416395</v>
      </c>
      <c r="AI38">
        <v>0.99943629783131949</v>
      </c>
      <c r="AJ38">
        <v>1</v>
      </c>
      <c r="AK38">
        <v>0.99937307572311962</v>
      </c>
      <c r="AL38">
        <v>0.99734590555735791</v>
      </c>
      <c r="AM38">
        <v>0.99369348206915242</v>
      </c>
      <c r="AN38">
        <v>0.98819564240221724</v>
      </c>
      <c r="AO38">
        <v>0.98062319278223176</v>
      </c>
      <c r="AP38">
        <v>0.97079417917415123</v>
      </c>
      <c r="AQ38">
        <v>0.95853353897288585</v>
      </c>
      <c r="AR38">
        <v>0.94375316986732782</v>
      </c>
      <c r="AS38">
        <v>0.92639630310733467</v>
      </c>
      <c r="AT38">
        <v>0.90647414320744735</v>
      </c>
      <c r="AU38">
        <v>0.88408753009281305</v>
      </c>
      <c r="AV38">
        <v>0.85935589833405679</v>
      </c>
      <c r="AW38">
        <v>0.83252471118739091</v>
      </c>
      <c r="AX38">
        <v>0.80385668103807129</v>
      </c>
      <c r="AY38">
        <v>0.77370455256928117</v>
      </c>
      <c r="AZ38">
        <v>0.74238146193697874</v>
      </c>
      <c r="BA38">
        <v>0.71025458311140788</v>
      </c>
      <c r="BB38">
        <v>0.67776255354544968</v>
      </c>
      <c r="BC38">
        <v>0.64520764804362363</v>
      </c>
      <c r="BD38">
        <v>0.61289746098319453</v>
      </c>
      <c r="BE38">
        <v>0.58117644602888618</v>
      </c>
      <c r="BF38">
        <v>0.55025868318666959</v>
      </c>
      <c r="BG38">
        <v>0.52039425024413666</v>
      </c>
      <c r="BH38">
        <v>0.49167570148538653</v>
      </c>
      <c r="BI38">
        <v>0.46427039523438779</v>
      </c>
      <c r="BJ38">
        <v>0.438264114237717</v>
      </c>
      <c r="BK38">
        <v>0.41367729060734587</v>
      </c>
      <c r="BL38">
        <v>0.39052194557337411</v>
      </c>
      <c r="BM38">
        <v>0.36873592655197973</v>
      </c>
      <c r="BN38">
        <v>0.34826898946632479</v>
      </c>
      <c r="BO38">
        <v>0.32904584879274934</v>
      </c>
      <c r="BP38">
        <v>0.31094075808488369</v>
      </c>
      <c r="BQ38">
        <v>0.29389614307871437</v>
      </c>
      <c r="BR38">
        <v>0.27779437543232577</v>
      </c>
      <c r="BS38">
        <v>0.26251765821507506</v>
      </c>
      <c r="BT38">
        <v>0.24795911883151855</v>
      </c>
      <c r="BU38">
        <v>0.23402137442795362</v>
      </c>
      <c r="BV38">
        <v>0.22061201303672581</v>
      </c>
      <c r="BW38">
        <v>0.20758181986024374</v>
      </c>
      <c r="BX38">
        <v>0.19487692086803246</v>
      </c>
      <c r="BY38">
        <v>0.1824361400051136</v>
      </c>
      <c r="BZ38">
        <v>0.17018024940509924</v>
      </c>
      <c r="CA38">
        <v>0.15802167938709966</v>
      </c>
      <c r="CB38">
        <v>0.14597339849200106</v>
      </c>
      <c r="CC38">
        <v>0.13404201144049593</v>
      </c>
      <c r="CD38">
        <v>0.12220947946111703</v>
      </c>
      <c r="CE38">
        <v>0.11053373533412157</v>
      </c>
      <c r="CF38">
        <v>9.9082218900179528E-2</v>
      </c>
      <c r="CG38">
        <v>8.790103296156293E-2</v>
      </c>
      <c r="CH38">
        <v>7.7115697186435198E-2</v>
      </c>
      <c r="CI38">
        <v>6.6727154328388119E-2</v>
      </c>
      <c r="CJ38">
        <v>5.6861797373484048E-2</v>
      </c>
      <c r="CK38">
        <v>4.7509496647892675E-2</v>
      </c>
      <c r="CL38">
        <v>3.8754101421109487E-2</v>
      </c>
      <c r="CM38">
        <v>3.059665493815596E-2</v>
      </c>
      <c r="CN38">
        <v>2.3014289541318629E-2</v>
      </c>
      <c r="CO38">
        <v>1.6011104669685774E-2</v>
      </c>
      <c r="CP38">
        <v>9.5817367587387858E-3</v>
      </c>
      <c r="CQ38">
        <v>3.6691856207529848E-3</v>
      </c>
      <c r="CR38">
        <v>-1.7515799474695462E-3</v>
      </c>
      <c r="CS38">
        <v>-6.7175482838870357E-3</v>
      </c>
      <c r="CT38">
        <v>-1.1254956221635375E-2</v>
      </c>
      <c r="CU38">
        <v>-1.5396196067212736E-2</v>
      </c>
      <c r="CV38">
        <v>-1.9196588165850278E-2</v>
      </c>
      <c r="CW38">
        <v>-2.2673956143618289E-2</v>
      </c>
      <c r="CX38">
        <v>-2.5859358974712275E-2</v>
      </c>
      <c r="CY38">
        <v>-2.880443113322843E-2</v>
      </c>
      <c r="CZ38">
        <v>-3.1500869583245834E-2</v>
      </c>
      <c r="DA38">
        <v>-3.3995353379161847E-2</v>
      </c>
      <c r="DB38">
        <v>-3.6299869645119928E-2</v>
      </c>
      <c r="DC38">
        <v>-3.8443570087454242E-2</v>
      </c>
      <c r="DD38">
        <v>-4.0439235814329157E-2</v>
      </c>
      <c r="DE38">
        <v>-4.2290049505556503E-2</v>
      </c>
      <c r="DF38">
        <v>-4.4033933209613657E-2</v>
      </c>
      <c r="DG38">
        <v>-4.5671171101103684E-2</v>
      </c>
      <c r="DH38">
        <v>-4.7217274746846422E-2</v>
      </c>
      <c r="DI38">
        <v>-4.8668676375922412E-2</v>
      </c>
      <c r="DJ38">
        <v>-5.0052490526404966E-2</v>
      </c>
      <c r="DK38">
        <v>-5.1363737004404268E-2</v>
      </c>
      <c r="DL38">
        <v>-5.2630445625006024E-2</v>
      </c>
      <c r="DM38">
        <v>-5.3842990024846958E-2</v>
      </c>
      <c r="DN38">
        <v>-5.5017962956520033E-2</v>
      </c>
      <c r="DO38">
        <v>-5.6155364523057825E-2</v>
      </c>
      <c r="DP38">
        <v>-5.7259401419172733E-2</v>
      </c>
    </row>
    <row r="39" spans="1:120" x14ac:dyDescent="0.2">
      <c r="A39">
        <v>0.21384062305711624</v>
      </c>
      <c r="B39">
        <v>0.3950342041340637</v>
      </c>
      <c r="C39">
        <v>0.48810428599906996</v>
      </c>
      <c r="D39">
        <v>0.52872030637201051</v>
      </c>
      <c r="E39">
        <v>0.55023994047448799</v>
      </c>
      <c r="F39">
        <v>0.56548300094012027</v>
      </c>
      <c r="G39">
        <v>0.57911140406294015</v>
      </c>
      <c r="H39">
        <v>0.5929499364320121</v>
      </c>
      <c r="I39">
        <v>0.60785152336047921</v>
      </c>
      <c r="J39">
        <v>0.62418498392763255</v>
      </c>
      <c r="K39">
        <v>0.64219408697509661</v>
      </c>
      <c r="L39">
        <v>0.66199959079775927</v>
      </c>
      <c r="M39">
        <v>0.68364811300500072</v>
      </c>
      <c r="N39">
        <v>0.70700941978802279</v>
      </c>
      <c r="O39">
        <v>0.73189387934815231</v>
      </c>
      <c r="P39">
        <v>0.75781166483169948</v>
      </c>
      <c r="Q39">
        <v>0.7841942294434322</v>
      </c>
      <c r="R39">
        <v>0.81030095143526426</v>
      </c>
      <c r="S39">
        <v>0.83536347343356121</v>
      </c>
      <c r="T39">
        <v>0.85872539190557329</v>
      </c>
      <c r="U39">
        <v>0.87987044917846735</v>
      </c>
      <c r="V39">
        <v>0.89851694950397265</v>
      </c>
      <c r="W39">
        <v>0.91458007168917199</v>
      </c>
      <c r="X39">
        <v>0.92824122798714614</v>
      </c>
      <c r="Y39">
        <v>0.93978110557692718</v>
      </c>
      <c r="Z39">
        <v>0.94957286172584088</v>
      </c>
      <c r="AA39">
        <v>0.95796696979826446</v>
      </c>
      <c r="AB39">
        <v>0.96529416108230925</v>
      </c>
      <c r="AC39">
        <v>0.97176293102837619</v>
      </c>
      <c r="AD39">
        <v>0.97756340568833233</v>
      </c>
      <c r="AE39">
        <v>0.98278511352758136</v>
      </c>
      <c r="AF39">
        <v>0.98744427407701574</v>
      </c>
      <c r="AG39">
        <v>0.99152811083895509</v>
      </c>
      <c r="AH39">
        <v>0.99496372354317553</v>
      </c>
      <c r="AI39">
        <v>0.99762958816164071</v>
      </c>
      <c r="AJ39">
        <v>0.99937307572311984</v>
      </c>
      <c r="AK39">
        <v>1</v>
      </c>
      <c r="AL39">
        <v>0.99929448834388912</v>
      </c>
      <c r="AM39">
        <v>0.9970200666863287</v>
      </c>
      <c r="AN39">
        <v>0.99294171783365281</v>
      </c>
      <c r="AO39">
        <v>0.98681928854740852</v>
      </c>
      <c r="AP39">
        <v>0.97845275695180189</v>
      </c>
      <c r="AQ39">
        <v>0.96765183443461966</v>
      </c>
      <c r="AR39">
        <v>0.95430801938034904</v>
      </c>
      <c r="AS39">
        <v>0.9383463924990938</v>
      </c>
      <c r="AT39">
        <v>0.91976146132326142</v>
      </c>
      <c r="AU39">
        <v>0.89863440559096674</v>
      </c>
      <c r="AV39">
        <v>0.87507264038303756</v>
      </c>
      <c r="AW39">
        <v>0.84930549730892291</v>
      </c>
      <c r="AX39">
        <v>0.82158648831162062</v>
      </c>
      <c r="AY39">
        <v>0.7922588536688453</v>
      </c>
      <c r="AZ39">
        <v>0.76163417522096033</v>
      </c>
      <c r="BA39">
        <v>0.73007800164910119</v>
      </c>
      <c r="BB39">
        <v>0.69802907548785242</v>
      </c>
      <c r="BC39">
        <v>0.66579389494204533</v>
      </c>
      <c r="BD39">
        <v>0.63368866056316231</v>
      </c>
      <c r="BE39">
        <v>0.60206373946428371</v>
      </c>
      <c r="BF39">
        <v>0.57114310747250885</v>
      </c>
      <c r="BG39">
        <v>0.54118553507461986</v>
      </c>
      <c r="BH39">
        <v>0.51229366411669752</v>
      </c>
      <c r="BI39">
        <v>0.48464323354048217</v>
      </c>
      <c r="BJ39">
        <v>0.45832831143155317</v>
      </c>
      <c r="BK39">
        <v>0.43337683596156668</v>
      </c>
      <c r="BL39">
        <v>0.40980582367760809</v>
      </c>
      <c r="BM39">
        <v>0.38755703098071892</v>
      </c>
      <c r="BN39">
        <v>0.36658343663926524</v>
      </c>
      <c r="BO39">
        <v>0.3468097847940021</v>
      </c>
      <c r="BP39">
        <v>0.32811184397979581</v>
      </c>
      <c r="BQ39">
        <v>0.31043063371682245</v>
      </c>
      <c r="BR39">
        <v>0.29364467453651594</v>
      </c>
      <c r="BS39">
        <v>0.27763534974758958</v>
      </c>
      <c r="BT39">
        <v>0.26229224708720361</v>
      </c>
      <c r="BU39">
        <v>0.24751438948219254</v>
      </c>
      <c r="BV39">
        <v>0.23320588595330641</v>
      </c>
      <c r="BW39">
        <v>0.21921511027160923</v>
      </c>
      <c r="BX39">
        <v>0.20548514264133808</v>
      </c>
      <c r="BY39">
        <v>0.19195608796603419</v>
      </c>
      <c r="BZ39">
        <v>0.17854835977633429</v>
      </c>
      <c r="CA39">
        <v>0.1651803622841998</v>
      </c>
      <c r="CB39">
        <v>0.15187089177532304</v>
      </c>
      <c r="CC39">
        <v>0.13863640690590681</v>
      </c>
      <c r="CD39">
        <v>0.12547321178885185</v>
      </c>
      <c r="CE39">
        <v>0.11245220002556608</v>
      </c>
      <c r="CF39">
        <v>9.9658672313077692E-2</v>
      </c>
      <c r="CG39">
        <v>8.7153886301140113E-2</v>
      </c>
      <c r="CH39">
        <v>7.5080410283785662E-2</v>
      </c>
      <c r="CI39">
        <v>6.3450854353337235E-2</v>
      </c>
      <c r="CJ39">
        <v>5.2405162296444777E-2</v>
      </c>
      <c r="CK39">
        <v>4.1939153568931936E-2</v>
      </c>
      <c r="CL39">
        <v>3.2144669229682024E-2</v>
      </c>
      <c r="CM39">
        <v>2.3024215401274868E-2</v>
      </c>
      <c r="CN39">
        <v>1.455634632540433E-2</v>
      </c>
      <c r="CO39">
        <v>6.7430383514192919E-3</v>
      </c>
      <c r="CP39">
        <v>-4.2358698795477099E-4</v>
      </c>
      <c r="CQ39">
        <v>-7.0045273723632505E-3</v>
      </c>
      <c r="CR39">
        <v>-1.3028027766998324E-2</v>
      </c>
      <c r="CS39">
        <v>-1.8537048641857123E-2</v>
      </c>
      <c r="CT39">
        <v>-2.3562209776508782E-2</v>
      </c>
      <c r="CU39">
        <v>-2.8140054624067753E-2</v>
      </c>
      <c r="CV39">
        <v>-3.2330673040092739E-2</v>
      </c>
      <c r="CW39">
        <v>-3.6155547751142249E-2</v>
      </c>
      <c r="CX39">
        <v>-3.9650266538461022E-2</v>
      </c>
      <c r="CY39">
        <v>-4.2869256272715615E-2</v>
      </c>
      <c r="CZ39">
        <v>-4.5807332447504921E-2</v>
      </c>
      <c r="DA39">
        <v>-4.8514048835884338E-2</v>
      </c>
      <c r="DB39">
        <v>-5.1003557479735104E-2</v>
      </c>
      <c r="DC39">
        <v>-5.3307078286681644E-2</v>
      </c>
      <c r="DD39">
        <v>-5.5439299671066325E-2</v>
      </c>
      <c r="DE39">
        <v>-5.7403867690420649E-2</v>
      </c>
      <c r="DF39">
        <v>-5.9240983045424106E-2</v>
      </c>
      <c r="DG39">
        <v>-6.0951029839771291E-2</v>
      </c>
      <c r="DH39">
        <v>-6.2550244330112414E-2</v>
      </c>
      <c r="DI39">
        <v>-6.4034961692715983E-2</v>
      </c>
      <c r="DJ39">
        <v>-6.5432047856600797E-2</v>
      </c>
      <c r="DK39">
        <v>-6.6735796656943541E-2</v>
      </c>
      <c r="DL39">
        <v>-6.797269677015734E-2</v>
      </c>
      <c r="DM39">
        <v>-6.9130968735770765E-2</v>
      </c>
      <c r="DN39">
        <v>-7.0224002183760514E-2</v>
      </c>
      <c r="DO39">
        <v>-7.1246471257994687E-2</v>
      </c>
      <c r="DP39">
        <v>-7.219455656237185E-2</v>
      </c>
    </row>
    <row r="40" spans="1:120" x14ac:dyDescent="0.2">
      <c r="A40">
        <v>0.21409567830408174</v>
      </c>
      <c r="B40">
        <v>0.39741798525013677</v>
      </c>
      <c r="C40">
        <v>0.49173056218619832</v>
      </c>
      <c r="D40">
        <v>0.5328472587546409</v>
      </c>
      <c r="E40">
        <v>0.55447431013713022</v>
      </c>
      <c r="F40">
        <v>0.56961968945143648</v>
      </c>
      <c r="G40">
        <v>0.58302133026682879</v>
      </c>
      <c r="H40">
        <v>0.59653116924961358</v>
      </c>
      <c r="I40">
        <v>0.61101239612078273</v>
      </c>
      <c r="J40">
        <v>0.62683497131187604</v>
      </c>
      <c r="K40">
        <v>0.64424103911758124</v>
      </c>
      <c r="L40">
        <v>0.66335598756380987</v>
      </c>
      <c r="M40">
        <v>0.68422338292311635</v>
      </c>
      <c r="N40">
        <v>0.70672101402835219</v>
      </c>
      <c r="O40">
        <v>0.73066891262779743</v>
      </c>
      <c r="P40">
        <v>0.75559641895870733</v>
      </c>
      <c r="Q40">
        <v>0.78095920977118827</v>
      </c>
      <c r="R40">
        <v>0.80604776905609909</v>
      </c>
      <c r="S40">
        <v>0.83012305836594058</v>
      </c>
      <c r="T40">
        <v>0.85256555527293987</v>
      </c>
      <c r="U40">
        <v>0.87288880310712669</v>
      </c>
      <c r="V40">
        <v>0.89083780656690803</v>
      </c>
      <c r="W40">
        <v>0.90634386285210433</v>
      </c>
      <c r="X40">
        <v>0.91960463178545471</v>
      </c>
      <c r="Y40">
        <v>0.93090330362446883</v>
      </c>
      <c r="Z40">
        <v>0.94061655458873461</v>
      </c>
      <c r="AA40">
        <v>0.94909071477636586</v>
      </c>
      <c r="AB40">
        <v>0.95665275658054516</v>
      </c>
      <c r="AC40">
        <v>0.96350343794102589</v>
      </c>
      <c r="AD40">
        <v>0.96982513008869609</v>
      </c>
      <c r="AE40">
        <v>0.9757026235744195</v>
      </c>
      <c r="AF40">
        <v>0.98114167034307009</v>
      </c>
      <c r="AG40">
        <v>0.98612762992247549</v>
      </c>
      <c r="AH40">
        <v>0.99058051078322229</v>
      </c>
      <c r="AI40">
        <v>0.99437252537339993</v>
      </c>
      <c r="AJ40">
        <v>0.99734590555735803</v>
      </c>
      <c r="AK40">
        <v>0.99929448834388912</v>
      </c>
      <c r="AL40">
        <v>1</v>
      </c>
      <c r="AM40">
        <v>0.9992103033532338</v>
      </c>
      <c r="AN40">
        <v>0.99667689567928064</v>
      </c>
      <c r="AO40">
        <v>0.99214720182462024</v>
      </c>
      <c r="AP40">
        <v>0.98540169582102144</v>
      </c>
      <c r="AQ40">
        <v>0.97623381517931973</v>
      </c>
      <c r="AR40">
        <v>0.96451233158127014</v>
      </c>
      <c r="AS40">
        <v>0.95014201431534662</v>
      </c>
      <c r="AT40">
        <v>0.93309831941523846</v>
      </c>
      <c r="AU40">
        <v>0.91343997161169177</v>
      </c>
      <c r="AV40">
        <v>0.89125984762100496</v>
      </c>
      <c r="AW40">
        <v>0.86676829633824193</v>
      </c>
      <c r="AX40">
        <v>0.84020692683161557</v>
      </c>
      <c r="AY40">
        <v>0.81190704673344727</v>
      </c>
      <c r="AZ40">
        <v>0.78217645360685628</v>
      </c>
      <c r="BA40">
        <v>0.7513773508556274</v>
      </c>
      <c r="BB40">
        <v>0.71994665719900575</v>
      </c>
      <c r="BC40">
        <v>0.68819436400962353</v>
      </c>
      <c r="BD40">
        <v>0.65644457155841329</v>
      </c>
      <c r="BE40">
        <v>0.62505297600672705</v>
      </c>
      <c r="BF40">
        <v>0.59425347248019145</v>
      </c>
      <c r="BG40">
        <v>0.56431359499027156</v>
      </c>
      <c r="BH40">
        <v>0.5353466882184188</v>
      </c>
      <c r="BI40">
        <v>0.5075371489981968</v>
      </c>
      <c r="BJ40">
        <v>0.48098810484320453</v>
      </c>
      <c r="BK40">
        <v>0.45573542853591359</v>
      </c>
      <c r="BL40">
        <v>0.43180194122409093</v>
      </c>
      <c r="BM40">
        <v>0.4091338475500878</v>
      </c>
      <c r="BN40">
        <v>0.38768783267324097</v>
      </c>
      <c r="BO40">
        <v>0.36738885127051607</v>
      </c>
      <c r="BP40">
        <v>0.34811469947221901</v>
      </c>
      <c r="BQ40">
        <v>0.32980478972245814</v>
      </c>
      <c r="BR40">
        <v>0.31233376120868828</v>
      </c>
      <c r="BS40">
        <v>0.29558189243764332</v>
      </c>
      <c r="BT40">
        <v>0.2794349713907473</v>
      </c>
      <c r="BU40">
        <v>0.26378779323917972</v>
      </c>
      <c r="BV40">
        <v>0.24854037971176851</v>
      </c>
      <c r="BW40">
        <v>0.23353802845806196</v>
      </c>
      <c r="BX40">
        <v>0.21872014090852884</v>
      </c>
      <c r="BY40">
        <v>0.20402748726258901</v>
      </c>
      <c r="BZ40">
        <v>0.18937947789686227</v>
      </c>
      <c r="CA40">
        <v>0.17470053024371363</v>
      </c>
      <c r="CB40">
        <v>0.16001524169251952</v>
      </c>
      <c r="CC40">
        <v>0.14535060689886853</v>
      </c>
      <c r="CD40">
        <v>0.13071837958806712</v>
      </c>
      <c r="CE40">
        <v>0.11620387725220449</v>
      </c>
      <c r="CF40">
        <v>0.10191224281445382</v>
      </c>
      <c r="CG40">
        <v>8.7921986938054308E-2</v>
      </c>
      <c r="CH40">
        <v>7.439524909138033E-2</v>
      </c>
      <c r="CI40">
        <v>6.1358503152162916E-2</v>
      </c>
      <c r="CJ40">
        <v>4.8967547990353022E-2</v>
      </c>
      <c r="CK40">
        <v>3.7226121505582729E-2</v>
      </c>
      <c r="CL40">
        <v>2.6235724010551676E-2</v>
      </c>
      <c r="CM40">
        <v>1.6001547339667337E-2</v>
      </c>
      <c r="CN40">
        <v>6.5046120197760947E-3</v>
      </c>
      <c r="CO40">
        <v>-2.2545957974158693E-3</v>
      </c>
      <c r="CP40">
        <v>-1.028616853102333E-2</v>
      </c>
      <c r="CQ40">
        <v>-1.7654943158297402E-2</v>
      </c>
      <c r="CR40">
        <v>-2.43923952805386E-2</v>
      </c>
      <c r="CS40">
        <v>-3.054771589861326E-2</v>
      </c>
      <c r="CT40">
        <v>-3.6156215030060626E-2</v>
      </c>
      <c r="CU40">
        <v>-4.1258926520993416E-2</v>
      </c>
      <c r="CV40">
        <v>-4.5921057333500118E-2</v>
      </c>
      <c r="CW40">
        <v>-5.0168132149231943E-2</v>
      </c>
      <c r="CX40">
        <v>-5.4040764637816055E-2</v>
      </c>
      <c r="CY40">
        <v>-5.7596565779047558E-2</v>
      </c>
      <c r="CZ40">
        <v>-6.0833701167531999E-2</v>
      </c>
      <c r="DA40">
        <v>-6.3805085052076896E-2</v>
      </c>
      <c r="DB40">
        <v>-6.6527320721879724E-2</v>
      </c>
      <c r="DC40">
        <v>-6.9033903475661282E-2</v>
      </c>
      <c r="DD40">
        <v>-7.1341815664275499E-2</v>
      </c>
      <c r="DE40">
        <v>-7.3455298215202094E-2</v>
      </c>
      <c r="DF40">
        <v>-7.541703344747698E-2</v>
      </c>
      <c r="DG40">
        <v>-7.7227715535829883E-2</v>
      </c>
      <c r="DH40">
        <v>-7.890437871190642E-2</v>
      </c>
      <c r="DI40">
        <v>-8.0443358259684183E-2</v>
      </c>
      <c r="DJ40">
        <v>-8.1871319388395383E-2</v>
      </c>
      <c r="DK40">
        <v>-8.3181781562283952E-2</v>
      </c>
      <c r="DL40">
        <v>-8.4399629503749463E-2</v>
      </c>
      <c r="DM40">
        <v>-8.5510742354101554E-2</v>
      </c>
      <c r="DN40">
        <v>-8.6525072981496101E-2</v>
      </c>
      <c r="DO40">
        <v>-8.7431494855535835E-2</v>
      </c>
      <c r="DP40">
        <v>-8.8217450340245959E-2</v>
      </c>
    </row>
    <row r="41" spans="1:120" x14ac:dyDescent="0.2">
      <c r="A41">
        <v>0.21457457723624396</v>
      </c>
      <c r="B41">
        <v>0.40037729792364518</v>
      </c>
      <c r="C41">
        <v>0.49612955542955695</v>
      </c>
      <c r="D41">
        <v>0.53783569489935512</v>
      </c>
      <c r="E41">
        <v>0.5596091981492306</v>
      </c>
      <c r="F41">
        <v>0.57467188452004958</v>
      </c>
      <c r="G41">
        <v>0.58784742518326505</v>
      </c>
      <c r="H41">
        <v>0.60101801251310827</v>
      </c>
      <c r="I41">
        <v>0.6150577096367098</v>
      </c>
      <c r="J41">
        <v>0.63033714532417151</v>
      </c>
      <c r="K41">
        <v>0.6470950406160475</v>
      </c>
      <c r="L41">
        <v>0.66546055494967227</v>
      </c>
      <c r="M41">
        <v>0.68547262992201008</v>
      </c>
      <c r="N41">
        <v>0.70701621273617787</v>
      </c>
      <c r="O41">
        <v>0.72991992444853271</v>
      </c>
      <c r="P41">
        <v>0.75373288879757827</v>
      </c>
      <c r="Q41">
        <v>0.77793586020847771</v>
      </c>
      <c r="R41">
        <v>0.80185257659336029</v>
      </c>
      <c r="S41">
        <v>0.82477646518544956</v>
      </c>
      <c r="T41">
        <v>0.84612864516064368</v>
      </c>
      <c r="U41">
        <v>0.86545713973049543</v>
      </c>
      <c r="V41">
        <v>0.8825378222630289</v>
      </c>
      <c r="W41">
        <v>0.8973218847535166</v>
      </c>
      <c r="X41">
        <v>0.91002700260458347</v>
      </c>
      <c r="Y41">
        <v>0.92094087529797974</v>
      </c>
      <c r="Z41">
        <v>0.93044568883219358</v>
      </c>
      <c r="AA41">
        <v>0.93888470897479859</v>
      </c>
      <c r="AB41">
        <v>0.94658161187850287</v>
      </c>
      <c r="AC41">
        <v>0.95373068112098713</v>
      </c>
      <c r="AD41">
        <v>0.96050594426319202</v>
      </c>
      <c r="AE41">
        <v>0.96698836015895739</v>
      </c>
      <c r="AF41">
        <v>0.97317318221398974</v>
      </c>
      <c r="AG41">
        <v>0.97904462394398295</v>
      </c>
      <c r="AH41">
        <v>0.98451559135882394</v>
      </c>
      <c r="AI41">
        <v>0.98945279962039268</v>
      </c>
      <c r="AJ41">
        <v>0.99369348206915253</v>
      </c>
      <c r="AK41">
        <v>0.99702006668632859</v>
      </c>
      <c r="AL41">
        <v>0.99921030335323391</v>
      </c>
      <c r="AM41">
        <v>1</v>
      </c>
      <c r="AN41">
        <v>0.99912297595296362</v>
      </c>
      <c r="AO41">
        <v>0.99631588372940472</v>
      </c>
      <c r="AP41">
        <v>0.99133796621108794</v>
      </c>
      <c r="AQ41">
        <v>0.98396555984431111</v>
      </c>
      <c r="AR41">
        <v>0.97404265903774323</v>
      </c>
      <c r="AS41">
        <v>0.96145219574438434</v>
      </c>
      <c r="AT41">
        <v>0.94614796391002198</v>
      </c>
      <c r="AU41">
        <v>0.92816409504137076</v>
      </c>
      <c r="AV41">
        <v>0.90757604408870496</v>
      </c>
      <c r="AW41">
        <v>0.88457260633883084</v>
      </c>
      <c r="AX41">
        <v>0.85938081525165788</v>
      </c>
      <c r="AY41">
        <v>0.83231748371346737</v>
      </c>
      <c r="AZ41">
        <v>0.8036842778381923</v>
      </c>
      <c r="BA41">
        <v>0.77383807512082792</v>
      </c>
      <c r="BB41">
        <v>0.74321190194693187</v>
      </c>
      <c r="BC41">
        <v>0.71211830289776623</v>
      </c>
      <c r="BD41">
        <v>0.68088820849590892</v>
      </c>
      <c r="BE41">
        <v>0.64988200812884778</v>
      </c>
      <c r="BF41">
        <v>0.61934310971785123</v>
      </c>
      <c r="BG41">
        <v>0.58954778098273186</v>
      </c>
      <c r="BH41">
        <v>0.56062058278465798</v>
      </c>
      <c r="BI41">
        <v>0.53275449561046695</v>
      </c>
      <c r="BJ41">
        <v>0.50606237279422417</v>
      </c>
      <c r="BK41">
        <v>0.48058846563407748</v>
      </c>
      <c r="BL41">
        <v>0.45636194284821574</v>
      </c>
      <c r="BM41">
        <v>0.43333411474099309</v>
      </c>
      <c r="BN41">
        <v>0.41146576493216291</v>
      </c>
      <c r="BO41">
        <v>0.39068232495026428</v>
      </c>
      <c r="BP41">
        <v>0.37086402386236667</v>
      </c>
      <c r="BQ41">
        <v>0.35194855958085203</v>
      </c>
      <c r="BR41">
        <v>0.3338066666452365</v>
      </c>
      <c r="BS41">
        <v>0.3163173942007208</v>
      </c>
      <c r="BT41">
        <v>0.29936228069643284</v>
      </c>
      <c r="BU41">
        <v>0.28283146496246525</v>
      </c>
      <c r="BV41">
        <v>0.26662013175831134</v>
      </c>
      <c r="BW41">
        <v>0.25057000202902074</v>
      </c>
      <c r="BX41">
        <v>0.23461597064150858</v>
      </c>
      <c r="BY41">
        <v>0.21869882226213172</v>
      </c>
      <c r="BZ41">
        <v>0.20273636916109466</v>
      </c>
      <c r="CA41">
        <v>0.18665895805929925</v>
      </c>
      <c r="CB41">
        <v>0.17049680040503487</v>
      </c>
      <c r="CC41">
        <v>0.15428797369010425</v>
      </c>
      <c r="CD41">
        <v>0.13806068554006937</v>
      </c>
      <c r="CE41">
        <v>0.12191598709537456</v>
      </c>
      <c r="CF41">
        <v>0.10598074319723019</v>
      </c>
      <c r="CG41">
        <v>9.0352728759195478E-2</v>
      </c>
      <c r="CH41">
        <v>7.5216121405118561E-2</v>
      </c>
      <c r="CI41">
        <v>6.0613485114976162E-2</v>
      </c>
      <c r="CJ41">
        <v>4.6718713628819505E-2</v>
      </c>
      <c r="CK41">
        <v>3.3545451928199022E-2</v>
      </c>
      <c r="CL41">
        <v>2.1206611443731385E-2</v>
      </c>
      <c r="CM41">
        <v>9.7113913825355464E-3</v>
      </c>
      <c r="CN41">
        <v>-9.5557319748672351E-4</v>
      </c>
      <c r="CO41">
        <v>-1.0794587911944062E-2</v>
      </c>
      <c r="CP41">
        <v>-1.9817637225480439E-2</v>
      </c>
      <c r="CQ41">
        <v>-2.8093071732328577E-2</v>
      </c>
      <c r="CR41">
        <v>-3.5655508813909248E-2</v>
      </c>
      <c r="CS41">
        <v>-4.2560624773153533E-2</v>
      </c>
      <c r="CT41">
        <v>-4.8848617147110383E-2</v>
      </c>
      <c r="CU41">
        <v>-5.4565332162861545E-2</v>
      </c>
      <c r="CV41">
        <v>-5.9781379198348465E-2</v>
      </c>
      <c r="CW41">
        <v>-6.4526644497550134E-2</v>
      </c>
      <c r="CX41">
        <v>-6.8847273981930524E-2</v>
      </c>
      <c r="CY41">
        <v>-7.280439887066921E-2</v>
      </c>
      <c r="CZ41">
        <v>-7.6399788088127474E-2</v>
      </c>
      <c r="DA41">
        <v>-7.9690139791888631E-2</v>
      </c>
      <c r="DB41">
        <v>-8.2694782581190424E-2</v>
      </c>
      <c r="DC41">
        <v>-8.5449701872862896E-2</v>
      </c>
      <c r="DD41">
        <v>-8.7974563760277569E-2</v>
      </c>
      <c r="DE41">
        <v>-9.0274332522574482E-2</v>
      </c>
      <c r="DF41">
        <v>-9.2394379112733335E-2</v>
      </c>
      <c r="DG41">
        <v>-9.4335895419296656E-2</v>
      </c>
      <c r="DH41">
        <v>-9.6116791287366568E-2</v>
      </c>
      <c r="DI41">
        <v>-9.7733576950348733E-2</v>
      </c>
      <c r="DJ41">
        <v>-9.9212713541503628E-2</v>
      </c>
      <c r="DK41">
        <v>-0.10054694619796815</v>
      </c>
      <c r="DL41">
        <v>-0.10175953617516649</v>
      </c>
      <c r="DM41">
        <v>-0.10283382229545904</v>
      </c>
      <c r="DN41">
        <v>-0.10377619108272966</v>
      </c>
      <c r="DO41">
        <v>-0.10456930442485626</v>
      </c>
      <c r="DP41">
        <v>-0.10519123331484928</v>
      </c>
    </row>
    <row r="42" spans="1:120" x14ac:dyDescent="0.2">
      <c r="A42">
        <v>0.21511098250206659</v>
      </c>
      <c r="B42">
        <v>0.40370138908126035</v>
      </c>
      <c r="C42">
        <v>0.50108151797775813</v>
      </c>
      <c r="D42">
        <v>0.5434696149754108</v>
      </c>
      <c r="E42">
        <v>0.56543358722309145</v>
      </c>
      <c r="F42">
        <v>0.58043236567898937</v>
      </c>
      <c r="G42">
        <v>0.59338518220912895</v>
      </c>
      <c r="H42">
        <v>0.60620738910553984</v>
      </c>
      <c r="I42">
        <v>0.61978532054881796</v>
      </c>
      <c r="J42">
        <v>0.63448991908174301</v>
      </c>
      <c r="K42">
        <v>0.65055546196243907</v>
      </c>
      <c r="L42">
        <v>0.66811387862724836</v>
      </c>
      <c r="M42">
        <v>0.68719839272749861</v>
      </c>
      <c r="N42">
        <v>0.70770009585756777</v>
      </c>
      <c r="O42">
        <v>0.72945554621177078</v>
      </c>
      <c r="P42">
        <v>0.75203405884075281</v>
      </c>
      <c r="Q42">
        <v>0.77494234258815897</v>
      </c>
      <c r="R42">
        <v>0.79753926642618844</v>
      </c>
      <c r="S42">
        <v>0.81915381100260332</v>
      </c>
      <c r="T42">
        <v>0.83925109680939247</v>
      </c>
      <c r="U42">
        <v>0.85741806824777256</v>
      </c>
      <c r="V42">
        <v>0.87346503361130912</v>
      </c>
      <c r="W42">
        <v>0.88736696250465918</v>
      </c>
      <c r="X42">
        <v>0.89936458365537797</v>
      </c>
      <c r="Y42">
        <v>0.90975222075019013</v>
      </c>
      <c r="Z42">
        <v>0.91891922634849377</v>
      </c>
      <c r="AA42">
        <v>0.9272068143210932</v>
      </c>
      <c r="AB42">
        <v>0.9349357818087648</v>
      </c>
      <c r="AC42">
        <v>0.94229525828323668</v>
      </c>
      <c r="AD42">
        <v>0.94945051430480454</v>
      </c>
      <c r="AE42">
        <v>0.95647931177350021</v>
      </c>
      <c r="AF42">
        <v>0.9633668355122923</v>
      </c>
      <c r="AG42">
        <v>0.97009680891362238</v>
      </c>
      <c r="AH42">
        <v>0.97657508317927699</v>
      </c>
      <c r="AI42">
        <v>0.98266392636385047</v>
      </c>
      <c r="AJ42">
        <v>0.98819564240221713</v>
      </c>
      <c r="AK42">
        <v>0.9929417178336527</v>
      </c>
      <c r="AL42">
        <v>0.99667689567928064</v>
      </c>
      <c r="AM42">
        <v>0.99912297595296373</v>
      </c>
      <c r="AN42">
        <v>1</v>
      </c>
      <c r="AO42">
        <v>0.99902976458590143</v>
      </c>
      <c r="AP42">
        <v>0.99595116414513396</v>
      </c>
      <c r="AQ42">
        <v>0.99052263970996124</v>
      </c>
      <c r="AR42">
        <v>0.98256178084548684</v>
      </c>
      <c r="AS42">
        <v>0.97192818814403603</v>
      </c>
      <c r="AT42">
        <v>0.95855176958033439</v>
      </c>
      <c r="AU42">
        <v>0.94243997112753741</v>
      </c>
      <c r="AV42">
        <v>0.92364827708960318</v>
      </c>
      <c r="AW42">
        <v>0.90234135863721709</v>
      </c>
      <c r="AX42">
        <v>0.87872906809524942</v>
      </c>
      <c r="AY42">
        <v>0.85311101790939636</v>
      </c>
      <c r="AZ42">
        <v>0.8257803895557384</v>
      </c>
      <c r="BA42">
        <v>0.79708677850902243</v>
      </c>
      <c r="BB42">
        <v>0.76745696323363954</v>
      </c>
      <c r="BC42">
        <v>0.73720495473544234</v>
      </c>
      <c r="BD42">
        <v>0.70666729363377268</v>
      </c>
      <c r="BE42">
        <v>0.67620808840430524</v>
      </c>
      <c r="BF42">
        <v>0.64607991269352183</v>
      </c>
      <c r="BG42">
        <v>0.61656730065229459</v>
      </c>
      <c r="BH42">
        <v>0.58780624161129302</v>
      </c>
      <c r="BI42">
        <v>0.55999843366303614</v>
      </c>
      <c r="BJ42">
        <v>0.53326676908516124</v>
      </c>
      <c r="BK42">
        <v>0.5076641925265114</v>
      </c>
      <c r="BL42">
        <v>0.48322679339846103</v>
      </c>
      <c r="BM42">
        <v>0.45991154329708206</v>
      </c>
      <c r="BN42">
        <v>0.43768370906828541</v>
      </c>
      <c r="BO42">
        <v>0.41646946844769134</v>
      </c>
      <c r="BP42">
        <v>0.39615182244247171</v>
      </c>
      <c r="BQ42">
        <v>0.37666674875145645</v>
      </c>
      <c r="BR42">
        <v>0.35788117925123092</v>
      </c>
      <c r="BS42">
        <v>0.33967264424100507</v>
      </c>
      <c r="BT42">
        <v>0.32191823254586405</v>
      </c>
      <c r="BU42">
        <v>0.30450291424923309</v>
      </c>
      <c r="BV42">
        <v>0.2873164618929821</v>
      </c>
      <c r="BW42">
        <v>0.27019638072853586</v>
      </c>
      <c r="BX42">
        <v>0.2530724115056035</v>
      </c>
      <c r="BY42">
        <v>0.23588471691495905</v>
      </c>
      <c r="BZ42">
        <v>0.21854875949022931</v>
      </c>
      <c r="CA42">
        <v>0.20100077278546935</v>
      </c>
      <c r="CB42">
        <v>0.18327635301326545</v>
      </c>
      <c r="CC42">
        <v>0.16542503378824058</v>
      </c>
      <c r="CD42">
        <v>0.14749233672202347</v>
      </c>
      <c r="CE42">
        <v>0.12959629277321588</v>
      </c>
      <c r="CF42">
        <v>0.11188719791838764</v>
      </c>
      <c r="CG42">
        <v>9.4483895491207476E-2</v>
      </c>
      <c r="CH42">
        <v>7.759493033901646E-2</v>
      </c>
      <c r="CI42">
        <v>6.1281056349893281E-2</v>
      </c>
      <c r="CJ42">
        <v>4.5736406373637045E-2</v>
      </c>
      <c r="CK42">
        <v>3.0986598560812508E-2</v>
      </c>
      <c r="CL42">
        <v>1.7157538052087161E-2</v>
      </c>
      <c r="CM42">
        <v>4.2638522897623099E-3</v>
      </c>
      <c r="CN42">
        <v>-7.7051833578651125E-3</v>
      </c>
      <c r="CO42">
        <v>-1.8749786439012765E-2</v>
      </c>
      <c r="CP42">
        <v>-2.888345468169699E-2</v>
      </c>
      <c r="CQ42">
        <v>-3.8177724340248374E-2</v>
      </c>
      <c r="CR42">
        <v>-4.6670274614505181E-2</v>
      </c>
      <c r="CS42">
        <v>-5.442331693946522E-2</v>
      </c>
      <c r="CT42">
        <v>-6.1482156167452048E-2</v>
      </c>
      <c r="CU42">
        <v>-6.7897680199971555E-2</v>
      </c>
      <c r="CV42">
        <v>-7.3746128114104775E-2</v>
      </c>
      <c r="CW42">
        <v>-7.9062077355618501E-2</v>
      </c>
      <c r="CX42">
        <v>-8.3897609163384138E-2</v>
      </c>
      <c r="CY42">
        <v>-8.8317684477293559E-2</v>
      </c>
      <c r="CZ42">
        <v>-9.2327890694286957E-2</v>
      </c>
      <c r="DA42">
        <v>-9.5989098111295648E-2</v>
      </c>
      <c r="DB42">
        <v>-9.9323661436272859E-2</v>
      </c>
      <c r="DC42">
        <v>-0.10237017587432817</v>
      </c>
      <c r="DD42">
        <v>-0.10515141431433697</v>
      </c>
      <c r="DE42">
        <v>-0.10767312418465969</v>
      </c>
      <c r="DF42">
        <v>-0.10998359552939198</v>
      </c>
      <c r="DG42">
        <v>-0.11208466959973647</v>
      </c>
      <c r="DH42">
        <v>-0.11399525119683278</v>
      </c>
      <c r="DI42">
        <v>-0.11571211951472848</v>
      </c>
      <c r="DJ42">
        <v>-0.11726158769424998</v>
      </c>
      <c r="DK42">
        <v>-0.11863561261814952</v>
      </c>
      <c r="DL42">
        <v>-0.11985575657833657</v>
      </c>
      <c r="DM42">
        <v>-0.12090274806873411</v>
      </c>
      <c r="DN42">
        <v>-0.12177920333623704</v>
      </c>
      <c r="DO42">
        <v>-0.12246125117291241</v>
      </c>
      <c r="DP42">
        <v>-0.12291703041561096</v>
      </c>
    </row>
    <row r="43" spans="1:120" x14ac:dyDescent="0.2">
      <c r="A43">
        <v>0.21577137341899325</v>
      </c>
      <c r="B43">
        <v>0.40725687422682705</v>
      </c>
      <c r="C43">
        <v>0.50631652729775889</v>
      </c>
      <c r="D43">
        <v>0.54940388501418302</v>
      </c>
      <c r="E43">
        <v>0.5715602539805279</v>
      </c>
      <c r="F43">
        <v>0.58648889700913442</v>
      </c>
      <c r="G43">
        <v>0.59920705906256433</v>
      </c>
      <c r="H43">
        <v>0.61166253694454509</v>
      </c>
      <c r="I43">
        <v>0.62475370355780324</v>
      </c>
      <c r="J43">
        <v>0.63885050795930198</v>
      </c>
      <c r="K43">
        <v>0.65418077153736898</v>
      </c>
      <c r="L43">
        <v>0.67087848649180681</v>
      </c>
      <c r="M43">
        <v>0.6889698253778993</v>
      </c>
      <c r="N43">
        <v>0.70835102645938397</v>
      </c>
      <c r="O43">
        <v>0.72886580265236878</v>
      </c>
      <c r="P43">
        <v>0.75010412524337611</v>
      </c>
      <c r="Q43">
        <v>0.77159918348973455</v>
      </c>
      <c r="R43">
        <v>0.79274654344191686</v>
      </c>
      <c r="S43">
        <v>0.81291343800410476</v>
      </c>
      <c r="T43">
        <v>0.83161168973136901</v>
      </c>
      <c r="U43">
        <v>0.84847089467839587</v>
      </c>
      <c r="V43">
        <v>0.86333878968533329</v>
      </c>
      <c r="W43">
        <v>0.87621734539131979</v>
      </c>
      <c r="X43">
        <v>0.88737270469271146</v>
      </c>
      <c r="Y43">
        <v>0.8971076043774755</v>
      </c>
      <c r="Z43">
        <v>0.90581985141034327</v>
      </c>
      <c r="AA43">
        <v>0.91384951148423477</v>
      </c>
      <c r="AB43">
        <v>0.92151470029372118</v>
      </c>
      <c r="AC43">
        <v>0.92900090102611266</v>
      </c>
      <c r="AD43">
        <v>0.93646419450105078</v>
      </c>
      <c r="AE43">
        <v>0.94398013360478028</v>
      </c>
      <c r="AF43">
        <v>0.951524175577251</v>
      </c>
      <c r="AG43">
        <v>0.9590806123939577</v>
      </c>
      <c r="AH43">
        <v>0.96654850801753622</v>
      </c>
      <c r="AI43">
        <v>0.97378667132911312</v>
      </c>
      <c r="AJ43">
        <v>0.98062319278223176</v>
      </c>
      <c r="AK43">
        <v>0.98681928854740841</v>
      </c>
      <c r="AL43">
        <v>0.99214720182462002</v>
      </c>
      <c r="AM43">
        <v>0.99631588372940472</v>
      </c>
      <c r="AN43">
        <v>0.99902976458590154</v>
      </c>
      <c r="AO43">
        <v>1</v>
      </c>
      <c r="AP43">
        <v>0.99894078263922093</v>
      </c>
      <c r="AQ43">
        <v>0.99559438233213282</v>
      </c>
      <c r="AR43">
        <v>0.98975017515892572</v>
      </c>
      <c r="AS43">
        <v>0.98124359701204056</v>
      </c>
      <c r="AT43">
        <v>0.96997843427573238</v>
      </c>
      <c r="AU43">
        <v>0.95593367245945882</v>
      </c>
      <c r="AV43">
        <v>0.93914239898684015</v>
      </c>
      <c r="AW43">
        <v>0.91974273941201934</v>
      </c>
      <c r="AX43">
        <v>0.89792452955882485</v>
      </c>
      <c r="AY43">
        <v>0.87396747357040572</v>
      </c>
      <c r="AZ43">
        <v>0.84815388501914679</v>
      </c>
      <c r="BA43">
        <v>0.82082370726207787</v>
      </c>
      <c r="BB43">
        <v>0.79239497151145688</v>
      </c>
      <c r="BC43">
        <v>0.76318184382491505</v>
      </c>
      <c r="BD43">
        <v>0.73352487684974155</v>
      </c>
      <c r="BE43">
        <v>0.70379077556912506</v>
      </c>
      <c r="BF43">
        <v>0.67424046164789486</v>
      </c>
      <c r="BG43">
        <v>0.64516614354658175</v>
      </c>
      <c r="BH43">
        <v>0.61671547074235222</v>
      </c>
      <c r="BI43">
        <v>0.58909840881639908</v>
      </c>
      <c r="BJ43">
        <v>0.5624481701044276</v>
      </c>
      <c r="BK43">
        <v>0.53682659917584807</v>
      </c>
      <c r="BL43">
        <v>0.51227713853511747</v>
      </c>
      <c r="BM43">
        <v>0.48876292941806776</v>
      </c>
      <c r="BN43">
        <v>0.46625405481098098</v>
      </c>
      <c r="BO43">
        <v>0.444677763624867</v>
      </c>
      <c r="BP43">
        <v>0.42392023118382394</v>
      </c>
      <c r="BQ43">
        <v>0.40391568487675639</v>
      </c>
      <c r="BR43">
        <v>0.38452719493404558</v>
      </c>
      <c r="BS43">
        <v>0.36563080850284674</v>
      </c>
      <c r="BT43">
        <v>0.34709877888673746</v>
      </c>
      <c r="BU43">
        <v>0.32881043270373422</v>
      </c>
      <c r="BV43">
        <v>0.31064958891359595</v>
      </c>
      <c r="BW43">
        <v>0.29244897259634323</v>
      </c>
      <c r="BX43">
        <v>0.27413242762575996</v>
      </c>
      <c r="BY43">
        <v>0.25563868750218455</v>
      </c>
      <c r="BZ43">
        <v>0.23688031557959163</v>
      </c>
      <c r="CA43">
        <v>0.21779920580433965</v>
      </c>
      <c r="CB43">
        <v>0.19843601685774884</v>
      </c>
      <c r="CC43">
        <v>0.17885217931636133</v>
      </c>
      <c r="CD43">
        <v>0.15911121098416683</v>
      </c>
      <c r="CE43">
        <v>0.13934943498333929</v>
      </c>
      <c r="CF43">
        <v>0.11974207828381736</v>
      </c>
      <c r="CG43">
        <v>0.10043099695538965</v>
      </c>
      <c r="CH43">
        <v>8.165134481894934E-2</v>
      </c>
      <c r="CI43">
        <v>6.3484265263105327E-2</v>
      </c>
      <c r="CJ43">
        <v>4.6146288427014411E-2</v>
      </c>
      <c r="CK43">
        <v>2.9677068803917312E-2</v>
      </c>
      <c r="CL43">
        <v>1.421724599621187E-2</v>
      </c>
      <c r="CM43">
        <v>-2.1168856419582002E-4</v>
      </c>
      <c r="CN43">
        <v>-1.3614608904044923E-2</v>
      </c>
      <c r="CO43">
        <v>-2.5990801862114495E-2</v>
      </c>
      <c r="CP43">
        <v>-3.7354801429078016E-2</v>
      </c>
      <c r="CQ43">
        <v>-4.7780926201827605E-2</v>
      </c>
      <c r="CR43">
        <v>-5.7309676279518634E-2</v>
      </c>
      <c r="CS43">
        <v>-6.6009968914146316E-2</v>
      </c>
      <c r="CT43">
        <v>-7.393226919704976E-2</v>
      </c>
      <c r="CU43">
        <v>-8.1132800462980645E-2</v>
      </c>
      <c r="CV43">
        <v>-8.7693580094645146E-2</v>
      </c>
      <c r="CW43">
        <v>-9.3654123535518372E-2</v>
      </c>
      <c r="CX43">
        <v>-9.9072915054111615E-2</v>
      </c>
      <c r="CY43">
        <v>-0.10401902435896979</v>
      </c>
      <c r="CZ43">
        <v>-0.10850204839208194</v>
      </c>
      <c r="DA43">
        <v>-0.11258742180553445</v>
      </c>
      <c r="DB43">
        <v>-0.11630080024261097</v>
      </c>
      <c r="DC43">
        <v>-0.11968351913585563</v>
      </c>
      <c r="DD43">
        <v>-0.12276186343100398</v>
      </c>
      <c r="DE43">
        <v>-0.12554247512812891</v>
      </c>
      <c r="DF43">
        <v>-0.1280767028923023</v>
      </c>
      <c r="DG43">
        <v>-0.13036729655829998</v>
      </c>
      <c r="DH43">
        <v>-0.13243417070798599</v>
      </c>
      <c r="DI43">
        <v>-0.13427456342982616</v>
      </c>
      <c r="DJ43">
        <v>-0.13591464836892794</v>
      </c>
      <c r="DK43">
        <v>-0.13734559708988547</v>
      </c>
      <c r="DL43">
        <v>-0.1385872519631528</v>
      </c>
      <c r="DM43">
        <v>-0.13961756963953112</v>
      </c>
      <c r="DN43">
        <v>-0.14043531079475494</v>
      </c>
      <c r="DO43">
        <v>-0.14100972155872882</v>
      </c>
      <c r="DP43">
        <v>-0.14129848061699976</v>
      </c>
    </row>
    <row r="44" spans="1:120" x14ac:dyDescent="0.2">
      <c r="A44">
        <v>0.2163869864146484</v>
      </c>
      <c r="B44">
        <v>0.41078397457312438</v>
      </c>
      <c r="C44">
        <v>0.5115383937173843</v>
      </c>
      <c r="D44">
        <v>0.55533384399733654</v>
      </c>
      <c r="E44">
        <v>0.57768550849633105</v>
      </c>
      <c r="F44">
        <v>0.59254135090132942</v>
      </c>
      <c r="G44">
        <v>0.60501725010803964</v>
      </c>
      <c r="H44">
        <v>0.61709250445642394</v>
      </c>
      <c r="I44">
        <v>0.62967690273258747</v>
      </c>
      <c r="J44">
        <v>0.64313855089070804</v>
      </c>
      <c r="K44">
        <v>0.65769710708947426</v>
      </c>
      <c r="L44">
        <v>0.67348769085977567</v>
      </c>
      <c r="M44">
        <v>0.69052823167462896</v>
      </c>
      <c r="N44">
        <v>0.70871931663622034</v>
      </c>
      <c r="O44">
        <v>0.7279109735501933</v>
      </c>
      <c r="P44">
        <v>0.74771430168771769</v>
      </c>
      <c r="Q44">
        <v>0.76768936492607864</v>
      </c>
      <c r="R44">
        <v>0.78726985522862303</v>
      </c>
      <c r="S44">
        <v>0.80586373089907415</v>
      </c>
      <c r="T44">
        <v>0.82303184515100791</v>
      </c>
      <c r="U44">
        <v>0.83844985393850291</v>
      </c>
      <c r="V44">
        <v>0.85200548729590131</v>
      </c>
      <c r="W44">
        <v>0.86373050574333232</v>
      </c>
      <c r="X44">
        <v>0.87391857872150713</v>
      </c>
      <c r="Y44">
        <v>0.88288226841141026</v>
      </c>
      <c r="Z44">
        <v>0.89102884105556879</v>
      </c>
      <c r="AA44">
        <v>0.89869800601851457</v>
      </c>
      <c r="AB44">
        <v>0.90620532670114518</v>
      </c>
      <c r="AC44">
        <v>0.91373396869390144</v>
      </c>
      <c r="AD44">
        <v>0.92143039087413969</v>
      </c>
      <c r="AE44">
        <v>0.92936886200719915</v>
      </c>
      <c r="AF44">
        <v>0.93751574132334803</v>
      </c>
      <c r="AG44">
        <v>0.94585667160155773</v>
      </c>
      <c r="AH44">
        <v>0.95428422983461936</v>
      </c>
      <c r="AI44">
        <v>0.96265534288974131</v>
      </c>
      <c r="AJ44">
        <v>0.97079417917415112</v>
      </c>
      <c r="AK44">
        <v>0.97845275695180201</v>
      </c>
      <c r="AL44">
        <v>0.98540169582102144</v>
      </c>
      <c r="AM44">
        <v>0.99133796621108794</v>
      </c>
      <c r="AN44">
        <v>0.99595116414513385</v>
      </c>
      <c r="AO44">
        <v>0.99894078263922093</v>
      </c>
      <c r="AP44">
        <v>1</v>
      </c>
      <c r="AQ44">
        <v>0.99885123067655612</v>
      </c>
      <c r="AR44">
        <v>0.99525693309747199</v>
      </c>
      <c r="AS44">
        <v>0.98902713551535326</v>
      </c>
      <c r="AT44">
        <v>0.98003790041029137</v>
      </c>
      <c r="AU44">
        <v>0.96823838973290477</v>
      </c>
      <c r="AV44">
        <v>0.95363709623617565</v>
      </c>
      <c r="AW44">
        <v>0.93634315963582659</v>
      </c>
      <c r="AX44">
        <v>0.91652406982528534</v>
      </c>
      <c r="AY44">
        <v>0.89443694246782057</v>
      </c>
      <c r="AZ44">
        <v>0.87035071700582134</v>
      </c>
      <c r="BA44">
        <v>0.84459327792820382</v>
      </c>
      <c r="BB44">
        <v>0.81757141867515892</v>
      </c>
      <c r="BC44">
        <v>0.78959796763668733</v>
      </c>
      <c r="BD44">
        <v>0.76101567455071983</v>
      </c>
      <c r="BE44">
        <v>0.7321924326135717</v>
      </c>
      <c r="BF44">
        <v>0.70339662792605206</v>
      </c>
      <c r="BG44">
        <v>0.67492730068171358</v>
      </c>
      <c r="BH44">
        <v>0.64694356873945658</v>
      </c>
      <c r="BI44">
        <v>0.61966320200489422</v>
      </c>
      <c r="BJ44">
        <v>0.59322979898099437</v>
      </c>
      <c r="BK44">
        <v>0.56771424528460213</v>
      </c>
      <c r="BL44">
        <v>0.5431675700272045</v>
      </c>
      <c r="BM44">
        <v>0.51955957887034132</v>
      </c>
      <c r="BN44">
        <v>0.49686548419786236</v>
      </c>
      <c r="BO44">
        <v>0.47501393432522476</v>
      </c>
      <c r="BP44">
        <v>0.45389461659457037</v>
      </c>
      <c r="BQ44">
        <v>0.43344002005835292</v>
      </c>
      <c r="BR44">
        <v>0.41350959054354791</v>
      </c>
      <c r="BS44">
        <v>0.39397769426332985</v>
      </c>
      <c r="BT44">
        <v>0.37471151910896083</v>
      </c>
      <c r="BU44">
        <v>0.35558444127126004</v>
      </c>
      <c r="BV44">
        <v>0.33647365413292724</v>
      </c>
      <c r="BW44">
        <v>0.31720669644517613</v>
      </c>
      <c r="BX44">
        <v>0.29770071361370626</v>
      </c>
      <c r="BY44">
        <v>0.27789225475499119</v>
      </c>
      <c r="BZ44">
        <v>0.25769021337876163</v>
      </c>
      <c r="CA44">
        <v>0.23704185103091732</v>
      </c>
      <c r="CB44">
        <v>0.21599236214417453</v>
      </c>
      <c r="CC44">
        <v>0.19461511240768203</v>
      </c>
      <c r="CD44">
        <v>0.17299221862575989</v>
      </c>
      <c r="CE44">
        <v>0.15127899391499941</v>
      </c>
      <c r="CF44">
        <v>0.12967699589696774</v>
      </c>
      <c r="CG44">
        <v>0.10835262108801054</v>
      </c>
      <c r="CH44">
        <v>8.7569551758597694E-2</v>
      </c>
      <c r="CI44">
        <v>6.7431340864358549E-2</v>
      </c>
      <c r="CJ44">
        <v>4.8178919753922668E-2</v>
      </c>
      <c r="CK44">
        <v>2.9867944981252552E-2</v>
      </c>
      <c r="CL44">
        <v>1.2655468382224422E-2</v>
      </c>
      <c r="CM44">
        <v>-3.428711029654502E-3</v>
      </c>
      <c r="CN44">
        <v>-1.8382318476035251E-2</v>
      </c>
      <c r="CO44">
        <v>-3.2202752519804874E-2</v>
      </c>
      <c r="CP44">
        <v>-4.4905026524792002E-2</v>
      </c>
      <c r="CQ44">
        <v>-5.6565624121650469E-2</v>
      </c>
      <c r="CR44">
        <v>-6.7227659891032895E-2</v>
      </c>
      <c r="CS44">
        <v>-7.6966631898039151E-2</v>
      </c>
      <c r="CT44">
        <v>-8.5838240705078464E-2</v>
      </c>
      <c r="CU44">
        <v>-9.3904128744279308E-2</v>
      </c>
      <c r="CV44">
        <v>-0.1012521526714134</v>
      </c>
      <c r="CW44">
        <v>-0.1079269973481288</v>
      </c>
      <c r="CX44">
        <v>-0.11399388314447789</v>
      </c>
      <c r="CY44">
        <v>-0.11952614423753555</v>
      </c>
      <c r="CZ44">
        <v>-0.12453760867719799</v>
      </c>
      <c r="DA44">
        <v>-0.12909856288218016</v>
      </c>
      <c r="DB44">
        <v>-0.13323820024450023</v>
      </c>
      <c r="DC44">
        <v>-0.13700071247320522</v>
      </c>
      <c r="DD44">
        <v>-0.14041625959660017</v>
      </c>
      <c r="DE44">
        <v>-0.14349247013848684</v>
      </c>
      <c r="DF44">
        <v>-0.14628391641211874</v>
      </c>
      <c r="DG44">
        <v>-0.14879443190704514</v>
      </c>
      <c r="DH44">
        <v>-0.15104503542009201</v>
      </c>
      <c r="DI44">
        <v>-0.15303358048071808</v>
      </c>
      <c r="DJ44">
        <v>-0.15478613977438832</v>
      </c>
      <c r="DK44">
        <v>-0.15629316064434626</v>
      </c>
      <c r="DL44">
        <v>-0.15757275680220031</v>
      </c>
      <c r="DM44">
        <v>-0.15860008967696151</v>
      </c>
      <c r="DN44">
        <v>-0.15937002239458398</v>
      </c>
      <c r="DO44">
        <v>-0.15984477321987561</v>
      </c>
      <c r="DP44">
        <v>-0.15997128865468241</v>
      </c>
    </row>
    <row r="45" spans="1:120" x14ac:dyDescent="0.2">
      <c r="A45">
        <v>0.21685863039647624</v>
      </c>
      <c r="B45">
        <v>0.41410036680311341</v>
      </c>
      <c r="C45">
        <v>0.51652277725857365</v>
      </c>
      <c r="D45">
        <v>0.56101781411226503</v>
      </c>
      <c r="E45">
        <v>0.58355935572661333</v>
      </c>
      <c r="F45">
        <v>0.59833499446890681</v>
      </c>
      <c r="G45">
        <v>0.61055791435248608</v>
      </c>
      <c r="H45">
        <v>0.62223730887591777</v>
      </c>
      <c r="I45">
        <v>0.63429385011486905</v>
      </c>
      <c r="J45">
        <v>0.64709293172112714</v>
      </c>
      <c r="K45">
        <v>0.66084452812640582</v>
      </c>
      <c r="L45">
        <v>0.67568417505032152</v>
      </c>
      <c r="M45">
        <v>0.6916206836007267</v>
      </c>
      <c r="N45">
        <v>0.70855809879733944</v>
      </c>
      <c r="O45">
        <v>0.72635213420174538</v>
      </c>
      <c r="P45">
        <v>0.7446352949523507</v>
      </c>
      <c r="Q45">
        <v>0.76299492823228987</v>
      </c>
      <c r="R45">
        <v>0.78090380126201442</v>
      </c>
      <c r="S45">
        <v>0.7978126601997132</v>
      </c>
      <c r="T45">
        <v>0.81333329943353727</v>
      </c>
      <c r="U45">
        <v>0.82719038483861684</v>
      </c>
      <c r="V45">
        <v>0.83931345136429369</v>
      </c>
      <c r="W45">
        <v>0.84976648631789942</v>
      </c>
      <c r="X45">
        <v>0.85887225345393181</v>
      </c>
      <c r="Y45">
        <v>0.86695438367354327</v>
      </c>
      <c r="Z45">
        <v>0.87443026836769544</v>
      </c>
      <c r="AA45">
        <v>0.88163996882156925</v>
      </c>
      <c r="AB45">
        <v>0.88889655325939476</v>
      </c>
      <c r="AC45">
        <v>0.89638232115756811</v>
      </c>
      <c r="AD45">
        <v>0.9042337194336566</v>
      </c>
      <c r="AE45">
        <v>0.91252468913067597</v>
      </c>
      <c r="AF45">
        <v>0.92121338589296931</v>
      </c>
      <c r="AG45">
        <v>0.93028752669976977</v>
      </c>
      <c r="AH45">
        <v>0.93963399127528591</v>
      </c>
      <c r="AI45">
        <v>0.9491089284655746</v>
      </c>
      <c r="AJ45">
        <v>0.95853353897288585</v>
      </c>
      <c r="AK45">
        <v>0.96765183443461966</v>
      </c>
      <c r="AL45">
        <v>0.97623381517931973</v>
      </c>
      <c r="AM45">
        <v>0.983965559844311</v>
      </c>
      <c r="AN45">
        <v>0.99052263970996113</v>
      </c>
      <c r="AO45">
        <v>0.99559438233213282</v>
      </c>
      <c r="AP45">
        <v>0.99885123067655623</v>
      </c>
      <c r="AQ45">
        <v>1</v>
      </c>
      <c r="AR45">
        <v>0.99877204133142061</v>
      </c>
      <c r="AS45">
        <v>0.99495364683079446</v>
      </c>
      <c r="AT45">
        <v>0.98839113611149321</v>
      </c>
      <c r="AU45">
        <v>0.97900277868176555</v>
      </c>
      <c r="AV45">
        <v>0.9667704051941588</v>
      </c>
      <c r="AW45">
        <v>0.95177222947413154</v>
      </c>
      <c r="AX45">
        <v>0.9341507565942393</v>
      </c>
      <c r="AY45">
        <v>0.91413805502046597</v>
      </c>
      <c r="AZ45">
        <v>0.89198711171587708</v>
      </c>
      <c r="BA45">
        <v>0.86801128693484197</v>
      </c>
      <c r="BB45">
        <v>0.84260349919886479</v>
      </c>
      <c r="BC45">
        <v>0.81607350095645814</v>
      </c>
      <c r="BD45">
        <v>0.78876438201615673</v>
      </c>
      <c r="BE45">
        <v>0.76104352645219953</v>
      </c>
      <c r="BF45">
        <v>0.73318567872836038</v>
      </c>
      <c r="BG45">
        <v>0.70549568849616029</v>
      </c>
      <c r="BH45">
        <v>0.67814373582892529</v>
      </c>
      <c r="BI45">
        <v>0.65135491151147351</v>
      </c>
      <c r="BJ45">
        <v>0.625282871730926</v>
      </c>
      <c r="BK45">
        <v>0.6000076244217295</v>
      </c>
      <c r="BL45">
        <v>0.57558795250818717</v>
      </c>
      <c r="BM45">
        <v>0.55200078314996737</v>
      </c>
      <c r="BN45">
        <v>0.52922666778430938</v>
      </c>
      <c r="BO45">
        <v>0.50719597323585919</v>
      </c>
      <c r="BP45">
        <v>0.48580225023404605</v>
      </c>
      <c r="BQ45">
        <v>0.46497631605874967</v>
      </c>
      <c r="BR45">
        <v>0.44457415483238033</v>
      </c>
      <c r="BS45">
        <v>0.42446838890870081</v>
      </c>
      <c r="BT45">
        <v>0.40452099539941977</v>
      </c>
      <c r="BU45">
        <v>0.38459897840688245</v>
      </c>
      <c r="BV45">
        <v>0.36457251017383707</v>
      </c>
      <c r="BW45">
        <v>0.3442634931258432</v>
      </c>
      <c r="BX45">
        <v>0.3235816029488609</v>
      </c>
      <c r="BY45">
        <v>0.30246050447158951</v>
      </c>
      <c r="BZ45">
        <v>0.28080477241446655</v>
      </c>
      <c r="CA45">
        <v>0.25856667408117845</v>
      </c>
      <c r="CB45">
        <v>0.23579541036679119</v>
      </c>
      <c r="CC45">
        <v>0.21257638323751524</v>
      </c>
      <c r="CD45">
        <v>0.18901060853119181</v>
      </c>
      <c r="CE45">
        <v>0.16527334490174422</v>
      </c>
      <c r="CF45">
        <v>0.14159343554307527</v>
      </c>
      <c r="CG45">
        <v>0.1181633792778494</v>
      </c>
      <c r="CH45">
        <v>9.5277126650783653E-2</v>
      </c>
      <c r="CI45">
        <v>7.3062534653936612E-2</v>
      </c>
      <c r="CJ45">
        <v>5.1786737481581024E-2</v>
      </c>
      <c r="CK45">
        <v>3.1523418128515723E-2</v>
      </c>
      <c r="CL45">
        <v>1.2447545431029789E-2</v>
      </c>
      <c r="CM45">
        <v>-5.4013372686498237E-3</v>
      </c>
      <c r="CN45">
        <v>-2.2012611451312822E-2</v>
      </c>
      <c r="CO45">
        <v>-3.7380759201198717E-2</v>
      </c>
      <c r="CP45">
        <v>-5.1520749061873435E-2</v>
      </c>
      <c r="CQ45">
        <v>-6.4510612766517081E-2</v>
      </c>
      <c r="CR45">
        <v>-7.639580957273856E-2</v>
      </c>
      <c r="CS45">
        <v>-8.7258259672555002E-2</v>
      </c>
      <c r="CT45">
        <v>-9.7158925331116155E-2</v>
      </c>
      <c r="CU45">
        <v>-0.10616493203625925</v>
      </c>
      <c r="CV45">
        <v>-0.11437005871902055</v>
      </c>
      <c r="CW45">
        <v>-0.12182425102904824</v>
      </c>
      <c r="CX45">
        <v>-0.12859977327869335</v>
      </c>
      <c r="CY45">
        <v>-0.13477443379402951</v>
      </c>
      <c r="CZ45">
        <v>-0.14036640289867108</v>
      </c>
      <c r="DA45">
        <v>-0.14545110807519721</v>
      </c>
      <c r="DB45">
        <v>-0.15006149868116553</v>
      </c>
      <c r="DC45">
        <v>-0.15424467523159005</v>
      </c>
      <c r="DD45">
        <v>-0.15803505841956919</v>
      </c>
      <c r="DE45">
        <v>-0.16144134476075217</v>
      </c>
      <c r="DF45">
        <v>-0.16452140729068751</v>
      </c>
      <c r="DG45">
        <v>-0.16728039058136959</v>
      </c>
      <c r="DH45">
        <v>-0.16974046978128393</v>
      </c>
      <c r="DI45">
        <v>-0.17190026094083341</v>
      </c>
      <c r="DJ45">
        <v>-0.17378578235578757</v>
      </c>
      <c r="DK45">
        <v>-0.17538678804694133</v>
      </c>
      <c r="DL45">
        <v>-0.17671963483854589</v>
      </c>
      <c r="DM45">
        <v>-0.17775667665623723</v>
      </c>
      <c r="DN45">
        <v>-0.17848883424000109</v>
      </c>
      <c r="DO45">
        <v>-0.17887113701021962</v>
      </c>
      <c r="DP45">
        <v>-0.17883949952874109</v>
      </c>
    </row>
    <row r="46" spans="1:120" x14ac:dyDescent="0.2">
      <c r="A46">
        <v>0.21717190388458077</v>
      </c>
      <c r="B46">
        <v>0.41704719678796898</v>
      </c>
      <c r="C46">
        <v>0.52102012069159809</v>
      </c>
      <c r="D46">
        <v>0.56616024285226307</v>
      </c>
      <c r="E46">
        <v>0.58886259612678071</v>
      </c>
      <c r="F46">
        <v>0.60353789272948344</v>
      </c>
      <c r="G46">
        <v>0.61549060380238563</v>
      </c>
      <c r="H46">
        <v>0.62675613738836311</v>
      </c>
      <c r="I46">
        <v>0.63826440697810205</v>
      </c>
      <c r="J46">
        <v>0.65037698384069098</v>
      </c>
      <c r="K46">
        <v>0.66329221521709048</v>
      </c>
      <c r="L46">
        <v>0.67714543922618575</v>
      </c>
      <c r="M46">
        <v>0.69193555543201257</v>
      </c>
      <c r="N46">
        <v>0.70756926056634628</v>
      </c>
      <c r="O46">
        <v>0.72390720426676181</v>
      </c>
      <c r="P46">
        <v>0.74060365028777841</v>
      </c>
      <c r="Q46">
        <v>0.75727326124626371</v>
      </c>
      <c r="R46">
        <v>0.7734284536763304</v>
      </c>
      <c r="S46">
        <v>0.78856437942569924</v>
      </c>
      <c r="T46">
        <v>0.80234489022702804</v>
      </c>
      <c r="U46">
        <v>0.8145457607522314</v>
      </c>
      <c r="V46">
        <v>0.82513956415216261</v>
      </c>
      <c r="W46">
        <v>0.83422425072356465</v>
      </c>
      <c r="X46">
        <v>0.84215251681022318</v>
      </c>
      <c r="Y46">
        <v>0.84925994538883798</v>
      </c>
      <c r="Z46">
        <v>0.85597432019128383</v>
      </c>
      <c r="AA46">
        <v>0.86263658558515321</v>
      </c>
      <c r="AB46">
        <v>0.86955721438951172</v>
      </c>
      <c r="AC46">
        <v>0.87691894056472464</v>
      </c>
      <c r="AD46">
        <v>0.88484809676074117</v>
      </c>
      <c r="AE46">
        <v>0.89341902931561323</v>
      </c>
      <c r="AF46">
        <v>0.90258273695243219</v>
      </c>
      <c r="AG46">
        <v>0.91232990206094444</v>
      </c>
      <c r="AH46">
        <v>0.92254229339986571</v>
      </c>
      <c r="AI46">
        <v>0.93307709869068645</v>
      </c>
      <c r="AJ46">
        <v>0.94375316986732793</v>
      </c>
      <c r="AK46">
        <v>0.95430801938034904</v>
      </c>
      <c r="AL46">
        <v>0.96451233158127014</v>
      </c>
      <c r="AM46">
        <v>0.97404265903774323</v>
      </c>
      <c r="AN46">
        <v>0.98256178084548673</v>
      </c>
      <c r="AO46">
        <v>0.9897501751589256</v>
      </c>
      <c r="AP46">
        <v>0.9952569330974721</v>
      </c>
      <c r="AQ46">
        <v>0.99877204133142061</v>
      </c>
      <c r="AR46">
        <v>1</v>
      </c>
      <c r="AS46">
        <v>0.99869943657561555</v>
      </c>
      <c r="AT46">
        <v>0.99468789100322585</v>
      </c>
      <c r="AU46">
        <v>0.98785179396506306</v>
      </c>
      <c r="AV46">
        <v>0.97814461973955746</v>
      </c>
      <c r="AW46">
        <v>0.96561186263402254</v>
      </c>
      <c r="AX46">
        <v>0.9503689462739795</v>
      </c>
      <c r="AY46">
        <v>0.93262028718891599</v>
      </c>
      <c r="AZ46">
        <v>0.91260062531324759</v>
      </c>
      <c r="BA46">
        <v>0.89060630018622899</v>
      </c>
      <c r="BB46">
        <v>0.86701361047443426</v>
      </c>
      <c r="BC46">
        <v>0.84212759384155744</v>
      </c>
      <c r="BD46">
        <v>0.81628935930972957</v>
      </c>
      <c r="BE46">
        <v>0.78986397515644469</v>
      </c>
      <c r="BF46">
        <v>0.76313133648321607</v>
      </c>
      <c r="BG46">
        <v>0.73640070343001318</v>
      </c>
      <c r="BH46">
        <v>0.70985279799164636</v>
      </c>
      <c r="BI46">
        <v>0.68371913981449073</v>
      </c>
      <c r="BJ46">
        <v>0.65816306195364516</v>
      </c>
      <c r="BK46">
        <v>0.6332735447105724</v>
      </c>
      <c r="BL46">
        <v>0.60911726136728428</v>
      </c>
      <c r="BM46">
        <v>0.58567837849932591</v>
      </c>
      <c r="BN46">
        <v>0.56294314650454114</v>
      </c>
      <c r="BO46">
        <v>0.54084393747776693</v>
      </c>
      <c r="BP46">
        <v>0.51927845532137828</v>
      </c>
      <c r="BQ46">
        <v>0.49817592019214391</v>
      </c>
      <c r="BR46">
        <v>0.47738912913298653</v>
      </c>
      <c r="BS46">
        <v>0.45678892551871103</v>
      </c>
      <c r="BT46">
        <v>0.43623198392682117</v>
      </c>
      <c r="BU46">
        <v>0.41557860232288873</v>
      </c>
      <c r="BV46">
        <v>0.39469165270711171</v>
      </c>
      <c r="BW46">
        <v>0.37338689560437988</v>
      </c>
      <c r="BX46">
        <v>0.35156598364854641</v>
      </c>
      <c r="BY46">
        <v>0.32915881782171263</v>
      </c>
      <c r="BZ46">
        <v>0.30606508788128528</v>
      </c>
      <c r="CA46">
        <v>0.28224152021131682</v>
      </c>
      <c r="CB46">
        <v>0.2577407227940185</v>
      </c>
      <c r="CC46">
        <v>0.2326599677307464</v>
      </c>
      <c r="CD46">
        <v>0.20711925155718428</v>
      </c>
      <c r="CE46">
        <v>0.1813143374359347</v>
      </c>
      <c r="CF46">
        <v>0.15550207480419204</v>
      </c>
      <c r="CG46">
        <v>0.12990214199109701</v>
      </c>
      <c r="CH46">
        <v>0.10484026626995484</v>
      </c>
      <c r="CI46">
        <v>8.0470327222945864E-2</v>
      </c>
      <c r="CJ46">
        <v>5.7087125349313768E-2</v>
      </c>
      <c r="CK46">
        <v>3.4784214302490783E-2</v>
      </c>
      <c r="CL46">
        <v>1.3755881063379605E-2</v>
      </c>
      <c r="CM46">
        <v>-5.9470681888579039E-3</v>
      </c>
      <c r="CN46">
        <v>-2.4304575837843886E-2</v>
      </c>
      <c r="CO46">
        <v>-4.1307146812954103E-2</v>
      </c>
      <c r="CP46">
        <v>-5.6969029443341826E-2</v>
      </c>
      <c r="CQ46">
        <v>-7.1369149625910858E-2</v>
      </c>
      <c r="CR46">
        <v>-8.4554955839540494E-2</v>
      </c>
      <c r="CS46">
        <v>-9.6614491241414149E-2</v>
      </c>
      <c r="CT46">
        <v>-0.10761392049999094</v>
      </c>
      <c r="CU46">
        <v>-0.11762583692860161</v>
      </c>
      <c r="CV46">
        <v>-0.12674983973354556</v>
      </c>
      <c r="CW46">
        <v>-0.13504122759831771</v>
      </c>
      <c r="CX46">
        <v>-0.1425795165992417</v>
      </c>
      <c r="CY46">
        <v>-0.14944709382817328</v>
      </c>
      <c r="CZ46">
        <v>-0.15566652580343895</v>
      </c>
      <c r="DA46">
        <v>-0.16131862085755788</v>
      </c>
      <c r="DB46">
        <v>-0.16644026345750876</v>
      </c>
      <c r="DC46">
        <v>-0.1710814876922653</v>
      </c>
      <c r="DD46">
        <v>-0.17528125296758135</v>
      </c>
      <c r="DE46">
        <v>-0.17904943020006236</v>
      </c>
      <c r="DF46">
        <v>-0.18244724707813031</v>
      </c>
      <c r="DG46">
        <v>-0.18548136082082806</v>
      </c>
      <c r="DH46">
        <v>-0.18817511578563675</v>
      </c>
      <c r="DI46">
        <v>-0.19052807862978807</v>
      </c>
      <c r="DJ46">
        <v>-0.19256621915534725</v>
      </c>
      <c r="DK46">
        <v>-0.19427867060656026</v>
      </c>
      <c r="DL46">
        <v>-0.19568002518742691</v>
      </c>
      <c r="DM46">
        <v>-0.19673984038627207</v>
      </c>
      <c r="DN46">
        <v>-0.19744511908459894</v>
      </c>
      <c r="DO46">
        <v>-0.19774364835740757</v>
      </c>
      <c r="DP46">
        <v>-0.19756017966332001</v>
      </c>
    </row>
    <row r="47" spans="1:120" x14ac:dyDescent="0.2">
      <c r="A47">
        <v>0.21718689643912628</v>
      </c>
      <c r="B47">
        <v>0.41940736952423058</v>
      </c>
      <c r="C47">
        <v>0.52478055390394762</v>
      </c>
      <c r="D47">
        <v>0.57050152044366942</v>
      </c>
      <c r="E47">
        <v>0.59333365524735926</v>
      </c>
      <c r="F47">
        <v>0.60788888748427417</v>
      </c>
      <c r="G47">
        <v>0.61955577053524602</v>
      </c>
      <c r="H47">
        <v>0.63039161658613208</v>
      </c>
      <c r="I47">
        <v>0.64133438385610053</v>
      </c>
      <c r="J47">
        <v>0.65274078526371637</v>
      </c>
      <c r="K47">
        <v>0.66479612068613259</v>
      </c>
      <c r="L47">
        <v>0.67763522638415674</v>
      </c>
      <c r="M47">
        <v>0.69124622237553135</v>
      </c>
      <c r="N47">
        <v>0.7055379706956707</v>
      </c>
      <c r="O47">
        <v>0.72037552959940265</v>
      </c>
      <c r="P47">
        <v>0.73543483533138965</v>
      </c>
      <c r="Q47">
        <v>0.75035781096636112</v>
      </c>
      <c r="R47">
        <v>0.76469666345888909</v>
      </c>
      <c r="S47">
        <v>0.77799219918015339</v>
      </c>
      <c r="T47">
        <v>0.78996059628037962</v>
      </c>
      <c r="U47">
        <v>0.80043033166152289</v>
      </c>
      <c r="V47">
        <v>0.8094176038698736</v>
      </c>
      <c r="W47">
        <v>0.81705533496000216</v>
      </c>
      <c r="X47">
        <v>0.82372656732395322</v>
      </c>
      <c r="Y47">
        <v>0.82977937675987423</v>
      </c>
      <c r="Z47">
        <v>0.83565188290579995</v>
      </c>
      <c r="AA47">
        <v>0.84168636726739099</v>
      </c>
      <c r="AB47">
        <v>0.84819050966068277</v>
      </c>
      <c r="AC47">
        <v>0.85534896100305458</v>
      </c>
      <c r="AD47">
        <v>0.86327758487290884</v>
      </c>
      <c r="AE47">
        <v>0.87205219923023625</v>
      </c>
      <c r="AF47">
        <v>0.88161776177067719</v>
      </c>
      <c r="AG47">
        <v>0.89196874218744893</v>
      </c>
      <c r="AH47">
        <v>0.90298264508149639</v>
      </c>
      <c r="AI47">
        <v>0.91451932585401974</v>
      </c>
      <c r="AJ47">
        <v>0.92639630310733467</v>
      </c>
      <c r="AK47">
        <v>0.93834639249909391</v>
      </c>
      <c r="AL47">
        <v>0.95014201431534651</v>
      </c>
      <c r="AM47">
        <v>0.96145219574438423</v>
      </c>
      <c r="AN47">
        <v>0.97192818814403603</v>
      </c>
      <c r="AO47">
        <v>0.98124359701204045</v>
      </c>
      <c r="AP47">
        <v>0.98902713551535326</v>
      </c>
      <c r="AQ47">
        <v>0.99495364683079457</v>
      </c>
      <c r="AR47">
        <v>0.99869943657561566</v>
      </c>
      <c r="AS47">
        <v>1</v>
      </c>
      <c r="AT47">
        <v>0.9986394639848879</v>
      </c>
      <c r="AU47">
        <v>0.99447417236478497</v>
      </c>
      <c r="AV47">
        <v>0.98742744896713974</v>
      </c>
      <c r="AW47">
        <v>0.97751077742446202</v>
      </c>
      <c r="AX47">
        <v>0.96481026698944794</v>
      </c>
      <c r="AY47">
        <v>0.94950067275566408</v>
      </c>
      <c r="AZ47">
        <v>0.93179603681861645</v>
      </c>
      <c r="BA47">
        <v>0.91197331275977511</v>
      </c>
      <c r="BB47">
        <v>0.89038941858144638</v>
      </c>
      <c r="BC47">
        <v>0.86734284391934369</v>
      </c>
      <c r="BD47">
        <v>0.84317042894103544</v>
      </c>
      <c r="BE47">
        <v>0.81823303363029132</v>
      </c>
      <c r="BF47">
        <v>0.79281414771520797</v>
      </c>
      <c r="BG47">
        <v>0.76722588862026064</v>
      </c>
      <c r="BH47">
        <v>0.7416588570314363</v>
      </c>
      <c r="BI47">
        <v>0.71635003927996477</v>
      </c>
      <c r="BJ47">
        <v>0.69147174932857547</v>
      </c>
      <c r="BK47">
        <v>0.66712178237655251</v>
      </c>
      <c r="BL47">
        <v>0.64337451104742749</v>
      </c>
      <c r="BM47">
        <v>0.62022176404160112</v>
      </c>
      <c r="BN47">
        <v>0.59765544792573833</v>
      </c>
      <c r="BO47">
        <v>0.57561041213851805</v>
      </c>
      <c r="BP47">
        <v>0.5539886953041594</v>
      </c>
      <c r="BQ47">
        <v>0.53271811132526803</v>
      </c>
      <c r="BR47">
        <v>0.51164852912729775</v>
      </c>
      <c r="BS47">
        <v>0.49064908802917928</v>
      </c>
      <c r="BT47">
        <v>0.46957104194102622</v>
      </c>
      <c r="BU47">
        <v>0.44826782080869265</v>
      </c>
      <c r="BV47">
        <v>0.42659465364972909</v>
      </c>
      <c r="BW47">
        <v>0.40436088117766317</v>
      </c>
      <c r="BX47">
        <v>0.3814594413363907</v>
      </c>
      <c r="BY47">
        <v>0.35781566604553527</v>
      </c>
      <c r="BZ47">
        <v>0.3333237053224537</v>
      </c>
      <c r="CA47">
        <v>0.30794424624161892</v>
      </c>
      <c r="CB47">
        <v>0.28173239566935465</v>
      </c>
      <c r="CC47">
        <v>0.25479691694178258</v>
      </c>
      <c r="CD47">
        <v>0.22727671143531442</v>
      </c>
      <c r="CE47">
        <v>0.19938815818745353</v>
      </c>
      <c r="CF47">
        <v>0.17141653454090874</v>
      </c>
      <c r="CG47">
        <v>0.14360954995615355</v>
      </c>
      <c r="CH47">
        <v>0.11632577239960315</v>
      </c>
      <c r="CI47">
        <v>8.9746512677803605E-2</v>
      </c>
      <c r="CJ47">
        <v>6.4195611148785456E-2</v>
      </c>
      <c r="CK47">
        <v>3.9788159818251852E-2</v>
      </c>
      <c r="CL47">
        <v>1.673904739569778E-2</v>
      </c>
      <c r="CM47">
        <v>-4.8883116710429731E-3</v>
      </c>
      <c r="CN47">
        <v>-2.5063185246416052E-2</v>
      </c>
      <c r="CO47">
        <v>-4.3770973962508966E-2</v>
      </c>
      <c r="CP47">
        <v>-6.1024600366007632E-2</v>
      </c>
      <c r="CQ47">
        <v>-7.6903038658914666E-2</v>
      </c>
      <c r="CR47">
        <v>-9.1455303591232814E-2</v>
      </c>
      <c r="CS47">
        <v>-0.10477518664159761</v>
      </c>
      <c r="CT47">
        <v>-0.11693386873810589</v>
      </c>
      <c r="CU47">
        <v>-0.12800930957283335</v>
      </c>
      <c r="CV47">
        <v>-0.13810675158186253</v>
      </c>
      <c r="CW47">
        <v>-0.14728683987092642</v>
      </c>
      <c r="CX47">
        <v>-0.15563648752207832</v>
      </c>
      <c r="CY47">
        <v>-0.16324264735237062</v>
      </c>
      <c r="CZ47">
        <v>-0.17013238141190859</v>
      </c>
      <c r="DA47">
        <v>-0.17639197786066269</v>
      </c>
      <c r="DB47">
        <v>-0.18206240462092807</v>
      </c>
      <c r="DC47">
        <v>-0.18719661786395467</v>
      </c>
      <c r="DD47">
        <v>-0.19183840828692517</v>
      </c>
      <c r="DE47">
        <v>-0.19599888732974227</v>
      </c>
      <c r="DF47">
        <v>-0.19974263419721153</v>
      </c>
      <c r="DG47">
        <v>-0.20307804789236492</v>
      </c>
      <c r="DH47">
        <v>-0.20602967605335176</v>
      </c>
      <c r="DI47">
        <v>-0.2085982008550506</v>
      </c>
      <c r="DJ47">
        <v>-0.21080960250796055</v>
      </c>
      <c r="DK47">
        <v>-0.21265248699077494</v>
      </c>
      <c r="DL47">
        <v>-0.21413974159038326</v>
      </c>
      <c r="DM47">
        <v>-0.21523823429217109</v>
      </c>
      <c r="DN47">
        <v>-0.21593117916894786</v>
      </c>
      <c r="DO47">
        <v>-0.21615926011732828</v>
      </c>
      <c r="DP47">
        <v>-0.2158362086461578</v>
      </c>
    </row>
    <row r="48" spans="1:120" x14ac:dyDescent="0.2">
      <c r="A48">
        <v>0.21686225400610529</v>
      </c>
      <c r="B48">
        <v>0.42103473562724819</v>
      </c>
      <c r="C48">
        <v>0.52759766119165097</v>
      </c>
      <c r="D48">
        <v>0.57380829390513377</v>
      </c>
      <c r="E48">
        <v>0.59672795949122803</v>
      </c>
      <c r="F48">
        <v>0.6111400299218317</v>
      </c>
      <c r="G48">
        <v>0.62250574415583504</v>
      </c>
      <c r="H48">
        <v>0.63289930232010883</v>
      </c>
      <c r="I48">
        <v>0.64326449873194647</v>
      </c>
      <c r="J48">
        <v>0.6539522122160617</v>
      </c>
      <c r="K48">
        <v>0.66513312621935439</v>
      </c>
      <c r="L48">
        <v>0.67694088065893898</v>
      </c>
      <c r="M48">
        <v>0.68935252792167234</v>
      </c>
      <c r="N48">
        <v>0.7022781257887547</v>
      </c>
      <c r="O48">
        <v>0.71558676836507862</v>
      </c>
      <c r="P48">
        <v>0.72897583075519945</v>
      </c>
      <c r="Q48">
        <v>0.74211425268985065</v>
      </c>
      <c r="R48">
        <v>0.75459391139992482</v>
      </c>
      <c r="S48">
        <v>0.76600202199717016</v>
      </c>
      <c r="T48">
        <v>0.77610712154309469</v>
      </c>
      <c r="U48">
        <v>0.78479127640424495</v>
      </c>
      <c r="V48">
        <v>0.79211427136942303</v>
      </c>
      <c r="W48">
        <v>0.79824492837432914</v>
      </c>
      <c r="X48">
        <v>0.8035962790188329</v>
      </c>
      <c r="Y48">
        <v>0.80852926226293775</v>
      </c>
      <c r="Z48">
        <v>0.81349209035625869</v>
      </c>
      <c r="AA48">
        <v>0.81882849789765</v>
      </c>
      <c r="AB48">
        <v>0.82484326247176887</v>
      </c>
      <c r="AC48">
        <v>0.8317240769629991</v>
      </c>
      <c r="AD48">
        <v>0.83957628232646164</v>
      </c>
      <c r="AE48">
        <v>0.8484778687582889</v>
      </c>
      <c r="AF48">
        <v>0.85836909944810469</v>
      </c>
      <c r="AG48">
        <v>0.86924885361896431</v>
      </c>
      <c r="AH48">
        <v>0.88099134924842792</v>
      </c>
      <c r="AI48">
        <v>0.89346073776634727</v>
      </c>
      <c r="AJ48">
        <v>0.90647414320744746</v>
      </c>
      <c r="AK48">
        <v>0.91976146132326131</v>
      </c>
      <c r="AL48">
        <v>0.93309831941523846</v>
      </c>
      <c r="AM48">
        <v>0.94614796391002209</v>
      </c>
      <c r="AN48">
        <v>0.95855176958033439</v>
      </c>
      <c r="AO48">
        <v>0.96997843427573249</v>
      </c>
      <c r="AP48">
        <v>0.98003790041029137</v>
      </c>
      <c r="AQ48">
        <v>0.9883911361114931</v>
      </c>
      <c r="AR48">
        <v>0.99468789100322597</v>
      </c>
      <c r="AS48">
        <v>0.99863946398488779</v>
      </c>
      <c r="AT48">
        <v>1</v>
      </c>
      <c r="AU48">
        <v>0.99859230810313782</v>
      </c>
      <c r="AV48">
        <v>0.99431053017154802</v>
      </c>
      <c r="AW48">
        <v>0.98713065887113982</v>
      </c>
      <c r="AX48">
        <v>0.97710792040800687</v>
      </c>
      <c r="AY48">
        <v>0.96438548156742754</v>
      </c>
      <c r="AZ48">
        <v>0.94915453293811081</v>
      </c>
      <c r="BA48">
        <v>0.93167035146015664</v>
      </c>
      <c r="BB48">
        <v>0.91226820119822949</v>
      </c>
      <c r="BC48">
        <v>0.89123804019496644</v>
      </c>
      <c r="BD48">
        <v>0.8689101771248634</v>
      </c>
      <c r="BE48">
        <v>0.84563924615952757</v>
      </c>
      <c r="BF48">
        <v>0.8217107978474254</v>
      </c>
      <c r="BG48">
        <v>0.79743831921681108</v>
      </c>
      <c r="BH48">
        <v>0.7730212534604135</v>
      </c>
      <c r="BI48">
        <v>0.74870098862964063</v>
      </c>
      <c r="BJ48">
        <v>0.7246581469722031</v>
      </c>
      <c r="BK48">
        <v>0.70099890784298158</v>
      </c>
      <c r="BL48">
        <v>0.67780521997396903</v>
      </c>
      <c r="BM48">
        <v>0.65507661848182985</v>
      </c>
      <c r="BN48">
        <v>0.63281087949553871</v>
      </c>
      <c r="BO48">
        <v>0.61094556682432111</v>
      </c>
      <c r="BP48">
        <v>0.589387315761838</v>
      </c>
      <c r="BQ48">
        <v>0.56806269723564262</v>
      </c>
      <c r="BR48">
        <v>0.5468190308714731</v>
      </c>
      <c r="BS48">
        <v>0.52552378407311195</v>
      </c>
      <c r="BT48">
        <v>0.50402288071677026</v>
      </c>
      <c r="BU48">
        <v>0.48216278518408273</v>
      </c>
      <c r="BV48">
        <v>0.45979089944233187</v>
      </c>
      <c r="BW48">
        <v>0.4367099438035299</v>
      </c>
      <c r="BX48">
        <v>0.41280362100683277</v>
      </c>
      <c r="BY48">
        <v>0.38799200477583556</v>
      </c>
      <c r="BZ48">
        <v>0.36216313902249547</v>
      </c>
      <c r="CA48">
        <v>0.33528099158512636</v>
      </c>
      <c r="CB48">
        <v>0.30740243519459215</v>
      </c>
      <c r="CC48">
        <v>0.27864710479361343</v>
      </c>
      <c r="CD48">
        <v>0.24917240080715006</v>
      </c>
      <c r="CE48">
        <v>0.21921533509855179</v>
      </c>
      <c r="CF48">
        <v>0.18908946584493844</v>
      </c>
      <c r="CG48">
        <v>0.15907105846086367</v>
      </c>
      <c r="CH48">
        <v>0.12955207523339313</v>
      </c>
      <c r="CI48">
        <v>0.1007423582019711</v>
      </c>
      <c r="CJ48">
        <v>7.2995624549872157E-2</v>
      </c>
      <c r="CK48">
        <v>4.6449900981374394E-2</v>
      </c>
      <c r="CL48">
        <v>2.1341694778669207E-2</v>
      </c>
      <c r="CM48">
        <v>-2.2517934086368329E-3</v>
      </c>
      <c r="CN48">
        <v>-2.428811178312067E-2</v>
      </c>
      <c r="CO48">
        <v>-4.4746522677146149E-2</v>
      </c>
      <c r="CP48">
        <v>-6.3637993122183947E-2</v>
      </c>
      <c r="CQ48">
        <v>-8.1040703440441245E-2</v>
      </c>
      <c r="CR48">
        <v>-9.7004815041550993E-2</v>
      </c>
      <c r="CS48">
        <v>-0.11162935572661674</v>
      </c>
      <c r="CT48">
        <v>-0.12499032876810497</v>
      </c>
      <c r="CU48">
        <v>-0.13717080911652127</v>
      </c>
      <c r="CV48">
        <v>-0.14828146331801004</v>
      </c>
      <c r="CW48">
        <v>-0.15838819099355445</v>
      </c>
      <c r="CX48">
        <v>-0.16758530422541043</v>
      </c>
      <c r="CY48">
        <v>-0.17596428205922085</v>
      </c>
      <c r="CZ48">
        <v>-0.18355666636496187</v>
      </c>
      <c r="DA48">
        <v>-0.19045427450033237</v>
      </c>
      <c r="DB48">
        <v>-0.19670224447955348</v>
      </c>
      <c r="DC48">
        <v>-0.20235640269694849</v>
      </c>
      <c r="DD48">
        <v>-0.2074655551307944</v>
      </c>
      <c r="DE48">
        <v>-0.21204208613405459</v>
      </c>
      <c r="DF48">
        <v>-0.21615392570371156</v>
      </c>
      <c r="DG48">
        <v>-0.21981137080319835</v>
      </c>
      <c r="DH48">
        <v>-0.22304016181928446</v>
      </c>
      <c r="DI48">
        <v>-0.22584226243594516</v>
      </c>
      <c r="DJ48">
        <v>-0.2282436964193886</v>
      </c>
      <c r="DK48">
        <v>-0.23023261989073104</v>
      </c>
      <c r="DL48">
        <v>-0.23182027482050227</v>
      </c>
      <c r="DM48">
        <v>-0.2329709343100331</v>
      </c>
      <c r="DN48">
        <v>-0.23366419495019977</v>
      </c>
      <c r="DO48">
        <v>-0.23383378443632469</v>
      </c>
      <c r="DP48">
        <v>-0.23338263334972856</v>
      </c>
    </row>
    <row r="49" spans="1:120" x14ac:dyDescent="0.2">
      <c r="A49">
        <v>0.2161962674800518</v>
      </c>
      <c r="B49">
        <v>0.42182936848058206</v>
      </c>
      <c r="C49">
        <v>0.52930919662963827</v>
      </c>
      <c r="D49">
        <v>0.57588711452341601</v>
      </c>
      <c r="E49">
        <v>0.59883715411198679</v>
      </c>
      <c r="F49">
        <v>0.61307569145759355</v>
      </c>
      <c r="G49">
        <v>0.62412253054095301</v>
      </c>
      <c r="H49">
        <v>0.63406185025981332</v>
      </c>
      <c r="I49">
        <v>0.64384080747038697</v>
      </c>
      <c r="J49">
        <v>0.65380311647648426</v>
      </c>
      <c r="K49">
        <v>0.6641033454412737</v>
      </c>
      <c r="L49">
        <v>0.67487361113780864</v>
      </c>
      <c r="M49">
        <v>0.68607948072450242</v>
      </c>
      <c r="N49">
        <v>0.6976317208584577</v>
      </c>
      <c r="O49">
        <v>0.70940280250750543</v>
      </c>
      <c r="P49">
        <v>0.72111147137253118</v>
      </c>
      <c r="Q49">
        <v>0.73245293196903483</v>
      </c>
      <c r="R49">
        <v>0.74305794996555841</v>
      </c>
      <c r="S49">
        <v>0.7525603692045838</v>
      </c>
      <c r="T49">
        <v>0.76077988927805029</v>
      </c>
      <c r="U49">
        <v>0.76765240492296394</v>
      </c>
      <c r="V49">
        <v>0.77328057659053728</v>
      </c>
      <c r="W49">
        <v>0.77786873562380243</v>
      </c>
      <c r="X49">
        <v>0.78185947162479474</v>
      </c>
      <c r="Y49">
        <v>0.78562636748875603</v>
      </c>
      <c r="Z49">
        <v>0.78962712090526599</v>
      </c>
      <c r="AA49">
        <v>0.79420716506591371</v>
      </c>
      <c r="AB49">
        <v>0.79966802002404647</v>
      </c>
      <c r="AC49">
        <v>0.80620169481877491</v>
      </c>
      <c r="AD49">
        <v>0.81390298339005085</v>
      </c>
      <c r="AE49">
        <v>0.82285297384451228</v>
      </c>
      <c r="AF49">
        <v>0.83298859488044219</v>
      </c>
      <c r="AG49">
        <v>0.84431375363627303</v>
      </c>
      <c r="AH49">
        <v>0.85670060201495268</v>
      </c>
      <c r="AI49">
        <v>0.87001928769930503</v>
      </c>
      <c r="AJ49">
        <v>0.88408753009281305</v>
      </c>
      <c r="AK49">
        <v>0.89863440559096674</v>
      </c>
      <c r="AL49">
        <v>0.91343997161169166</v>
      </c>
      <c r="AM49">
        <v>0.92816409504137087</v>
      </c>
      <c r="AN49">
        <v>0.94243997112753741</v>
      </c>
      <c r="AO49">
        <v>0.95593367245945882</v>
      </c>
      <c r="AP49">
        <v>0.96823838973290477</v>
      </c>
      <c r="AQ49">
        <v>0.97900277868176555</v>
      </c>
      <c r="AR49">
        <v>0.98785179396506306</v>
      </c>
      <c r="AS49">
        <v>0.99447417236478497</v>
      </c>
      <c r="AT49">
        <v>0.99859230810313793</v>
      </c>
      <c r="AU49">
        <v>1</v>
      </c>
      <c r="AV49">
        <v>0.99855784141086967</v>
      </c>
      <c r="AW49">
        <v>0.99420766574926711</v>
      </c>
      <c r="AX49">
        <v>0.98697199516639189</v>
      </c>
      <c r="AY49">
        <v>0.97696096689249445</v>
      </c>
      <c r="AZ49">
        <v>0.96434083273223503</v>
      </c>
      <c r="BA49">
        <v>0.94934323072611515</v>
      </c>
      <c r="BB49">
        <v>0.93227926415440598</v>
      </c>
      <c r="BC49">
        <v>0.91342862106344758</v>
      </c>
      <c r="BD49">
        <v>0.8931126081163907</v>
      </c>
      <c r="BE49">
        <v>0.87167762988980713</v>
      </c>
      <c r="BF49">
        <v>0.84940968066552902</v>
      </c>
      <c r="BG49">
        <v>0.82662172946604906</v>
      </c>
      <c r="BH49">
        <v>0.80352104437765437</v>
      </c>
      <c r="BI49">
        <v>0.78035224834074401</v>
      </c>
      <c r="BJ49">
        <v>0.75730316736008096</v>
      </c>
      <c r="BK49">
        <v>0.73448808494810935</v>
      </c>
      <c r="BL49">
        <v>0.71199600940192831</v>
      </c>
      <c r="BM49">
        <v>0.68983441492934006</v>
      </c>
      <c r="BN49">
        <v>0.66800674190915255</v>
      </c>
      <c r="BO49">
        <v>0.64645376758407702</v>
      </c>
      <c r="BP49">
        <v>0.62508676464060264</v>
      </c>
      <c r="BQ49">
        <v>0.6038313564155332</v>
      </c>
      <c r="BR49">
        <v>0.5825326766805885</v>
      </c>
      <c r="BS49">
        <v>0.56105661546596097</v>
      </c>
      <c r="BT49">
        <v>0.53924390268463107</v>
      </c>
      <c r="BU49">
        <v>0.51693393782460173</v>
      </c>
      <c r="BV49">
        <v>0.49396631292926563</v>
      </c>
      <c r="BW49">
        <v>0.47013688394149183</v>
      </c>
      <c r="BX49">
        <v>0.44531972210639575</v>
      </c>
      <c r="BY49">
        <v>0.41942893773582429</v>
      </c>
      <c r="BZ49">
        <v>0.39234591586750744</v>
      </c>
      <c r="CA49">
        <v>0.36403721619025148</v>
      </c>
      <c r="CB49">
        <v>0.33456051346067672</v>
      </c>
      <c r="CC49">
        <v>0.30404567552746492</v>
      </c>
      <c r="CD49">
        <v>0.27266783539427752</v>
      </c>
      <c r="CE49">
        <v>0.2406843165744964</v>
      </c>
      <c r="CF49">
        <v>0.2084366295922791</v>
      </c>
      <c r="CG49">
        <v>0.17622961724781072</v>
      </c>
      <c r="CH49">
        <v>0.14448892581783129</v>
      </c>
      <c r="CI49">
        <v>0.11345374967107812</v>
      </c>
      <c r="CJ49">
        <v>8.3508156671918909E-2</v>
      </c>
      <c r="CK49">
        <v>5.481441416387315E-2</v>
      </c>
      <c r="CL49">
        <v>2.7631376394008839E-2</v>
      </c>
      <c r="CM49">
        <v>2.0512155318056103E-3</v>
      </c>
      <c r="CN49">
        <v>-2.1870982268369896E-2</v>
      </c>
      <c r="CO49">
        <v>-4.4107301603204446E-2</v>
      </c>
      <c r="CP49">
        <v>-6.4666013257903054E-2</v>
      </c>
      <c r="CQ49">
        <v>-8.362372822612385E-2</v>
      </c>
      <c r="CR49">
        <v>-0.10103116764271534</v>
      </c>
      <c r="CS49">
        <v>-0.11699207378541006</v>
      </c>
      <c r="CT49">
        <v>-0.13158692753608695</v>
      </c>
      <c r="CU49">
        <v>-0.14490364683662516</v>
      </c>
      <c r="CV49">
        <v>-0.15705799573404541</v>
      </c>
      <c r="CW49">
        <v>-0.16812095762361703</v>
      </c>
      <c r="CX49">
        <v>-0.17819415464537858</v>
      </c>
      <c r="CY49">
        <v>-0.18737350607200259</v>
      </c>
      <c r="CZ49">
        <v>-0.19569493635959861</v>
      </c>
      <c r="DA49">
        <v>-0.20325581164410186</v>
      </c>
      <c r="DB49">
        <v>-0.2101054520631204</v>
      </c>
      <c r="DC49">
        <v>-0.21630244858926209</v>
      </c>
      <c r="DD49">
        <v>-0.22190079503690452</v>
      </c>
      <c r="DE49">
        <v>-0.22691417614300444</v>
      </c>
      <c r="DF49">
        <v>-0.2314137929682781</v>
      </c>
      <c r="DG49">
        <v>-0.23541200099799717</v>
      </c>
      <c r="DH49">
        <v>-0.23893572405289121</v>
      </c>
      <c r="DI49">
        <v>-0.2419883710286907</v>
      </c>
      <c r="DJ49">
        <v>-0.2445960029157396</v>
      </c>
      <c r="DK49">
        <v>-0.24674648493071771</v>
      </c>
      <c r="DL49">
        <v>-0.24844943373834202</v>
      </c>
      <c r="DM49">
        <v>-0.249666736707676</v>
      </c>
      <c r="DN49">
        <v>-0.25037452328663545</v>
      </c>
      <c r="DO49">
        <v>-0.25049988326749356</v>
      </c>
      <c r="DP49">
        <v>-0.2499352910825369</v>
      </c>
    </row>
    <row r="50" spans="1:120" x14ac:dyDescent="0.2">
      <c r="A50">
        <v>0.21510533822144157</v>
      </c>
      <c r="B50">
        <v>0.4216709530592303</v>
      </c>
      <c r="C50">
        <v>0.52978021685775611</v>
      </c>
      <c r="D50">
        <v>0.57659905284518587</v>
      </c>
      <c r="E50">
        <v>0.59952138954698642</v>
      </c>
      <c r="F50">
        <v>0.61355654913086188</v>
      </c>
      <c r="G50">
        <v>0.62426816912738059</v>
      </c>
      <c r="H50">
        <v>0.63374379340686848</v>
      </c>
      <c r="I50">
        <v>0.6429312592583204</v>
      </c>
      <c r="J50">
        <v>0.65216615215802443</v>
      </c>
      <c r="K50">
        <v>0.66158557913667881</v>
      </c>
      <c r="L50">
        <v>0.67131970673310648</v>
      </c>
      <c r="M50">
        <v>0.68132246242833372</v>
      </c>
      <c r="N50">
        <v>0.69150472249900485</v>
      </c>
      <c r="O50">
        <v>0.70174194266732759</v>
      </c>
      <c r="P50">
        <v>0.71177378289386095</v>
      </c>
      <c r="Q50">
        <v>0.72132098608347806</v>
      </c>
      <c r="R50">
        <v>0.7300524173010885</v>
      </c>
      <c r="S50">
        <v>0.73764829981814317</v>
      </c>
      <c r="T50">
        <v>0.74397830433175827</v>
      </c>
      <c r="U50">
        <v>0.74903166926238729</v>
      </c>
      <c r="V50">
        <v>0.7529524989175993</v>
      </c>
      <c r="W50">
        <v>0.75598057377986061</v>
      </c>
      <c r="X50">
        <v>0.75858649190682859</v>
      </c>
      <c r="Y50">
        <v>0.76115640357385228</v>
      </c>
      <c r="Z50">
        <v>0.76415645798294618</v>
      </c>
      <c r="AA50">
        <v>0.76793377772084059</v>
      </c>
      <c r="AB50">
        <v>0.77278634110549982</v>
      </c>
      <c r="AC50">
        <v>0.77891141700359945</v>
      </c>
      <c r="AD50">
        <v>0.7863931664948528</v>
      </c>
      <c r="AE50">
        <v>0.79531652768938144</v>
      </c>
      <c r="AF50">
        <v>0.80561647506080203</v>
      </c>
      <c r="AG50">
        <v>0.81730248489937807</v>
      </c>
      <c r="AH50">
        <v>0.8302456448147999</v>
      </c>
      <c r="AI50">
        <v>0.84432361058397043</v>
      </c>
      <c r="AJ50">
        <v>0.85935589833405679</v>
      </c>
      <c r="AK50">
        <v>0.87507264038303756</v>
      </c>
      <c r="AL50">
        <v>0.89125984762100496</v>
      </c>
      <c r="AM50">
        <v>0.90757604408870485</v>
      </c>
      <c r="AN50">
        <v>0.92364827708960329</v>
      </c>
      <c r="AO50">
        <v>0.93914239898684015</v>
      </c>
      <c r="AP50">
        <v>0.95363709623617576</v>
      </c>
      <c r="AQ50">
        <v>0.9667704051941588</v>
      </c>
      <c r="AR50">
        <v>0.97814461973955746</v>
      </c>
      <c r="AS50">
        <v>0.98742744896713996</v>
      </c>
      <c r="AT50">
        <v>0.99431053017154802</v>
      </c>
      <c r="AU50">
        <v>0.99855784141086967</v>
      </c>
      <c r="AV50">
        <v>1</v>
      </c>
      <c r="AW50">
        <v>0.9985408844557877</v>
      </c>
      <c r="AX50">
        <v>0.99417113627327314</v>
      </c>
      <c r="AY50">
        <v>0.98696624457104831</v>
      </c>
      <c r="AZ50">
        <v>0.97706603125581004</v>
      </c>
      <c r="BA50">
        <v>0.96467651065340554</v>
      </c>
      <c r="BB50">
        <v>0.95008263411718596</v>
      </c>
      <c r="BC50">
        <v>0.93355206348769837</v>
      </c>
      <c r="BD50">
        <v>0.91539477588165452</v>
      </c>
      <c r="BE50">
        <v>0.89594701081672057</v>
      </c>
      <c r="BF50">
        <v>0.87549345736311823</v>
      </c>
      <c r="BG50">
        <v>0.85434492178239907</v>
      </c>
      <c r="BH50">
        <v>0.83271520721512626</v>
      </c>
      <c r="BI50">
        <v>0.81085095898883941</v>
      </c>
      <c r="BJ50">
        <v>0.78894615104037247</v>
      </c>
      <c r="BK50">
        <v>0.7671225795222032</v>
      </c>
      <c r="BL50">
        <v>0.74547603006643792</v>
      </c>
      <c r="BM50">
        <v>0.72402173273799808</v>
      </c>
      <c r="BN50">
        <v>0.70276885355435004</v>
      </c>
      <c r="BO50">
        <v>0.68166163382354894</v>
      </c>
      <c r="BP50">
        <v>0.66061615785259575</v>
      </c>
      <c r="BQ50">
        <v>0.63955727652920458</v>
      </c>
      <c r="BR50">
        <v>0.61832846456207224</v>
      </c>
      <c r="BS50">
        <v>0.59679411696339357</v>
      </c>
      <c r="BT50">
        <v>0.57478997693266087</v>
      </c>
      <c r="BU50">
        <v>0.55214851206197535</v>
      </c>
      <c r="BV50">
        <v>0.52870146971640508</v>
      </c>
      <c r="BW50">
        <v>0.5042377982477263</v>
      </c>
      <c r="BX50">
        <v>0.47862161538062536</v>
      </c>
      <c r="BY50">
        <v>0.45176036564956112</v>
      </c>
      <c r="BZ50">
        <v>0.42352837968822427</v>
      </c>
      <c r="CA50">
        <v>0.39389394461510185</v>
      </c>
      <c r="CB50">
        <v>0.36291458411232119</v>
      </c>
      <c r="CC50">
        <v>0.33072941066281825</v>
      </c>
      <c r="CD50">
        <v>0.2975303399801823</v>
      </c>
      <c r="CE50">
        <v>0.26359436579824302</v>
      </c>
      <c r="CF50">
        <v>0.22929003890984764</v>
      </c>
      <c r="CG50">
        <v>0.1949505826307244</v>
      </c>
      <c r="CH50">
        <v>0.16103499385465708</v>
      </c>
      <c r="CI50">
        <v>0.12781219418062442</v>
      </c>
      <c r="CJ50">
        <v>9.5696837075506913E-2</v>
      </c>
      <c r="CK50">
        <v>6.4876273277777285E-2</v>
      </c>
      <c r="CL50">
        <v>3.5632257201308928E-2</v>
      </c>
      <c r="CM50">
        <v>8.072869107905202E-3</v>
      </c>
      <c r="CN50">
        <v>-1.7733293384275366E-2</v>
      </c>
      <c r="CO50">
        <v>-4.1750168672060037E-2</v>
      </c>
      <c r="CP50">
        <v>-6.3982684043495067E-2</v>
      </c>
      <c r="CQ50">
        <v>-8.4504933212168579E-2</v>
      </c>
      <c r="CR50">
        <v>-0.10336775277576775</v>
      </c>
      <c r="CS50">
        <v>-0.12067881522470002</v>
      </c>
      <c r="CT50">
        <v>-0.13652275435193909</v>
      </c>
      <c r="CU50">
        <v>-0.15099191985008298</v>
      </c>
      <c r="CV50">
        <v>-0.16420676703863463</v>
      </c>
      <c r="CW50">
        <v>-0.17624309900775578</v>
      </c>
      <c r="CX50">
        <v>-0.1872097050954869</v>
      </c>
      <c r="CY50">
        <v>-0.19720671137100645</v>
      </c>
      <c r="CZ50">
        <v>-0.20627433615909199</v>
      </c>
      <c r="DA50">
        <v>-0.21451536448051148</v>
      </c>
      <c r="DB50">
        <v>-0.22198331536617269</v>
      </c>
      <c r="DC50">
        <v>-0.22873937250976642</v>
      </c>
      <c r="DD50">
        <v>-0.23484282115831631</v>
      </c>
      <c r="DE50">
        <v>-0.24030866048175223</v>
      </c>
      <c r="DF50">
        <v>-0.24521124622216089</v>
      </c>
      <c r="DG50">
        <v>-0.24956514117183975</v>
      </c>
      <c r="DH50">
        <v>-0.25339843761391828</v>
      </c>
      <c r="DI50">
        <v>-0.25671611704621239</v>
      </c>
      <c r="DJ50">
        <v>-0.25954434648463548</v>
      </c>
      <c r="DK50">
        <v>-0.26187084243919884</v>
      </c>
      <c r="DL50">
        <v>-0.2637037129632463</v>
      </c>
      <c r="DM50">
        <v>-0.2650026779228653</v>
      </c>
      <c r="DN50">
        <v>-0.26574076160230509</v>
      </c>
      <c r="DO50">
        <v>-0.26583883503953082</v>
      </c>
      <c r="DP50">
        <v>-0.26517956203516552</v>
      </c>
    </row>
    <row r="51" spans="1:120" x14ac:dyDescent="0.2">
      <c r="A51">
        <v>0.21358169823214371</v>
      </c>
      <c r="B51">
        <v>0.42052828764672451</v>
      </c>
      <c r="C51">
        <v>0.52896709822404842</v>
      </c>
      <c r="D51">
        <v>0.57589531081250056</v>
      </c>
      <c r="E51">
        <v>0.59873016621703967</v>
      </c>
      <c r="F51">
        <v>0.61253198450683188</v>
      </c>
      <c r="G51">
        <v>0.62289297132439936</v>
      </c>
      <c r="H51">
        <v>0.63189732265821541</v>
      </c>
      <c r="I51">
        <v>0.64049127708688747</v>
      </c>
      <c r="J51">
        <v>0.6490015313762284</v>
      </c>
      <c r="K51">
        <v>0.65754694961281501</v>
      </c>
      <c r="L51">
        <v>0.66625554013011046</v>
      </c>
      <c r="M51">
        <v>0.67506968665751388</v>
      </c>
      <c r="N51">
        <v>0.6838999531447012</v>
      </c>
      <c r="O51">
        <v>0.69262443342974678</v>
      </c>
      <c r="P51">
        <v>0.70100302151982397</v>
      </c>
      <c r="Q51">
        <v>0.70878108237045923</v>
      </c>
      <c r="R51">
        <v>0.7156640650971382</v>
      </c>
      <c r="S51">
        <v>0.72137765667584319</v>
      </c>
      <c r="T51">
        <v>0.72583933624281582</v>
      </c>
      <c r="U51">
        <v>0.72909069026495621</v>
      </c>
      <c r="V51">
        <v>0.73131532091868356</v>
      </c>
      <c r="W51">
        <v>0.73278735006449991</v>
      </c>
      <c r="X51">
        <v>0.7340036742141034</v>
      </c>
      <c r="Y51">
        <v>0.73536247736863547</v>
      </c>
      <c r="Z51">
        <v>0.73733729327934328</v>
      </c>
      <c r="AA51">
        <v>0.74027688205952835</v>
      </c>
      <c r="AB51">
        <v>0.74447521017758733</v>
      </c>
      <c r="AC51">
        <v>0.75013574933597948</v>
      </c>
      <c r="AD51">
        <v>0.7573322629472895</v>
      </c>
      <c r="AE51">
        <v>0.76615417282242038</v>
      </c>
      <c r="AF51">
        <v>0.77653577644233562</v>
      </c>
      <c r="AG51">
        <v>0.78849270891129819</v>
      </c>
      <c r="AH51">
        <v>0.80189608441968463</v>
      </c>
      <c r="AI51">
        <v>0.81663266652251187</v>
      </c>
      <c r="AJ51">
        <v>0.83252471118739091</v>
      </c>
      <c r="AK51">
        <v>0.84930549730892291</v>
      </c>
      <c r="AL51">
        <v>0.86676829633824193</v>
      </c>
      <c r="AM51">
        <v>0.88457260633883084</v>
      </c>
      <c r="AN51">
        <v>0.90234135863721709</v>
      </c>
      <c r="AO51">
        <v>0.91974273941201934</v>
      </c>
      <c r="AP51">
        <v>0.93634315963582648</v>
      </c>
      <c r="AQ51">
        <v>0.95177222947413154</v>
      </c>
      <c r="AR51">
        <v>0.96561186263402243</v>
      </c>
      <c r="AS51">
        <v>0.97751077742446202</v>
      </c>
      <c r="AT51">
        <v>0.98713065887113971</v>
      </c>
      <c r="AU51">
        <v>0.99420766574926733</v>
      </c>
      <c r="AV51">
        <v>0.99854088445578759</v>
      </c>
      <c r="AW51">
        <v>1</v>
      </c>
      <c r="AX51">
        <v>0.99853973525452933</v>
      </c>
      <c r="AY51">
        <v>0.99420197353152429</v>
      </c>
      <c r="AZ51">
        <v>0.98709829635260371</v>
      </c>
      <c r="BA51">
        <v>0.97740764078440323</v>
      </c>
      <c r="BB51">
        <v>0.96538702781408847</v>
      </c>
      <c r="BC51">
        <v>0.95129036919781185</v>
      </c>
      <c r="BD51">
        <v>0.93541422890515236</v>
      </c>
      <c r="BE51">
        <v>0.91808267420350143</v>
      </c>
      <c r="BF51">
        <v>0.89957748426082018</v>
      </c>
      <c r="BG51">
        <v>0.88020542219239806</v>
      </c>
      <c r="BH51">
        <v>0.86018565159124638</v>
      </c>
      <c r="BI51">
        <v>0.83976541599356358</v>
      </c>
      <c r="BJ51">
        <v>0.8191437159694146</v>
      </c>
      <c r="BK51">
        <v>0.79844926259088989</v>
      </c>
      <c r="BL51">
        <v>0.77778397880666561</v>
      </c>
      <c r="BM51">
        <v>0.75717085457922573</v>
      </c>
      <c r="BN51">
        <v>0.73662457670994896</v>
      </c>
      <c r="BO51">
        <v>0.71609312648974233</v>
      </c>
      <c r="BP51">
        <v>0.69549747714178267</v>
      </c>
      <c r="BQ51">
        <v>0.67476193521116079</v>
      </c>
      <c r="BR51">
        <v>0.65372881578593445</v>
      </c>
      <c r="BS51">
        <v>0.63226125181207893</v>
      </c>
      <c r="BT51">
        <v>0.61019016510191249</v>
      </c>
      <c r="BU51">
        <v>0.58734131005674672</v>
      </c>
      <c r="BV51">
        <v>0.56353866443651401</v>
      </c>
      <c r="BW51">
        <v>0.53856441488771634</v>
      </c>
      <c r="BX51">
        <v>0.51227245274850097</v>
      </c>
      <c r="BY51">
        <v>0.48456295413643924</v>
      </c>
      <c r="BZ51">
        <v>0.45530289000166291</v>
      </c>
      <c r="CA51">
        <v>0.42446141216236227</v>
      </c>
      <c r="CB51">
        <v>0.39209492127391959</v>
      </c>
      <c r="CC51">
        <v>0.35835070808739666</v>
      </c>
      <c r="CD51">
        <v>0.32343635415243271</v>
      </c>
      <c r="CE51">
        <v>0.28764750021153007</v>
      </c>
      <c r="CF51">
        <v>0.25137862535167987</v>
      </c>
      <c r="CG51">
        <v>0.21499068415882525</v>
      </c>
      <c r="CH51">
        <v>0.17897529653676916</v>
      </c>
      <c r="CI51">
        <v>0.14363116386563413</v>
      </c>
      <c r="CJ51">
        <v>0.10940327387352397</v>
      </c>
      <c r="CK51">
        <v>7.6504679317328572E-2</v>
      </c>
      <c r="CL51">
        <v>4.5240236092457961E-2</v>
      </c>
      <c r="CM51">
        <v>1.5734753329253084E-2</v>
      </c>
      <c r="CN51">
        <v>-1.1929048952563442E-2</v>
      </c>
      <c r="CO51">
        <v>-3.7706061327202431E-2</v>
      </c>
      <c r="CP51">
        <v>-6.1597209383233889E-2</v>
      </c>
      <c r="CQ51">
        <v>-8.3673224582492461E-2</v>
      </c>
      <c r="CR51">
        <v>-0.1039844983973916</v>
      </c>
      <c r="CS51">
        <v>-0.12264192020167129</v>
      </c>
      <c r="CT51">
        <v>-0.13973380406144592</v>
      </c>
      <c r="CU51">
        <v>-0.15535652362481883</v>
      </c>
      <c r="CV51">
        <v>-0.16963469633827377</v>
      </c>
      <c r="CW51">
        <v>-0.18264866820059455</v>
      </c>
      <c r="CX51">
        <v>-0.19451410244599585</v>
      </c>
      <c r="CY51">
        <v>-0.20533510231298777</v>
      </c>
      <c r="CZ51">
        <v>-0.21515596616430599</v>
      </c>
      <c r="DA51">
        <v>-0.22408475393277127</v>
      </c>
      <c r="DB51">
        <v>-0.23217907990342926</v>
      </c>
      <c r="DC51">
        <v>-0.23950255871752887</v>
      </c>
      <c r="DD51">
        <v>-0.24611978587713493</v>
      </c>
      <c r="DE51">
        <v>-0.25204704534861111</v>
      </c>
      <c r="DF51">
        <v>-0.2573616901496642</v>
      </c>
      <c r="DG51">
        <v>-0.26208060215516632</v>
      </c>
      <c r="DH51">
        <v>-0.26623298743143919</v>
      </c>
      <c r="DI51">
        <v>-0.26982552206485905</v>
      </c>
      <c r="DJ51">
        <v>-0.27288450190512059</v>
      </c>
      <c r="DK51">
        <v>-0.27539760012668246</v>
      </c>
      <c r="DL51">
        <v>-0.27737152127354486</v>
      </c>
      <c r="DM51">
        <v>-0.27876408119494617</v>
      </c>
      <c r="DN51">
        <v>-0.2795454491684301</v>
      </c>
      <c r="DO51">
        <v>-0.27963076775096923</v>
      </c>
      <c r="DP51">
        <v>-0.27889355255063569</v>
      </c>
    </row>
    <row r="52" spans="1:120" x14ac:dyDescent="0.2">
      <c r="A52">
        <v>0.21161515111470891</v>
      </c>
      <c r="B52">
        <v>0.41834988076367846</v>
      </c>
      <c r="C52">
        <v>0.52679469440874149</v>
      </c>
      <c r="D52">
        <v>0.57369212687541971</v>
      </c>
      <c r="E52">
        <v>0.59637901500661616</v>
      </c>
      <c r="F52">
        <v>0.60992098811992934</v>
      </c>
      <c r="G52">
        <v>0.61992149547796049</v>
      </c>
      <c r="H52">
        <v>0.62845447652201736</v>
      </c>
      <c r="I52">
        <v>0.63646185627123064</v>
      </c>
      <c r="J52">
        <v>0.64426050881890806</v>
      </c>
      <c r="K52">
        <v>0.65195025058345912</v>
      </c>
      <c r="L52">
        <v>0.65965667903094338</v>
      </c>
      <c r="M52">
        <v>0.66731084852915912</v>
      </c>
      <c r="N52">
        <v>0.6748225680726857</v>
      </c>
      <c r="O52">
        <v>0.68207227315624597</v>
      </c>
      <c r="P52">
        <v>0.68883934499912358</v>
      </c>
      <c r="Q52">
        <v>0.69489262887765202</v>
      </c>
      <c r="R52">
        <v>0.69997240431962138</v>
      </c>
      <c r="S52">
        <v>0.70384873932120307</v>
      </c>
      <c r="T52">
        <v>0.70648453461470972</v>
      </c>
      <c r="U52">
        <v>0.70797180037529417</v>
      </c>
      <c r="V52">
        <v>0.7085314698783487</v>
      </c>
      <c r="W52">
        <v>0.70847046954008386</v>
      </c>
      <c r="X52">
        <v>0.70831009686078406</v>
      </c>
      <c r="Y52">
        <v>0.70845976683938694</v>
      </c>
      <c r="Z52">
        <v>0.70939918792075107</v>
      </c>
      <c r="AA52">
        <v>0.71147842154479968</v>
      </c>
      <c r="AB52">
        <v>0.71498724718154139</v>
      </c>
      <c r="AC52">
        <v>0.72013605042740003</v>
      </c>
      <c r="AD52">
        <v>0.72698837698955288</v>
      </c>
      <c r="AE52">
        <v>0.73563854702992515</v>
      </c>
      <c r="AF52">
        <v>0.74602179363594134</v>
      </c>
      <c r="AG52">
        <v>0.75816010619560192</v>
      </c>
      <c r="AH52">
        <v>0.77192572243964208</v>
      </c>
      <c r="AI52">
        <v>0.78721594462133337</v>
      </c>
      <c r="AJ52">
        <v>0.80385668103807129</v>
      </c>
      <c r="AK52">
        <v>0.82158648831162073</v>
      </c>
      <c r="AL52">
        <v>0.84020692683161557</v>
      </c>
      <c r="AM52">
        <v>0.85938081525165788</v>
      </c>
      <c r="AN52">
        <v>0.87872906809524942</v>
      </c>
      <c r="AO52">
        <v>0.89792452955882496</v>
      </c>
      <c r="AP52">
        <v>0.91652406982528534</v>
      </c>
      <c r="AQ52">
        <v>0.93415075659423941</v>
      </c>
      <c r="AR52">
        <v>0.95036894627397939</v>
      </c>
      <c r="AS52">
        <v>0.96481026698944794</v>
      </c>
      <c r="AT52">
        <v>0.97710792040800676</v>
      </c>
      <c r="AU52">
        <v>0.98697199516639189</v>
      </c>
      <c r="AV52">
        <v>0.99417113627327314</v>
      </c>
      <c r="AW52">
        <v>0.99853973525452944</v>
      </c>
      <c r="AX52">
        <v>1</v>
      </c>
      <c r="AY52">
        <v>0.99855637478133685</v>
      </c>
      <c r="AZ52">
        <v>0.9942929635874006</v>
      </c>
      <c r="BA52">
        <v>0.98736010939030572</v>
      </c>
      <c r="BB52">
        <v>0.97798538361543608</v>
      </c>
      <c r="BC52">
        <v>0.96640768785641595</v>
      </c>
      <c r="BD52">
        <v>0.95290799178558638</v>
      </c>
      <c r="BE52">
        <v>0.93779653413672437</v>
      </c>
      <c r="BF52">
        <v>0.92135065961119689</v>
      </c>
      <c r="BG52">
        <v>0.90387128770184566</v>
      </c>
      <c r="BH52">
        <v>0.8855815238996928</v>
      </c>
      <c r="BI52">
        <v>0.86672811962717455</v>
      </c>
      <c r="BJ52">
        <v>0.84751381341324949</v>
      </c>
      <c r="BK52">
        <v>0.82807346596274256</v>
      </c>
      <c r="BL52">
        <v>0.80851470903709732</v>
      </c>
      <c r="BM52">
        <v>0.78886792845322251</v>
      </c>
      <c r="BN52">
        <v>0.76915325977665194</v>
      </c>
      <c r="BO52">
        <v>0.74932269043491639</v>
      </c>
      <c r="BP52">
        <v>0.72930205173483176</v>
      </c>
      <c r="BQ52">
        <v>0.70901540876802382</v>
      </c>
      <c r="BR52">
        <v>0.6883044475817186</v>
      </c>
      <c r="BS52">
        <v>0.66703112030682266</v>
      </c>
      <c r="BT52">
        <v>0.64502201333584586</v>
      </c>
      <c r="BU52">
        <v>0.62209634158221461</v>
      </c>
      <c r="BV52">
        <v>0.59807061042501375</v>
      </c>
      <c r="BW52">
        <v>0.57272027142648385</v>
      </c>
      <c r="BX52">
        <v>0.54588891308362864</v>
      </c>
      <c r="BY52">
        <v>0.51746897840708972</v>
      </c>
      <c r="BZ52">
        <v>0.48731970509683498</v>
      </c>
      <c r="CA52">
        <v>0.45541031205878701</v>
      </c>
      <c r="CB52">
        <v>0.42179489826158334</v>
      </c>
      <c r="CC52">
        <v>0.38662782010951996</v>
      </c>
      <c r="CD52">
        <v>0.35013074045166015</v>
      </c>
      <c r="CE52">
        <v>0.31261687264241567</v>
      </c>
      <c r="CF52">
        <v>0.27450489241062875</v>
      </c>
      <c r="CG52">
        <v>0.23618249405444358</v>
      </c>
      <c r="CH52">
        <v>0.19817275242848323</v>
      </c>
      <c r="CI52">
        <v>0.16080379595381109</v>
      </c>
      <c r="CJ52">
        <v>0.12455027685019668</v>
      </c>
      <c r="CK52">
        <v>8.965122408338802E-2</v>
      </c>
      <c r="CL52">
        <v>5.6434568361011045E-2</v>
      </c>
      <c r="CM52">
        <v>2.5042395536304225E-2</v>
      </c>
      <c r="CN52">
        <v>-4.4278701584923707E-3</v>
      </c>
      <c r="CO52">
        <v>-3.1921302137150581E-2</v>
      </c>
      <c r="CP52">
        <v>-5.7434219770934464E-2</v>
      </c>
      <c r="CQ52">
        <v>-8.1033137889741258E-2</v>
      </c>
      <c r="CR52">
        <v>-0.10276739885519603</v>
      </c>
      <c r="CS52">
        <v>-0.12275031016654085</v>
      </c>
      <c r="CT52">
        <v>-0.14107337469438369</v>
      </c>
      <c r="CU52">
        <v>-0.15783644237370181</v>
      </c>
      <c r="CV52">
        <v>-0.17316777800458164</v>
      </c>
      <c r="CW52">
        <v>-0.18715184459586118</v>
      </c>
      <c r="CX52">
        <v>-0.19991081770559463</v>
      </c>
      <c r="CY52">
        <v>-0.21155245440617235</v>
      </c>
      <c r="CZ52">
        <v>-0.22212493871675126</v>
      </c>
      <c r="DA52">
        <v>-0.23174129874622401</v>
      </c>
      <c r="DB52">
        <v>-0.240463162335675</v>
      </c>
      <c r="DC52">
        <v>-0.24835633841477897</v>
      </c>
      <c r="DD52">
        <v>-0.25549066365827394</v>
      </c>
      <c r="DE52">
        <v>-0.26188370707086722</v>
      </c>
      <c r="DF52">
        <v>-0.26761562055488702</v>
      </c>
      <c r="DG52">
        <v>-0.27270568938895667</v>
      </c>
      <c r="DH52">
        <v>-0.27718416005320951</v>
      </c>
      <c r="DI52">
        <v>-0.28105953800838307</v>
      </c>
      <c r="DJ52">
        <v>-0.28435824783639657</v>
      </c>
      <c r="DK52">
        <v>-0.28706809239501169</v>
      </c>
      <c r="DL52">
        <v>-0.28919449753173776</v>
      </c>
      <c r="DM52">
        <v>-0.29069365560811594</v>
      </c>
      <c r="DN52">
        <v>-0.29153328361036979</v>
      </c>
      <c r="DO52">
        <v>-0.29162336330704214</v>
      </c>
      <c r="DP52">
        <v>-0.29082911574025494</v>
      </c>
    </row>
    <row r="53" spans="1:120" x14ac:dyDescent="0.2">
      <c r="A53">
        <v>0.20917765047829198</v>
      </c>
      <c r="B53">
        <v>0.41513402157151746</v>
      </c>
      <c r="C53">
        <v>0.52328144591153991</v>
      </c>
      <c r="D53">
        <v>0.57002030097459633</v>
      </c>
      <c r="E53">
        <v>0.59250636983233962</v>
      </c>
      <c r="F53">
        <v>0.60576759791516166</v>
      </c>
      <c r="G53">
        <v>0.61540282972004356</v>
      </c>
      <c r="H53">
        <v>0.62346942880350731</v>
      </c>
      <c r="I53">
        <v>0.63090281305210882</v>
      </c>
      <c r="J53">
        <v>0.63800958833507893</v>
      </c>
      <c r="K53">
        <v>0.64487014395205922</v>
      </c>
      <c r="L53">
        <v>0.65160759426684056</v>
      </c>
      <c r="M53">
        <v>0.65814212998318999</v>
      </c>
      <c r="N53">
        <v>0.66438240002256044</v>
      </c>
      <c r="O53">
        <v>0.67021091018776346</v>
      </c>
      <c r="P53">
        <v>0.67542556740487247</v>
      </c>
      <c r="Q53">
        <v>0.67981737993896896</v>
      </c>
      <c r="R53">
        <v>0.68315932880127261</v>
      </c>
      <c r="S53">
        <v>0.68526415963815768</v>
      </c>
      <c r="T53">
        <v>0.68613712625508383</v>
      </c>
      <c r="U53">
        <v>0.68591861917405172</v>
      </c>
      <c r="V53">
        <v>0.68486395557832513</v>
      </c>
      <c r="W53">
        <v>0.68331122381388965</v>
      </c>
      <c r="X53">
        <v>0.68180368129777558</v>
      </c>
      <c r="Y53">
        <v>0.68076119277541092</v>
      </c>
      <c r="Z53">
        <v>0.68066823083286399</v>
      </c>
      <c r="AA53">
        <v>0.6818759647251561</v>
      </c>
      <c r="AB53">
        <v>0.68466963161791405</v>
      </c>
      <c r="AC53">
        <v>0.68926719161591843</v>
      </c>
      <c r="AD53">
        <v>0.69572210447816418</v>
      </c>
      <c r="AE53">
        <v>0.70413433156435135</v>
      </c>
      <c r="AF53">
        <v>0.71444112502345902</v>
      </c>
      <c r="AG53">
        <v>0.72667106376472401</v>
      </c>
      <c r="AH53">
        <v>0.74069871556907141</v>
      </c>
      <c r="AI53">
        <v>0.75643301266136198</v>
      </c>
      <c r="AJ53">
        <v>0.77370455256928117</v>
      </c>
      <c r="AK53">
        <v>0.7922588536688453</v>
      </c>
      <c r="AL53">
        <v>0.81190704673344727</v>
      </c>
      <c r="AM53">
        <v>0.83231748371346737</v>
      </c>
      <c r="AN53">
        <v>0.85311101790939636</v>
      </c>
      <c r="AO53">
        <v>0.87396747357040583</v>
      </c>
      <c r="AP53">
        <v>0.89443694246782057</v>
      </c>
      <c r="AQ53">
        <v>0.91413805502046597</v>
      </c>
      <c r="AR53">
        <v>0.93262028718891599</v>
      </c>
      <c r="AS53">
        <v>0.94950067275566397</v>
      </c>
      <c r="AT53">
        <v>0.96438548156742754</v>
      </c>
      <c r="AU53">
        <v>0.97696096689249456</v>
      </c>
      <c r="AV53">
        <v>0.98696624457104842</v>
      </c>
      <c r="AW53">
        <v>0.99420197353152429</v>
      </c>
      <c r="AX53">
        <v>0.99855637478133685</v>
      </c>
      <c r="AY53">
        <v>1</v>
      </c>
      <c r="AZ53">
        <v>0.99858550781890343</v>
      </c>
      <c r="BA53">
        <v>0.99443546150301454</v>
      </c>
      <c r="BB53">
        <v>0.98774667495779211</v>
      </c>
      <c r="BC53">
        <v>0.97874167192551365</v>
      </c>
      <c r="BD53">
        <v>0.9676842190860685</v>
      </c>
      <c r="BE53">
        <v>0.9548690364310527</v>
      </c>
      <c r="BF53">
        <v>0.94056754333646764</v>
      </c>
      <c r="BG53">
        <v>0.92507324058366514</v>
      </c>
      <c r="BH53">
        <v>0.90861185051550419</v>
      </c>
      <c r="BI53">
        <v>0.89142829568317827</v>
      </c>
      <c r="BJ53">
        <v>0.87372783326553405</v>
      </c>
      <c r="BK53">
        <v>0.85565078578329512</v>
      </c>
      <c r="BL53">
        <v>0.83730972464570674</v>
      </c>
      <c r="BM53">
        <v>0.81874233946484753</v>
      </c>
      <c r="BN53">
        <v>0.79997381133214185</v>
      </c>
      <c r="BO53">
        <v>0.78096037698716103</v>
      </c>
      <c r="BP53">
        <v>0.7616327196331546</v>
      </c>
      <c r="BQ53">
        <v>0.7419149537403843</v>
      </c>
      <c r="BR53">
        <v>0.72164862614503478</v>
      </c>
      <c r="BS53">
        <v>0.70069475720638663</v>
      </c>
      <c r="BT53">
        <v>0.67887592987100664</v>
      </c>
      <c r="BU53">
        <v>0.65600514083445394</v>
      </c>
      <c r="BV53">
        <v>0.63189180693902036</v>
      </c>
      <c r="BW53">
        <v>0.60630481531725233</v>
      </c>
      <c r="BX53">
        <v>0.57907747003763588</v>
      </c>
      <c r="BY53">
        <v>0.55009401655136581</v>
      </c>
      <c r="BZ53">
        <v>0.51920577085444142</v>
      </c>
      <c r="CA53">
        <v>0.48638109278162883</v>
      </c>
      <c r="CB53">
        <v>0.45167080904831242</v>
      </c>
      <c r="CC53">
        <v>0.4152348916986433</v>
      </c>
      <c r="CD53">
        <v>0.3773075955725026</v>
      </c>
      <c r="CE53">
        <v>0.33821807674903936</v>
      </c>
      <c r="CF53">
        <v>0.29840744140678538</v>
      </c>
      <c r="CG53">
        <v>0.25828867078837675</v>
      </c>
      <c r="CH53">
        <v>0.21841475024071919</v>
      </c>
      <c r="CI53">
        <v>0.17914253353121407</v>
      </c>
      <c r="CJ53">
        <v>0.14097530828431556</v>
      </c>
      <c r="CK53">
        <v>0.10417806171167214</v>
      </c>
      <c r="CL53">
        <v>6.910146706963903E-2</v>
      </c>
      <c r="CM53">
        <v>3.5905239567243723E-2</v>
      </c>
      <c r="CN53">
        <v>4.7018829705917043E-3</v>
      </c>
      <c r="CO53">
        <v>-2.4443187417274137E-2</v>
      </c>
      <c r="CP53">
        <v>-5.1521100760401235E-2</v>
      </c>
      <c r="CQ53">
        <v>-7.6593323823320014E-2</v>
      </c>
      <c r="CR53">
        <v>-9.9707607579646348E-2</v>
      </c>
      <c r="CS53">
        <v>-0.12097888272168468</v>
      </c>
      <c r="CT53">
        <v>-0.1405012258042477</v>
      </c>
      <c r="CU53">
        <v>-0.15837741810194075</v>
      </c>
      <c r="CV53">
        <v>-0.17473875724822857</v>
      </c>
      <c r="CW53">
        <v>-0.18967340356317186</v>
      </c>
      <c r="CX53">
        <v>-0.20330959214341127</v>
      </c>
      <c r="CY53">
        <v>-0.21575836425550138</v>
      </c>
      <c r="CZ53">
        <v>-0.2270714852942895</v>
      </c>
      <c r="DA53">
        <v>-0.23736669861717022</v>
      </c>
      <c r="DB53">
        <v>-0.24670940493044211</v>
      </c>
      <c r="DC53">
        <v>-0.25516741202900162</v>
      </c>
      <c r="DD53">
        <v>-0.26281565949199337</v>
      </c>
      <c r="DE53">
        <v>-0.269672972110301</v>
      </c>
      <c r="DF53">
        <v>-0.27582206754421035</v>
      </c>
      <c r="DG53">
        <v>-0.28128468706552734</v>
      </c>
      <c r="DH53">
        <v>-0.28609207784372076</v>
      </c>
      <c r="DI53">
        <v>-0.29025462958636877</v>
      </c>
      <c r="DJ53">
        <v>-0.29379896521676946</v>
      </c>
      <c r="DK53">
        <v>-0.29671316367849843</v>
      </c>
      <c r="DL53">
        <v>-0.29900152734054908</v>
      </c>
      <c r="DM53">
        <v>-0.30061899093748257</v>
      </c>
      <c r="DN53">
        <v>-0.30153122153088019</v>
      </c>
      <c r="DO53">
        <v>-0.30164376063412712</v>
      </c>
      <c r="DP53">
        <v>-0.30081456810162316</v>
      </c>
    </row>
    <row r="54" spans="1:120" x14ac:dyDescent="0.2">
      <c r="A54">
        <v>0.20635257451456399</v>
      </c>
      <c r="B54">
        <v>0.41094377579513919</v>
      </c>
      <c r="C54">
        <v>0.51846838678772211</v>
      </c>
      <c r="D54">
        <v>0.56490539041856958</v>
      </c>
      <c r="E54">
        <v>0.58712898255140578</v>
      </c>
      <c r="F54">
        <v>0.60008376521891005</v>
      </c>
      <c r="G54">
        <v>0.60934693900932535</v>
      </c>
      <c r="H54">
        <v>0.61695246942100479</v>
      </c>
      <c r="I54">
        <v>0.6238264718105182</v>
      </c>
      <c r="J54">
        <v>0.63026476769121476</v>
      </c>
      <c r="K54">
        <v>0.63632793995993508</v>
      </c>
      <c r="L54">
        <v>0.64213659513182975</v>
      </c>
      <c r="M54">
        <v>0.64760034583708703</v>
      </c>
      <c r="N54">
        <v>0.65262646405087277</v>
      </c>
      <c r="O54">
        <v>0.65709928078791879</v>
      </c>
      <c r="P54">
        <v>0.66083414391425233</v>
      </c>
      <c r="Q54">
        <v>0.66364267279666223</v>
      </c>
      <c r="R54">
        <v>0.66532845719997502</v>
      </c>
      <c r="S54">
        <v>0.66574474677890738</v>
      </c>
      <c r="T54">
        <v>0.66493589186509616</v>
      </c>
      <c r="U54">
        <v>0.66308788342461111</v>
      </c>
      <c r="V54">
        <v>0.66048742539448047</v>
      </c>
      <c r="W54">
        <v>0.65750160847431816</v>
      </c>
      <c r="X54">
        <v>0.65469308696033479</v>
      </c>
      <c r="Y54">
        <v>0.65249105824412246</v>
      </c>
      <c r="Z54">
        <v>0.65138336121647256</v>
      </c>
      <c r="AA54">
        <v>0.6517219376803205</v>
      </c>
      <c r="AB54">
        <v>0.65378717767220917</v>
      </c>
      <c r="AC54">
        <v>0.65780500235631467</v>
      </c>
      <c r="AD54">
        <v>0.66381923802721499</v>
      </c>
      <c r="AE54">
        <v>0.67193570214645104</v>
      </c>
      <c r="AF54">
        <v>0.68209495965542477</v>
      </c>
      <c r="AG54">
        <v>0.69433238764865968</v>
      </c>
      <c r="AH54">
        <v>0.70852577950976003</v>
      </c>
      <c r="AI54">
        <v>0.72459676585666333</v>
      </c>
      <c r="AJ54">
        <v>0.74238146193697863</v>
      </c>
      <c r="AK54">
        <v>0.76163417522096033</v>
      </c>
      <c r="AL54">
        <v>0.78217645360685628</v>
      </c>
      <c r="AM54">
        <v>0.80368427783819218</v>
      </c>
      <c r="AN54">
        <v>0.8257803895557384</v>
      </c>
      <c r="AO54">
        <v>0.84815388501914679</v>
      </c>
      <c r="AP54">
        <v>0.87035071700582134</v>
      </c>
      <c r="AQ54">
        <v>0.89198711171587708</v>
      </c>
      <c r="AR54">
        <v>0.91260062531324759</v>
      </c>
      <c r="AS54">
        <v>0.93179603681861634</v>
      </c>
      <c r="AT54">
        <v>0.94915453293811081</v>
      </c>
      <c r="AU54">
        <v>0.96434083273223503</v>
      </c>
      <c r="AV54">
        <v>0.97706603125581004</v>
      </c>
      <c r="AW54">
        <v>0.98709829635260382</v>
      </c>
      <c r="AX54">
        <v>0.99429296358740049</v>
      </c>
      <c r="AY54">
        <v>0.99858550781890343</v>
      </c>
      <c r="AZ54">
        <v>1</v>
      </c>
      <c r="BA54">
        <v>0.99862776163017997</v>
      </c>
      <c r="BB54">
        <v>0.99463553867541621</v>
      </c>
      <c r="BC54">
        <v>0.98822835816828758</v>
      </c>
      <c r="BD54">
        <v>0.97965102649611779</v>
      </c>
      <c r="BE54">
        <v>0.96918164897086634</v>
      </c>
      <c r="BF54">
        <v>0.9570841639970612</v>
      </c>
      <c r="BG54">
        <v>0.94364328060076463</v>
      </c>
      <c r="BH54">
        <v>0.92908594898820107</v>
      </c>
      <c r="BI54">
        <v>0.9136540757207372</v>
      </c>
      <c r="BJ54">
        <v>0.89755420474384029</v>
      </c>
      <c r="BK54">
        <v>0.88093143142334818</v>
      </c>
      <c r="BL54">
        <v>0.86390259594678198</v>
      </c>
      <c r="BM54">
        <v>0.84651227048008371</v>
      </c>
      <c r="BN54">
        <v>0.82879044723952711</v>
      </c>
      <c r="BO54">
        <v>0.81069783372296467</v>
      </c>
      <c r="BP54">
        <v>0.79216978335697141</v>
      </c>
      <c r="BQ54">
        <v>0.77313076334841446</v>
      </c>
      <c r="BR54">
        <v>0.75342274487358496</v>
      </c>
      <c r="BS54">
        <v>0.73290601603977457</v>
      </c>
      <c r="BT54">
        <v>0.71139955703635993</v>
      </c>
      <c r="BU54">
        <v>0.68871061555585711</v>
      </c>
      <c r="BV54">
        <v>0.66464176839705291</v>
      </c>
      <c r="BW54">
        <v>0.63895576800833509</v>
      </c>
      <c r="BX54">
        <v>0.61147565445962615</v>
      </c>
      <c r="BY54">
        <v>0.58207723509403786</v>
      </c>
      <c r="BZ54">
        <v>0.55060374585875071</v>
      </c>
      <c r="CA54">
        <v>0.51702181773293299</v>
      </c>
      <c r="CB54">
        <v>0.48137804854585914</v>
      </c>
      <c r="CC54">
        <v>0.44383673701756549</v>
      </c>
      <c r="CD54">
        <v>0.40464290538138448</v>
      </c>
      <c r="CE54">
        <v>0.3641401193370386</v>
      </c>
      <c r="CF54">
        <v>0.32278977663799002</v>
      </c>
      <c r="CG54">
        <v>0.28102859547420866</v>
      </c>
      <c r="CH54">
        <v>0.23943758130566004</v>
      </c>
      <c r="CI54">
        <v>0.19840127187382564</v>
      </c>
      <c r="CJ54">
        <v>0.15845033829214156</v>
      </c>
      <c r="CK54">
        <v>0.11987536689626783</v>
      </c>
      <c r="CL54">
        <v>8.3049196001424574E-2</v>
      </c>
      <c r="CM54">
        <v>4.8149383568632999E-2</v>
      </c>
      <c r="CN54">
        <v>1.5303650956969537E-2</v>
      </c>
      <c r="CO54">
        <v>-1.5411588049510531E-2</v>
      </c>
      <c r="CP54">
        <v>-4.3981713391274053E-2</v>
      </c>
      <c r="CQ54">
        <v>-7.0462486891796544E-2</v>
      </c>
      <c r="CR54">
        <v>-9.4899499879016525E-2</v>
      </c>
      <c r="CS54">
        <v>-0.11740844819410663</v>
      </c>
      <c r="CT54">
        <v>-0.13808546241665412</v>
      </c>
      <c r="CU54">
        <v>-0.15703564547418541</v>
      </c>
      <c r="CV54">
        <v>-0.17439273600035687</v>
      </c>
      <c r="CW54">
        <v>-0.19024810368705325</v>
      </c>
      <c r="CX54">
        <v>-0.20473554550589154</v>
      </c>
      <c r="CY54">
        <v>-0.21796898101631809</v>
      </c>
      <c r="CZ54">
        <v>-0.23000347721944026</v>
      </c>
      <c r="DA54">
        <v>-0.24096109465106377</v>
      </c>
      <c r="DB54">
        <v>-0.25091081085511591</v>
      </c>
      <c r="DC54">
        <v>-0.25992216091100129</v>
      </c>
      <c r="DD54">
        <v>-0.26807502527762184</v>
      </c>
      <c r="DE54">
        <v>-0.27538942190256038</v>
      </c>
      <c r="DF54">
        <v>-0.2819503869323457</v>
      </c>
      <c r="DG54">
        <v>-0.28778211723903696</v>
      </c>
      <c r="DH54">
        <v>-0.29291681216203524</v>
      </c>
      <c r="DI54">
        <v>-0.29736677056054223</v>
      </c>
      <c r="DJ54">
        <v>-0.30115883453533299</v>
      </c>
      <c r="DK54">
        <v>-0.30428150868525783</v>
      </c>
      <c r="DL54">
        <v>-0.30673811069665508</v>
      </c>
      <c r="DM54">
        <v>-0.30848260619964846</v>
      </c>
      <c r="DN54">
        <v>-0.30947904350966027</v>
      </c>
      <c r="DO54">
        <v>-0.30962917350618246</v>
      </c>
      <c r="DP54">
        <v>-0.30878468187434877</v>
      </c>
    </row>
    <row r="55" spans="1:120" x14ac:dyDescent="0.2">
      <c r="A55">
        <v>0.20312810639763493</v>
      </c>
      <c r="B55">
        <v>0.40584906541959193</v>
      </c>
      <c r="C55">
        <v>0.51247904261981048</v>
      </c>
      <c r="D55">
        <v>0.55850057370371819</v>
      </c>
      <c r="E55">
        <v>0.58041691406676854</v>
      </c>
      <c r="F55">
        <v>0.59305074871357344</v>
      </c>
      <c r="G55">
        <v>0.6019430826586798</v>
      </c>
      <c r="H55">
        <v>0.60909911177064968</v>
      </c>
      <c r="I55">
        <v>0.61543395782107202</v>
      </c>
      <c r="J55">
        <v>0.62123232733065925</v>
      </c>
      <c r="K55">
        <v>0.62653510580998395</v>
      </c>
      <c r="L55">
        <v>0.63146048078299788</v>
      </c>
      <c r="M55">
        <v>0.63590805880121848</v>
      </c>
      <c r="N55">
        <v>0.63978365496116996</v>
      </c>
      <c r="O55">
        <v>0.64297312509390847</v>
      </c>
      <c r="P55">
        <v>0.64530824878007931</v>
      </c>
      <c r="Q55">
        <v>0.64661977436874507</v>
      </c>
      <c r="R55">
        <v>0.64673940158620569</v>
      </c>
      <c r="S55">
        <v>0.64555876225414932</v>
      </c>
      <c r="T55">
        <v>0.64315782024669821</v>
      </c>
      <c r="U55">
        <v>0.63976533288471471</v>
      </c>
      <c r="V55">
        <v>0.63569612777175066</v>
      </c>
      <c r="W55">
        <v>0.63134409573819428</v>
      </c>
      <c r="X55">
        <v>0.62728854218294072</v>
      </c>
      <c r="Y55">
        <v>0.62396718263353845</v>
      </c>
      <c r="Z55">
        <v>0.62186964019504398</v>
      </c>
      <c r="AA55">
        <v>0.62134827916569679</v>
      </c>
      <c r="AB55">
        <v>0.62267841609066332</v>
      </c>
      <c r="AC55">
        <v>0.62609417613525764</v>
      </c>
      <c r="AD55">
        <v>0.63163011217326548</v>
      </c>
      <c r="AE55">
        <v>0.6393981020067947</v>
      </c>
      <c r="AF55">
        <v>0.64934321983241938</v>
      </c>
      <c r="AG55">
        <v>0.66150742787466743</v>
      </c>
      <c r="AH55">
        <v>0.67577276084197069</v>
      </c>
      <c r="AI55">
        <v>0.69207446376356285</v>
      </c>
      <c r="AJ55">
        <v>0.71025458311140788</v>
      </c>
      <c r="AK55">
        <v>0.7300780016491013</v>
      </c>
      <c r="AL55">
        <v>0.75137735085562729</v>
      </c>
      <c r="AM55">
        <v>0.77383807512082792</v>
      </c>
      <c r="AN55">
        <v>0.79708677850902243</v>
      </c>
      <c r="AO55">
        <v>0.82082370726207787</v>
      </c>
      <c r="AP55">
        <v>0.84459327792820382</v>
      </c>
      <c r="AQ55">
        <v>0.86801128693484209</v>
      </c>
      <c r="AR55">
        <v>0.89060630018622899</v>
      </c>
      <c r="AS55">
        <v>0.91197331275977511</v>
      </c>
      <c r="AT55">
        <v>0.93167035146015675</v>
      </c>
      <c r="AU55">
        <v>0.94934323072611526</v>
      </c>
      <c r="AV55">
        <v>0.96467651065340554</v>
      </c>
      <c r="AW55">
        <v>0.97740764078440334</v>
      </c>
      <c r="AX55">
        <v>0.98736010939030561</v>
      </c>
      <c r="AY55">
        <v>0.99443546150301454</v>
      </c>
      <c r="AZ55">
        <v>0.99862776163017997</v>
      </c>
      <c r="BA55">
        <v>1</v>
      </c>
      <c r="BB55">
        <v>0.99868559985773575</v>
      </c>
      <c r="BC55">
        <v>0.99487274069419518</v>
      </c>
      <c r="BD55">
        <v>0.98878592317835912</v>
      </c>
      <c r="BE55">
        <v>0.98068535268864176</v>
      </c>
      <c r="BF55">
        <v>0.97082644819940123</v>
      </c>
      <c r="BG55">
        <v>0.95948369618618212</v>
      </c>
      <c r="BH55">
        <v>0.94688405771898099</v>
      </c>
      <c r="BI55">
        <v>0.93326541739107038</v>
      </c>
      <c r="BJ55">
        <v>0.91883444344548415</v>
      </c>
      <c r="BK55">
        <v>0.90374016790634493</v>
      </c>
      <c r="BL55">
        <v>0.88810311351702131</v>
      </c>
      <c r="BM55">
        <v>0.8719743162343675</v>
      </c>
      <c r="BN55">
        <v>0.85538831780519042</v>
      </c>
      <c r="BO55">
        <v>0.83831035793247688</v>
      </c>
      <c r="BP55">
        <v>0.82068045602298911</v>
      </c>
      <c r="BQ55">
        <v>0.80242363015477181</v>
      </c>
      <c r="BR55">
        <v>0.78338283956723287</v>
      </c>
      <c r="BS55">
        <v>0.76341779050603542</v>
      </c>
      <c r="BT55">
        <v>0.74234439683560705</v>
      </c>
      <c r="BU55">
        <v>0.71996455227485978</v>
      </c>
      <c r="BV55">
        <v>0.69607449248890718</v>
      </c>
      <c r="BW55">
        <v>0.6704310348310687</v>
      </c>
      <c r="BX55">
        <v>0.64284725473397608</v>
      </c>
      <c r="BY55">
        <v>0.61319016497248113</v>
      </c>
      <c r="BZ55">
        <v>0.58129486804738728</v>
      </c>
      <c r="CA55">
        <v>0.54712531931078345</v>
      </c>
      <c r="CB55">
        <v>0.510722921766676</v>
      </c>
      <c r="CC55">
        <v>0.47225471772315608</v>
      </c>
      <c r="CD55">
        <v>0.43197467137510365</v>
      </c>
      <c r="CE55">
        <v>0.39023888311919941</v>
      </c>
      <c r="CF55">
        <v>0.34752670325435325</v>
      </c>
      <c r="CG55">
        <v>0.30429662371215382</v>
      </c>
      <c r="CH55">
        <v>0.26115553607106612</v>
      </c>
      <c r="CI55">
        <v>0.21851433355543479</v>
      </c>
      <c r="CJ55">
        <v>0.17692948991958579</v>
      </c>
      <c r="CK55">
        <v>0.1367165727544635</v>
      </c>
      <c r="CL55">
        <v>9.8269908831840877E-2</v>
      </c>
      <c r="CM55">
        <v>6.1784837039324997E-2</v>
      </c>
      <c r="CN55">
        <v>2.7404386307845072E-2</v>
      </c>
      <c r="CO55">
        <v>-4.7835320794585214E-3</v>
      </c>
      <c r="CP55">
        <v>-3.4758155773059254E-2</v>
      </c>
      <c r="CQ55">
        <v>-6.2568752725429236E-2</v>
      </c>
      <c r="CR55">
        <v>-8.8258250277455971E-2</v>
      </c>
      <c r="CS55">
        <v>-0.11194225491262035</v>
      </c>
      <c r="CT55">
        <v>-0.13371831639970944</v>
      </c>
      <c r="CU55">
        <v>-0.15369325771613443</v>
      </c>
      <c r="CV55">
        <v>-0.17200256305292413</v>
      </c>
      <c r="CW55">
        <v>-0.18874031905394634</v>
      </c>
      <c r="CX55">
        <v>-0.20404531421539712</v>
      </c>
      <c r="CY55">
        <v>-0.2180339166312367</v>
      </c>
      <c r="CZ55">
        <v>-0.23076412987629358</v>
      </c>
      <c r="DA55">
        <v>-0.2423619465103401</v>
      </c>
      <c r="DB55">
        <v>-0.2528996666703679</v>
      </c>
      <c r="DC55">
        <v>-0.26244826565572649</v>
      </c>
      <c r="DD55">
        <v>-0.27109233429554491</v>
      </c>
      <c r="DE55">
        <v>-0.27885301775327409</v>
      </c>
      <c r="DF55">
        <v>-0.28581741858372867</v>
      </c>
      <c r="DG55">
        <v>-0.2920121896857592</v>
      </c>
      <c r="DH55">
        <v>-0.29747036404612304</v>
      </c>
      <c r="DI55">
        <v>-0.30220624379883837</v>
      </c>
      <c r="DJ55">
        <v>-0.30624689727734578</v>
      </c>
      <c r="DK55">
        <v>-0.30958140512184651</v>
      </c>
      <c r="DL55">
        <v>-0.31221227730235973</v>
      </c>
      <c r="DM55">
        <v>-0.31409290505056214</v>
      </c>
      <c r="DN55">
        <v>-0.31518614131306866</v>
      </c>
      <c r="DO55">
        <v>-0.31539074116874705</v>
      </c>
      <c r="DP55">
        <v>-0.31455328266759225</v>
      </c>
    </row>
    <row r="56" spans="1:120" x14ac:dyDescent="0.2">
      <c r="A56">
        <v>0.19954721396390401</v>
      </c>
      <c r="B56">
        <v>0.39992589715630428</v>
      </c>
      <c r="C56">
        <v>0.50540684894814081</v>
      </c>
      <c r="D56">
        <v>0.55090759818996915</v>
      </c>
      <c r="E56">
        <v>0.57247775959029079</v>
      </c>
      <c r="F56">
        <v>0.58478130821165941</v>
      </c>
      <c r="G56">
        <v>0.59330940646651598</v>
      </c>
      <c r="H56">
        <v>0.60003369059263767</v>
      </c>
      <c r="I56">
        <v>0.60585642641804671</v>
      </c>
      <c r="J56">
        <v>0.61105127039376883</v>
      </c>
      <c r="K56">
        <v>0.61563974516783404</v>
      </c>
      <c r="L56">
        <v>0.61973756370118827</v>
      </c>
      <c r="M56">
        <v>0.62323513499913819</v>
      </c>
      <c r="N56">
        <v>0.62603644340209041</v>
      </c>
      <c r="O56">
        <v>0.62802887640631377</v>
      </c>
      <c r="P56">
        <v>0.62905919468733551</v>
      </c>
      <c r="Q56">
        <v>0.62897568628995937</v>
      </c>
      <c r="R56">
        <v>0.62763559299720251</v>
      </c>
      <c r="S56">
        <v>0.62496627769035928</v>
      </c>
      <c r="T56">
        <v>0.62107964853834696</v>
      </c>
      <c r="U56">
        <v>0.61624395263837362</v>
      </c>
      <c r="V56">
        <v>0.61079886592186894</v>
      </c>
      <c r="W56">
        <v>0.60516252625638323</v>
      </c>
      <c r="X56">
        <v>0.59992827455234643</v>
      </c>
      <c r="Y56">
        <v>0.5955411545205137</v>
      </c>
      <c r="Z56">
        <v>0.59249123237103984</v>
      </c>
      <c r="AA56">
        <v>0.5911309250278729</v>
      </c>
      <c r="AB56">
        <v>0.59173028208023626</v>
      </c>
      <c r="AC56">
        <v>0.59453180008594186</v>
      </c>
      <c r="AD56">
        <v>0.5995611264677454</v>
      </c>
      <c r="AE56">
        <v>0.60693636409123408</v>
      </c>
      <c r="AF56">
        <v>0.61660797230845343</v>
      </c>
      <c r="AG56">
        <v>0.62862447346513617</v>
      </c>
      <c r="AH56">
        <v>0.64287296780552838</v>
      </c>
      <c r="AI56">
        <v>0.65930273161575237</v>
      </c>
      <c r="AJ56">
        <v>0.67776255354544968</v>
      </c>
      <c r="AK56">
        <v>0.69802907548785242</v>
      </c>
      <c r="AL56">
        <v>0.71994665719900575</v>
      </c>
      <c r="AM56">
        <v>0.74321190194693187</v>
      </c>
      <c r="AN56">
        <v>0.76745696323363954</v>
      </c>
      <c r="AO56">
        <v>0.79239497151145688</v>
      </c>
      <c r="AP56">
        <v>0.81757141867515892</v>
      </c>
      <c r="AQ56">
        <v>0.84260349919886479</v>
      </c>
      <c r="AR56">
        <v>0.86701361047443426</v>
      </c>
      <c r="AS56">
        <v>0.89038941858144638</v>
      </c>
      <c r="AT56">
        <v>0.91226820119822949</v>
      </c>
      <c r="AU56">
        <v>0.93227926415440598</v>
      </c>
      <c r="AV56">
        <v>0.95008263411718608</v>
      </c>
      <c r="AW56">
        <v>0.96538702781408836</v>
      </c>
      <c r="AX56">
        <v>0.97798538361543608</v>
      </c>
      <c r="AY56">
        <v>0.98774667495779223</v>
      </c>
      <c r="AZ56">
        <v>0.99463553867541632</v>
      </c>
      <c r="BA56">
        <v>0.99868559985773586</v>
      </c>
      <c r="BB56">
        <v>1</v>
      </c>
      <c r="BC56">
        <v>0.99874655102555043</v>
      </c>
      <c r="BD56">
        <v>0.99513001782086541</v>
      </c>
      <c r="BE56">
        <v>0.98939170516104846</v>
      </c>
      <c r="BF56">
        <v>0.98177735666945476</v>
      </c>
      <c r="BG56">
        <v>0.97255018216803946</v>
      </c>
      <c r="BH56">
        <v>0.96193599373432903</v>
      </c>
      <c r="BI56">
        <v>0.95016766662275232</v>
      </c>
      <c r="BJ56">
        <v>0.93745087568905472</v>
      </c>
      <c r="BK56">
        <v>0.9239378566315597</v>
      </c>
      <c r="BL56">
        <v>0.90975209658422462</v>
      </c>
      <c r="BM56">
        <v>0.89495077730217998</v>
      </c>
      <c r="BN56">
        <v>0.87957250841533841</v>
      </c>
      <c r="BO56">
        <v>0.86358724458963132</v>
      </c>
      <c r="BP56">
        <v>0.84693952093411329</v>
      </c>
      <c r="BQ56">
        <v>0.82955505937254892</v>
      </c>
      <c r="BR56">
        <v>0.81127840345598634</v>
      </c>
      <c r="BS56">
        <v>0.79196884508158527</v>
      </c>
      <c r="BT56">
        <v>0.77143970102798676</v>
      </c>
      <c r="BU56">
        <v>0.7494880139770399</v>
      </c>
      <c r="BV56">
        <v>0.72590413068668402</v>
      </c>
      <c r="BW56">
        <v>0.70043938833817498</v>
      </c>
      <c r="BX56">
        <v>0.67289706699841678</v>
      </c>
      <c r="BY56">
        <v>0.64313523968624486</v>
      </c>
      <c r="BZ56">
        <v>0.61098090614312284</v>
      </c>
      <c r="CA56">
        <v>0.57639441932051361</v>
      </c>
      <c r="CB56">
        <v>0.5394110605041299</v>
      </c>
      <c r="CC56">
        <v>0.50019918034111643</v>
      </c>
      <c r="CD56">
        <v>0.4590196788601405</v>
      </c>
      <c r="CE56">
        <v>0.41623919732470882</v>
      </c>
      <c r="CF56">
        <v>0.37235260678358378</v>
      </c>
      <c r="CG56">
        <v>0.32783810340731179</v>
      </c>
      <c r="CH56">
        <v>0.28332598280397514</v>
      </c>
      <c r="CI56">
        <v>0.23925192814009985</v>
      </c>
      <c r="CJ56">
        <v>0.19619645564448537</v>
      </c>
      <c r="CK56">
        <v>0.15449923688540368</v>
      </c>
      <c r="CL56">
        <v>0.11457511694551749</v>
      </c>
      <c r="CM56">
        <v>7.66370180532049E-2</v>
      </c>
      <c r="CN56">
        <v>4.0843197165184211E-2</v>
      </c>
      <c r="CO56">
        <v>7.2933248509409734E-3</v>
      </c>
      <c r="CP56">
        <v>-2.3985211496495715E-2</v>
      </c>
      <c r="CQ56">
        <v>-5.3034644594657454E-2</v>
      </c>
      <c r="CR56">
        <v>-7.9894692636011441E-2</v>
      </c>
      <c r="CS56">
        <v>-0.10468006293524099</v>
      </c>
      <c r="CT56">
        <v>-0.1274891236912972</v>
      </c>
      <c r="CU56">
        <v>-0.14842974233392717</v>
      </c>
      <c r="CV56">
        <v>-0.16763854700399386</v>
      </c>
      <c r="CW56">
        <v>-0.18521180975567061</v>
      </c>
      <c r="CX56">
        <v>-0.20129265780288469</v>
      </c>
      <c r="CY56">
        <v>-0.2159994879228806</v>
      </c>
      <c r="CZ56">
        <v>-0.22939289182572206</v>
      </c>
      <c r="DA56">
        <v>-0.24160231990914263</v>
      </c>
      <c r="DB56">
        <v>-0.25270311493510023</v>
      </c>
      <c r="DC56">
        <v>-0.26276743102253264</v>
      </c>
      <c r="DD56">
        <v>-0.27188430264840652</v>
      </c>
      <c r="DE56">
        <v>-0.28007590245241848</v>
      </c>
      <c r="DF56">
        <v>-0.28743113539064813</v>
      </c>
      <c r="DG56">
        <v>-0.29397908220017888</v>
      </c>
      <c r="DH56">
        <v>-0.29975353358675361</v>
      </c>
      <c r="DI56">
        <v>-0.30477080112613986</v>
      </c>
      <c r="DJ56">
        <v>-0.3090582148780826</v>
      </c>
      <c r="DK56">
        <v>-0.31260558589233545</v>
      </c>
      <c r="DL56">
        <v>-0.31541480400485461</v>
      </c>
      <c r="DM56">
        <v>-0.31743903896267356</v>
      </c>
      <c r="DN56">
        <v>-0.3186404354357259</v>
      </c>
      <c r="DO56">
        <v>-0.31891555325593812</v>
      </c>
      <c r="DP56">
        <v>-0.31810707033380459</v>
      </c>
    </row>
    <row r="57" spans="1:120" x14ac:dyDescent="0.2">
      <c r="A57">
        <v>0.19569149314005579</v>
      </c>
      <c r="B57">
        <v>0.39331881178257749</v>
      </c>
      <c r="C57">
        <v>0.49742704002214594</v>
      </c>
      <c r="D57">
        <v>0.54231319436734127</v>
      </c>
      <c r="E57">
        <v>0.5635023553362325</v>
      </c>
      <c r="F57">
        <v>0.57546801450385321</v>
      </c>
      <c r="G57">
        <v>0.58363919283201982</v>
      </c>
      <c r="H57">
        <v>0.5899500131074551</v>
      </c>
      <c r="I57">
        <v>0.59528834128194663</v>
      </c>
      <c r="J57">
        <v>0.59991679743835924</v>
      </c>
      <c r="K57">
        <v>0.60383802026683786</v>
      </c>
      <c r="L57">
        <v>0.60716538274045984</v>
      </c>
      <c r="M57">
        <v>0.60978075112317465</v>
      </c>
      <c r="N57">
        <v>0.6115861691323905</v>
      </c>
      <c r="O57">
        <v>0.61247039362695688</v>
      </c>
      <c r="P57">
        <v>0.61229385055930408</v>
      </c>
      <c r="Q57">
        <v>0.61092066272431356</v>
      </c>
      <c r="R57">
        <v>0.60823110556275284</v>
      </c>
      <c r="S57">
        <v>0.60418534053365092</v>
      </c>
      <c r="T57">
        <v>0.59892365369030276</v>
      </c>
      <c r="U57">
        <v>0.59275041646632121</v>
      </c>
      <c r="V57">
        <v>0.58602666864506692</v>
      </c>
      <c r="W57">
        <v>0.57919233122121883</v>
      </c>
      <c r="X57">
        <v>0.57285219787938735</v>
      </c>
      <c r="Y57">
        <v>0.56745751809481004</v>
      </c>
      <c r="Z57">
        <v>0.56349750106365193</v>
      </c>
      <c r="AA57">
        <v>0.56132411169363083</v>
      </c>
      <c r="AB57">
        <v>0.56120221928778391</v>
      </c>
      <c r="AC57">
        <v>0.56338253823412199</v>
      </c>
      <c r="AD57">
        <v>0.56788239638384375</v>
      </c>
      <c r="AE57">
        <v>0.57482619223204356</v>
      </c>
      <c r="AF57">
        <v>0.58417056754768026</v>
      </c>
      <c r="AG57">
        <v>0.59597048004202713</v>
      </c>
      <c r="AH57">
        <v>0.61011868604877817</v>
      </c>
      <c r="AI57">
        <v>0.62657913851366598</v>
      </c>
      <c r="AJ57">
        <v>0.64520764804362363</v>
      </c>
      <c r="AK57">
        <v>0.66579389494204533</v>
      </c>
      <c r="AL57">
        <v>0.68819436400962353</v>
      </c>
      <c r="AM57">
        <v>0.71211830289776623</v>
      </c>
      <c r="AN57">
        <v>0.73720495473544234</v>
      </c>
      <c r="AO57">
        <v>0.76318184382491505</v>
      </c>
      <c r="AP57">
        <v>0.78959796763668733</v>
      </c>
      <c r="AQ57">
        <v>0.81607350095645814</v>
      </c>
      <c r="AR57">
        <v>0.84212759384155733</v>
      </c>
      <c r="AS57">
        <v>0.86734284391934369</v>
      </c>
      <c r="AT57">
        <v>0.89123804019496644</v>
      </c>
      <c r="AU57">
        <v>0.91342862106344747</v>
      </c>
      <c r="AV57">
        <v>0.93355206348769837</v>
      </c>
      <c r="AW57">
        <v>0.95129036919781185</v>
      </c>
      <c r="AX57">
        <v>0.96640768785641595</v>
      </c>
      <c r="AY57">
        <v>0.97874167192551353</v>
      </c>
      <c r="AZ57">
        <v>0.98822835816828747</v>
      </c>
      <c r="BA57">
        <v>0.99487274069419518</v>
      </c>
      <c r="BB57">
        <v>0.99874655102555032</v>
      </c>
      <c r="BC57">
        <v>1</v>
      </c>
      <c r="BD57">
        <v>0.99881455712560996</v>
      </c>
      <c r="BE57">
        <v>0.99541327118107426</v>
      </c>
      <c r="BF57">
        <v>0.99003128997743861</v>
      </c>
      <c r="BG57">
        <v>0.98291949577074855</v>
      </c>
      <c r="BH57">
        <v>0.97430150793552039</v>
      </c>
      <c r="BI57">
        <v>0.9644043343709614</v>
      </c>
      <c r="BJ57">
        <v>0.95343162828788552</v>
      </c>
      <c r="BK57">
        <v>0.94153817481470892</v>
      </c>
      <c r="BL57">
        <v>0.92884977132050639</v>
      </c>
      <c r="BM57">
        <v>0.91542929995204425</v>
      </c>
      <c r="BN57">
        <v>0.90131910971469464</v>
      </c>
      <c r="BO57">
        <v>0.88649391125695776</v>
      </c>
      <c r="BP57">
        <v>0.87090252253985978</v>
      </c>
      <c r="BQ57">
        <v>0.85447175321697755</v>
      </c>
      <c r="BR57">
        <v>0.83704807937060099</v>
      </c>
      <c r="BS57">
        <v>0.81849060259001472</v>
      </c>
      <c r="BT57">
        <v>0.79861051477006162</v>
      </c>
      <c r="BU57">
        <v>0.77720054564846064</v>
      </c>
      <c r="BV57">
        <v>0.75404558090597318</v>
      </c>
      <c r="BW57">
        <v>0.72889182520358231</v>
      </c>
      <c r="BX57">
        <v>0.70153311099335225</v>
      </c>
      <c r="BY57">
        <v>0.67181843650410344</v>
      </c>
      <c r="BZ57">
        <v>0.63956661903925294</v>
      </c>
      <c r="CA57">
        <v>0.60473358196793958</v>
      </c>
      <c r="CB57">
        <v>0.56734759253359612</v>
      </c>
      <c r="CC57">
        <v>0.52757669314980726</v>
      </c>
      <c r="CD57">
        <v>0.48568678268377169</v>
      </c>
      <c r="CE57">
        <v>0.44205299773804974</v>
      </c>
      <c r="CF57">
        <v>0.39718319621851855</v>
      </c>
      <c r="CG57">
        <v>0.35157302563122095</v>
      </c>
      <c r="CH57">
        <v>0.30587370689477927</v>
      </c>
      <c r="CI57">
        <v>0.26054400428953367</v>
      </c>
      <c r="CJ57">
        <v>0.21618656458209465</v>
      </c>
      <c r="CK57">
        <v>0.17316418345558557</v>
      </c>
      <c r="CL57">
        <v>0.13191117115556666</v>
      </c>
      <c r="CM57">
        <v>9.2657804254690834E-2</v>
      </c>
      <c r="CN57">
        <v>5.5577325952561735E-2</v>
      </c>
      <c r="CO57">
        <v>2.0781466966775127E-2</v>
      </c>
      <c r="CP57">
        <v>-1.1695389530771726E-2</v>
      </c>
      <c r="CQ57">
        <v>-4.1887907268709321E-2</v>
      </c>
      <c r="CR57">
        <v>-6.9832073241378675E-2</v>
      </c>
      <c r="CS57">
        <v>-9.5640895405745233E-2</v>
      </c>
      <c r="CT57">
        <v>-0.11941292046923889</v>
      </c>
      <c r="CU57">
        <v>-0.14125644230594678</v>
      </c>
      <c r="CV57">
        <v>-0.16130859082321355</v>
      </c>
      <c r="CW57">
        <v>-0.17966724968269732</v>
      </c>
      <c r="CX57">
        <v>-0.19647932394797857</v>
      </c>
      <c r="CY57">
        <v>-0.21186472362951475</v>
      </c>
      <c r="CZ57">
        <v>-0.2258862594470839</v>
      </c>
      <c r="DA57">
        <v>-0.23867642374089948</v>
      </c>
      <c r="DB57">
        <v>-0.25031328682324422</v>
      </c>
      <c r="DC57">
        <v>-0.26086988738956035</v>
      </c>
      <c r="DD57">
        <v>-0.2704394212783644</v>
      </c>
      <c r="DE57">
        <v>-0.27904498734495348</v>
      </c>
      <c r="DF57">
        <v>-0.28677704010831184</v>
      </c>
      <c r="DG57">
        <v>-0.29366701656731214</v>
      </c>
      <c r="DH57">
        <v>-0.29974941208098271</v>
      </c>
      <c r="DI57">
        <v>-0.30504252245144153</v>
      </c>
      <c r="DJ57">
        <v>-0.30957397293148448</v>
      </c>
      <c r="DK57">
        <v>-0.31333446472435167</v>
      </c>
      <c r="DL57">
        <v>-0.31632543713424843</v>
      </c>
      <c r="DM57">
        <v>-0.3185001890843786</v>
      </c>
      <c r="DN57">
        <v>-0.31982063983750897</v>
      </c>
      <c r="DO57">
        <v>-0.32018191795504475</v>
      </c>
      <c r="DP57">
        <v>-0.31942401688455957</v>
      </c>
    </row>
    <row r="58" spans="1:120" x14ac:dyDescent="0.2">
      <c r="A58">
        <v>0.19161031620754049</v>
      </c>
      <c r="B58">
        <v>0.38614203312013679</v>
      </c>
      <c r="C58">
        <v>0.48868915486460346</v>
      </c>
      <c r="D58">
        <v>0.53288258113471487</v>
      </c>
      <c r="E58">
        <v>0.55366330526413998</v>
      </c>
      <c r="F58">
        <v>0.56528736669227997</v>
      </c>
      <c r="G58">
        <v>0.5731115585005957</v>
      </c>
      <c r="H58">
        <v>0.57902907284439453</v>
      </c>
      <c r="I58">
        <v>0.58391220875364458</v>
      </c>
      <c r="J58">
        <v>0.58801269174419479</v>
      </c>
      <c r="K58">
        <v>0.59131483798296391</v>
      </c>
      <c r="L58">
        <v>0.59392986185954666</v>
      </c>
      <c r="M58">
        <v>0.59573180502476775</v>
      </c>
      <c r="N58">
        <v>0.59662071136860384</v>
      </c>
      <c r="O58">
        <v>0.59648652866004748</v>
      </c>
      <c r="P58">
        <v>0.59520218521241497</v>
      </c>
      <c r="Q58">
        <v>0.59264602380439624</v>
      </c>
      <c r="R58">
        <v>0.58871864562152088</v>
      </c>
      <c r="S58">
        <v>0.58341048104813242</v>
      </c>
      <c r="T58">
        <v>0.57688655696874358</v>
      </c>
      <c r="U58">
        <v>0.56948392722555541</v>
      </c>
      <c r="V58">
        <v>0.56158187690408856</v>
      </c>
      <c r="W58">
        <v>0.553639585655052</v>
      </c>
      <c r="X58">
        <v>0.54627060341810774</v>
      </c>
      <c r="Y58">
        <v>0.53993151260890992</v>
      </c>
      <c r="Z58">
        <v>0.53510936357051264</v>
      </c>
      <c r="AA58">
        <v>0.53215532193531978</v>
      </c>
      <c r="AB58">
        <v>0.53132892281248889</v>
      </c>
      <c r="AC58">
        <v>0.53288911594541499</v>
      </c>
      <c r="AD58">
        <v>0.53684521338035107</v>
      </c>
      <c r="AE58">
        <v>0.54332790924636376</v>
      </c>
      <c r="AF58">
        <v>0.5523006983232015</v>
      </c>
      <c r="AG58">
        <v>0.56382469229731935</v>
      </c>
      <c r="AH58">
        <v>0.57779887935648966</v>
      </c>
      <c r="AI58">
        <v>0.5942021094988329</v>
      </c>
      <c r="AJ58">
        <v>0.61289746098319453</v>
      </c>
      <c r="AK58">
        <v>0.6336886605631622</v>
      </c>
      <c r="AL58">
        <v>0.65644457155841329</v>
      </c>
      <c r="AM58">
        <v>0.68088820849590892</v>
      </c>
      <c r="AN58">
        <v>0.70666729363377268</v>
      </c>
      <c r="AO58">
        <v>0.73352487684974155</v>
      </c>
      <c r="AP58">
        <v>0.76101567455071983</v>
      </c>
      <c r="AQ58">
        <v>0.78876438201615662</v>
      </c>
      <c r="AR58">
        <v>0.81628935930972957</v>
      </c>
      <c r="AS58">
        <v>0.84317042894103544</v>
      </c>
      <c r="AT58">
        <v>0.8689101771248634</v>
      </c>
      <c r="AU58">
        <v>0.8931126081163907</v>
      </c>
      <c r="AV58">
        <v>0.91539477588165463</v>
      </c>
      <c r="AW58">
        <v>0.93541422890515236</v>
      </c>
      <c r="AX58">
        <v>0.95290799178558627</v>
      </c>
      <c r="AY58">
        <v>0.96768421908606839</v>
      </c>
      <c r="AZ58">
        <v>0.97965102649611779</v>
      </c>
      <c r="BA58">
        <v>0.98878592317835901</v>
      </c>
      <c r="BB58">
        <v>0.99513001782086552</v>
      </c>
      <c r="BC58">
        <v>0.99881455712560996</v>
      </c>
      <c r="BD58">
        <v>1</v>
      </c>
      <c r="BE58">
        <v>0.9988882908027551</v>
      </c>
      <c r="BF58">
        <v>0.99570449926975102</v>
      </c>
      <c r="BG58">
        <v>0.99068631259344431</v>
      </c>
      <c r="BH58">
        <v>0.98405414277545733</v>
      </c>
      <c r="BI58">
        <v>0.97602850962459053</v>
      </c>
      <c r="BJ58">
        <v>0.96681018327395885</v>
      </c>
      <c r="BK58">
        <v>0.95655580197488843</v>
      </c>
      <c r="BL58">
        <v>0.94539289396107895</v>
      </c>
      <c r="BM58">
        <v>0.93338956137197104</v>
      </c>
      <c r="BN58">
        <v>0.92059158419272502</v>
      </c>
      <c r="BO58">
        <v>0.9069784822971837</v>
      </c>
      <c r="BP58">
        <v>0.89250318488640779</v>
      </c>
      <c r="BQ58">
        <v>0.87709372706006594</v>
      </c>
      <c r="BR58">
        <v>0.86059899997144451</v>
      </c>
      <c r="BS58">
        <v>0.84287810896384163</v>
      </c>
      <c r="BT58">
        <v>0.8237405953980359</v>
      </c>
      <c r="BU58">
        <v>0.80297535505891848</v>
      </c>
      <c r="BV58">
        <v>0.78036232087392432</v>
      </c>
      <c r="BW58">
        <v>0.75564295984335839</v>
      </c>
      <c r="BX58">
        <v>0.72860202182037337</v>
      </c>
      <c r="BY58">
        <v>0.6990793563189035</v>
      </c>
      <c r="BZ58">
        <v>0.66688563957567015</v>
      </c>
      <c r="CA58">
        <v>0.63197150155912263</v>
      </c>
      <c r="CB58">
        <v>0.59435739743362204</v>
      </c>
      <c r="CC58">
        <v>0.55420958237598961</v>
      </c>
      <c r="CD58">
        <v>0.5117969355125902</v>
      </c>
      <c r="CE58">
        <v>0.46750106122429747</v>
      </c>
      <c r="CF58">
        <v>0.42184020053874949</v>
      </c>
      <c r="CG58">
        <v>0.37532518437173612</v>
      </c>
      <c r="CH58">
        <v>0.32862556946155808</v>
      </c>
      <c r="CI58">
        <v>0.28222132536106342</v>
      </c>
      <c r="CJ58">
        <v>0.23673521928685143</v>
      </c>
      <c r="CK58">
        <v>0.19255202293542534</v>
      </c>
      <c r="CL58">
        <v>0.1501243551903983</v>
      </c>
      <c r="CM58">
        <v>0.10969939652475212</v>
      </c>
      <c r="CN58">
        <v>7.1465147684341715E-2</v>
      </c>
      <c r="CO58">
        <v>3.5545479485453592E-2</v>
      </c>
      <c r="CP58">
        <v>1.9820964105463578E-3</v>
      </c>
      <c r="CQ58">
        <v>-2.9251601179502571E-2</v>
      </c>
      <c r="CR58">
        <v>-5.8187446144643294E-2</v>
      </c>
      <c r="CS58">
        <v>-8.4935986787941994E-2</v>
      </c>
      <c r="CT58">
        <v>-0.10959534013366209</v>
      </c>
      <c r="CU58">
        <v>-0.1322736124376466</v>
      </c>
      <c r="CV58">
        <v>-0.15310778864983871</v>
      </c>
      <c r="CW58">
        <v>-0.17219687403281031</v>
      </c>
      <c r="CX58">
        <v>-0.18969088918695642</v>
      </c>
      <c r="CY58">
        <v>-0.20571081977777544</v>
      </c>
      <c r="CZ58">
        <v>-0.22032130550722259</v>
      </c>
      <c r="DA58">
        <v>-0.23365743672681569</v>
      </c>
      <c r="DB58">
        <v>-0.24579967007469994</v>
      </c>
      <c r="DC58">
        <v>-0.25682171146576227</v>
      </c>
      <c r="DD58">
        <v>-0.26682055090495982</v>
      </c>
      <c r="DE58">
        <v>-0.27582014931222243</v>
      </c>
      <c r="DF58">
        <v>-0.28391223961451839</v>
      </c>
      <c r="DG58">
        <v>-0.2911305363935795</v>
      </c>
      <c r="DH58">
        <v>-0.29751015948854576</v>
      </c>
      <c r="DI58">
        <v>-0.3030714036680861</v>
      </c>
      <c r="DJ58">
        <v>-0.30784221626441044</v>
      </c>
      <c r="DK58">
        <v>-0.31181431111466412</v>
      </c>
      <c r="DL58">
        <v>-0.31498887626545979</v>
      </c>
      <c r="DM58">
        <v>-0.31731973087427701</v>
      </c>
      <c r="DN58">
        <v>-0.31876900690582477</v>
      </c>
      <c r="DO58">
        <v>-0.31923124365021599</v>
      </c>
      <c r="DP58">
        <v>-0.31854498766163897</v>
      </c>
    </row>
    <row r="59" spans="1:120" x14ac:dyDescent="0.2">
      <c r="A59">
        <v>0.1873367597238923</v>
      </c>
      <c r="B59">
        <v>0.37851586087361599</v>
      </c>
      <c r="C59">
        <v>0.47936555147929527</v>
      </c>
      <c r="D59">
        <v>0.52281432140695172</v>
      </c>
      <c r="E59">
        <v>0.54317373585066731</v>
      </c>
      <c r="F59">
        <v>0.55446199539512531</v>
      </c>
      <c r="G59">
        <v>0.56195598151231696</v>
      </c>
      <c r="H59">
        <v>0.56750590144755397</v>
      </c>
      <c r="I59">
        <v>0.57196794008914764</v>
      </c>
      <c r="J59">
        <v>0.57558333705173059</v>
      </c>
      <c r="K59">
        <v>0.57831897971991753</v>
      </c>
      <c r="L59">
        <v>0.58028402967556569</v>
      </c>
      <c r="M59">
        <v>0.58134547666917902</v>
      </c>
      <c r="N59">
        <v>0.5814012526711243</v>
      </c>
      <c r="O59">
        <v>0.58034246449779225</v>
      </c>
      <c r="P59">
        <v>0.57805302343742748</v>
      </c>
      <c r="Q59">
        <v>0.57442387360351044</v>
      </c>
      <c r="R59">
        <v>0.56937353242569344</v>
      </c>
      <c r="S59">
        <v>0.56291973797329709</v>
      </c>
      <c r="T59">
        <v>0.55524877963229469</v>
      </c>
      <c r="U59">
        <v>0.54672705118064535</v>
      </c>
      <c r="V59">
        <v>0.53774887178300035</v>
      </c>
      <c r="W59">
        <v>0.52879041292309636</v>
      </c>
      <c r="X59">
        <v>0.52047164885017616</v>
      </c>
      <c r="Y59">
        <v>0.51325349200533266</v>
      </c>
      <c r="Z59">
        <v>0.50761978250590811</v>
      </c>
      <c r="AA59">
        <v>0.50392055202232233</v>
      </c>
      <c r="AB59">
        <v>0.50241018020496475</v>
      </c>
      <c r="AC59">
        <v>0.50335545153531713</v>
      </c>
      <c r="AD59">
        <v>0.50675825815750919</v>
      </c>
      <c r="AE59">
        <v>0.51275553860917855</v>
      </c>
      <c r="AF59">
        <v>0.52131810620945218</v>
      </c>
      <c r="AG59">
        <v>0.53251286391781116</v>
      </c>
      <c r="AH59">
        <v>0.54624549438646564</v>
      </c>
      <c r="AI59">
        <v>0.56250987148327669</v>
      </c>
      <c r="AJ59">
        <v>0.58117644602888618</v>
      </c>
      <c r="AK59">
        <v>0.60206373946428382</v>
      </c>
      <c r="AL59">
        <v>0.62505297600672705</v>
      </c>
      <c r="AM59">
        <v>0.64988200812884778</v>
      </c>
      <c r="AN59">
        <v>0.67620808840430535</v>
      </c>
      <c r="AO59">
        <v>0.70379077556912517</v>
      </c>
      <c r="AP59">
        <v>0.7321924326135717</v>
      </c>
      <c r="AQ59">
        <v>0.76104352645219953</v>
      </c>
      <c r="AR59">
        <v>0.7898639751564448</v>
      </c>
      <c r="AS59">
        <v>0.81823303363029121</v>
      </c>
      <c r="AT59">
        <v>0.84563924615952746</v>
      </c>
      <c r="AU59">
        <v>0.87167762988980713</v>
      </c>
      <c r="AV59">
        <v>0.89594701081672068</v>
      </c>
      <c r="AW59">
        <v>0.91808267420350143</v>
      </c>
      <c r="AX59">
        <v>0.93779653413672448</v>
      </c>
      <c r="AY59">
        <v>0.9548690364310527</v>
      </c>
      <c r="AZ59">
        <v>0.96918164897086623</v>
      </c>
      <c r="BA59">
        <v>0.98068535268864176</v>
      </c>
      <c r="BB59">
        <v>0.98939170516104857</v>
      </c>
      <c r="BC59">
        <v>0.99541327118107414</v>
      </c>
      <c r="BD59">
        <v>0.9988882908027551</v>
      </c>
      <c r="BE59">
        <v>1</v>
      </c>
      <c r="BF59">
        <v>0.9989603619277776</v>
      </c>
      <c r="BG59">
        <v>0.99599469817575403</v>
      </c>
      <c r="BH59">
        <v>0.99131912013850088</v>
      </c>
      <c r="BI59">
        <v>0.98514707049339278</v>
      </c>
      <c r="BJ59">
        <v>0.97767575200836054</v>
      </c>
      <c r="BK59">
        <v>0.96906296547272464</v>
      </c>
      <c r="BL59">
        <v>0.95943748732305367</v>
      </c>
      <c r="BM59">
        <v>0.94887225260029651</v>
      </c>
      <c r="BN59">
        <v>0.93741601928039353</v>
      </c>
      <c r="BO59">
        <v>0.92505314645367132</v>
      </c>
      <c r="BP59">
        <v>0.9117404775808241</v>
      </c>
      <c r="BQ59">
        <v>0.89740743781986054</v>
      </c>
      <c r="BR59">
        <v>0.88190579504150424</v>
      </c>
      <c r="BS59">
        <v>0.8650947645542526</v>
      </c>
      <c r="BT59">
        <v>0.84678269038407772</v>
      </c>
      <c r="BU59">
        <v>0.82675519790407759</v>
      </c>
      <c r="BV59">
        <v>0.80478770848484982</v>
      </c>
      <c r="BW59">
        <v>0.78061735867185245</v>
      </c>
      <c r="BX59">
        <v>0.75402022156078641</v>
      </c>
      <c r="BY59">
        <v>0.72482692270027493</v>
      </c>
      <c r="BZ59">
        <v>0.6928401057402227</v>
      </c>
      <c r="CA59">
        <v>0.65800432067325165</v>
      </c>
      <c r="CB59">
        <v>0.62033142151499909</v>
      </c>
      <c r="CC59">
        <v>0.57998441647754184</v>
      </c>
      <c r="CD59">
        <v>0.53723321580789563</v>
      </c>
      <c r="CE59">
        <v>0.49246381488947288</v>
      </c>
      <c r="CF59">
        <v>0.44620227648815936</v>
      </c>
      <c r="CG59">
        <v>0.39897230262961519</v>
      </c>
      <c r="CH59">
        <v>0.35145913541611956</v>
      </c>
      <c r="CI59">
        <v>0.30416200779412256</v>
      </c>
      <c r="CJ59">
        <v>0.25772173272436055</v>
      </c>
      <c r="CK59">
        <v>0.21254378396201803</v>
      </c>
      <c r="CL59">
        <v>0.16909785349582884</v>
      </c>
      <c r="CM59">
        <v>0.12764747998514878</v>
      </c>
      <c r="CN59">
        <v>8.839510698745956E-2</v>
      </c>
      <c r="CO59">
        <v>5.1476734718657782E-2</v>
      </c>
      <c r="CP59">
        <v>1.694167770712874E-2</v>
      </c>
      <c r="CQ59">
        <v>-1.5228225897555648E-2</v>
      </c>
      <c r="CR59">
        <v>-4.5060193459390337E-2</v>
      </c>
      <c r="CS59">
        <v>-7.266166001222113E-2</v>
      </c>
      <c r="CT59">
        <v>-9.8129692535693022E-2</v>
      </c>
      <c r="CU59">
        <v>-0.1215716180214978</v>
      </c>
      <c r="CV59">
        <v>-0.143123686171513</v>
      </c>
      <c r="CW59">
        <v>-0.1628854930922109</v>
      </c>
      <c r="CX59">
        <v>-0.18100954227375546</v>
      </c>
      <c r="CY59">
        <v>-0.19761747331270796</v>
      </c>
      <c r="CZ59">
        <v>-0.21277537813692157</v>
      </c>
      <c r="DA59">
        <v>-0.22662047119771725</v>
      </c>
      <c r="DB59">
        <v>-0.2392352777555708</v>
      </c>
      <c r="DC59">
        <v>-0.25069390750881032</v>
      </c>
      <c r="DD59">
        <v>-0.26109682991985916</v>
      </c>
      <c r="DE59">
        <v>-0.27046874609332966</v>
      </c>
      <c r="DF59">
        <v>-0.27890243253941693</v>
      </c>
      <c r="DG59">
        <v>-0.28643379297673438</v>
      </c>
      <c r="DH59">
        <v>-0.29309849229406099</v>
      </c>
      <c r="DI59">
        <v>-0.29891880032493734</v>
      </c>
      <c r="DJ59">
        <v>-0.30392303152430578</v>
      </c>
      <c r="DK59">
        <v>-0.30810403514910084</v>
      </c>
      <c r="DL59">
        <v>-0.31146297103541448</v>
      </c>
      <c r="DM59">
        <v>-0.31395448809897114</v>
      </c>
      <c r="DN59">
        <v>-0.31554144546627771</v>
      </c>
      <c r="DO59">
        <v>-0.31611858125535014</v>
      </c>
      <c r="DP59">
        <v>-0.31552422878524361</v>
      </c>
    </row>
    <row r="60" spans="1:120" x14ac:dyDescent="0.2">
      <c r="A60">
        <v>0.18290064613815868</v>
      </c>
      <c r="B60">
        <v>0.37053150247891176</v>
      </c>
      <c r="C60">
        <v>0.4695846399224759</v>
      </c>
      <c r="D60">
        <v>0.51225554591366329</v>
      </c>
      <c r="E60">
        <v>0.5321907699519498</v>
      </c>
      <c r="F60">
        <v>0.54315466243349098</v>
      </c>
      <c r="G60">
        <v>0.55033838163323823</v>
      </c>
      <c r="H60">
        <v>0.55554790177334401</v>
      </c>
      <c r="I60">
        <v>0.55962317175714238</v>
      </c>
      <c r="J60">
        <v>0.56279554664784515</v>
      </c>
      <c r="K60">
        <v>0.56501558717053013</v>
      </c>
      <c r="L60">
        <v>0.5663907720352056</v>
      </c>
      <c r="M60">
        <v>0.56678188703694876</v>
      </c>
      <c r="N60">
        <v>0.56608486078611109</v>
      </c>
      <c r="O60">
        <v>0.56419193051996697</v>
      </c>
      <c r="P60">
        <v>0.56099669699413002</v>
      </c>
      <c r="Q60">
        <v>0.55640131105875423</v>
      </c>
      <c r="R60">
        <v>0.55033969899124535</v>
      </c>
      <c r="S60">
        <v>0.54285419977852345</v>
      </c>
      <c r="T60">
        <v>0.53414896984379867</v>
      </c>
      <c r="U60">
        <v>0.52461660219741935</v>
      </c>
      <c r="V60">
        <v>0.51466344781866802</v>
      </c>
      <c r="W60">
        <v>0.50478034191106813</v>
      </c>
      <c r="X60">
        <v>0.49559139496450982</v>
      </c>
      <c r="Y60">
        <v>0.48756113342834934</v>
      </c>
      <c r="Z60">
        <v>0.48116910760946979</v>
      </c>
      <c r="AA60">
        <v>0.47676386445900715</v>
      </c>
      <c r="AB60">
        <v>0.47459469084615175</v>
      </c>
      <c r="AC60">
        <v>0.47493599002451503</v>
      </c>
      <c r="AD60">
        <v>0.47778260815440038</v>
      </c>
      <c r="AE60">
        <v>0.48327757674142269</v>
      </c>
      <c r="AF60">
        <v>0.49139939134532795</v>
      </c>
      <c r="AG60">
        <v>0.50222037071966219</v>
      </c>
      <c r="AH60">
        <v>0.5156531862956083</v>
      </c>
      <c r="AI60">
        <v>0.53170667141188421</v>
      </c>
      <c r="AJ60">
        <v>0.55025868318666959</v>
      </c>
      <c r="AK60">
        <v>0.57114310747250885</v>
      </c>
      <c r="AL60">
        <v>0.59425347248019145</v>
      </c>
      <c r="AM60">
        <v>0.61934310971785123</v>
      </c>
      <c r="AN60">
        <v>0.64607991269352183</v>
      </c>
      <c r="AO60">
        <v>0.67424046164789486</v>
      </c>
      <c r="AP60">
        <v>0.70339662792605218</v>
      </c>
      <c r="AQ60">
        <v>0.73318567872836038</v>
      </c>
      <c r="AR60">
        <v>0.76313133648321607</v>
      </c>
      <c r="AS60">
        <v>0.79281414771520797</v>
      </c>
      <c r="AT60">
        <v>0.8217107978474254</v>
      </c>
      <c r="AU60">
        <v>0.84940968066552902</v>
      </c>
      <c r="AV60">
        <v>0.87549345736311823</v>
      </c>
      <c r="AW60">
        <v>0.89957748426082018</v>
      </c>
      <c r="AX60">
        <v>0.92135065961119689</v>
      </c>
      <c r="AY60">
        <v>0.94056754333646764</v>
      </c>
      <c r="AZ60">
        <v>0.95708416399706109</v>
      </c>
      <c r="BA60">
        <v>0.97082644819940123</v>
      </c>
      <c r="BB60">
        <v>0.98177735666945476</v>
      </c>
      <c r="BC60">
        <v>0.99003128997743872</v>
      </c>
      <c r="BD60">
        <v>0.99570449926975124</v>
      </c>
      <c r="BE60">
        <v>0.9989603619277776</v>
      </c>
      <c r="BF60">
        <v>1</v>
      </c>
      <c r="BG60">
        <v>0.99903351797343909</v>
      </c>
      <c r="BH60">
        <v>0.99627331778286721</v>
      </c>
      <c r="BI60">
        <v>0.991925100961212</v>
      </c>
      <c r="BJ60">
        <v>0.98618177371724491</v>
      </c>
      <c r="BK60">
        <v>0.97920186424043298</v>
      </c>
      <c r="BL60">
        <v>0.97111483766591611</v>
      </c>
      <c r="BM60">
        <v>0.96199804568667091</v>
      </c>
      <c r="BN60">
        <v>0.95190293003496651</v>
      </c>
      <c r="BO60">
        <v>0.94081863982233338</v>
      </c>
      <c r="BP60">
        <v>0.92870572028920961</v>
      </c>
      <c r="BQ60">
        <v>0.91549517023104088</v>
      </c>
      <c r="BR60">
        <v>0.90104199279161723</v>
      </c>
      <c r="BS60">
        <v>0.88520565293432762</v>
      </c>
      <c r="BT60">
        <v>0.86779375054938823</v>
      </c>
      <c r="BU60">
        <v>0.84858905589603417</v>
      </c>
      <c r="BV60">
        <v>0.82736302734201572</v>
      </c>
      <c r="BW60">
        <v>0.80384880730878749</v>
      </c>
      <c r="BX60">
        <v>0.77781413380753484</v>
      </c>
      <c r="BY60">
        <v>0.74908048116326442</v>
      </c>
      <c r="BZ60">
        <v>0.71744247668408112</v>
      </c>
      <c r="CA60">
        <v>0.68283779043241266</v>
      </c>
      <c r="CB60">
        <v>0.64526897184723153</v>
      </c>
      <c r="CC60">
        <v>0.60489432804266152</v>
      </c>
      <c r="CD60">
        <v>0.56198290887674729</v>
      </c>
      <c r="CE60">
        <v>0.51692300085119014</v>
      </c>
      <c r="CF60">
        <v>0.47024608344064905</v>
      </c>
      <c r="CG60">
        <v>0.42248635282152347</v>
      </c>
      <c r="CH60">
        <v>0.37434212534789707</v>
      </c>
      <c r="CI60">
        <v>0.32632991276218465</v>
      </c>
      <c r="CJ60">
        <v>0.2791066090308435</v>
      </c>
      <c r="CK60">
        <v>0.23309697570429302</v>
      </c>
      <c r="CL60">
        <v>0.18878664897342384</v>
      </c>
      <c r="CM60">
        <v>0.14645493413599567</v>
      </c>
      <c r="CN60">
        <v>0.10631828075901509</v>
      </c>
      <c r="CO60">
        <v>6.852485516379421E-2</v>
      </c>
      <c r="CP60">
        <v>3.3131798806846219E-2</v>
      </c>
      <c r="CQ60">
        <v>1.2975995774757652E-4</v>
      </c>
      <c r="CR60">
        <v>-3.0503488500321897E-2</v>
      </c>
      <c r="CS60">
        <v>-5.8871567232982112E-2</v>
      </c>
      <c r="CT60">
        <v>-8.5069934818257087E-2</v>
      </c>
      <c r="CU60">
        <v>-0.10920458760018759</v>
      </c>
      <c r="CV60">
        <v>-0.13141046064426726</v>
      </c>
      <c r="CW60">
        <v>-0.15178723296534927</v>
      </c>
      <c r="CX60">
        <v>-0.17048926939641065</v>
      </c>
      <c r="CY60">
        <v>-0.18763841995555799</v>
      </c>
      <c r="CZ60">
        <v>-0.20330187072305728</v>
      </c>
      <c r="DA60">
        <v>-0.21761851339473925</v>
      </c>
      <c r="DB60">
        <v>-0.23067263731292625</v>
      </c>
      <c r="DC60">
        <v>-0.24253850203060667</v>
      </c>
      <c r="DD60">
        <v>-0.25331968936478799</v>
      </c>
      <c r="DE60">
        <v>-0.26304156039222609</v>
      </c>
      <c r="DF60">
        <v>-0.27179769315603014</v>
      </c>
      <c r="DG60">
        <v>-0.27962607654776833</v>
      </c>
      <c r="DH60">
        <v>-0.28656284409341815</v>
      </c>
      <c r="DI60">
        <v>-0.29263220912534155</v>
      </c>
      <c r="DJ60">
        <v>-0.29786285310657779</v>
      </c>
      <c r="DK60">
        <v>-0.3022489008039575</v>
      </c>
      <c r="DL60">
        <v>-0.30579164088672001</v>
      </c>
      <c r="DM60">
        <v>-0.30844689227918376</v>
      </c>
      <c r="DN60">
        <v>-0.31017864163634834</v>
      </c>
      <c r="DO60">
        <v>-0.31088256455092605</v>
      </c>
      <c r="DP60">
        <v>-0.31039791681931855</v>
      </c>
    </row>
    <row r="61" spans="1:120" x14ac:dyDescent="0.2">
      <c r="A61">
        <v>0.17843137935617445</v>
      </c>
      <c r="B61">
        <v>0.36238339533784908</v>
      </c>
      <c r="C61">
        <v>0.45956491922038606</v>
      </c>
      <c r="D61">
        <v>0.50142881973076914</v>
      </c>
      <c r="E61">
        <v>0.52093510970423396</v>
      </c>
      <c r="F61">
        <v>0.53158357571594983</v>
      </c>
      <c r="G61">
        <v>0.53847501847742629</v>
      </c>
      <c r="H61">
        <v>0.54337059909728969</v>
      </c>
      <c r="I61">
        <v>0.54709346375614898</v>
      </c>
      <c r="J61">
        <v>0.54986563180221981</v>
      </c>
      <c r="K61">
        <v>0.55162212413510425</v>
      </c>
      <c r="L61">
        <v>0.55246879804977445</v>
      </c>
      <c r="M61">
        <v>0.55226089054559846</v>
      </c>
      <c r="N61">
        <v>0.55089205436074318</v>
      </c>
      <c r="O61">
        <v>0.54825555777996704</v>
      </c>
      <c r="P61">
        <v>0.54425338926336864</v>
      </c>
      <c r="Q61">
        <v>0.53879718763590057</v>
      </c>
      <c r="R61">
        <v>0.53183414827373354</v>
      </c>
      <c r="S61">
        <v>0.52342836994010378</v>
      </c>
      <c r="T61">
        <v>0.51379892028854335</v>
      </c>
      <c r="U61">
        <v>0.50336139328008034</v>
      </c>
      <c r="V61">
        <v>0.49253149254472867</v>
      </c>
      <c r="W61">
        <v>0.48181262942286424</v>
      </c>
      <c r="X61">
        <v>0.4718311207212148</v>
      </c>
      <c r="Y61">
        <v>0.46305443119196316</v>
      </c>
      <c r="Z61">
        <v>0.45595700151634261</v>
      </c>
      <c r="AA61">
        <v>0.450885587824775</v>
      </c>
      <c r="AB61">
        <v>0.44808462604465982</v>
      </c>
      <c r="AC61">
        <v>0.44783574590614267</v>
      </c>
      <c r="AD61">
        <v>0.4501272115148377</v>
      </c>
      <c r="AE61">
        <v>0.45510784239550645</v>
      </c>
      <c r="AF61">
        <v>0.46276419194649893</v>
      </c>
      <c r="AG61">
        <v>0.4731734998535494</v>
      </c>
      <c r="AH61">
        <v>0.48625562624533997</v>
      </c>
      <c r="AI61">
        <v>0.50203416887474284</v>
      </c>
      <c r="AJ61">
        <v>0.52039425024413666</v>
      </c>
      <c r="AK61">
        <v>0.54118553507461986</v>
      </c>
      <c r="AL61">
        <v>0.56431359499027156</v>
      </c>
      <c r="AM61">
        <v>0.58954778098273186</v>
      </c>
      <c r="AN61">
        <v>0.61656730065229459</v>
      </c>
      <c r="AO61">
        <v>0.64516614354658175</v>
      </c>
      <c r="AP61">
        <v>0.67492730068171369</v>
      </c>
      <c r="AQ61">
        <v>0.70549568849616029</v>
      </c>
      <c r="AR61">
        <v>0.73640070343001307</v>
      </c>
      <c r="AS61">
        <v>0.76722588862026064</v>
      </c>
      <c r="AT61">
        <v>0.79743831921681108</v>
      </c>
      <c r="AU61">
        <v>0.82662172946604917</v>
      </c>
      <c r="AV61">
        <v>0.85434492178239896</v>
      </c>
      <c r="AW61">
        <v>0.88020542219239806</v>
      </c>
      <c r="AX61">
        <v>0.90387128770184555</v>
      </c>
      <c r="AY61">
        <v>0.92507324058366514</v>
      </c>
      <c r="AZ61">
        <v>0.94364328060076463</v>
      </c>
      <c r="BA61">
        <v>0.95948369618618212</v>
      </c>
      <c r="BB61">
        <v>0.97255018216803957</v>
      </c>
      <c r="BC61">
        <v>0.98291949577074844</v>
      </c>
      <c r="BD61">
        <v>0.99068631259344431</v>
      </c>
      <c r="BE61">
        <v>0.99599469817575415</v>
      </c>
      <c r="BF61">
        <v>0.99903351797343909</v>
      </c>
      <c r="BG61">
        <v>1</v>
      </c>
      <c r="BH61">
        <v>0.99909995055851675</v>
      </c>
      <c r="BI61">
        <v>0.99653213620100367</v>
      </c>
      <c r="BJ61">
        <v>0.99248453773995515</v>
      </c>
      <c r="BK61">
        <v>0.98711587919370003</v>
      </c>
      <c r="BL61">
        <v>0.98055590319675268</v>
      </c>
      <c r="BM61">
        <v>0.97288600780128087</v>
      </c>
      <c r="BN61">
        <v>0.96415993785895671</v>
      </c>
      <c r="BO61">
        <v>0.95437165574709915</v>
      </c>
      <c r="BP61">
        <v>0.9434852152391684</v>
      </c>
      <c r="BQ61">
        <v>0.93143332779080024</v>
      </c>
      <c r="BR61">
        <v>0.91807453530502947</v>
      </c>
      <c r="BS61">
        <v>0.90326868138538308</v>
      </c>
      <c r="BT61">
        <v>0.88682303198387258</v>
      </c>
      <c r="BU61">
        <v>0.86851805504829416</v>
      </c>
      <c r="BV61">
        <v>0.84812153755970821</v>
      </c>
      <c r="BW61">
        <v>0.82536306558860273</v>
      </c>
      <c r="BX61">
        <v>0.80000241751546497</v>
      </c>
      <c r="BY61">
        <v>0.77185188218806589</v>
      </c>
      <c r="BZ61">
        <v>0.74069815658415805</v>
      </c>
      <c r="CA61">
        <v>0.70647121580617334</v>
      </c>
      <c r="CB61">
        <v>0.66916364397559258</v>
      </c>
      <c r="CC61">
        <v>0.62892757219592044</v>
      </c>
      <c r="CD61">
        <v>0.58602932891727089</v>
      </c>
      <c r="CE61">
        <v>0.54085742141126181</v>
      </c>
      <c r="CF61">
        <v>0.49394627664858931</v>
      </c>
      <c r="CG61">
        <v>0.44583827010240329</v>
      </c>
      <c r="CH61">
        <v>0.39724219465156069</v>
      </c>
      <c r="CI61">
        <v>0.34868990010386003</v>
      </c>
      <c r="CJ61">
        <v>0.30085225530801873</v>
      </c>
      <c r="CK61">
        <v>0.25417197255813329</v>
      </c>
      <c r="CL61">
        <v>0.20914936053824146</v>
      </c>
      <c r="CM61">
        <v>0.16607890459551736</v>
      </c>
      <c r="CN61">
        <v>0.12519067669724612</v>
      </c>
      <c r="CO61">
        <v>8.664490455668164E-2</v>
      </c>
      <c r="CP61">
        <v>5.0506808514248228E-2</v>
      </c>
      <c r="CQ61">
        <v>1.6776112028174698E-2</v>
      </c>
      <c r="CR61">
        <v>-1.4563995162976356E-2</v>
      </c>
      <c r="CS61">
        <v>-4.361274113990328E-2</v>
      </c>
      <c r="CT61">
        <v>-7.0463390237421264E-2</v>
      </c>
      <c r="CU61">
        <v>-9.5220043401132742E-2</v>
      </c>
      <c r="CV61">
        <v>-0.11801578971767902</v>
      </c>
      <c r="CW61">
        <v>-0.13894990483640879</v>
      </c>
      <c r="CX61">
        <v>-0.15817799089341492</v>
      </c>
      <c r="CY61">
        <v>-0.17582172096036619</v>
      </c>
      <c r="CZ61">
        <v>-0.19194898109014513</v>
      </c>
      <c r="DA61">
        <v>-0.2066999296939859</v>
      </c>
      <c r="DB61">
        <v>-0.22016028087733469</v>
      </c>
      <c r="DC61">
        <v>-0.23240422368227331</v>
      </c>
      <c r="DD61">
        <v>-0.24353812060373653</v>
      </c>
      <c r="DE61">
        <v>-0.25358786812531375</v>
      </c>
      <c r="DF61">
        <v>-0.26264764326072304</v>
      </c>
      <c r="DG61">
        <v>-0.27075740609589005</v>
      </c>
      <c r="DH61">
        <v>-0.27795371189104723</v>
      </c>
      <c r="DI61">
        <v>-0.28426266627172658</v>
      </c>
      <c r="DJ61">
        <v>-0.2897133729311499</v>
      </c>
      <c r="DK61">
        <v>-0.29430133735118652</v>
      </c>
      <c r="DL61">
        <v>-0.29802819741263581</v>
      </c>
      <c r="DM61">
        <v>-0.30085125963970127</v>
      </c>
      <c r="DN61">
        <v>-0.30273609963304982</v>
      </c>
      <c r="DO61">
        <v>-0.30358010229342153</v>
      </c>
      <c r="DP61">
        <v>-0.3032246437196931</v>
      </c>
    </row>
    <row r="62" spans="1:120" x14ac:dyDescent="0.2">
      <c r="A62">
        <v>0.17387458594497129</v>
      </c>
      <c r="B62">
        <v>0.35409976287797329</v>
      </c>
      <c r="C62">
        <v>0.44939597937517822</v>
      </c>
      <c r="D62">
        <v>0.49046009455477224</v>
      </c>
      <c r="E62">
        <v>0.50955457203871546</v>
      </c>
      <c r="F62">
        <v>0.51990999040818398</v>
      </c>
      <c r="G62">
        <v>0.52653528049751841</v>
      </c>
      <c r="H62">
        <v>0.53114757660998269</v>
      </c>
      <c r="I62">
        <v>0.53455381831549509</v>
      </c>
      <c r="J62">
        <v>0.53696760781959574</v>
      </c>
      <c r="K62">
        <v>0.53830971812852246</v>
      </c>
      <c r="L62">
        <v>0.53868476333998261</v>
      </c>
      <c r="M62">
        <v>0.53794306122836333</v>
      </c>
      <c r="N62">
        <v>0.53597615039121416</v>
      </c>
      <c r="O62">
        <v>0.53267835983002132</v>
      </c>
      <c r="P62">
        <v>0.52795877149202075</v>
      </c>
      <c r="Q62">
        <v>0.52173737506134543</v>
      </c>
      <c r="R62">
        <v>0.51397243111065294</v>
      </c>
      <c r="S62">
        <v>0.50474735937099102</v>
      </c>
      <c r="T62">
        <v>0.49429333701628542</v>
      </c>
      <c r="U62">
        <v>0.48304629832074847</v>
      </c>
      <c r="V62">
        <v>0.47142878247727787</v>
      </c>
      <c r="W62">
        <v>0.45995508278134062</v>
      </c>
      <c r="X62">
        <v>0.44925195337301821</v>
      </c>
      <c r="Y62">
        <v>0.43978920278589623</v>
      </c>
      <c r="Z62">
        <v>0.43203546016706901</v>
      </c>
      <c r="AA62">
        <v>0.42633552849425377</v>
      </c>
      <c r="AB62">
        <v>0.4229291701710074</v>
      </c>
      <c r="AC62">
        <v>0.42210481143655576</v>
      </c>
      <c r="AD62">
        <v>0.4238444617267203</v>
      </c>
      <c r="AE62">
        <v>0.42830259511783741</v>
      </c>
      <c r="AF62">
        <v>0.43547379699689864</v>
      </c>
      <c r="AG62">
        <v>0.44543974159890481</v>
      </c>
      <c r="AH62">
        <v>0.45812768799923376</v>
      </c>
      <c r="AI62">
        <v>0.47357563261866897</v>
      </c>
      <c r="AJ62">
        <v>0.49167570148538658</v>
      </c>
      <c r="AK62">
        <v>0.51229366411669752</v>
      </c>
      <c r="AL62">
        <v>0.53534668821841891</v>
      </c>
      <c r="AM62">
        <v>0.56062058278465809</v>
      </c>
      <c r="AN62">
        <v>0.58780624161129291</v>
      </c>
      <c r="AO62">
        <v>0.61671547074235222</v>
      </c>
      <c r="AP62">
        <v>0.64694356873945646</v>
      </c>
      <c r="AQ62">
        <v>0.67814373582892529</v>
      </c>
      <c r="AR62">
        <v>0.70985279799164647</v>
      </c>
      <c r="AS62">
        <v>0.74165885703143641</v>
      </c>
      <c r="AT62">
        <v>0.7730212534604135</v>
      </c>
      <c r="AU62">
        <v>0.80352104437765437</v>
      </c>
      <c r="AV62">
        <v>0.83271520721512626</v>
      </c>
      <c r="AW62">
        <v>0.86018565159124649</v>
      </c>
      <c r="AX62">
        <v>0.88558152389969269</v>
      </c>
      <c r="AY62">
        <v>0.90861185051550419</v>
      </c>
      <c r="AZ62">
        <v>0.92908594898820118</v>
      </c>
      <c r="BA62">
        <v>0.9468840577189811</v>
      </c>
      <c r="BB62">
        <v>0.96193599373432903</v>
      </c>
      <c r="BC62">
        <v>0.97430150793552051</v>
      </c>
      <c r="BD62">
        <v>0.98405414277545722</v>
      </c>
      <c r="BE62">
        <v>0.99131912013850088</v>
      </c>
      <c r="BF62">
        <v>0.99627331778286721</v>
      </c>
      <c r="BG62">
        <v>0.99909995055851664</v>
      </c>
      <c r="BH62">
        <v>1</v>
      </c>
      <c r="BI62">
        <v>0.99916299969055944</v>
      </c>
      <c r="BJ62">
        <v>0.99677271779398391</v>
      </c>
      <c r="BK62">
        <v>0.99298736225026796</v>
      </c>
      <c r="BL62">
        <v>0.98793673423025363</v>
      </c>
      <c r="BM62">
        <v>0.98170586486108835</v>
      </c>
      <c r="BN62">
        <v>0.97435052200804972</v>
      </c>
      <c r="BO62">
        <v>0.96586942057147063</v>
      </c>
      <c r="BP62">
        <v>0.95622997767604612</v>
      </c>
      <c r="BQ62">
        <v>0.94536667977303168</v>
      </c>
      <c r="BR62">
        <v>0.9331420125550578</v>
      </c>
      <c r="BS62">
        <v>0.91941627097549261</v>
      </c>
      <c r="BT62">
        <v>0.90399675742924568</v>
      </c>
      <c r="BU62">
        <v>0.88666206244952073</v>
      </c>
      <c r="BV62">
        <v>0.86717673095991255</v>
      </c>
      <c r="BW62">
        <v>0.84526710162521423</v>
      </c>
      <c r="BX62">
        <v>0.82068534928165793</v>
      </c>
      <c r="BY62">
        <v>0.79323457830669464</v>
      </c>
      <c r="BZ62">
        <v>0.76269354994515703</v>
      </c>
      <c r="CA62">
        <v>0.72898376156104938</v>
      </c>
      <c r="CB62">
        <v>0.69208717508569384</v>
      </c>
      <c r="CC62">
        <v>0.65214838140533382</v>
      </c>
      <c r="CD62">
        <v>0.60942902671857913</v>
      </c>
      <c r="CE62">
        <v>0.5643159432094399</v>
      </c>
      <c r="CF62">
        <v>0.51734407316960695</v>
      </c>
      <c r="CG62">
        <v>0.46906174290920694</v>
      </c>
      <c r="CH62">
        <v>0.42018572772615198</v>
      </c>
      <c r="CI62">
        <v>0.37126121321735506</v>
      </c>
      <c r="CJ62">
        <v>0.32297112433116854</v>
      </c>
      <c r="CK62">
        <v>0.27577478397577709</v>
      </c>
      <c r="CL62">
        <v>0.23018600202662234</v>
      </c>
      <c r="CM62">
        <v>0.18651382595480923</v>
      </c>
      <c r="CN62">
        <v>0.14500155439578138</v>
      </c>
      <c r="CO62">
        <v>0.10582137877530831</v>
      </c>
      <c r="CP62">
        <v>6.9046845046203509E-2</v>
      </c>
      <c r="CQ62">
        <v>3.468699769606215E-2</v>
      </c>
      <c r="CR62">
        <v>2.7308603381324217E-3</v>
      </c>
      <c r="CS62">
        <v>-2.6915850624748532E-2</v>
      </c>
      <c r="CT62">
        <v>-5.4343650203040536E-2</v>
      </c>
      <c r="CU62">
        <v>-7.965421762463884E-2</v>
      </c>
      <c r="CV62">
        <v>-0.10297826226142062</v>
      </c>
      <c r="CW62">
        <v>-0.12441418991352855</v>
      </c>
      <c r="CX62">
        <v>-0.14411827737027669</v>
      </c>
      <c r="CY62">
        <v>-0.16221159485968301</v>
      </c>
      <c r="CZ62">
        <v>-0.1787624040877234</v>
      </c>
      <c r="DA62">
        <v>-0.19391171039351823</v>
      </c>
      <c r="DB62">
        <v>-0.20774633058821476</v>
      </c>
      <c r="DC62">
        <v>-0.22034018522602236</v>
      </c>
      <c r="DD62">
        <v>-0.23180206834231559</v>
      </c>
      <c r="DE62">
        <v>-0.24215832237299226</v>
      </c>
      <c r="DF62">
        <v>-0.25150353700273742</v>
      </c>
      <c r="DG62">
        <v>-0.25987950965463763</v>
      </c>
      <c r="DH62">
        <v>-0.26732317945950035</v>
      </c>
      <c r="DI62">
        <v>-0.27386251374725301</v>
      </c>
      <c r="DJ62">
        <v>-0.27952706876851285</v>
      </c>
      <c r="DK62">
        <v>-0.28431387355711557</v>
      </c>
      <c r="DL62">
        <v>-0.28822509372510757</v>
      </c>
      <c r="DM62">
        <v>-0.29121987558349627</v>
      </c>
      <c r="DN62">
        <v>-0.29326583350744256</v>
      </c>
      <c r="DO62">
        <v>-0.29426281199100435</v>
      </c>
      <c r="DP62">
        <v>-0.29405551332391988</v>
      </c>
    </row>
    <row r="63" spans="1:120" x14ac:dyDescent="0.2">
      <c r="A63">
        <v>0.16933436027256085</v>
      </c>
      <c r="B63">
        <v>0.34582323391096587</v>
      </c>
      <c r="C63">
        <v>0.43923110925881026</v>
      </c>
      <c r="D63">
        <v>0.47950103545469852</v>
      </c>
      <c r="E63">
        <v>0.49819633605025387</v>
      </c>
      <c r="F63">
        <v>0.50827678907747142</v>
      </c>
      <c r="G63">
        <v>0.51465877255902215</v>
      </c>
      <c r="H63">
        <v>0.51901612566055455</v>
      </c>
      <c r="I63">
        <v>0.52214001333150162</v>
      </c>
      <c r="J63">
        <v>0.52423622993148322</v>
      </c>
      <c r="K63">
        <v>0.52521235083400775</v>
      </c>
      <c r="L63">
        <v>0.52517193459484623</v>
      </c>
      <c r="M63">
        <v>0.52396103521154236</v>
      </c>
      <c r="N63">
        <v>0.52146890437428794</v>
      </c>
      <c r="O63">
        <v>0.51759097776899632</v>
      </c>
      <c r="P63">
        <v>0.51224211420151988</v>
      </c>
      <c r="Q63">
        <v>0.50534935198790165</v>
      </c>
      <c r="R63">
        <v>0.49688008576817105</v>
      </c>
      <c r="S63">
        <v>0.48693455556109999</v>
      </c>
      <c r="T63">
        <v>0.47575352857041586</v>
      </c>
      <c r="U63">
        <v>0.46379056993880818</v>
      </c>
      <c r="V63">
        <v>0.45147293374137287</v>
      </c>
      <c r="W63">
        <v>0.43932396178314181</v>
      </c>
      <c r="X63">
        <v>0.42796934796088937</v>
      </c>
      <c r="Y63">
        <v>0.4178807858144773</v>
      </c>
      <c r="Z63">
        <v>0.40952066666385184</v>
      </c>
      <c r="AA63">
        <v>0.40323137095076206</v>
      </c>
      <c r="AB63">
        <v>0.39924845490267113</v>
      </c>
      <c r="AC63">
        <v>0.39786659961971632</v>
      </c>
      <c r="AD63">
        <v>0.39906194417444213</v>
      </c>
      <c r="AE63">
        <v>0.40299434084173863</v>
      </c>
      <c r="AF63">
        <v>0.40966639340716932</v>
      </c>
      <c r="AG63">
        <v>0.41916377773514762</v>
      </c>
      <c r="AH63">
        <v>0.43142106086493626</v>
      </c>
      <c r="AI63">
        <v>0.44649034796526904</v>
      </c>
      <c r="AJ63">
        <v>0.46427039523438773</v>
      </c>
      <c r="AK63">
        <v>0.48464323354048217</v>
      </c>
      <c r="AL63">
        <v>0.5075371489981968</v>
      </c>
      <c r="AM63">
        <v>0.53275449561046695</v>
      </c>
      <c r="AN63">
        <v>0.55999843366303614</v>
      </c>
      <c r="AO63">
        <v>0.58909840881639908</v>
      </c>
      <c r="AP63">
        <v>0.61966320200489433</v>
      </c>
      <c r="AQ63">
        <v>0.65135491151147351</v>
      </c>
      <c r="AR63">
        <v>0.68371913981449073</v>
      </c>
      <c r="AS63">
        <v>0.71635003927996477</v>
      </c>
      <c r="AT63">
        <v>0.74870098862964063</v>
      </c>
      <c r="AU63">
        <v>0.78035224834074401</v>
      </c>
      <c r="AV63">
        <v>0.8108509589888393</v>
      </c>
      <c r="AW63">
        <v>0.83976541599356358</v>
      </c>
      <c r="AX63">
        <v>0.86672811962717455</v>
      </c>
      <c r="AY63">
        <v>0.89142829568317816</v>
      </c>
      <c r="AZ63">
        <v>0.91365407572073709</v>
      </c>
      <c r="BA63">
        <v>0.93326541739107038</v>
      </c>
      <c r="BB63">
        <v>0.95016766662275243</v>
      </c>
      <c r="BC63">
        <v>0.96440433437096129</v>
      </c>
      <c r="BD63">
        <v>0.97602850962459053</v>
      </c>
      <c r="BE63">
        <v>0.98514707049339278</v>
      </c>
      <c r="BF63">
        <v>0.99192510096121189</v>
      </c>
      <c r="BG63">
        <v>0.99653213620100367</v>
      </c>
      <c r="BH63">
        <v>0.99916299969055933</v>
      </c>
      <c r="BI63">
        <v>1</v>
      </c>
      <c r="BJ63">
        <v>0.99922033343210159</v>
      </c>
      <c r="BK63">
        <v>0.99698244618295906</v>
      </c>
      <c r="BL63">
        <v>0.99341560673205709</v>
      </c>
      <c r="BM63">
        <v>0.98860820019648421</v>
      </c>
      <c r="BN63">
        <v>0.98261771665976483</v>
      </c>
      <c r="BO63">
        <v>0.97544762483333447</v>
      </c>
      <c r="BP63">
        <v>0.96706851087031964</v>
      </c>
      <c r="BQ63">
        <v>0.9574167441702407</v>
      </c>
      <c r="BR63">
        <v>0.94635905539742149</v>
      </c>
      <c r="BS63">
        <v>0.93375620286006644</v>
      </c>
      <c r="BT63">
        <v>0.91941593299614865</v>
      </c>
      <c r="BU63">
        <v>0.90311541733334011</v>
      </c>
      <c r="BV63">
        <v>0.88461625584904646</v>
      </c>
      <c r="BW63">
        <v>0.86364183356093949</v>
      </c>
      <c r="BX63">
        <v>0.83993707473655865</v>
      </c>
      <c r="BY63">
        <v>0.81329589014464276</v>
      </c>
      <c r="BZ63">
        <v>0.7834891057724076</v>
      </c>
      <c r="CA63">
        <v>0.7504289778405745</v>
      </c>
      <c r="CB63">
        <v>0.7140861837772049</v>
      </c>
      <c r="CC63">
        <v>0.67459633466501756</v>
      </c>
      <c r="CD63">
        <v>0.63221471983795829</v>
      </c>
      <c r="CE63">
        <v>0.58732443881017948</v>
      </c>
      <c r="CF63">
        <v>0.54045869718687034</v>
      </c>
      <c r="CG63">
        <v>0.49216954957669601</v>
      </c>
      <c r="CH63">
        <v>0.44317929362389263</v>
      </c>
      <c r="CI63">
        <v>0.39404457822188882</v>
      </c>
      <c r="CJ63">
        <v>0.34545848157477105</v>
      </c>
      <c r="CK63">
        <v>0.29789555309339122</v>
      </c>
      <c r="CL63">
        <v>0.25188201107600955</v>
      </c>
      <c r="CM63">
        <v>0.20774084763000944</v>
      </c>
      <c r="CN63">
        <v>0.16572815525889664</v>
      </c>
      <c r="CO63">
        <v>0.12602802507001482</v>
      </c>
      <c r="CP63">
        <v>8.8722513641723955E-2</v>
      </c>
      <c r="CQ63">
        <v>5.3830273785776449E-2</v>
      </c>
      <c r="CR63">
        <v>2.1346464914970876E-2</v>
      </c>
      <c r="CS63">
        <v>-8.8176634768070382E-3</v>
      </c>
      <c r="CT63">
        <v>-3.6749366804484658E-2</v>
      </c>
      <c r="CU63">
        <v>-6.2547377520778991E-2</v>
      </c>
      <c r="CV63">
        <v>-8.6339555673458843E-2</v>
      </c>
      <c r="CW63">
        <v>-0.10822297222228848</v>
      </c>
      <c r="CX63">
        <v>-0.12835401900501966</v>
      </c>
      <c r="CY63">
        <v>-0.14685277180799725</v>
      </c>
      <c r="CZ63">
        <v>-0.16378752739693683</v>
      </c>
      <c r="DA63">
        <v>-0.17929975063415626</v>
      </c>
      <c r="DB63">
        <v>-0.19347705555684547</v>
      </c>
      <c r="DC63">
        <v>-0.20639288764045421</v>
      </c>
      <c r="DD63">
        <v>-0.21815814861119368</v>
      </c>
      <c r="DE63">
        <v>-0.22879951529403464</v>
      </c>
      <c r="DF63">
        <v>-0.23841180544708443</v>
      </c>
      <c r="DG63">
        <v>-0.24703855985913944</v>
      </c>
      <c r="DH63">
        <v>-0.2547170243054116</v>
      </c>
      <c r="DI63">
        <v>-0.26147699363935911</v>
      </c>
      <c r="DJ63">
        <v>-0.26734851015196581</v>
      </c>
      <c r="DK63">
        <v>-0.27233023215984936</v>
      </c>
      <c r="DL63">
        <v>-0.27642505337853779</v>
      </c>
      <c r="DM63">
        <v>-0.27959424495513707</v>
      </c>
      <c r="DN63">
        <v>-0.28180788057883827</v>
      </c>
      <c r="DO63">
        <v>-0.28296897754305195</v>
      </c>
      <c r="DP63">
        <v>-0.28292666256480159</v>
      </c>
    </row>
    <row r="64" spans="1:120" x14ac:dyDescent="0.2">
      <c r="A64">
        <v>0.16479561302869772</v>
      </c>
      <c r="B64">
        <v>0.33762137209552534</v>
      </c>
      <c r="C64">
        <v>0.42919263649265471</v>
      </c>
      <c r="D64">
        <v>0.46870412140710582</v>
      </c>
      <c r="E64">
        <v>0.4870299722131865</v>
      </c>
      <c r="F64">
        <v>0.49686380080360909</v>
      </c>
      <c r="G64">
        <v>0.50303132605719014</v>
      </c>
      <c r="H64">
        <v>0.50716537207570234</v>
      </c>
      <c r="I64">
        <v>0.51004232379281877</v>
      </c>
      <c r="J64">
        <v>0.51186119557134024</v>
      </c>
      <c r="K64">
        <v>0.51251775171885738</v>
      </c>
      <c r="L64">
        <v>0.51211469085359029</v>
      </c>
      <c r="M64">
        <v>0.51049445017105188</v>
      </c>
      <c r="N64">
        <v>0.50754406633796834</v>
      </c>
      <c r="O64">
        <v>0.50315997077965713</v>
      </c>
      <c r="P64">
        <v>0.4972617137238361</v>
      </c>
      <c r="Q64">
        <v>0.48978223532913734</v>
      </c>
      <c r="R64">
        <v>0.48069620702111399</v>
      </c>
      <c r="S64">
        <v>0.47011857056688605</v>
      </c>
      <c r="T64">
        <v>0.4582973250237431</v>
      </c>
      <c r="U64">
        <v>0.4457014474847788</v>
      </c>
      <c r="V64">
        <v>0.43276093154227974</v>
      </c>
      <c r="W64">
        <v>0.42000684538181837</v>
      </c>
      <c r="X64">
        <v>0.40806249051729099</v>
      </c>
      <c r="Y64">
        <v>0.39740131858200539</v>
      </c>
      <c r="Z64">
        <v>0.3884788671787085</v>
      </c>
      <c r="AA64">
        <v>0.38163508594397544</v>
      </c>
      <c r="AB64">
        <v>0.3771016377576844</v>
      </c>
      <c r="AC64">
        <v>0.37517896339660323</v>
      </c>
      <c r="AD64">
        <v>0.37583765526548324</v>
      </c>
      <c r="AE64">
        <v>0.3792426192548396</v>
      </c>
      <c r="AF64">
        <v>0.38540442774593847</v>
      </c>
      <c r="AG64">
        <v>0.39441213041983197</v>
      </c>
      <c r="AH64">
        <v>0.40620761808209599</v>
      </c>
      <c r="AI64">
        <v>0.42085659233660461</v>
      </c>
      <c r="AJ64">
        <v>0.438264114237717</v>
      </c>
      <c r="AK64">
        <v>0.45832831143155317</v>
      </c>
      <c r="AL64">
        <v>0.48098810484320453</v>
      </c>
      <c r="AM64">
        <v>0.50606237279422417</v>
      </c>
      <c r="AN64">
        <v>0.53326676908516113</v>
      </c>
      <c r="AO64">
        <v>0.56244817010442749</v>
      </c>
      <c r="AP64">
        <v>0.59322979898099437</v>
      </c>
      <c r="AQ64">
        <v>0.625282871730926</v>
      </c>
      <c r="AR64">
        <v>0.65816306195364516</v>
      </c>
      <c r="AS64">
        <v>0.69147174932857536</v>
      </c>
      <c r="AT64">
        <v>0.7246581469722031</v>
      </c>
      <c r="AU64">
        <v>0.75730316736008096</v>
      </c>
      <c r="AV64">
        <v>0.78894615104037236</v>
      </c>
      <c r="AW64">
        <v>0.8191437159694146</v>
      </c>
      <c r="AX64">
        <v>0.84751381341324949</v>
      </c>
      <c r="AY64">
        <v>0.87372783326553394</v>
      </c>
      <c r="AZ64">
        <v>0.89755420474384029</v>
      </c>
      <c r="BA64">
        <v>0.91883444344548426</v>
      </c>
      <c r="BB64">
        <v>0.93745087568905472</v>
      </c>
      <c r="BC64">
        <v>0.95343162828788552</v>
      </c>
      <c r="BD64">
        <v>0.96681018327395885</v>
      </c>
      <c r="BE64">
        <v>0.97767575200836054</v>
      </c>
      <c r="BF64">
        <v>0.9861817737172448</v>
      </c>
      <c r="BG64">
        <v>0.99248453773995515</v>
      </c>
      <c r="BH64">
        <v>0.99677271779398402</v>
      </c>
      <c r="BI64">
        <v>0.99922033343210159</v>
      </c>
      <c r="BJ64">
        <v>1</v>
      </c>
      <c r="BK64">
        <v>0.99926800704090668</v>
      </c>
      <c r="BL64">
        <v>0.99715397685200768</v>
      </c>
      <c r="BM64">
        <v>0.99374911677820066</v>
      </c>
      <c r="BN64">
        <v>0.98911239322004374</v>
      </c>
      <c r="BO64">
        <v>0.98325202740058004</v>
      </c>
      <c r="BP64">
        <v>0.97614162693093409</v>
      </c>
      <c r="BQ64">
        <v>0.96771948738038527</v>
      </c>
      <c r="BR64">
        <v>0.95785687193527103</v>
      </c>
      <c r="BS64">
        <v>0.94641511125931743</v>
      </c>
      <c r="BT64">
        <v>0.93320273201431436</v>
      </c>
      <c r="BU64">
        <v>0.91799581962235022</v>
      </c>
      <c r="BV64">
        <v>0.90055339823069191</v>
      </c>
      <c r="BW64">
        <v>0.88059614518140505</v>
      </c>
      <c r="BX64">
        <v>0.85786206947236487</v>
      </c>
      <c r="BY64">
        <v>0.83213579210112154</v>
      </c>
      <c r="BZ64">
        <v>0.80318020353220454</v>
      </c>
      <c r="CA64">
        <v>0.77089752852759896</v>
      </c>
      <c r="CB64">
        <v>0.73524650562065219</v>
      </c>
      <c r="CC64">
        <v>0.69635237632159541</v>
      </c>
      <c r="CD64">
        <v>0.65446226670471996</v>
      </c>
      <c r="CE64">
        <v>0.60995359237992552</v>
      </c>
      <c r="CF64">
        <v>0.56335555588168007</v>
      </c>
      <c r="CG64">
        <v>0.51522181001636758</v>
      </c>
      <c r="CH64">
        <v>0.46627778758109645</v>
      </c>
      <c r="CI64">
        <v>0.41708968665045854</v>
      </c>
      <c r="CJ64">
        <v>0.36835896223775466</v>
      </c>
      <c r="CK64">
        <v>0.32057403768013526</v>
      </c>
      <c r="CL64">
        <v>0.2742724456276161</v>
      </c>
      <c r="CM64">
        <v>0.22979053469512184</v>
      </c>
      <c r="CN64">
        <v>0.18739683138759636</v>
      </c>
      <c r="CO64">
        <v>0.14728719824959385</v>
      </c>
      <c r="CP64">
        <v>0.10955245377378682</v>
      </c>
      <c r="CQ64">
        <v>7.4221032657675517E-2</v>
      </c>
      <c r="CR64">
        <v>4.1294665508578764E-2</v>
      </c>
      <c r="CS64">
        <v>1.0690593241031195E-2</v>
      </c>
      <c r="CT64">
        <v>-1.7674586098522693E-2</v>
      </c>
      <c r="CU64">
        <v>-4.3896216481054171E-2</v>
      </c>
      <c r="CV64">
        <v>-6.8098814404642508E-2</v>
      </c>
      <c r="CW64">
        <v>-9.0377671043295041E-2</v>
      </c>
      <c r="CX64">
        <v>-0.11088873927532863</v>
      </c>
      <c r="CY64">
        <v>-0.12975075343227255</v>
      </c>
      <c r="CZ64">
        <v>-0.14703170474209931</v>
      </c>
      <c r="DA64">
        <v>-0.16287314610304809</v>
      </c>
      <c r="DB64">
        <v>-0.17736316520913067</v>
      </c>
      <c r="DC64">
        <v>-0.19057458200775593</v>
      </c>
      <c r="DD64">
        <v>-0.20262006220021928</v>
      </c>
      <c r="DE64">
        <v>-0.21352651057933347</v>
      </c>
      <c r="DF64">
        <v>-0.22338883210642926</v>
      </c>
      <c r="DG64">
        <v>-0.23225216846734201</v>
      </c>
      <c r="DH64">
        <v>-0.24015406413634796</v>
      </c>
      <c r="DI64">
        <v>-0.24712607213002502</v>
      </c>
      <c r="DJ64">
        <v>-0.25319878362417425</v>
      </c>
      <c r="DK64">
        <v>-0.25837259130386864</v>
      </c>
      <c r="DL64">
        <v>-0.26265133118226752</v>
      </c>
      <c r="DM64">
        <v>-0.26599869874872062</v>
      </c>
      <c r="DN64">
        <v>-0.26838766152300791</v>
      </c>
      <c r="DO64">
        <v>-0.26972512722769765</v>
      </c>
      <c r="DP64">
        <v>-0.26986576927407319</v>
      </c>
    </row>
    <row r="65" spans="1:120" x14ac:dyDescent="0.2">
      <c r="A65">
        <v>0.16030623112363895</v>
      </c>
      <c r="B65">
        <v>0.32956961444114768</v>
      </c>
      <c r="C65">
        <v>0.41936771305781867</v>
      </c>
      <c r="D65">
        <v>0.45815860936200442</v>
      </c>
      <c r="E65">
        <v>0.47614330588057818</v>
      </c>
      <c r="F65">
        <v>0.48575595104173108</v>
      </c>
      <c r="G65">
        <v>0.49173456578911984</v>
      </c>
      <c r="H65">
        <v>0.49567319304448509</v>
      </c>
      <c r="I65">
        <v>0.49833466553568395</v>
      </c>
      <c r="J65">
        <v>0.49991219060476366</v>
      </c>
      <c r="K65">
        <v>0.500290893136492</v>
      </c>
      <c r="L65">
        <v>0.49957298761742436</v>
      </c>
      <c r="M65">
        <v>0.49759783725819978</v>
      </c>
      <c r="N65">
        <v>0.49425020367451694</v>
      </c>
      <c r="O65">
        <v>0.48942755843918678</v>
      </c>
      <c r="P65">
        <v>0.48305304879252603</v>
      </c>
      <c r="Q65">
        <v>0.4750644922167695</v>
      </c>
      <c r="R65">
        <v>0.46544232365456945</v>
      </c>
      <c r="S65">
        <v>0.45431399882857038</v>
      </c>
      <c r="T65">
        <v>0.44193276615253679</v>
      </c>
      <c r="U65">
        <v>0.42878098703725781</v>
      </c>
      <c r="V65">
        <v>0.41528954691422088</v>
      </c>
      <c r="W65">
        <v>0.40199600355699694</v>
      </c>
      <c r="X65">
        <v>0.38952025653594019</v>
      </c>
      <c r="Y65">
        <v>0.37833705022925607</v>
      </c>
      <c r="Z65">
        <v>0.36889498797022374</v>
      </c>
      <c r="AA65">
        <v>0.36153116385925593</v>
      </c>
      <c r="AB65">
        <v>0.35647385621620237</v>
      </c>
      <c r="AC65">
        <v>0.35402867610890193</v>
      </c>
      <c r="AD65">
        <v>0.35416080803133021</v>
      </c>
      <c r="AE65">
        <v>0.35704003000533263</v>
      </c>
      <c r="AF65">
        <v>0.36268457482342181</v>
      </c>
      <c r="AG65">
        <v>0.37118644535620787</v>
      </c>
      <c r="AH65">
        <v>0.38249462838534565</v>
      </c>
      <c r="AI65">
        <v>0.39668798066869887</v>
      </c>
      <c r="AJ65">
        <v>0.41367729060734587</v>
      </c>
      <c r="AK65">
        <v>0.43337683596156673</v>
      </c>
      <c r="AL65">
        <v>0.45573542853591359</v>
      </c>
      <c r="AM65">
        <v>0.48058846563407753</v>
      </c>
      <c r="AN65">
        <v>0.5076641925265114</v>
      </c>
      <c r="AO65">
        <v>0.53682659917584807</v>
      </c>
      <c r="AP65">
        <v>0.56771424528460213</v>
      </c>
      <c r="AQ65">
        <v>0.60000762442172939</v>
      </c>
      <c r="AR65">
        <v>0.63327354471057251</v>
      </c>
      <c r="AS65">
        <v>0.66712178237655251</v>
      </c>
      <c r="AT65">
        <v>0.70099890784298158</v>
      </c>
      <c r="AU65">
        <v>0.73448808494810935</v>
      </c>
      <c r="AV65">
        <v>0.76712257952220331</v>
      </c>
      <c r="AW65">
        <v>0.79844926259088989</v>
      </c>
      <c r="AX65">
        <v>0.82807346596274256</v>
      </c>
      <c r="AY65">
        <v>0.85565078578329523</v>
      </c>
      <c r="AZ65">
        <v>0.88093143142334807</v>
      </c>
      <c r="BA65">
        <v>0.90374016790634482</v>
      </c>
      <c r="BB65">
        <v>0.9239378566315597</v>
      </c>
      <c r="BC65">
        <v>0.94153817481470881</v>
      </c>
      <c r="BD65">
        <v>0.95655580197488832</v>
      </c>
      <c r="BE65">
        <v>0.96906296547272452</v>
      </c>
      <c r="BF65">
        <v>0.97920186424043298</v>
      </c>
      <c r="BG65">
        <v>0.98711587919370003</v>
      </c>
      <c r="BH65">
        <v>0.99298736225026807</v>
      </c>
      <c r="BI65">
        <v>0.99698244618295906</v>
      </c>
      <c r="BJ65">
        <v>0.99926800704090668</v>
      </c>
      <c r="BK65">
        <v>1</v>
      </c>
      <c r="BL65">
        <v>0.9993061864859647</v>
      </c>
      <c r="BM65">
        <v>0.9972814155208497</v>
      </c>
      <c r="BN65">
        <v>0.99398563260945316</v>
      </c>
      <c r="BO65">
        <v>0.98943182331938417</v>
      </c>
      <c r="BP65">
        <v>0.98359645464569201</v>
      </c>
      <c r="BQ65">
        <v>0.97641989421766295</v>
      </c>
      <c r="BR65">
        <v>0.96777818424501016</v>
      </c>
      <c r="BS65">
        <v>0.95753323303747262</v>
      </c>
      <c r="BT65">
        <v>0.94549466472842736</v>
      </c>
      <c r="BU65">
        <v>0.93143793058142843</v>
      </c>
      <c r="BV65">
        <v>0.91511966559878988</v>
      </c>
      <c r="BW65">
        <v>0.89625810935338335</v>
      </c>
      <c r="BX65">
        <v>0.87458461063173731</v>
      </c>
      <c r="BY65">
        <v>0.84987448980928437</v>
      </c>
      <c r="BZ65">
        <v>0.82188258535936409</v>
      </c>
      <c r="CA65">
        <v>0.79050025737345264</v>
      </c>
      <c r="CB65">
        <v>0.75567368881736308</v>
      </c>
      <c r="CC65">
        <v>0.71751637565801352</v>
      </c>
      <c r="CD65">
        <v>0.67626552269309559</v>
      </c>
      <c r="CE65">
        <v>0.63229094337739555</v>
      </c>
      <c r="CF65">
        <v>0.58611567947534826</v>
      </c>
      <c r="CG65">
        <v>0.53829286544263633</v>
      </c>
      <c r="CH65">
        <v>0.48954883573799718</v>
      </c>
      <c r="CI65">
        <v>0.44045750873301953</v>
      </c>
      <c r="CJ65">
        <v>0.3917269438055348</v>
      </c>
      <c r="CK65">
        <v>0.34385821697972047</v>
      </c>
      <c r="CL65">
        <v>0.29739913920674804</v>
      </c>
      <c r="CM65">
        <v>0.25269886942631964</v>
      </c>
      <c r="CN65">
        <v>0.21003804809762067</v>
      </c>
      <c r="CO65">
        <v>0.16962417915911895</v>
      </c>
      <c r="CP65">
        <v>0.13155710472618237</v>
      </c>
      <c r="CQ65">
        <v>9.5875279295162874E-2</v>
      </c>
      <c r="CR65">
        <v>6.2587356131404176E-2</v>
      </c>
      <c r="CS65">
        <v>3.1617099320722375E-2</v>
      </c>
      <c r="CT65">
        <v>2.8854255018959402E-3</v>
      </c>
      <c r="CU65">
        <v>-2.3699085174227207E-2</v>
      </c>
      <c r="CV65">
        <v>-4.8257175794870502E-2</v>
      </c>
      <c r="CW65">
        <v>-7.0881934513761832E-2</v>
      </c>
      <c r="CX65">
        <v>-9.1728345561285049E-2</v>
      </c>
      <c r="CY65">
        <v>-0.11091344459331322</v>
      </c>
      <c r="CZ65">
        <v>-0.12850459371241749</v>
      </c>
      <c r="DA65">
        <v>-0.14464308537991447</v>
      </c>
      <c r="DB65">
        <v>-0.15941718393353144</v>
      </c>
      <c r="DC65">
        <v>-0.17289891264304358</v>
      </c>
      <c r="DD65">
        <v>-0.18520239049414394</v>
      </c>
      <c r="DE65">
        <v>-0.19635463629356936</v>
      </c>
      <c r="DF65">
        <v>-0.20645052075316492</v>
      </c>
      <c r="DG65">
        <v>-0.21553665513754997</v>
      </c>
      <c r="DH65">
        <v>-0.22365085958590517</v>
      </c>
      <c r="DI65">
        <v>-0.23082640792197376</v>
      </c>
      <c r="DJ65">
        <v>-0.23709447719986812</v>
      </c>
      <c r="DK65">
        <v>-0.24245731612359206</v>
      </c>
      <c r="DL65">
        <v>-0.2469199068130471</v>
      </c>
      <c r="DM65">
        <v>-0.25044867255337072</v>
      </c>
      <c r="DN65">
        <v>-0.25301990254886431</v>
      </c>
      <c r="DO65">
        <v>-0.25454510540633318</v>
      </c>
      <c r="DP65">
        <v>-0.25488564914650902</v>
      </c>
    </row>
    <row r="66" spans="1:120" x14ac:dyDescent="0.2">
      <c r="A66">
        <v>0.15589643589758637</v>
      </c>
      <c r="B66">
        <v>0.32171493330184586</v>
      </c>
      <c r="C66">
        <v>0.4098110509949402</v>
      </c>
      <c r="D66">
        <v>0.44792309157705723</v>
      </c>
      <c r="E66">
        <v>0.46559768049186578</v>
      </c>
      <c r="F66">
        <v>0.47501751184207625</v>
      </c>
      <c r="G66">
        <v>0.48083533893943642</v>
      </c>
      <c r="H66">
        <v>0.48460904970004137</v>
      </c>
      <c r="I66">
        <v>0.48708863559519811</v>
      </c>
      <c r="J66">
        <v>0.48846245654179182</v>
      </c>
      <c r="K66">
        <v>0.48860608055954791</v>
      </c>
      <c r="L66">
        <v>0.48762133082385517</v>
      </c>
      <c r="M66">
        <v>0.48534503356378766</v>
      </c>
      <c r="N66">
        <v>0.48165951788927891</v>
      </c>
      <c r="O66">
        <v>0.47646338204688998</v>
      </c>
      <c r="P66">
        <v>0.46968220963244789</v>
      </c>
      <c r="Q66">
        <v>0.46125767935981343</v>
      </c>
      <c r="R66">
        <v>0.45117454675980984</v>
      </c>
      <c r="S66">
        <v>0.43957087508986037</v>
      </c>
      <c r="T66">
        <v>0.42670343885968331</v>
      </c>
      <c r="U66">
        <v>0.41306597503978731</v>
      </c>
      <c r="V66">
        <v>0.39908890555198046</v>
      </c>
      <c r="W66">
        <v>0.38531520583719192</v>
      </c>
      <c r="X66">
        <v>0.37236036908671977</v>
      </c>
      <c r="Y66">
        <v>0.36070056981160281</v>
      </c>
      <c r="Z66">
        <v>0.35077703086433598</v>
      </c>
      <c r="AA66">
        <v>0.34292401142506079</v>
      </c>
      <c r="AB66">
        <v>0.33736673293882607</v>
      </c>
      <c r="AC66">
        <v>0.33441543043215377</v>
      </c>
      <c r="AD66">
        <v>0.33403024578316209</v>
      </c>
      <c r="AE66">
        <v>0.33638539359861247</v>
      </c>
      <c r="AF66">
        <v>0.34150664567321903</v>
      </c>
      <c r="AG66">
        <v>0.34948828862237052</v>
      </c>
      <c r="AH66">
        <v>0.36028631247787007</v>
      </c>
      <c r="AI66">
        <v>0.37399220935816152</v>
      </c>
      <c r="AJ66">
        <v>0.39052194557337411</v>
      </c>
      <c r="AK66">
        <v>0.40980582367760809</v>
      </c>
      <c r="AL66">
        <v>0.43180194122409088</v>
      </c>
      <c r="AM66">
        <v>0.45636194284821574</v>
      </c>
      <c r="AN66">
        <v>0.48322679339846103</v>
      </c>
      <c r="AO66">
        <v>0.51227713853511747</v>
      </c>
      <c r="AP66">
        <v>0.54316757002720462</v>
      </c>
      <c r="AQ66">
        <v>0.57558795250818728</v>
      </c>
      <c r="AR66">
        <v>0.60911726136728439</v>
      </c>
      <c r="AS66">
        <v>0.64337451104742749</v>
      </c>
      <c r="AT66">
        <v>0.67780521997396903</v>
      </c>
      <c r="AU66">
        <v>0.71199600940192831</v>
      </c>
      <c r="AV66">
        <v>0.74547603006643803</v>
      </c>
      <c r="AW66">
        <v>0.77778397880666561</v>
      </c>
      <c r="AX66">
        <v>0.80851470903709743</v>
      </c>
      <c r="AY66">
        <v>0.83730972464570663</v>
      </c>
      <c r="AZ66">
        <v>0.86390259594678187</v>
      </c>
      <c r="BA66">
        <v>0.88810311351702131</v>
      </c>
      <c r="BB66">
        <v>0.90975209658422451</v>
      </c>
      <c r="BC66">
        <v>0.92884977132050639</v>
      </c>
      <c r="BD66">
        <v>0.94539289396107884</v>
      </c>
      <c r="BE66">
        <v>0.95943748732305356</v>
      </c>
      <c r="BF66">
        <v>0.97111483766591622</v>
      </c>
      <c r="BG66">
        <v>0.98055590319675268</v>
      </c>
      <c r="BH66">
        <v>0.98793673423025374</v>
      </c>
      <c r="BI66">
        <v>0.99341560673205709</v>
      </c>
      <c r="BJ66">
        <v>0.9971539768520078</v>
      </c>
      <c r="BK66">
        <v>0.99930618648596481</v>
      </c>
      <c r="BL66">
        <v>1</v>
      </c>
      <c r="BM66">
        <v>0.99933185112968015</v>
      </c>
      <c r="BN66">
        <v>0.99736333656705689</v>
      </c>
      <c r="BO66">
        <v>0.99411204725190805</v>
      </c>
      <c r="BP66">
        <v>0.98955717027929613</v>
      </c>
      <c r="BQ66">
        <v>0.98364121103782265</v>
      </c>
      <c r="BR66">
        <v>0.97624527875681932</v>
      </c>
      <c r="BS66">
        <v>0.9672318898025466</v>
      </c>
      <c r="BT66">
        <v>0.95641208523054255</v>
      </c>
      <c r="BU66">
        <v>0.94356097191386268</v>
      </c>
      <c r="BV66">
        <v>0.92843309678120622</v>
      </c>
      <c r="BW66">
        <v>0.91074444669345933</v>
      </c>
      <c r="BX66">
        <v>0.89021990598558542</v>
      </c>
      <c r="BY66">
        <v>0.86662540886976014</v>
      </c>
      <c r="BZ66">
        <v>0.83970763892381362</v>
      </c>
      <c r="CA66">
        <v>0.80934627363881262</v>
      </c>
      <c r="CB66">
        <v>0.77547421022356666</v>
      </c>
      <c r="CC66">
        <v>0.73819177402374259</v>
      </c>
      <c r="CD66">
        <v>0.69772458287532324</v>
      </c>
      <c r="CE66">
        <v>0.65443286404589096</v>
      </c>
      <c r="CF66">
        <v>0.60883144367034303</v>
      </c>
      <c r="CG66">
        <v>0.56147080866470822</v>
      </c>
      <c r="CH66">
        <v>0.51307599539503146</v>
      </c>
      <c r="CI66">
        <v>0.46422686659373807</v>
      </c>
      <c r="CJ66">
        <v>0.4156364863879044</v>
      </c>
      <c r="CK66">
        <v>0.36781728222907017</v>
      </c>
      <c r="CL66">
        <v>0.32132649860180668</v>
      </c>
      <c r="CM66">
        <v>0.27652553202418334</v>
      </c>
      <c r="CN66">
        <v>0.23370682557871963</v>
      </c>
      <c r="CO66">
        <v>0.19308952511221508</v>
      </c>
      <c r="CP66">
        <v>0.15478271213517764</v>
      </c>
      <c r="CQ66">
        <v>0.11883509995187989</v>
      </c>
      <c r="CR66">
        <v>8.5262689755756169E-2</v>
      </c>
      <c r="CS66">
        <v>5.399620336227768E-2</v>
      </c>
      <c r="CT66">
        <v>2.4961458424145128E-2</v>
      </c>
      <c r="CU66">
        <v>-1.9285875818475765E-3</v>
      </c>
      <c r="CV66">
        <v>-2.679048163105081E-2</v>
      </c>
      <c r="CW66">
        <v>-4.9714651601348019E-2</v>
      </c>
      <c r="CX66">
        <v>-7.0854611260433284E-2</v>
      </c>
      <c r="CY66">
        <v>-9.0325363393649133E-2</v>
      </c>
      <c r="CZ66">
        <v>-0.10819332807757721</v>
      </c>
      <c r="DA66">
        <v>-0.12459917383123721</v>
      </c>
      <c r="DB66">
        <v>-0.13963106704533532</v>
      </c>
      <c r="DC66">
        <v>-0.15336006970793783</v>
      </c>
      <c r="DD66">
        <v>-0.16590145025983097</v>
      </c>
      <c r="DE66">
        <v>-0.1772822571327185</v>
      </c>
      <c r="DF66">
        <v>-0.18759719097344377</v>
      </c>
      <c r="DG66">
        <v>-0.19689421299624374</v>
      </c>
      <c r="DH66">
        <v>-0.20521138428998892</v>
      </c>
      <c r="DI66">
        <v>-0.21258368669509989</v>
      </c>
      <c r="DJ66">
        <v>-0.21904291497717798</v>
      </c>
      <c r="DK66">
        <v>-0.22459330873344241</v>
      </c>
      <c r="DL66">
        <v>-0.22924118172791952</v>
      </c>
      <c r="DM66">
        <v>-0.23295598742981324</v>
      </c>
      <c r="DN66">
        <v>-0.23571777066677069</v>
      </c>
      <c r="DO66">
        <v>-0.23744333127495229</v>
      </c>
      <c r="DP66">
        <v>-0.23800182851652599</v>
      </c>
    </row>
    <row r="67" spans="1:120" x14ac:dyDescent="0.2">
      <c r="A67">
        <v>0.15150038771505239</v>
      </c>
      <c r="B67">
        <v>0.3140307691699592</v>
      </c>
      <c r="C67">
        <v>0.40052846125313152</v>
      </c>
      <c r="D67">
        <v>0.43802299203308531</v>
      </c>
      <c r="E67">
        <v>0.45542964858577012</v>
      </c>
      <c r="F67">
        <v>0.46469074334906735</v>
      </c>
      <c r="G67">
        <v>0.47037861789825808</v>
      </c>
      <c r="H67">
        <v>0.47401816447297612</v>
      </c>
      <c r="I67">
        <v>0.47634830523445476</v>
      </c>
      <c r="J67">
        <v>0.47755358320391794</v>
      </c>
      <c r="K67">
        <v>0.47750133793899552</v>
      </c>
      <c r="L67">
        <v>0.47629339952535782</v>
      </c>
      <c r="M67">
        <v>0.4737644287476328</v>
      </c>
      <c r="N67">
        <v>0.46979440485748675</v>
      </c>
      <c r="O67">
        <v>0.46428303085974387</v>
      </c>
      <c r="P67">
        <v>0.45715736023652548</v>
      </c>
      <c r="Q67">
        <v>0.44836216933668233</v>
      </c>
      <c r="R67">
        <v>0.43788509499437966</v>
      </c>
      <c r="S67">
        <v>0.42587312758596585</v>
      </c>
      <c r="T67">
        <v>0.41258493301511728</v>
      </c>
      <c r="U67">
        <v>0.39852414909828643</v>
      </c>
      <c r="V67">
        <v>0.38411925989861989</v>
      </c>
      <c r="W67">
        <v>0.3699178628047301</v>
      </c>
      <c r="X67">
        <v>0.35653024790846893</v>
      </c>
      <c r="Y67">
        <v>0.34443398057111163</v>
      </c>
      <c r="Z67">
        <v>0.3340628065352752</v>
      </c>
      <c r="AA67">
        <v>0.32574787291987833</v>
      </c>
      <c r="AB67">
        <v>0.31971185745758079</v>
      </c>
      <c r="AC67">
        <v>0.31626912575702526</v>
      </c>
      <c r="AD67">
        <v>0.31537477755047277</v>
      </c>
      <c r="AE67">
        <v>0.31720730385226859</v>
      </c>
      <c r="AF67">
        <v>0.32179961046581013</v>
      </c>
      <c r="AG67">
        <v>0.32924783680849812</v>
      </c>
      <c r="AH67">
        <v>0.33951473606607341</v>
      </c>
      <c r="AI67">
        <v>0.35270389028030386</v>
      </c>
      <c r="AJ67">
        <v>0.36873592655197968</v>
      </c>
      <c r="AK67">
        <v>0.38755703098071898</v>
      </c>
      <c r="AL67">
        <v>0.4091338475500878</v>
      </c>
      <c r="AM67">
        <v>0.43333411474099315</v>
      </c>
      <c r="AN67">
        <v>0.45991154329708206</v>
      </c>
      <c r="AO67">
        <v>0.48876292941806776</v>
      </c>
      <c r="AP67">
        <v>0.51955957887034143</v>
      </c>
      <c r="AQ67">
        <v>0.55200078314996737</v>
      </c>
      <c r="AR67">
        <v>0.58567837849932591</v>
      </c>
      <c r="AS67">
        <v>0.62022176404160101</v>
      </c>
      <c r="AT67">
        <v>0.65507661848182985</v>
      </c>
      <c r="AU67">
        <v>0.68983441492934006</v>
      </c>
      <c r="AV67">
        <v>0.72402173273799808</v>
      </c>
      <c r="AW67">
        <v>0.75717085457922584</v>
      </c>
      <c r="AX67">
        <v>0.78886792845322251</v>
      </c>
      <c r="AY67">
        <v>0.81874233946484753</v>
      </c>
      <c r="AZ67">
        <v>0.84651227048008371</v>
      </c>
      <c r="BA67">
        <v>0.8719743162343675</v>
      </c>
      <c r="BB67">
        <v>0.89495077730217998</v>
      </c>
      <c r="BC67">
        <v>0.91542929995204425</v>
      </c>
      <c r="BD67">
        <v>0.93338956137197104</v>
      </c>
      <c r="BE67">
        <v>0.94887225260029662</v>
      </c>
      <c r="BF67">
        <v>0.96199804568667091</v>
      </c>
      <c r="BG67">
        <v>0.97288600780128098</v>
      </c>
      <c r="BH67">
        <v>0.98170586486108835</v>
      </c>
      <c r="BI67">
        <v>0.9886082001964841</v>
      </c>
      <c r="BJ67">
        <v>0.99374911677820055</v>
      </c>
      <c r="BK67">
        <v>0.99728141552084959</v>
      </c>
      <c r="BL67">
        <v>0.99933185112968004</v>
      </c>
      <c r="BM67">
        <v>1</v>
      </c>
      <c r="BN67">
        <v>0.99934724931330721</v>
      </c>
      <c r="BO67">
        <v>0.99739661439256666</v>
      </c>
      <c r="BP67">
        <v>0.99412984150991557</v>
      </c>
      <c r="BQ67">
        <v>0.98949155491564511</v>
      </c>
      <c r="BR67">
        <v>0.98336823413208241</v>
      </c>
      <c r="BS67">
        <v>0.97562305858151854</v>
      </c>
      <c r="BT67">
        <v>0.96606873835739748</v>
      </c>
      <c r="BU67">
        <v>0.95448046510729978</v>
      </c>
      <c r="BV67">
        <v>0.94061081418719505</v>
      </c>
      <c r="BW67">
        <v>0.92417371170349427</v>
      </c>
      <c r="BX67">
        <v>0.9048878355007719</v>
      </c>
      <c r="BY67">
        <v>0.88250954277933558</v>
      </c>
      <c r="BZ67">
        <v>0.85677721855616873</v>
      </c>
      <c r="CA67">
        <v>0.82755795810022337</v>
      </c>
      <c r="CB67">
        <v>0.79477068277652851</v>
      </c>
      <c r="CC67">
        <v>0.75850108707862451</v>
      </c>
      <c r="CD67">
        <v>0.71896140025585287</v>
      </c>
      <c r="CE67">
        <v>0.67650039141749096</v>
      </c>
      <c r="CF67">
        <v>0.63162251224310906</v>
      </c>
      <c r="CG67">
        <v>0.58487358806429113</v>
      </c>
      <c r="CH67">
        <v>0.53697516710548621</v>
      </c>
      <c r="CI67">
        <v>0.48851136982492627</v>
      </c>
      <c r="CJ67">
        <v>0.44019866332551982</v>
      </c>
      <c r="CK67">
        <v>0.39255966833311573</v>
      </c>
      <c r="CL67">
        <v>0.34616013380241523</v>
      </c>
      <c r="CM67">
        <v>0.30137329195215867</v>
      </c>
      <c r="CN67">
        <v>0.25850315180597272</v>
      </c>
      <c r="CO67">
        <v>0.21778044034040395</v>
      </c>
      <c r="CP67">
        <v>0.17932379588526939</v>
      </c>
      <c r="CQ67">
        <v>0.14319246108496478</v>
      </c>
      <c r="CR67">
        <v>0.10941019167975552</v>
      </c>
      <c r="CS67">
        <v>7.7915167751973241E-2</v>
      </c>
      <c r="CT67">
        <v>4.8638640815404421E-2</v>
      </c>
      <c r="CU67">
        <v>2.1498428213539891E-2</v>
      </c>
      <c r="CV67">
        <v>-3.6173549620807698E-3</v>
      </c>
      <c r="CW67">
        <v>-2.6796069385503885E-2</v>
      </c>
      <c r="CX67">
        <v>-4.8189264583315135E-2</v>
      </c>
      <c r="CY67">
        <v>-6.7909534523565282E-2</v>
      </c>
      <c r="CZ67">
        <v>-8.6022059029981085E-2</v>
      </c>
      <c r="DA67">
        <v>-0.10266656301146165</v>
      </c>
      <c r="DB67">
        <v>-0.11793081635835143</v>
      </c>
      <c r="DC67">
        <v>-0.13188477011879765</v>
      </c>
      <c r="DD67">
        <v>-0.14464453875487779</v>
      </c>
      <c r="DE67">
        <v>-0.15623710526855469</v>
      </c>
      <c r="DF67">
        <v>-0.16675688044281442</v>
      </c>
      <c r="DG67">
        <v>-0.17625306377403574</v>
      </c>
      <c r="DH67">
        <v>-0.18476395364820267</v>
      </c>
      <c r="DI67">
        <v>-0.19232618558812373</v>
      </c>
      <c r="DJ67">
        <v>-0.1989722367093788</v>
      </c>
      <c r="DK67">
        <v>-0.20470846513568638</v>
      </c>
      <c r="DL67">
        <v>-0.20954272139268315</v>
      </c>
      <c r="DM67">
        <v>-0.21344780456980791</v>
      </c>
      <c r="DN67">
        <v>-0.21640795191629636</v>
      </c>
      <c r="DO67">
        <v>-0.21834597262473868</v>
      </c>
      <c r="DP67">
        <v>-0.2191399641465698</v>
      </c>
    </row>
    <row r="68" spans="1:120" x14ac:dyDescent="0.2">
      <c r="A68">
        <v>0.14716337927019144</v>
      </c>
      <c r="B68">
        <v>0.3065722373582383</v>
      </c>
      <c r="C68">
        <v>0.39157501240323322</v>
      </c>
      <c r="D68">
        <v>0.42850911106657102</v>
      </c>
      <c r="E68">
        <v>0.44568477855836197</v>
      </c>
      <c r="F68">
        <v>0.45481620531128963</v>
      </c>
      <c r="G68">
        <v>0.46040019810706923</v>
      </c>
      <c r="H68">
        <v>0.46393209335583396</v>
      </c>
      <c r="I68">
        <v>0.46614094043600363</v>
      </c>
      <c r="J68">
        <v>0.46720867087542284</v>
      </c>
      <c r="K68">
        <v>0.46699553228515989</v>
      </c>
      <c r="L68">
        <v>0.46560350212359475</v>
      </c>
      <c r="M68">
        <v>0.46286560965193718</v>
      </c>
      <c r="N68">
        <v>0.45865938103185183</v>
      </c>
      <c r="O68">
        <v>0.45288562997469656</v>
      </c>
      <c r="P68">
        <v>0.44547196626173918</v>
      </c>
      <c r="Q68">
        <v>0.43636545673557847</v>
      </c>
      <c r="R68">
        <v>0.42555549186512631</v>
      </c>
      <c r="S68">
        <v>0.41319630690832038</v>
      </c>
      <c r="T68">
        <v>0.39954705530710949</v>
      </c>
      <c r="U68">
        <v>0.38511981578893023</v>
      </c>
      <c r="V68">
        <v>0.37033988594659523</v>
      </c>
      <c r="W68">
        <v>0.35575871813017251</v>
      </c>
      <c r="X68">
        <v>0.34198070952810561</v>
      </c>
      <c r="Y68">
        <v>0.32948484802905237</v>
      </c>
      <c r="Z68">
        <v>0.31869716574674428</v>
      </c>
      <c r="AA68">
        <v>0.30994558739457373</v>
      </c>
      <c r="AB68">
        <v>0.3034506976765437</v>
      </c>
      <c r="AC68">
        <v>0.29953030725524843</v>
      </c>
      <c r="AD68">
        <v>0.29813476186124138</v>
      </c>
      <c r="AE68">
        <v>0.29944636662173818</v>
      </c>
      <c r="AF68">
        <v>0.3035049567761805</v>
      </c>
      <c r="AG68">
        <v>0.31040790815400432</v>
      </c>
      <c r="AH68">
        <v>0.32012451147966581</v>
      </c>
      <c r="AI68">
        <v>0.33276998420095433</v>
      </c>
      <c r="AJ68">
        <v>0.34826898946632484</v>
      </c>
      <c r="AK68">
        <v>0.36658343663926529</v>
      </c>
      <c r="AL68">
        <v>0.38768783267324097</v>
      </c>
      <c r="AM68">
        <v>0.41146576493216286</v>
      </c>
      <c r="AN68">
        <v>0.43768370906828541</v>
      </c>
      <c r="AO68">
        <v>0.46625405481098103</v>
      </c>
      <c r="AP68">
        <v>0.49686548419786231</v>
      </c>
      <c r="AQ68">
        <v>0.52922666778430938</v>
      </c>
      <c r="AR68">
        <v>0.56294314650454103</v>
      </c>
      <c r="AS68">
        <v>0.59765544792573844</v>
      </c>
      <c r="AT68">
        <v>0.6328108794955386</v>
      </c>
      <c r="AU68">
        <v>0.66800674190915255</v>
      </c>
      <c r="AV68">
        <v>0.70276885355435015</v>
      </c>
      <c r="AW68">
        <v>0.73662457670994896</v>
      </c>
      <c r="AX68">
        <v>0.76915325977665194</v>
      </c>
      <c r="AY68">
        <v>0.79997381133214185</v>
      </c>
      <c r="AZ68">
        <v>0.82879044723952711</v>
      </c>
      <c r="BA68">
        <v>0.85538831780519042</v>
      </c>
      <c r="BB68">
        <v>0.87957250841533841</v>
      </c>
      <c r="BC68">
        <v>0.90131910971469464</v>
      </c>
      <c r="BD68">
        <v>0.92059158419272513</v>
      </c>
      <c r="BE68">
        <v>0.93741601928039353</v>
      </c>
      <c r="BF68">
        <v>0.95190293003496651</v>
      </c>
      <c r="BG68">
        <v>0.96415993785895682</v>
      </c>
      <c r="BH68">
        <v>0.97435052200804972</v>
      </c>
      <c r="BI68">
        <v>0.98261771665976494</v>
      </c>
      <c r="BJ68">
        <v>0.98911239322004385</v>
      </c>
      <c r="BK68">
        <v>0.99398563260945305</v>
      </c>
      <c r="BL68">
        <v>0.99736333656705689</v>
      </c>
      <c r="BM68">
        <v>0.99934724931330721</v>
      </c>
      <c r="BN68">
        <v>1</v>
      </c>
      <c r="BO68">
        <v>0.99934847271464677</v>
      </c>
      <c r="BP68">
        <v>0.99737763313441763</v>
      </c>
      <c r="BQ68">
        <v>0.99403416488963603</v>
      </c>
      <c r="BR68">
        <v>0.98921026801544942</v>
      </c>
      <c r="BS68">
        <v>0.98276973881748986</v>
      </c>
      <c r="BT68">
        <v>0.97452725936009199</v>
      </c>
      <c r="BU68">
        <v>0.96425845192633763</v>
      </c>
      <c r="BV68">
        <v>0.95171408470882357</v>
      </c>
      <c r="BW68">
        <v>0.93660624711745832</v>
      </c>
      <c r="BX68">
        <v>0.9186475383827265</v>
      </c>
      <c r="BY68">
        <v>0.89758460887365799</v>
      </c>
      <c r="BZ68">
        <v>0.87314735449546144</v>
      </c>
      <c r="CA68">
        <v>0.84518938764897855</v>
      </c>
      <c r="CB68">
        <v>0.81361493397359896</v>
      </c>
      <c r="CC68">
        <v>0.77849363682627082</v>
      </c>
      <c r="CD68">
        <v>0.74002260788788032</v>
      </c>
      <c r="CE68">
        <v>0.69853720178197598</v>
      </c>
      <c r="CF68">
        <v>0.65452945983935951</v>
      </c>
      <c r="CG68">
        <v>0.60853854198592283</v>
      </c>
      <c r="CH68">
        <v>0.56128036246816093</v>
      </c>
      <c r="CI68">
        <v>0.51334163605095029</v>
      </c>
      <c r="CJ68">
        <v>0.4654406615364039</v>
      </c>
      <c r="CK68">
        <v>0.41810919478800823</v>
      </c>
      <c r="CL68">
        <v>0.37192062049710911</v>
      </c>
      <c r="CM68">
        <v>0.32725955359632181</v>
      </c>
      <c r="CN68">
        <v>0.28444137483344856</v>
      </c>
      <c r="CO68">
        <v>0.24370838206647755</v>
      </c>
      <c r="CP68">
        <v>0.20518908030780064</v>
      </c>
      <c r="CQ68">
        <v>0.16895347522814966</v>
      </c>
      <c r="CR68">
        <v>0.13503353771705631</v>
      </c>
      <c r="CS68">
        <v>0.10337540321519816</v>
      </c>
      <c r="CT68">
        <v>7.3916272403293931E-2</v>
      </c>
      <c r="CU68">
        <v>4.6579295579463664E-2</v>
      </c>
      <c r="CV68">
        <v>2.1257698697570198E-2</v>
      </c>
      <c r="CW68">
        <v>-2.1324045096860183E-3</v>
      </c>
      <c r="CX68">
        <v>-2.3740072473435792E-2</v>
      </c>
      <c r="CY68">
        <v>-4.3675204669705835E-2</v>
      </c>
      <c r="CZ68">
        <v>-6.2001392012468438E-2</v>
      </c>
      <c r="DA68">
        <v>-7.8857098478187226E-2</v>
      </c>
      <c r="DB68">
        <v>-9.4329428069864316E-2</v>
      </c>
      <c r="DC68">
        <v>-0.10848706414039738</v>
      </c>
      <c r="DD68">
        <v>-0.12144667119636854</v>
      </c>
      <c r="DE68">
        <v>-0.1332350759977052</v>
      </c>
      <c r="DF68">
        <v>-0.14394628485382002</v>
      </c>
      <c r="DG68">
        <v>-0.15363063052083828</v>
      </c>
      <c r="DH68">
        <v>-0.16232662205488962</v>
      </c>
      <c r="DI68">
        <v>-0.17007252138039591</v>
      </c>
      <c r="DJ68">
        <v>-0.17690154513329756</v>
      </c>
      <c r="DK68">
        <v>-0.18282226800761786</v>
      </c>
      <c r="DL68">
        <v>-0.18784431330138657</v>
      </c>
      <c r="DM68">
        <v>-0.19194409516738417</v>
      </c>
      <c r="DN68">
        <v>-0.19511049167070721</v>
      </c>
      <c r="DO68">
        <v>-0.1972730060897572</v>
      </c>
      <c r="DP68">
        <v>-0.19831977383489496</v>
      </c>
    </row>
    <row r="69" spans="1:120" x14ac:dyDescent="0.2">
      <c r="A69">
        <v>0.14287845851959213</v>
      </c>
      <c r="B69">
        <v>0.29930853752885644</v>
      </c>
      <c r="C69">
        <v>0.38290603339693957</v>
      </c>
      <c r="D69">
        <v>0.41933167813100442</v>
      </c>
      <c r="E69">
        <v>0.43631249672886008</v>
      </c>
      <c r="F69">
        <v>0.44534424034016368</v>
      </c>
      <c r="G69">
        <v>0.45085184088542279</v>
      </c>
      <c r="H69">
        <v>0.4543039819810003</v>
      </c>
      <c r="I69">
        <v>0.45642109656141755</v>
      </c>
      <c r="J69">
        <v>0.45738320761110945</v>
      </c>
      <c r="K69">
        <v>0.45704472423604037</v>
      </c>
      <c r="L69">
        <v>0.455508039232638</v>
      </c>
      <c r="M69">
        <v>0.45260482150150355</v>
      </c>
      <c r="N69">
        <v>0.44821009649880433</v>
      </c>
      <c r="O69">
        <v>0.44222592491186818</v>
      </c>
      <c r="P69">
        <v>0.43457941540494877</v>
      </c>
      <c r="Q69">
        <v>0.42521926821908895</v>
      </c>
      <c r="R69">
        <v>0.41413547068644191</v>
      </c>
      <c r="S69">
        <v>0.40148798826528487</v>
      </c>
      <c r="T69">
        <v>0.38753512279271912</v>
      </c>
      <c r="U69">
        <v>0.37279599526029383</v>
      </c>
      <c r="V69">
        <v>0.35769157618019348</v>
      </c>
      <c r="W69">
        <v>0.3427764424422739</v>
      </c>
      <c r="X69">
        <v>0.3286484780574378</v>
      </c>
      <c r="Y69">
        <v>0.31578804044934611</v>
      </c>
      <c r="Z69">
        <v>0.30461341857964319</v>
      </c>
      <c r="AA69">
        <v>0.29544895648039904</v>
      </c>
      <c r="AB69">
        <v>0.28851367849273207</v>
      </c>
      <c r="AC69">
        <v>0.28412832349320977</v>
      </c>
      <c r="AD69">
        <v>0.28223843518925235</v>
      </c>
      <c r="AE69">
        <v>0.28302992413642669</v>
      </c>
      <c r="AF69">
        <v>0.28654919811658053</v>
      </c>
      <c r="AG69">
        <v>0.29289433761875705</v>
      </c>
      <c r="AH69">
        <v>0.30204093913055952</v>
      </c>
      <c r="AI69">
        <v>0.31411543813652248</v>
      </c>
      <c r="AJ69">
        <v>0.32904584879274934</v>
      </c>
      <c r="AK69">
        <v>0.34680978479400215</v>
      </c>
      <c r="AL69">
        <v>0.36738885127051607</v>
      </c>
      <c r="AM69">
        <v>0.39068232495026423</v>
      </c>
      <c r="AN69">
        <v>0.41646946844769134</v>
      </c>
      <c r="AO69">
        <v>0.444677763624867</v>
      </c>
      <c r="AP69">
        <v>0.47501393432522471</v>
      </c>
      <c r="AQ69">
        <v>0.50719597323585919</v>
      </c>
      <c r="AR69">
        <v>0.54084393747776682</v>
      </c>
      <c r="AS69">
        <v>0.57561041213851805</v>
      </c>
      <c r="AT69">
        <v>0.61094556682432111</v>
      </c>
      <c r="AU69">
        <v>0.64645376758407702</v>
      </c>
      <c r="AV69">
        <v>0.68166163382354894</v>
      </c>
      <c r="AW69">
        <v>0.71609312648974233</v>
      </c>
      <c r="AX69">
        <v>0.74932269043491639</v>
      </c>
      <c r="AY69">
        <v>0.78096037698716114</v>
      </c>
      <c r="AZ69">
        <v>0.81069783372296467</v>
      </c>
      <c r="BA69">
        <v>0.83831035793247688</v>
      </c>
      <c r="BB69">
        <v>0.86358724458963143</v>
      </c>
      <c r="BC69">
        <v>0.88649391125695765</v>
      </c>
      <c r="BD69">
        <v>0.90697848229718381</v>
      </c>
      <c r="BE69">
        <v>0.92505314645367143</v>
      </c>
      <c r="BF69">
        <v>0.94081863982233338</v>
      </c>
      <c r="BG69">
        <v>0.95437165574709903</v>
      </c>
      <c r="BH69">
        <v>0.96586942057147063</v>
      </c>
      <c r="BI69">
        <v>0.97544762483333447</v>
      </c>
      <c r="BJ69">
        <v>0.98325202740058015</v>
      </c>
      <c r="BK69">
        <v>0.98943182331938428</v>
      </c>
      <c r="BL69">
        <v>0.99411204725190805</v>
      </c>
      <c r="BM69">
        <v>0.99739661439256666</v>
      </c>
      <c r="BN69">
        <v>0.99934847271464677</v>
      </c>
      <c r="BO69">
        <v>1</v>
      </c>
      <c r="BP69">
        <v>0.99933778296535392</v>
      </c>
      <c r="BQ69">
        <v>0.99731140132216334</v>
      </c>
      <c r="BR69">
        <v>0.99381893674434107</v>
      </c>
      <c r="BS69">
        <v>0.98872477279851378</v>
      </c>
      <c r="BT69">
        <v>0.98184595778847295</v>
      </c>
      <c r="BU69">
        <v>0.97295883083593349</v>
      </c>
      <c r="BV69">
        <v>0.96181253891021601</v>
      </c>
      <c r="BW69">
        <v>0.9481174849307179</v>
      </c>
      <c r="BX69">
        <v>0.93158030349453425</v>
      </c>
      <c r="BY69">
        <v>0.91193779319279034</v>
      </c>
      <c r="BZ69">
        <v>0.8889110987947203</v>
      </c>
      <c r="CA69">
        <v>0.86233939148394745</v>
      </c>
      <c r="CB69">
        <v>0.83211142620562084</v>
      </c>
      <c r="CC69">
        <v>0.79827920708499478</v>
      </c>
      <c r="CD69">
        <v>0.76102295944250842</v>
      </c>
      <c r="CE69">
        <v>0.7206625851796219</v>
      </c>
      <c r="CF69">
        <v>0.67767562275844295</v>
      </c>
      <c r="CG69">
        <v>0.63259251567464636</v>
      </c>
      <c r="CH69">
        <v>0.58612138559707827</v>
      </c>
      <c r="CI69">
        <v>0.53884989815175488</v>
      </c>
      <c r="CJ69">
        <v>0.49149663871851879</v>
      </c>
      <c r="CK69">
        <v>0.44460141363000011</v>
      </c>
      <c r="CL69">
        <v>0.39874440747034362</v>
      </c>
      <c r="CM69">
        <v>0.35432130246852928</v>
      </c>
      <c r="CN69">
        <v>0.31165866595311736</v>
      </c>
      <c r="CO69">
        <v>0.27101038861241605</v>
      </c>
      <c r="CP69">
        <v>0.23251522505787542</v>
      </c>
      <c r="CQ69">
        <v>0.19625427340724391</v>
      </c>
      <c r="CR69">
        <v>0.16226816662659393</v>
      </c>
      <c r="CS69">
        <v>0.13051149856481942</v>
      </c>
      <c r="CT69">
        <v>0.10092802771712588</v>
      </c>
      <c r="CU69">
        <v>7.3446713738643282E-2</v>
      </c>
      <c r="CV69">
        <v>4.7966361591460192E-2</v>
      </c>
      <c r="CW69">
        <v>2.4407007672497684E-2</v>
      </c>
      <c r="CX69">
        <v>2.622573317084903E-3</v>
      </c>
      <c r="CY69">
        <v>-1.7493777282306014E-2</v>
      </c>
      <c r="CZ69">
        <v>-3.600375690641907E-2</v>
      </c>
      <c r="DA69">
        <v>-5.3044215858468254E-2</v>
      </c>
      <c r="DB69">
        <v>-6.8701307368018091E-2</v>
      </c>
      <c r="DC69">
        <v>-8.3042300107236539E-2</v>
      </c>
      <c r="DD69">
        <v>-9.6184134563934459E-2</v>
      </c>
      <c r="DE69">
        <v>-0.10815336159355129</v>
      </c>
      <c r="DF69">
        <v>-0.11904348596557666</v>
      </c>
      <c r="DG69">
        <v>-0.12890585027509266</v>
      </c>
      <c r="DH69">
        <v>-0.13777917182484187</v>
      </c>
      <c r="DI69">
        <v>-0.14570331890876193</v>
      </c>
      <c r="DJ69">
        <v>-0.15271228815857465</v>
      </c>
      <c r="DK69">
        <v>-0.15881703351831791</v>
      </c>
      <c r="DL69">
        <v>-0.16402914477998609</v>
      </c>
      <c r="DM69">
        <v>-0.16832898810143904</v>
      </c>
      <c r="DN69">
        <v>-0.17171052951329185</v>
      </c>
      <c r="DO69">
        <v>-0.17411070960763927</v>
      </c>
      <c r="DP69">
        <v>-0.17542888755514016</v>
      </c>
    </row>
    <row r="70" spans="1:120" x14ac:dyDescent="0.2">
      <c r="A70">
        <v>0.13861186712996637</v>
      </c>
      <c r="B70">
        <v>0.29222295440537499</v>
      </c>
      <c r="C70">
        <v>0.374518362984881</v>
      </c>
      <c r="D70">
        <v>0.41049388348808374</v>
      </c>
      <c r="E70">
        <v>0.42731749084518389</v>
      </c>
      <c r="F70">
        <v>0.4362784540050425</v>
      </c>
      <c r="G70">
        <v>0.44173481927750247</v>
      </c>
      <c r="H70">
        <v>0.44513187636814022</v>
      </c>
      <c r="I70">
        <v>0.44718280432143437</v>
      </c>
      <c r="J70">
        <v>0.44806691264458831</v>
      </c>
      <c r="K70">
        <v>0.44763376813513345</v>
      </c>
      <c r="L70">
        <v>0.44598632924971721</v>
      </c>
      <c r="M70">
        <v>0.44295538160683751</v>
      </c>
      <c r="N70">
        <v>0.43841334495868939</v>
      </c>
      <c r="O70">
        <v>0.43226360195779995</v>
      </c>
      <c r="P70">
        <v>0.42443191942083802</v>
      </c>
      <c r="Q70">
        <v>0.41486795870950371</v>
      </c>
      <c r="R70">
        <v>0.40356137898029354</v>
      </c>
      <c r="S70">
        <v>0.39067647641256353</v>
      </c>
      <c r="T70">
        <v>0.37646951751655727</v>
      </c>
      <c r="U70">
        <v>0.36146553768639911</v>
      </c>
      <c r="V70">
        <v>0.34608014402887965</v>
      </c>
      <c r="W70">
        <v>0.33087049480030545</v>
      </c>
      <c r="X70">
        <v>0.31642723261793876</v>
      </c>
      <c r="Y70">
        <v>0.30323232062788774</v>
      </c>
      <c r="Z70">
        <v>0.2916960088413168</v>
      </c>
      <c r="AA70">
        <v>0.28213892400039653</v>
      </c>
      <c r="AB70">
        <v>0.27477889567460617</v>
      </c>
      <c r="AC70">
        <v>0.26993893008684777</v>
      </c>
      <c r="AD70">
        <v>0.2675598652014331</v>
      </c>
      <c r="AE70">
        <v>0.26783085928597267</v>
      </c>
      <c r="AF70">
        <v>0.2708045724699954</v>
      </c>
      <c r="AG70">
        <v>0.27657916733126597</v>
      </c>
      <c r="AH70">
        <v>0.28513640484922942</v>
      </c>
      <c r="AI70">
        <v>0.29661329496008376</v>
      </c>
      <c r="AJ70">
        <v>0.31094075808488364</v>
      </c>
      <c r="AK70">
        <v>0.32811184397979581</v>
      </c>
      <c r="AL70">
        <v>0.34811469947221896</v>
      </c>
      <c r="AM70">
        <v>0.37086402386236667</v>
      </c>
      <c r="AN70">
        <v>0.39615182244247166</v>
      </c>
      <c r="AO70">
        <v>0.42392023118382394</v>
      </c>
      <c r="AP70">
        <v>0.45389461659457037</v>
      </c>
      <c r="AQ70">
        <v>0.48580225023404605</v>
      </c>
      <c r="AR70">
        <v>0.51927845532137828</v>
      </c>
      <c r="AS70">
        <v>0.5539886953041594</v>
      </c>
      <c r="AT70">
        <v>0.589387315761838</v>
      </c>
      <c r="AU70">
        <v>0.62508676464060275</v>
      </c>
      <c r="AV70">
        <v>0.66061615785259575</v>
      </c>
      <c r="AW70">
        <v>0.69549747714178278</v>
      </c>
      <c r="AX70">
        <v>0.72930205173483176</v>
      </c>
      <c r="AY70">
        <v>0.76163271963315471</v>
      </c>
      <c r="AZ70">
        <v>0.79216978335697141</v>
      </c>
      <c r="BA70">
        <v>0.820680456022989</v>
      </c>
      <c r="BB70">
        <v>0.84693952093411329</v>
      </c>
      <c r="BC70">
        <v>0.87090252253985989</v>
      </c>
      <c r="BD70">
        <v>0.89250318488640779</v>
      </c>
      <c r="BE70">
        <v>0.91174047758082422</v>
      </c>
      <c r="BF70">
        <v>0.92870572028920972</v>
      </c>
      <c r="BG70">
        <v>0.9434852152391684</v>
      </c>
      <c r="BH70">
        <v>0.95622997767604601</v>
      </c>
      <c r="BI70">
        <v>0.96706851087031964</v>
      </c>
      <c r="BJ70">
        <v>0.97614162693093409</v>
      </c>
      <c r="BK70">
        <v>0.98359645464569201</v>
      </c>
      <c r="BL70">
        <v>0.98955717027929613</v>
      </c>
      <c r="BM70">
        <v>0.99412984150991568</v>
      </c>
      <c r="BN70">
        <v>0.99737763313441774</v>
      </c>
      <c r="BO70">
        <v>0.99933778296535392</v>
      </c>
      <c r="BP70">
        <v>1</v>
      </c>
      <c r="BQ70">
        <v>0.9993153215209688</v>
      </c>
      <c r="BR70">
        <v>0.99718875998436307</v>
      </c>
      <c r="BS70">
        <v>0.99348527365044548</v>
      </c>
      <c r="BT70">
        <v>0.98802451658244961</v>
      </c>
      <c r="BU70">
        <v>0.98058389086877074</v>
      </c>
      <c r="BV70">
        <v>0.97091111862711454</v>
      </c>
      <c r="BW70">
        <v>0.95871506970026121</v>
      </c>
      <c r="BX70">
        <v>0.94369659373898584</v>
      </c>
      <c r="BY70">
        <v>0.92558235605485129</v>
      </c>
      <c r="BZ70">
        <v>0.90408451846889604</v>
      </c>
      <c r="CA70">
        <v>0.87902690244982229</v>
      </c>
      <c r="CB70">
        <v>0.85028188158088946</v>
      </c>
      <c r="CC70">
        <v>0.81788230501532977</v>
      </c>
      <c r="CD70">
        <v>0.78198962492624169</v>
      </c>
      <c r="CE70">
        <v>0.74290632663731138</v>
      </c>
      <c r="CF70">
        <v>0.70109320832208522</v>
      </c>
      <c r="CG70">
        <v>0.6570699883311103</v>
      </c>
      <c r="CH70">
        <v>0.61153479765372343</v>
      </c>
      <c r="CI70">
        <v>0.56507456955546265</v>
      </c>
      <c r="CJ70">
        <v>0.51840665953805087</v>
      </c>
      <c r="CK70">
        <v>0.47207780331146348</v>
      </c>
      <c r="CL70">
        <v>0.42667426135629455</v>
      </c>
      <c r="CM70">
        <v>0.38260233303778018</v>
      </c>
      <c r="CN70">
        <v>0.34019968997511574</v>
      </c>
      <c r="CO70">
        <v>0.29973188970668091</v>
      </c>
      <c r="CP70">
        <v>0.26134824444433746</v>
      </c>
      <c r="CQ70">
        <v>0.22514132980343451</v>
      </c>
      <c r="CR70">
        <v>0.19116090851051021</v>
      </c>
      <c r="CS70">
        <v>0.15937057623491271</v>
      </c>
      <c r="CT70">
        <v>0.12972122187321608</v>
      </c>
      <c r="CU70">
        <v>0.10214814036001001</v>
      </c>
      <c r="CV70">
        <v>7.6556187007611715E-2</v>
      </c>
      <c r="CW70">
        <v>5.2869761450394508E-2</v>
      </c>
      <c r="CX70">
        <v>3.0946270661026353E-2</v>
      </c>
      <c r="CY70">
        <v>1.0682319836181725E-2</v>
      </c>
      <c r="CZ70">
        <v>-7.9816159063578525E-3</v>
      </c>
      <c r="DA70">
        <v>-2.518044497907352E-2</v>
      </c>
      <c r="DB70">
        <v>-4.0999066376355399E-2</v>
      </c>
      <c r="DC70">
        <v>-5.5503189012793747E-2</v>
      </c>
      <c r="DD70">
        <v>-6.8809731391550194E-2</v>
      </c>
      <c r="DE70">
        <v>-8.0944867467804521E-2</v>
      </c>
      <c r="DF70">
        <v>-9.2001491203787006E-2</v>
      </c>
      <c r="DG70">
        <v>-0.10203185108825968</v>
      </c>
      <c r="DH70">
        <v>-0.1110748530172533</v>
      </c>
      <c r="DI70">
        <v>-0.11917194699934064</v>
      </c>
      <c r="DJ70">
        <v>-0.12635796106525418</v>
      </c>
      <c r="DK70">
        <v>-0.13264637078909247</v>
      </c>
      <c r="DL70">
        <v>-0.13805094901210024</v>
      </c>
      <c r="DM70">
        <v>-0.14255633517802213</v>
      </c>
      <c r="DN70">
        <v>-0.14616204259926824</v>
      </c>
      <c r="DO70">
        <v>-0.14881318907652538</v>
      </c>
      <c r="DP70">
        <v>-0.15042154128333754</v>
      </c>
    </row>
    <row r="71" spans="1:120" x14ac:dyDescent="0.2">
      <c r="A71">
        <v>0.13435187160124804</v>
      </c>
      <c r="B71">
        <v>0.2852650588539864</v>
      </c>
      <c r="C71">
        <v>0.36633958504980113</v>
      </c>
      <c r="D71">
        <v>0.40191445648794133</v>
      </c>
      <c r="E71">
        <v>0.41861573802122232</v>
      </c>
      <c r="F71">
        <v>0.42753468121761246</v>
      </c>
      <c r="G71">
        <v>0.43296571740747652</v>
      </c>
      <c r="H71">
        <v>0.43633351111099966</v>
      </c>
      <c r="I71">
        <v>0.43834522511591384</v>
      </c>
      <c r="J71">
        <v>0.4391802785470712</v>
      </c>
      <c r="K71">
        <v>0.4386845023825186</v>
      </c>
      <c r="L71">
        <v>0.43696169812626251</v>
      </c>
      <c r="M71">
        <v>0.43384205753555216</v>
      </c>
      <c r="N71">
        <v>0.42919537715038247</v>
      </c>
      <c r="O71">
        <v>0.42292644883445812</v>
      </c>
      <c r="P71">
        <v>0.41495881784406169</v>
      </c>
      <c r="Q71">
        <v>0.40524255813307719</v>
      </c>
      <c r="R71">
        <v>0.39376590272168699</v>
      </c>
      <c r="S71">
        <v>0.38069622553366372</v>
      </c>
      <c r="T71">
        <v>0.36628655696832352</v>
      </c>
      <c r="U71">
        <v>0.35106661316179005</v>
      </c>
      <c r="V71">
        <v>0.33544557131912728</v>
      </c>
      <c r="W71">
        <v>0.3199825333761665</v>
      </c>
      <c r="X71">
        <v>0.30526025991682199</v>
      </c>
      <c r="Y71">
        <v>0.29176228933962683</v>
      </c>
      <c r="Z71">
        <v>0.27989069615536138</v>
      </c>
      <c r="AA71">
        <v>0.26996208672801358</v>
      </c>
      <c r="AB71">
        <v>0.26219349732940167</v>
      </c>
      <c r="AC71">
        <v>0.25690959098920163</v>
      </c>
      <c r="AD71">
        <v>0.25404653584423803</v>
      </c>
      <c r="AE71">
        <v>0.25379641937420738</v>
      </c>
      <c r="AF71">
        <v>0.25621777679059399</v>
      </c>
      <c r="AG71">
        <v>0.26140837797024508</v>
      </c>
      <c r="AH71">
        <v>0.26935582116242429</v>
      </c>
      <c r="AI71">
        <v>0.28020739908702696</v>
      </c>
      <c r="AJ71">
        <v>0.29389614307871437</v>
      </c>
      <c r="AK71">
        <v>0.31043063371682239</v>
      </c>
      <c r="AL71">
        <v>0.32980478972245814</v>
      </c>
      <c r="AM71">
        <v>0.35194855958085208</v>
      </c>
      <c r="AN71">
        <v>0.37666674875145639</v>
      </c>
      <c r="AO71">
        <v>0.40391568487675639</v>
      </c>
      <c r="AP71">
        <v>0.43344002005835292</v>
      </c>
      <c r="AQ71">
        <v>0.46497631605874967</v>
      </c>
      <c r="AR71">
        <v>0.49817592019214396</v>
      </c>
      <c r="AS71">
        <v>0.53271811132526803</v>
      </c>
      <c r="AT71">
        <v>0.56806269723564273</v>
      </c>
      <c r="AU71">
        <v>0.6038313564155332</v>
      </c>
      <c r="AV71">
        <v>0.63955727652920458</v>
      </c>
      <c r="AW71">
        <v>0.67476193521116079</v>
      </c>
      <c r="AX71">
        <v>0.70901540876802382</v>
      </c>
      <c r="AY71">
        <v>0.74191495374038441</v>
      </c>
      <c r="AZ71">
        <v>0.77313076334841446</v>
      </c>
      <c r="BA71">
        <v>0.80242363015477181</v>
      </c>
      <c r="BB71">
        <v>0.82955505937254881</v>
      </c>
      <c r="BC71">
        <v>0.85447175321697744</v>
      </c>
      <c r="BD71">
        <v>0.87709372706006594</v>
      </c>
      <c r="BE71">
        <v>0.89740743781986065</v>
      </c>
      <c r="BF71">
        <v>0.91549517023104077</v>
      </c>
      <c r="BG71">
        <v>0.93143332779080035</v>
      </c>
      <c r="BH71">
        <v>0.94536667977303157</v>
      </c>
      <c r="BI71">
        <v>0.9574167441702407</v>
      </c>
      <c r="BJ71">
        <v>0.96771948738038516</v>
      </c>
      <c r="BK71">
        <v>0.97641989421766306</v>
      </c>
      <c r="BL71">
        <v>0.98364121103782276</v>
      </c>
      <c r="BM71">
        <v>0.98949155491564511</v>
      </c>
      <c r="BN71">
        <v>0.99403416488963614</v>
      </c>
      <c r="BO71">
        <v>0.99731140132216323</v>
      </c>
      <c r="BP71">
        <v>0.9993153215209688</v>
      </c>
      <c r="BQ71">
        <v>1</v>
      </c>
      <c r="BR71">
        <v>0.99927626496058608</v>
      </c>
      <c r="BS71">
        <v>0.99701038848567525</v>
      </c>
      <c r="BT71">
        <v>0.99302485397832696</v>
      </c>
      <c r="BU71">
        <v>0.98709851114144387</v>
      </c>
      <c r="BV71">
        <v>0.97897780992355343</v>
      </c>
      <c r="BW71">
        <v>0.96837024956572859</v>
      </c>
      <c r="BX71">
        <v>0.95497108145731013</v>
      </c>
      <c r="BY71">
        <v>0.93849663300107433</v>
      </c>
      <c r="BZ71">
        <v>0.91864982983169841</v>
      </c>
      <c r="CA71">
        <v>0.89523810180583707</v>
      </c>
      <c r="CB71">
        <v>0.86811668453561608</v>
      </c>
      <c r="CC71">
        <v>0.83729758617888261</v>
      </c>
      <c r="CD71">
        <v>0.80292169377190903</v>
      </c>
      <c r="CE71">
        <v>0.76527190813088297</v>
      </c>
      <c r="CF71">
        <v>0.72479015584080231</v>
      </c>
      <c r="CG71">
        <v>0.68198324047422465</v>
      </c>
      <c r="CH71">
        <v>0.63753714745651124</v>
      </c>
      <c r="CI71">
        <v>0.59203633003014322</v>
      </c>
      <c r="CJ71">
        <v>0.54619534829958583</v>
      </c>
      <c r="CK71">
        <v>0.50056676665097699</v>
      </c>
      <c r="CL71">
        <v>0.45574210257469239</v>
      </c>
      <c r="CM71">
        <v>0.41213791757867035</v>
      </c>
      <c r="CN71">
        <v>0.37010283728377302</v>
      </c>
      <c r="CO71">
        <v>0.32991412401320291</v>
      </c>
      <c r="CP71">
        <v>0.29173208658581462</v>
      </c>
      <c r="CQ71">
        <v>0.25566107580507552</v>
      </c>
      <c r="CR71">
        <v>0.22176052002259691</v>
      </c>
      <c r="CS71">
        <v>0.19000355423896373</v>
      </c>
      <c r="CT71">
        <v>0.16034879262340301</v>
      </c>
      <c r="CU71">
        <v>0.13273839741374086</v>
      </c>
      <c r="CV71">
        <v>0.10708375789473248</v>
      </c>
      <c r="CW71">
        <v>8.3314102615840505E-2</v>
      </c>
      <c r="CX71">
        <v>6.1290850500248052E-2</v>
      </c>
      <c r="CY71">
        <v>4.0914409602559966E-2</v>
      </c>
      <c r="CZ71">
        <v>2.2127772896419415E-2</v>
      </c>
      <c r="DA71">
        <v>4.7983263936727102E-3</v>
      </c>
      <c r="DB71">
        <v>-1.1157274464811044E-2</v>
      </c>
      <c r="DC71">
        <v>-2.5803024551482843E-2</v>
      </c>
      <c r="DD71">
        <v>-3.9255521223715624E-2</v>
      </c>
      <c r="DE71">
        <v>-5.1540439396313691E-2</v>
      </c>
      <c r="DF71">
        <v>-6.2749971558946918E-2</v>
      </c>
      <c r="DG71">
        <v>-7.2937127952775418E-2</v>
      </c>
      <c r="DH71">
        <v>-8.2141000752146809E-2</v>
      </c>
      <c r="DI71">
        <v>-9.0404594174559663E-2</v>
      </c>
      <c r="DJ71">
        <v>-9.7763627590387647E-2</v>
      </c>
      <c r="DK71">
        <v>-0.10423421795388123</v>
      </c>
      <c r="DL71">
        <v>-0.10983254199723198</v>
      </c>
      <c r="DM71">
        <v>-0.11454782895499939</v>
      </c>
      <c r="DN71">
        <v>-0.11838561311796467</v>
      </c>
      <c r="DO71">
        <v>-0.1212999439362779</v>
      </c>
      <c r="DP71">
        <v>-0.12321618651883308</v>
      </c>
    </row>
    <row r="72" spans="1:120" x14ac:dyDescent="0.2">
      <c r="A72">
        <v>0.13004076536954162</v>
      </c>
      <c r="B72">
        <v>0.27838728620991732</v>
      </c>
      <c r="C72">
        <v>0.35833401720680536</v>
      </c>
      <c r="D72">
        <v>0.39356537632178479</v>
      </c>
      <c r="E72">
        <v>0.41018308123993402</v>
      </c>
      <c r="F72">
        <v>0.41909013001780293</v>
      </c>
      <c r="G72">
        <v>0.42452170293528996</v>
      </c>
      <c r="H72">
        <v>0.4278851938527653</v>
      </c>
      <c r="I72">
        <v>0.4298831163497519</v>
      </c>
      <c r="J72">
        <v>0.43069608370750856</v>
      </c>
      <c r="K72">
        <v>0.43016746179378218</v>
      </c>
      <c r="L72">
        <v>0.42840202079303874</v>
      </c>
      <c r="M72">
        <v>0.42522978940581835</v>
      </c>
      <c r="N72">
        <v>0.42051789684249896</v>
      </c>
      <c r="O72">
        <v>0.41417261972459812</v>
      </c>
      <c r="P72">
        <v>0.40611444205904651</v>
      </c>
      <c r="Q72">
        <v>0.39629330788208511</v>
      </c>
      <c r="R72">
        <v>0.38469521051586003</v>
      </c>
      <c r="S72">
        <v>0.37148915729621135</v>
      </c>
      <c r="T72">
        <v>0.35692394729235888</v>
      </c>
      <c r="U72">
        <v>0.34153285055706123</v>
      </c>
      <c r="V72">
        <v>0.32571753720773233</v>
      </c>
      <c r="W72">
        <v>0.31003846073740826</v>
      </c>
      <c r="X72">
        <v>0.29506982729375814</v>
      </c>
      <c r="Y72">
        <v>0.28129684014291612</v>
      </c>
      <c r="Z72">
        <v>0.26911312768740214</v>
      </c>
      <c r="AA72">
        <v>0.25883085905475911</v>
      </c>
      <c r="AB72">
        <v>0.25066678132064069</v>
      </c>
      <c r="AC72">
        <v>0.24494650281226527</v>
      </c>
      <c r="AD72">
        <v>0.24160148405526966</v>
      </c>
      <c r="AE72">
        <v>0.24082640294879815</v>
      </c>
      <c r="AF72">
        <v>0.24268539036298223</v>
      </c>
      <c r="AG72">
        <v>0.24727512116990971</v>
      </c>
      <c r="AH72">
        <v>0.25458891796271649</v>
      </c>
      <c r="AI72">
        <v>0.2647837732787669</v>
      </c>
      <c r="AJ72">
        <v>0.27779437543232577</v>
      </c>
      <c r="AK72">
        <v>0.29364467453651594</v>
      </c>
      <c r="AL72">
        <v>0.31233376120868828</v>
      </c>
      <c r="AM72">
        <v>0.33380666664523656</v>
      </c>
      <c r="AN72">
        <v>0.35788117925123086</v>
      </c>
      <c r="AO72">
        <v>0.38452719493404558</v>
      </c>
      <c r="AP72">
        <v>0.41350959054354791</v>
      </c>
      <c r="AQ72">
        <v>0.44457415483238039</v>
      </c>
      <c r="AR72">
        <v>0.47738912913298653</v>
      </c>
      <c r="AS72">
        <v>0.51164852912729775</v>
      </c>
      <c r="AT72">
        <v>0.5468190308714731</v>
      </c>
      <c r="AU72">
        <v>0.58253267668058861</v>
      </c>
      <c r="AV72">
        <v>0.61832846456207224</v>
      </c>
      <c r="AW72">
        <v>0.65372881578593434</v>
      </c>
      <c r="AX72">
        <v>0.6883044475817186</v>
      </c>
      <c r="AY72">
        <v>0.72164862614503489</v>
      </c>
      <c r="AZ72">
        <v>0.75342274487358485</v>
      </c>
      <c r="BA72">
        <v>0.78338283956723287</v>
      </c>
      <c r="BB72">
        <v>0.81127840345598634</v>
      </c>
      <c r="BC72">
        <v>0.83704807937060111</v>
      </c>
      <c r="BD72">
        <v>0.86059899997144451</v>
      </c>
      <c r="BE72">
        <v>0.88190579504150424</v>
      </c>
      <c r="BF72">
        <v>0.90104199279161734</v>
      </c>
      <c r="BG72">
        <v>0.91807453530502947</v>
      </c>
      <c r="BH72">
        <v>0.9331420125550578</v>
      </c>
      <c r="BI72">
        <v>0.94635905539742149</v>
      </c>
      <c r="BJ72">
        <v>0.95785687193527103</v>
      </c>
      <c r="BK72">
        <v>0.96777818424501016</v>
      </c>
      <c r="BL72">
        <v>0.97624527875681932</v>
      </c>
      <c r="BM72">
        <v>0.98336823413208241</v>
      </c>
      <c r="BN72">
        <v>0.98921026801544953</v>
      </c>
      <c r="BO72">
        <v>0.99381893674434107</v>
      </c>
      <c r="BP72">
        <v>0.99718875998436307</v>
      </c>
      <c r="BQ72">
        <v>0.99927626496058619</v>
      </c>
      <c r="BR72">
        <v>1</v>
      </c>
      <c r="BS72">
        <v>0.99922610720769023</v>
      </c>
      <c r="BT72">
        <v>0.99678100886886378</v>
      </c>
      <c r="BU72">
        <v>0.99244524651781785</v>
      </c>
      <c r="BV72">
        <v>0.98596419990499673</v>
      </c>
      <c r="BW72">
        <v>0.97704422385426792</v>
      </c>
      <c r="BX72">
        <v>0.96537507353353103</v>
      </c>
      <c r="BY72">
        <v>0.95066252875811597</v>
      </c>
      <c r="BZ72">
        <v>0.93259998761007645</v>
      </c>
      <c r="CA72">
        <v>0.91097745176128953</v>
      </c>
      <c r="CB72">
        <v>0.88563204239736903</v>
      </c>
      <c r="CC72">
        <v>0.85655324170587488</v>
      </c>
      <c r="CD72">
        <v>0.82385931213772357</v>
      </c>
      <c r="CE72">
        <v>0.78781137461432993</v>
      </c>
      <c r="CF72">
        <v>0.74883011313158165</v>
      </c>
      <c r="CG72">
        <v>0.70740719616577552</v>
      </c>
      <c r="CH72">
        <v>0.66421400309630529</v>
      </c>
      <c r="CI72">
        <v>0.61983082608016649</v>
      </c>
      <c r="CJ72">
        <v>0.5749676847834545</v>
      </c>
      <c r="CK72">
        <v>0.53018190511946217</v>
      </c>
      <c r="CL72">
        <v>0.48606935060769257</v>
      </c>
      <c r="CM72">
        <v>0.44305652713593402</v>
      </c>
      <c r="CN72">
        <v>0.4015028977632436</v>
      </c>
      <c r="CO72">
        <v>0.36169752810232114</v>
      </c>
      <c r="CP72">
        <v>0.32381214571238992</v>
      </c>
      <c r="CQ72">
        <v>0.2879632797697016</v>
      </c>
      <c r="CR72">
        <v>0.2542205854273823</v>
      </c>
      <c r="CS72">
        <v>0.22256733271474691</v>
      </c>
      <c r="CT72">
        <v>0.19297050650039277</v>
      </c>
      <c r="CU72">
        <v>0.16537971625923853</v>
      </c>
      <c r="CV72">
        <v>0.13971341398747364</v>
      </c>
      <c r="CW72">
        <v>0.11590614024021351</v>
      </c>
      <c r="CX72">
        <v>9.382390886656021E-2</v>
      </c>
      <c r="CY72">
        <v>7.3371327986937074E-2</v>
      </c>
      <c r="CZ72">
        <v>5.4494241013217946E-2</v>
      </c>
      <c r="DA72">
        <v>3.7062717357097097E-2</v>
      </c>
      <c r="DB72">
        <v>2.0995262080736262E-2</v>
      </c>
      <c r="DC72">
        <v>6.2297789369423623E-3</v>
      </c>
      <c r="DD72">
        <v>-7.3496747908812533E-3</v>
      </c>
      <c r="DE72">
        <v>-1.976820361216286E-2</v>
      </c>
      <c r="DF72">
        <v>-3.111713304744983E-2</v>
      </c>
      <c r="DG72">
        <v>-4.1450151698867524E-2</v>
      </c>
      <c r="DH72">
        <v>-5.0806509021148527E-2</v>
      </c>
      <c r="DI72">
        <v>-5.9230752340197278E-2</v>
      </c>
      <c r="DJ72">
        <v>-6.6759531132567732E-2</v>
      </c>
      <c r="DK72">
        <v>-7.3411782672590603E-2</v>
      </c>
      <c r="DL72">
        <v>-7.9206311246305727E-2</v>
      </c>
      <c r="DM72">
        <v>-8.4137313107898681E-2</v>
      </c>
      <c r="DN72">
        <v>-8.8216854927409369E-2</v>
      </c>
      <c r="DO72">
        <v>-9.1408744981373469E-2</v>
      </c>
      <c r="DP72">
        <v>-9.3653274830607008E-2</v>
      </c>
    </row>
    <row r="73" spans="1:120" x14ac:dyDescent="0.2">
      <c r="A73">
        <v>0.12568264026748691</v>
      </c>
      <c r="B73">
        <v>0.27153664283128837</v>
      </c>
      <c r="C73">
        <v>0.35041244076870337</v>
      </c>
      <c r="D73">
        <v>0.38533883051296786</v>
      </c>
      <c r="E73">
        <v>0.40190202597445757</v>
      </c>
      <c r="F73">
        <v>0.41082186228092765</v>
      </c>
      <c r="G73">
        <v>0.41627636932983458</v>
      </c>
      <c r="H73">
        <v>0.41965807453295034</v>
      </c>
      <c r="I73">
        <v>0.42166571492872351</v>
      </c>
      <c r="J73">
        <v>0.42248203976326115</v>
      </c>
      <c r="K73">
        <v>0.42194891794775724</v>
      </c>
      <c r="L73">
        <v>0.42017238053494094</v>
      </c>
      <c r="M73">
        <v>0.41698266066341472</v>
      </c>
      <c r="N73">
        <v>0.41224414661080566</v>
      </c>
      <c r="O73">
        <v>0.40586477200348497</v>
      </c>
      <c r="P73">
        <v>0.39776122753769638</v>
      </c>
      <c r="Q73">
        <v>0.38788275214497953</v>
      </c>
      <c r="R73">
        <v>0.37621224164844513</v>
      </c>
      <c r="S73">
        <v>0.3629191331919478</v>
      </c>
      <c r="T73">
        <v>0.34824680436981326</v>
      </c>
      <c r="U73">
        <v>0.33273095118197665</v>
      </c>
      <c r="V73">
        <v>0.31676457402845298</v>
      </c>
      <c r="W73">
        <v>0.30090890895646494</v>
      </c>
      <c r="X73">
        <v>0.28572872939597055</v>
      </c>
      <c r="Y73">
        <v>0.27171084077664875</v>
      </c>
      <c r="Z73">
        <v>0.25924008399903259</v>
      </c>
      <c r="AA73">
        <v>0.24862383148241674</v>
      </c>
      <c r="AB73">
        <v>0.24007885807686125</v>
      </c>
      <c r="AC73">
        <v>0.23393100480467444</v>
      </c>
      <c r="AD73">
        <v>0.2301070189558958</v>
      </c>
      <c r="AE73">
        <v>0.22880386130444466</v>
      </c>
      <c r="AF73">
        <v>0.23009079101615618</v>
      </c>
      <c r="AG73">
        <v>0.23406291874877261</v>
      </c>
      <c r="AH73">
        <v>0.24071898032383213</v>
      </c>
      <c r="AI73">
        <v>0.25022531125976871</v>
      </c>
      <c r="AJ73">
        <v>0.26251765821507506</v>
      </c>
      <c r="AK73">
        <v>0.27763534974758958</v>
      </c>
      <c r="AL73">
        <v>0.29558189243764332</v>
      </c>
      <c r="AM73">
        <v>0.3163173942007208</v>
      </c>
      <c r="AN73">
        <v>0.33967264424100513</v>
      </c>
      <c r="AO73">
        <v>0.36563080850284674</v>
      </c>
      <c r="AP73">
        <v>0.39397769426332985</v>
      </c>
      <c r="AQ73">
        <v>0.42446838890870081</v>
      </c>
      <c r="AR73">
        <v>0.45678892551871109</v>
      </c>
      <c r="AS73">
        <v>0.49064908802917934</v>
      </c>
      <c r="AT73">
        <v>0.52552378407311184</v>
      </c>
      <c r="AU73">
        <v>0.56105661546596097</v>
      </c>
      <c r="AV73">
        <v>0.59679411696339368</v>
      </c>
      <c r="AW73">
        <v>0.63226125181207904</v>
      </c>
      <c r="AX73">
        <v>0.66703112030682266</v>
      </c>
      <c r="AY73">
        <v>0.70069475720638652</v>
      </c>
      <c r="AZ73">
        <v>0.73290601603977457</v>
      </c>
      <c r="BA73">
        <v>0.76341779050603542</v>
      </c>
      <c r="BB73">
        <v>0.79196884508158516</v>
      </c>
      <c r="BC73">
        <v>0.81849060259001483</v>
      </c>
      <c r="BD73">
        <v>0.84287810896384163</v>
      </c>
      <c r="BE73">
        <v>0.86509476455425249</v>
      </c>
      <c r="BF73">
        <v>0.88520565293432762</v>
      </c>
      <c r="BG73">
        <v>0.90326868138538308</v>
      </c>
      <c r="BH73">
        <v>0.91941627097549272</v>
      </c>
      <c r="BI73">
        <v>0.93375620286006644</v>
      </c>
      <c r="BJ73">
        <v>0.94641511125931732</v>
      </c>
      <c r="BK73">
        <v>0.95753323303747251</v>
      </c>
      <c r="BL73">
        <v>0.9672318898025466</v>
      </c>
      <c r="BM73">
        <v>0.97562305858151854</v>
      </c>
      <c r="BN73">
        <v>0.98276973881748975</v>
      </c>
      <c r="BO73">
        <v>0.98872477279851378</v>
      </c>
      <c r="BP73">
        <v>0.99348527365044559</v>
      </c>
      <c r="BQ73">
        <v>0.99701038848567525</v>
      </c>
      <c r="BR73">
        <v>0.99922610720769023</v>
      </c>
      <c r="BS73">
        <v>1</v>
      </c>
      <c r="BT73">
        <v>0.99916137387611337</v>
      </c>
      <c r="BU73">
        <v>0.99649358534734567</v>
      </c>
      <c r="BV73">
        <v>0.99174104920894335</v>
      </c>
      <c r="BW73">
        <v>0.98460925563380008</v>
      </c>
      <c r="BX73">
        <v>0.9747826351826423</v>
      </c>
      <c r="BY73">
        <v>0.96195619064462934</v>
      </c>
      <c r="BZ73">
        <v>0.94581361558111188</v>
      </c>
      <c r="CA73">
        <v>0.92612641417743213</v>
      </c>
      <c r="CB73">
        <v>0.90271270331419506</v>
      </c>
      <c r="CC73">
        <v>0.87553770698989264</v>
      </c>
      <c r="CD73">
        <v>0.84469507246300946</v>
      </c>
      <c r="CE73">
        <v>0.81042186182160048</v>
      </c>
      <c r="CF73">
        <v>0.77311509215256258</v>
      </c>
      <c r="CG73">
        <v>0.73324901954876665</v>
      </c>
      <c r="CH73">
        <v>0.69147799246401564</v>
      </c>
      <c r="CI73">
        <v>0.64837622861353705</v>
      </c>
      <c r="CJ73">
        <v>0.60464752511649444</v>
      </c>
      <c r="CK73">
        <v>0.56085268173464653</v>
      </c>
      <c r="CL73">
        <v>0.5175910820960028</v>
      </c>
      <c r="CM73">
        <v>0.4752987003257636</v>
      </c>
      <c r="CN73">
        <v>0.43434574035956353</v>
      </c>
      <c r="CO73">
        <v>0.39503306839415547</v>
      </c>
      <c r="CP73">
        <v>0.35754427783003911</v>
      </c>
      <c r="CQ73">
        <v>0.32200846631041391</v>
      </c>
      <c r="CR73">
        <v>0.28850603296727156</v>
      </c>
      <c r="CS73">
        <v>0.25703101092151992</v>
      </c>
      <c r="CT73">
        <v>0.22755941133844218</v>
      </c>
      <c r="CU73">
        <v>0.20004886357244528</v>
      </c>
      <c r="CV73">
        <v>0.1744254134674029</v>
      </c>
      <c r="CW73">
        <v>0.15062944933418704</v>
      </c>
      <c r="CX73">
        <v>0.1285321276354178</v>
      </c>
      <c r="CY73">
        <v>0.10804267381930846</v>
      </c>
      <c r="CZ73">
        <v>8.911016021610102E-2</v>
      </c>
      <c r="DA73">
        <v>7.1607709909222619E-2</v>
      </c>
      <c r="DB73">
        <v>5.5456014226279458E-2</v>
      </c>
      <c r="DC73">
        <v>4.0595075719012601E-2</v>
      </c>
      <c r="DD73">
        <v>2.6909910674960985E-2</v>
      </c>
      <c r="DE73">
        <v>1.4376120352406508E-2</v>
      </c>
      <c r="DF73">
        <v>2.9033784621747679E-3</v>
      </c>
      <c r="DG73">
        <v>-7.5625354679223428E-3</v>
      </c>
      <c r="DH73">
        <v>-1.7061003267488679E-2</v>
      </c>
      <c r="DI73">
        <v>-2.5638083298578446E-2</v>
      </c>
      <c r="DJ73">
        <v>-3.3331402073156498E-2</v>
      </c>
      <c r="DK73">
        <v>-4.0162834646110562E-2</v>
      </c>
      <c r="DL73">
        <v>-4.61540459741221E-2</v>
      </c>
      <c r="DM73">
        <v>-5.130451291129777E-2</v>
      </c>
      <c r="DN73">
        <v>-5.5633308678931646E-2</v>
      </c>
      <c r="DO73">
        <v>-5.9114777598559987E-2</v>
      </c>
      <c r="DP73">
        <v>-6.1705371389089242E-2</v>
      </c>
    </row>
    <row r="74" spans="1:120" x14ac:dyDescent="0.2">
      <c r="A74">
        <v>0.12120738960312337</v>
      </c>
      <c r="B74">
        <v>0.26463554305114056</v>
      </c>
      <c r="C74">
        <v>0.34249929395749412</v>
      </c>
      <c r="D74">
        <v>0.37716285315258652</v>
      </c>
      <c r="E74">
        <v>0.39370274483717499</v>
      </c>
      <c r="F74">
        <v>0.40266092998462705</v>
      </c>
      <c r="G74">
        <v>0.40816077351983787</v>
      </c>
      <c r="H74">
        <v>0.41158266432674206</v>
      </c>
      <c r="I74">
        <v>0.41362270282728197</v>
      </c>
      <c r="J74">
        <v>0.41446664091444374</v>
      </c>
      <c r="K74">
        <v>0.41395618058642569</v>
      </c>
      <c r="L74">
        <v>0.41219868680723665</v>
      </c>
      <c r="M74">
        <v>0.40902500179088913</v>
      </c>
      <c r="N74">
        <v>0.40429681979427262</v>
      </c>
      <c r="O74">
        <v>0.39792393463808884</v>
      </c>
      <c r="P74">
        <v>0.38981834308242114</v>
      </c>
      <c r="Q74">
        <v>0.37992826858009104</v>
      </c>
      <c r="R74">
        <v>0.3682326291225444</v>
      </c>
      <c r="S74">
        <v>0.35490018800672612</v>
      </c>
      <c r="T74">
        <v>0.34016782737818158</v>
      </c>
      <c r="U74">
        <v>0.32457247187240607</v>
      </c>
      <c r="V74">
        <v>0.3084974160720545</v>
      </c>
      <c r="W74">
        <v>0.29250389819474454</v>
      </c>
      <c r="X74">
        <v>0.27714641148735614</v>
      </c>
      <c r="Y74">
        <v>0.26291332655893174</v>
      </c>
      <c r="Z74">
        <v>0.25018022390647576</v>
      </c>
      <c r="AA74">
        <v>0.23924920936973323</v>
      </c>
      <c r="AB74">
        <v>0.23033738492765754</v>
      </c>
      <c r="AC74">
        <v>0.22377000580518394</v>
      </c>
      <c r="AD74">
        <v>0.21946909750257981</v>
      </c>
      <c r="AE74">
        <v>0.21763342886893108</v>
      </c>
      <c r="AF74">
        <v>0.21833707434115476</v>
      </c>
      <c r="AG74">
        <v>0.22167287792508683</v>
      </c>
      <c r="AH74">
        <v>0.22764487615382017</v>
      </c>
      <c r="AI74">
        <v>0.23642824157114162</v>
      </c>
      <c r="AJ74">
        <v>0.24795911883151855</v>
      </c>
      <c r="AK74">
        <v>0.26229224708720361</v>
      </c>
      <c r="AL74">
        <v>0.27943497139074724</v>
      </c>
      <c r="AM74">
        <v>0.29936228069643284</v>
      </c>
      <c r="AN74">
        <v>0.32191823254586405</v>
      </c>
      <c r="AO74">
        <v>0.3470987788867374</v>
      </c>
      <c r="AP74">
        <v>0.37471151910896083</v>
      </c>
      <c r="AQ74">
        <v>0.40452099539941977</v>
      </c>
      <c r="AR74">
        <v>0.43623198392682117</v>
      </c>
      <c r="AS74">
        <v>0.46957104194102622</v>
      </c>
      <c r="AT74">
        <v>0.50402288071677026</v>
      </c>
      <c r="AU74">
        <v>0.53924390268463107</v>
      </c>
      <c r="AV74">
        <v>0.57478997693266076</v>
      </c>
      <c r="AW74">
        <v>0.61019016510191237</v>
      </c>
      <c r="AX74">
        <v>0.64502201333584586</v>
      </c>
      <c r="AY74">
        <v>0.67887592987100676</v>
      </c>
      <c r="AZ74">
        <v>0.71139955703635993</v>
      </c>
      <c r="BA74">
        <v>0.74234439683560705</v>
      </c>
      <c r="BB74">
        <v>0.77143970102798665</v>
      </c>
      <c r="BC74">
        <v>0.79861051477006151</v>
      </c>
      <c r="BD74">
        <v>0.8237405953980359</v>
      </c>
      <c r="BE74">
        <v>0.84678269038407772</v>
      </c>
      <c r="BF74">
        <v>0.86779375054938823</v>
      </c>
      <c r="BG74">
        <v>0.88682303198387269</v>
      </c>
      <c r="BH74">
        <v>0.90399675742924568</v>
      </c>
      <c r="BI74">
        <v>0.91941593299614854</v>
      </c>
      <c r="BJ74">
        <v>0.93320273201431425</v>
      </c>
      <c r="BK74">
        <v>0.94549466472842736</v>
      </c>
      <c r="BL74">
        <v>0.95641208523054255</v>
      </c>
      <c r="BM74">
        <v>0.96606873835739748</v>
      </c>
      <c r="BN74">
        <v>0.97452725936009188</v>
      </c>
      <c r="BO74">
        <v>0.98184595778847295</v>
      </c>
      <c r="BP74">
        <v>0.98802451658244961</v>
      </c>
      <c r="BQ74">
        <v>0.99302485397832696</v>
      </c>
      <c r="BR74">
        <v>0.99678100886886378</v>
      </c>
      <c r="BS74">
        <v>0.99916137387611337</v>
      </c>
      <c r="BT74">
        <v>1</v>
      </c>
      <c r="BU74">
        <v>0.99908214511198201</v>
      </c>
      <c r="BV74">
        <v>0.99615223953076448</v>
      </c>
      <c r="BW74">
        <v>0.9909150244619761</v>
      </c>
      <c r="BX74">
        <v>0.98304986688188023</v>
      </c>
      <c r="BY74">
        <v>0.97224083400622452</v>
      </c>
      <c r="BZ74">
        <v>0.95816169384563743</v>
      </c>
      <c r="CA74">
        <v>0.94056442554450781</v>
      </c>
      <c r="CB74">
        <v>0.91924724529538271</v>
      </c>
      <c r="CC74">
        <v>0.89414930069260223</v>
      </c>
      <c r="CD74">
        <v>0.86533752983043732</v>
      </c>
      <c r="CE74">
        <v>0.83302256615575931</v>
      </c>
      <c r="CF74">
        <v>0.7975752687490304</v>
      </c>
      <c r="CG74">
        <v>0.75945001591180938</v>
      </c>
      <c r="CH74">
        <v>0.71928148603639686</v>
      </c>
      <c r="CI74">
        <v>0.67763591186468075</v>
      </c>
      <c r="CJ74">
        <v>0.63520889082630683</v>
      </c>
      <c r="CK74">
        <v>0.59256349879464953</v>
      </c>
      <c r="CL74">
        <v>0.55030154724183322</v>
      </c>
      <c r="CM74">
        <v>0.50886807525566247</v>
      </c>
      <c r="CN74">
        <v>0.46864378630519488</v>
      </c>
      <c r="CO74">
        <v>0.42994143619007608</v>
      </c>
      <c r="CP74">
        <v>0.39295683193543218</v>
      </c>
      <c r="CQ74">
        <v>0.35783208068142913</v>
      </c>
      <c r="CR74">
        <v>0.32465888028332807</v>
      </c>
      <c r="CS74">
        <v>0.29344263181444136</v>
      </c>
      <c r="CT74">
        <v>0.26416907744632312</v>
      </c>
      <c r="CU74">
        <v>0.2368044539904568</v>
      </c>
      <c r="CV74">
        <v>0.21128299552775542</v>
      </c>
      <c r="CW74">
        <v>0.18755144666783044</v>
      </c>
      <c r="CX74">
        <v>0.1654867277361203</v>
      </c>
      <c r="CY74">
        <v>0.14500314195363254</v>
      </c>
      <c r="CZ74">
        <v>0.1260533203383766</v>
      </c>
      <c r="DA74">
        <v>0.10851388840061568</v>
      </c>
      <c r="DB74">
        <v>9.2308069453184691E-2</v>
      </c>
      <c r="DC74">
        <v>7.7378149881141112E-2</v>
      </c>
      <c r="DD74">
        <v>6.3610455267817306E-2</v>
      </c>
      <c r="DE74">
        <v>5.0981417995714776E-2</v>
      </c>
      <c r="DF74">
        <v>3.9401871913992692E-2</v>
      </c>
      <c r="DG74">
        <v>2.8817185820117733E-2</v>
      </c>
      <c r="DH74">
        <v>1.9187861306254564E-2</v>
      </c>
      <c r="DI74">
        <v>1.0466375119399568E-2</v>
      </c>
      <c r="DJ74">
        <v>2.6140634600249364E-3</v>
      </c>
      <c r="DK74">
        <v>-4.3940503860917914E-3</v>
      </c>
      <c r="DL74">
        <v>-1.0582725733542868E-2</v>
      </c>
      <c r="DM74">
        <v>-1.5957093868297533E-2</v>
      </c>
      <c r="DN74">
        <v>-2.0543792573852374E-2</v>
      </c>
      <c r="DO74">
        <v>-2.432856364454225E-2</v>
      </c>
      <c r="DP74">
        <v>-2.7285420015877512E-2</v>
      </c>
    </row>
    <row r="75" spans="1:120" x14ac:dyDescent="0.2">
      <c r="A75">
        <v>0.11660007828275788</v>
      </c>
      <c r="B75">
        <v>0.25761221039742033</v>
      </c>
      <c r="C75">
        <v>0.33448978179197436</v>
      </c>
      <c r="D75">
        <v>0.36891802709167593</v>
      </c>
      <c r="E75">
        <v>0.38546013571935978</v>
      </c>
      <c r="F75">
        <v>0.39448040350570512</v>
      </c>
      <c r="G75">
        <v>0.40004789948237512</v>
      </c>
      <c r="H75">
        <v>0.40353274956496826</v>
      </c>
      <c r="I75">
        <v>0.40562893793891952</v>
      </c>
      <c r="J75">
        <v>0.40652616319526802</v>
      </c>
      <c r="K75">
        <v>0.40606704719123687</v>
      </c>
      <c r="L75">
        <v>0.40436030871440448</v>
      </c>
      <c r="M75">
        <v>0.40123793517309514</v>
      </c>
      <c r="N75">
        <v>0.39655882335552323</v>
      </c>
      <c r="O75">
        <v>0.3902348296829205</v>
      </c>
      <c r="P75">
        <v>0.38217253655020639</v>
      </c>
      <c r="Q75">
        <v>0.37231869880578394</v>
      </c>
      <c r="R75">
        <v>0.36064764776272956</v>
      </c>
      <c r="S75">
        <v>0.34732603089930869</v>
      </c>
      <c r="T75">
        <v>0.33258325833942476</v>
      </c>
      <c r="U75">
        <v>0.31695631517062223</v>
      </c>
      <c r="V75">
        <v>0.3008175522868658</v>
      </c>
      <c r="W75">
        <v>0.28472748716980528</v>
      </c>
      <c r="X75">
        <v>0.2692293419824891</v>
      </c>
      <c r="Y75">
        <v>0.25481286758001881</v>
      </c>
      <c r="Z75">
        <v>0.24184394642956508</v>
      </c>
      <c r="AA75">
        <v>0.23061874271748325</v>
      </c>
      <c r="AB75">
        <v>0.22135510159019517</v>
      </c>
      <c r="AC75">
        <v>0.21437677117072543</v>
      </c>
      <c r="AD75">
        <v>0.20960098144353428</v>
      </c>
      <c r="AE75">
        <v>0.20722791889454453</v>
      </c>
      <c r="AF75">
        <v>0.2073360657122518</v>
      </c>
      <c r="AG75">
        <v>0.2100153798148138</v>
      </c>
      <c r="AH75">
        <v>0.21527493149234067</v>
      </c>
      <c r="AI75">
        <v>0.22329828005103702</v>
      </c>
      <c r="AJ75">
        <v>0.23402137442795365</v>
      </c>
      <c r="AK75">
        <v>0.24751438948219251</v>
      </c>
      <c r="AL75">
        <v>0.26378779323917972</v>
      </c>
      <c r="AM75">
        <v>0.2828314649624652</v>
      </c>
      <c r="AN75">
        <v>0.30450291424923304</v>
      </c>
      <c r="AO75">
        <v>0.32881043270373417</v>
      </c>
      <c r="AP75">
        <v>0.35558444127126004</v>
      </c>
      <c r="AQ75">
        <v>0.38459897840688245</v>
      </c>
      <c r="AR75">
        <v>0.41557860232288879</v>
      </c>
      <c r="AS75">
        <v>0.44826782080869265</v>
      </c>
      <c r="AT75">
        <v>0.48216278518408268</v>
      </c>
      <c r="AU75">
        <v>0.51693393782460173</v>
      </c>
      <c r="AV75">
        <v>0.55214851206197535</v>
      </c>
      <c r="AW75">
        <v>0.58734131005674672</v>
      </c>
      <c r="AX75">
        <v>0.62209634158221461</v>
      </c>
      <c r="AY75">
        <v>0.65600514083445394</v>
      </c>
      <c r="AZ75">
        <v>0.68871061555585722</v>
      </c>
      <c r="BA75">
        <v>0.71996455227485967</v>
      </c>
      <c r="BB75">
        <v>0.7494880139770399</v>
      </c>
      <c r="BC75">
        <v>0.77720054564846053</v>
      </c>
      <c r="BD75">
        <v>0.80297535505891848</v>
      </c>
      <c r="BE75">
        <v>0.82675519790407759</v>
      </c>
      <c r="BF75">
        <v>0.84858905589603428</v>
      </c>
      <c r="BG75">
        <v>0.86851805504829405</v>
      </c>
      <c r="BH75">
        <v>0.88666206244952073</v>
      </c>
      <c r="BI75">
        <v>0.90311541733334</v>
      </c>
      <c r="BJ75">
        <v>0.91799581962235022</v>
      </c>
      <c r="BK75">
        <v>0.93143793058142843</v>
      </c>
      <c r="BL75">
        <v>0.94356097191386268</v>
      </c>
      <c r="BM75">
        <v>0.95448046510729989</v>
      </c>
      <c r="BN75">
        <v>0.96425845192633763</v>
      </c>
      <c r="BO75">
        <v>0.97295883083593349</v>
      </c>
      <c r="BP75">
        <v>0.98058389086877074</v>
      </c>
      <c r="BQ75">
        <v>0.98709851114144387</v>
      </c>
      <c r="BR75">
        <v>0.99244524651781785</v>
      </c>
      <c r="BS75">
        <v>0.99649358534734567</v>
      </c>
      <c r="BT75">
        <v>0.99908214511198201</v>
      </c>
      <c r="BU75">
        <v>1</v>
      </c>
      <c r="BV75">
        <v>0.99899051272927597</v>
      </c>
      <c r="BW75">
        <v>0.99575877216135911</v>
      </c>
      <c r="BX75">
        <v>0.98997924268701842</v>
      </c>
      <c r="BY75">
        <v>0.98132491694168256</v>
      </c>
      <c r="BZ75">
        <v>0.96945946674446892</v>
      </c>
      <c r="CA75">
        <v>0.9541143699158644</v>
      </c>
      <c r="CB75">
        <v>0.9350669995756854</v>
      </c>
      <c r="CC75">
        <v>0.91222864354107069</v>
      </c>
      <c r="CD75">
        <v>0.88563735217606832</v>
      </c>
      <c r="CE75">
        <v>0.85547485828995973</v>
      </c>
      <c r="CF75">
        <v>0.82208322399899236</v>
      </c>
      <c r="CG75">
        <v>0.7858943463265684</v>
      </c>
      <c r="CH75">
        <v>0.7475204966673088</v>
      </c>
      <c r="CI75">
        <v>0.70751776113149256</v>
      </c>
      <c r="CJ75">
        <v>0.66657153242322731</v>
      </c>
      <c r="CK75">
        <v>0.62524571234349524</v>
      </c>
      <c r="CL75">
        <v>0.58414342130842811</v>
      </c>
      <c r="CM75">
        <v>0.54371817428060121</v>
      </c>
      <c r="CN75">
        <v>0.50436097907074129</v>
      </c>
      <c r="CO75">
        <v>0.46639641747730903</v>
      </c>
      <c r="CP75">
        <v>0.43003295638160149</v>
      </c>
      <c r="CQ75">
        <v>0.39542603705935897</v>
      </c>
      <c r="CR75">
        <v>0.36267924997870399</v>
      </c>
      <c r="CS75">
        <v>0.33181002204374715</v>
      </c>
      <c r="CT75">
        <v>0.30281451763511386</v>
      </c>
      <c r="CU75">
        <v>0.27566821369960626</v>
      </c>
      <c r="CV75">
        <v>0.25031413909634975</v>
      </c>
      <c r="CW75">
        <v>0.2267059481510611</v>
      </c>
      <c r="CX75">
        <v>0.20472698618214424</v>
      </c>
      <c r="CY75">
        <v>0.18429708242756246</v>
      </c>
      <c r="CZ75">
        <v>0.16537284503425198</v>
      </c>
      <c r="DA75">
        <v>0.14783484282889781</v>
      </c>
      <c r="DB75">
        <v>0.13160921068975745</v>
      </c>
      <c r="DC75">
        <v>0.11664072725114046</v>
      </c>
      <c r="DD75">
        <v>0.10281742776528548</v>
      </c>
      <c r="DE75">
        <v>9.0116710613291212E-2</v>
      </c>
      <c r="DF75">
        <v>7.8450736593618814E-2</v>
      </c>
      <c r="DG75">
        <v>6.7764632090896088E-2</v>
      </c>
      <c r="DH75">
        <v>5.8018834316433558E-2</v>
      </c>
      <c r="DI75">
        <v>4.9164383460166883E-2</v>
      </c>
      <c r="DJ75">
        <v>4.1161584151849992E-2</v>
      </c>
      <c r="DK75">
        <v>3.3982208024520892E-2</v>
      </c>
      <c r="DL75">
        <v>2.7598207509078078E-2</v>
      </c>
      <c r="DM75">
        <v>2.1998432877905479E-2</v>
      </c>
      <c r="DN75">
        <v>1.7148217764617443E-2</v>
      </c>
      <c r="DO75">
        <v>1.304959543941119E-2</v>
      </c>
      <c r="DP75">
        <v>9.7096888380895398E-3</v>
      </c>
    </row>
    <row r="76" spans="1:120" x14ac:dyDescent="0.2">
      <c r="A76">
        <v>0.11183064456789824</v>
      </c>
      <c r="B76">
        <v>0.25040904913292206</v>
      </c>
      <c r="C76">
        <v>0.32631047144289066</v>
      </c>
      <c r="D76">
        <v>0.36052182249503251</v>
      </c>
      <c r="E76">
        <v>0.37708492287005257</v>
      </c>
      <c r="F76">
        <v>0.38618530467361595</v>
      </c>
      <c r="G76">
        <v>0.39183775641473056</v>
      </c>
      <c r="H76">
        <v>0.39540372658113487</v>
      </c>
      <c r="I76">
        <v>0.39757586358825775</v>
      </c>
      <c r="J76">
        <v>0.39854839384027529</v>
      </c>
      <c r="K76">
        <v>0.39816608326920383</v>
      </c>
      <c r="L76">
        <v>0.39653916730040717</v>
      </c>
      <c r="M76">
        <v>0.39350113416183546</v>
      </c>
      <c r="N76">
        <v>0.38890825111043875</v>
      </c>
      <c r="O76">
        <v>0.38267463243007244</v>
      </c>
      <c r="P76">
        <v>0.3747007329254351</v>
      </c>
      <c r="Q76">
        <v>0.36493152429833275</v>
      </c>
      <c r="R76">
        <v>0.35333587426311253</v>
      </c>
      <c r="S76">
        <v>0.34007726280947487</v>
      </c>
      <c r="T76">
        <v>0.32537639655454276</v>
      </c>
      <c r="U76">
        <v>0.30976894501109015</v>
      </c>
      <c r="V76">
        <v>0.29361506468117343</v>
      </c>
      <c r="W76">
        <v>0.27747355672496676</v>
      </c>
      <c r="X76">
        <v>0.26187524071305762</v>
      </c>
      <c r="Y76">
        <v>0.24731086554687112</v>
      </c>
      <c r="Z76">
        <v>0.23413600731683007</v>
      </c>
      <c r="AA76">
        <v>0.22264029218294173</v>
      </c>
      <c r="AB76">
        <v>0.21304238102499107</v>
      </c>
      <c r="AC76">
        <v>0.20566354816639512</v>
      </c>
      <c r="AD76">
        <v>0.20041632878772725</v>
      </c>
      <c r="AE76">
        <v>0.19750168780511568</v>
      </c>
      <c r="AF76">
        <v>0.19700217670847464</v>
      </c>
      <c r="AG76">
        <v>0.19900415017453243</v>
      </c>
      <c r="AH76">
        <v>0.20352155726344814</v>
      </c>
      <c r="AI76">
        <v>0.21074576804044901</v>
      </c>
      <c r="AJ76">
        <v>0.22061201303672581</v>
      </c>
      <c r="AK76">
        <v>0.23320588595330641</v>
      </c>
      <c r="AL76">
        <v>0.24854037971176854</v>
      </c>
      <c r="AM76">
        <v>0.26662013175831134</v>
      </c>
      <c r="AN76">
        <v>0.28731646189298216</v>
      </c>
      <c r="AO76">
        <v>0.31064958891359601</v>
      </c>
      <c r="AP76">
        <v>0.33647365413292724</v>
      </c>
      <c r="AQ76">
        <v>0.36457251017383707</v>
      </c>
      <c r="AR76">
        <v>0.39469165270711171</v>
      </c>
      <c r="AS76">
        <v>0.42659465364972909</v>
      </c>
      <c r="AT76">
        <v>0.45979089944233187</v>
      </c>
      <c r="AU76">
        <v>0.49396631292926563</v>
      </c>
      <c r="AV76">
        <v>0.52870146971640508</v>
      </c>
      <c r="AW76">
        <v>0.5635386644365139</v>
      </c>
      <c r="AX76">
        <v>0.59807061042501364</v>
      </c>
      <c r="AY76">
        <v>0.63189180693902036</v>
      </c>
      <c r="AZ76">
        <v>0.66464176839705291</v>
      </c>
      <c r="BA76">
        <v>0.69607449248890707</v>
      </c>
      <c r="BB76">
        <v>0.72590413068668402</v>
      </c>
      <c r="BC76">
        <v>0.75404558090597318</v>
      </c>
      <c r="BD76">
        <v>0.78036232087392432</v>
      </c>
      <c r="BE76">
        <v>0.80478770848484971</v>
      </c>
      <c r="BF76">
        <v>0.82736302734201583</v>
      </c>
      <c r="BG76">
        <v>0.84812153755970821</v>
      </c>
      <c r="BH76">
        <v>0.86717673095991255</v>
      </c>
      <c r="BI76">
        <v>0.88461625584904646</v>
      </c>
      <c r="BJ76">
        <v>0.90055339823069191</v>
      </c>
      <c r="BK76">
        <v>0.91511966559878988</v>
      </c>
      <c r="BL76">
        <v>0.92843309678120622</v>
      </c>
      <c r="BM76">
        <v>0.94061081418719494</v>
      </c>
      <c r="BN76">
        <v>0.95171408470882368</v>
      </c>
      <c r="BO76">
        <v>0.96181253891021601</v>
      </c>
      <c r="BP76">
        <v>0.97091111862711466</v>
      </c>
      <c r="BQ76">
        <v>0.97897780992355343</v>
      </c>
      <c r="BR76">
        <v>0.98596419990499673</v>
      </c>
      <c r="BS76">
        <v>0.99174104920894335</v>
      </c>
      <c r="BT76">
        <v>0.99615223953076448</v>
      </c>
      <c r="BU76">
        <v>0.99899051272927597</v>
      </c>
      <c r="BV76">
        <v>1</v>
      </c>
      <c r="BW76">
        <v>0.99888516544370021</v>
      </c>
      <c r="BX76">
        <v>0.9953166717440981</v>
      </c>
      <c r="BY76">
        <v>0.98895623531067778</v>
      </c>
      <c r="BZ76">
        <v>0.97945742668884017</v>
      </c>
      <c r="CA76">
        <v>0.96653027028142213</v>
      </c>
      <c r="CB76">
        <v>0.94993045531366205</v>
      </c>
      <c r="CC76">
        <v>0.92953956996520948</v>
      </c>
      <c r="CD76">
        <v>0.90536469678860043</v>
      </c>
      <c r="CE76">
        <v>0.87755614984909425</v>
      </c>
      <c r="CF76">
        <v>0.8464244557641708</v>
      </c>
      <c r="CG76">
        <v>0.81237637134649843</v>
      </c>
      <c r="CH76">
        <v>0.77599877827583685</v>
      </c>
      <c r="CI76">
        <v>0.73783544862538875</v>
      </c>
      <c r="CJ76">
        <v>0.69855927983988209</v>
      </c>
      <c r="CK76">
        <v>0.6587334792595626</v>
      </c>
      <c r="CL76">
        <v>0.61896113376411444</v>
      </c>
      <c r="CM76">
        <v>0.57970364433460775</v>
      </c>
      <c r="CN76">
        <v>0.54136193201785199</v>
      </c>
      <c r="CO76">
        <v>0.50427229653153605</v>
      </c>
      <c r="CP76">
        <v>0.46865619437425637</v>
      </c>
      <c r="CQ76">
        <v>0.43468276784427973</v>
      </c>
      <c r="CR76">
        <v>0.40246801790788445</v>
      </c>
      <c r="CS76">
        <v>0.3720420506276817</v>
      </c>
      <c r="CT76">
        <v>0.34341213706303692</v>
      </c>
      <c r="CU76">
        <v>0.31656362947927308</v>
      </c>
      <c r="CV76">
        <v>0.29144898161007998</v>
      </c>
      <c r="CW76">
        <v>0.2680293070798101</v>
      </c>
      <c r="CX76">
        <v>0.24619505761662017</v>
      </c>
      <c r="CY76">
        <v>0.22587209477845152</v>
      </c>
      <c r="CZ76">
        <v>0.20702137674046581</v>
      </c>
      <c r="DA76">
        <v>0.18952792499319843</v>
      </c>
      <c r="DB76">
        <v>0.17332114835292342</v>
      </c>
      <c r="DC76">
        <v>0.15834857706108582</v>
      </c>
      <c r="DD76">
        <v>0.14450034834448963</v>
      </c>
      <c r="DE76">
        <v>0.13175495355572445</v>
      </c>
      <c r="DF76">
        <v>0.1200261110364525</v>
      </c>
      <c r="DG76">
        <v>0.10925884640562582</v>
      </c>
      <c r="DH76">
        <v>9.9413592551208199E-2</v>
      </c>
      <c r="DI76">
        <v>9.0440022518007882E-2</v>
      </c>
      <c r="DJ76">
        <v>8.2297369544025376E-2</v>
      </c>
      <c r="DK76">
        <v>7.4954030281411177E-2</v>
      </c>
      <c r="DL76">
        <v>6.8378444288445722E-2</v>
      </c>
      <c r="DM76">
        <v>6.2553093673575477E-2</v>
      </c>
      <c r="DN76">
        <v>5.7434791954109748E-2</v>
      </c>
      <c r="DO76">
        <v>5.301248954586614E-2</v>
      </c>
      <c r="DP76">
        <v>4.9273092550269078E-2</v>
      </c>
    </row>
    <row r="77" spans="1:120" x14ac:dyDescent="0.2">
      <c r="A77">
        <v>0.10684504738471927</v>
      </c>
      <c r="B77">
        <v>0.24290989595197801</v>
      </c>
      <c r="C77">
        <v>0.31781161884458142</v>
      </c>
      <c r="D77">
        <v>0.35180988492757936</v>
      </c>
      <c r="E77">
        <v>0.36840596407115184</v>
      </c>
      <c r="F77">
        <v>0.37760091154171216</v>
      </c>
      <c r="G77">
        <v>0.38335309826998071</v>
      </c>
      <c r="H77">
        <v>0.38701661526889275</v>
      </c>
      <c r="I77">
        <v>0.38928280777006929</v>
      </c>
      <c r="J77">
        <v>0.39035134175735131</v>
      </c>
      <c r="K77">
        <v>0.39007029790755376</v>
      </c>
      <c r="L77">
        <v>0.38855148197699663</v>
      </c>
      <c r="M77">
        <v>0.3856303686418372</v>
      </c>
      <c r="N77">
        <v>0.38116069767094013</v>
      </c>
      <c r="O77">
        <v>0.37505912506470956</v>
      </c>
      <c r="P77">
        <v>0.36721928793405489</v>
      </c>
      <c r="Q77">
        <v>0.35758410475488789</v>
      </c>
      <c r="R77">
        <v>0.34611626565185377</v>
      </c>
      <c r="S77">
        <v>0.33297485611727146</v>
      </c>
      <c r="T77">
        <v>0.31837075927055347</v>
      </c>
      <c r="U77">
        <v>0.30283685956159967</v>
      </c>
      <c r="V77">
        <v>0.28671975033083397</v>
      </c>
      <c r="W77">
        <v>0.27057542902313297</v>
      </c>
      <c r="X77">
        <v>0.25492101477945278</v>
      </c>
      <c r="Y77">
        <v>0.24024773564386429</v>
      </c>
      <c r="Z77">
        <v>0.22690012103298607</v>
      </c>
      <c r="AA77">
        <v>0.21516047654757089</v>
      </c>
      <c r="AB77">
        <v>0.20524841141630329</v>
      </c>
      <c r="AC77">
        <v>0.19748168235264832</v>
      </c>
      <c r="AD77">
        <v>0.19176802163690632</v>
      </c>
      <c r="AE77">
        <v>0.18830872780717581</v>
      </c>
      <c r="AF77">
        <v>0.18718989771268793</v>
      </c>
      <c r="AG77">
        <v>0.18849367441416956</v>
      </c>
      <c r="AH77">
        <v>0.19223856503939929</v>
      </c>
      <c r="AI77">
        <v>0.19862330040209331</v>
      </c>
      <c r="AJ77">
        <v>0.20758181986024374</v>
      </c>
      <c r="AK77">
        <v>0.21921511027160923</v>
      </c>
      <c r="AL77">
        <v>0.23353802845806196</v>
      </c>
      <c r="AM77">
        <v>0.25057000202902074</v>
      </c>
      <c r="AN77">
        <v>0.27019638072853591</v>
      </c>
      <c r="AO77">
        <v>0.29244897259634317</v>
      </c>
      <c r="AP77">
        <v>0.31720669644517607</v>
      </c>
      <c r="AQ77">
        <v>0.3442634931258432</v>
      </c>
      <c r="AR77">
        <v>0.37338689560437988</v>
      </c>
      <c r="AS77">
        <v>0.40436088117766311</v>
      </c>
      <c r="AT77">
        <v>0.43670994380352984</v>
      </c>
      <c r="AU77">
        <v>0.47013688394149183</v>
      </c>
      <c r="AV77">
        <v>0.50423779824772619</v>
      </c>
      <c r="AW77">
        <v>0.53856441488771634</v>
      </c>
      <c r="AX77">
        <v>0.57272027142648396</v>
      </c>
      <c r="AY77">
        <v>0.60630481531725244</v>
      </c>
      <c r="AZ77">
        <v>0.63895576800833509</v>
      </c>
      <c r="BA77">
        <v>0.67043103483106858</v>
      </c>
      <c r="BB77">
        <v>0.70043938833817498</v>
      </c>
      <c r="BC77">
        <v>0.7288918252035822</v>
      </c>
      <c r="BD77">
        <v>0.75564295984335839</v>
      </c>
      <c r="BE77">
        <v>0.78061735867185245</v>
      </c>
      <c r="BF77">
        <v>0.80384880730878749</v>
      </c>
      <c r="BG77">
        <v>0.82536306558860273</v>
      </c>
      <c r="BH77">
        <v>0.84526710162521423</v>
      </c>
      <c r="BI77">
        <v>0.86364183356093938</v>
      </c>
      <c r="BJ77">
        <v>0.88059614518140505</v>
      </c>
      <c r="BK77">
        <v>0.89625810935338335</v>
      </c>
      <c r="BL77">
        <v>0.91074444669345933</v>
      </c>
      <c r="BM77">
        <v>0.92417371170349427</v>
      </c>
      <c r="BN77">
        <v>0.93660624711745832</v>
      </c>
      <c r="BO77">
        <v>0.94811748493071801</v>
      </c>
      <c r="BP77">
        <v>0.95871506970026132</v>
      </c>
      <c r="BQ77">
        <v>0.96837024956572859</v>
      </c>
      <c r="BR77">
        <v>0.97704422385426792</v>
      </c>
      <c r="BS77">
        <v>0.98460925563380008</v>
      </c>
      <c r="BT77">
        <v>0.9909150244619761</v>
      </c>
      <c r="BU77">
        <v>0.99575877216135922</v>
      </c>
      <c r="BV77">
        <v>0.9988851654437001</v>
      </c>
      <c r="BW77">
        <v>1</v>
      </c>
      <c r="BX77">
        <v>0.99876920181345585</v>
      </c>
      <c r="BY77">
        <v>0.99484400027171194</v>
      </c>
      <c r="BZ77">
        <v>0.98786775085488154</v>
      </c>
      <c r="CA77">
        <v>0.97752819353502129</v>
      </c>
      <c r="CB77">
        <v>0.96355856906834425</v>
      </c>
      <c r="CC77">
        <v>0.94580905055120701</v>
      </c>
      <c r="CD77">
        <v>0.92425355296342437</v>
      </c>
      <c r="CE77">
        <v>0.89900845513992622</v>
      </c>
      <c r="CF77">
        <v>0.87034992399277566</v>
      </c>
      <c r="CG77">
        <v>0.83865682304115596</v>
      </c>
      <c r="CH77">
        <v>0.80448751514211092</v>
      </c>
      <c r="CI77">
        <v>0.76837109196665865</v>
      </c>
      <c r="CJ77">
        <v>0.73096551493173945</v>
      </c>
      <c r="CK77">
        <v>0.69283157580831556</v>
      </c>
      <c r="CL77">
        <v>0.6545709215711536</v>
      </c>
      <c r="CM77">
        <v>0.61665195246425319</v>
      </c>
      <c r="CN77">
        <v>0.57948509939331583</v>
      </c>
      <c r="CO77">
        <v>0.54341818306421785</v>
      </c>
      <c r="CP77">
        <v>0.50868589761508243</v>
      </c>
      <c r="CQ77">
        <v>0.4754713860673625</v>
      </c>
      <c r="CR77">
        <v>0.44390357753103332</v>
      </c>
      <c r="CS77">
        <v>0.41402586659299107</v>
      </c>
      <c r="CT77">
        <v>0.38585734342796985</v>
      </c>
      <c r="CU77">
        <v>0.35939389231830726</v>
      </c>
      <c r="CV77">
        <v>0.33459798193911033</v>
      </c>
      <c r="CW77">
        <v>0.31143878525689933</v>
      </c>
      <c r="CX77">
        <v>0.28981456983412046</v>
      </c>
      <c r="CY77">
        <v>0.26965774737554327</v>
      </c>
      <c r="CZ77">
        <v>0.25093401832756318</v>
      </c>
      <c r="DA77">
        <v>0.23353339467434034</v>
      </c>
      <c r="DB77">
        <v>0.21738895749178533</v>
      </c>
      <c r="DC77">
        <v>0.20245124292668634</v>
      </c>
      <c r="DD77">
        <v>0.18861292849666689</v>
      </c>
      <c r="DE77">
        <v>0.17585374884270744</v>
      </c>
      <c r="DF77">
        <v>0.16408920412920672</v>
      </c>
      <c r="DG77">
        <v>0.15326441153981063</v>
      </c>
      <c r="DH77">
        <v>0.1433398650526154</v>
      </c>
      <c r="DI77">
        <v>0.13426393402527681</v>
      </c>
      <c r="DJ77">
        <v>0.12599478780825585</v>
      </c>
      <c r="DK77">
        <v>0.11849732923336945</v>
      </c>
      <c r="DL77">
        <v>0.11173629114640725</v>
      </c>
      <c r="DM77">
        <v>0.10568744584086331</v>
      </c>
      <c r="DN77">
        <v>0.10029860711751787</v>
      </c>
      <c r="DO77">
        <v>9.5544822324666726E-2</v>
      </c>
      <c r="DP77">
        <v>9.1391447556692165E-2</v>
      </c>
    </row>
    <row r="78" spans="1:120" x14ac:dyDescent="0.2">
      <c r="A78">
        <v>0.10162477862261822</v>
      </c>
      <c r="B78">
        <v>0.23505657982881076</v>
      </c>
      <c r="C78">
        <v>0.30891303457759944</v>
      </c>
      <c r="D78">
        <v>0.34269208686699326</v>
      </c>
      <c r="E78">
        <v>0.35932881709107378</v>
      </c>
      <c r="F78">
        <v>0.36863078174918174</v>
      </c>
      <c r="G78">
        <v>0.37449679466490299</v>
      </c>
      <c r="H78">
        <v>0.3782740484509664</v>
      </c>
      <c r="I78">
        <v>0.38065266822351052</v>
      </c>
      <c r="J78">
        <v>0.38183829930143715</v>
      </c>
      <c r="K78">
        <v>0.38168358548247439</v>
      </c>
      <c r="L78">
        <v>0.38030182461316797</v>
      </c>
      <c r="M78">
        <v>0.37753115038856289</v>
      </c>
      <c r="N78">
        <v>0.37322282968913489</v>
      </c>
      <c r="O78">
        <v>0.36729638975251117</v>
      </c>
      <c r="P78">
        <v>0.35963806178186286</v>
      </c>
      <c r="Q78">
        <v>0.35018839284356434</v>
      </c>
      <c r="R78">
        <v>0.33890333565986386</v>
      </c>
      <c r="S78">
        <v>0.32593627385611701</v>
      </c>
      <c r="T78">
        <v>0.31148714823280838</v>
      </c>
      <c r="U78">
        <v>0.29608443824766995</v>
      </c>
      <c r="V78">
        <v>0.28005971188060746</v>
      </c>
      <c r="W78">
        <v>0.26396503720480885</v>
      </c>
      <c r="X78">
        <v>0.248302245132099</v>
      </c>
      <c r="Y78">
        <v>0.23356250405730419</v>
      </c>
      <c r="Z78">
        <v>0.22007849358454984</v>
      </c>
      <c r="AA78">
        <v>0.20812427143169582</v>
      </c>
      <c r="AB78">
        <v>0.19792054133266218</v>
      </c>
      <c r="AC78">
        <v>0.18978030470391288</v>
      </c>
      <c r="AD78">
        <v>0.18360657389526194</v>
      </c>
      <c r="AE78">
        <v>0.1796003527235229</v>
      </c>
      <c r="AF78">
        <v>0.17785076573539652</v>
      </c>
      <c r="AG78">
        <v>0.17843500901362785</v>
      </c>
      <c r="AH78">
        <v>0.18137613884158446</v>
      </c>
      <c r="AI78">
        <v>0.18687935752707041</v>
      </c>
      <c r="AJ78">
        <v>0.19487692086803249</v>
      </c>
      <c r="AK78">
        <v>0.2054851426413381</v>
      </c>
      <c r="AL78">
        <v>0.21872014090852882</v>
      </c>
      <c r="AM78">
        <v>0.23461597064150855</v>
      </c>
      <c r="AN78">
        <v>0.2530724115056035</v>
      </c>
      <c r="AO78">
        <v>0.27413242762575996</v>
      </c>
      <c r="AP78">
        <v>0.29770071361370631</v>
      </c>
      <c r="AQ78">
        <v>0.3235816029488609</v>
      </c>
      <c r="AR78">
        <v>0.35156598364854635</v>
      </c>
      <c r="AS78">
        <v>0.3814594413363907</v>
      </c>
      <c r="AT78">
        <v>0.41280362100683277</v>
      </c>
      <c r="AU78">
        <v>0.44531972210639575</v>
      </c>
      <c r="AV78">
        <v>0.47862161538062536</v>
      </c>
      <c r="AW78">
        <v>0.51227245274850097</v>
      </c>
      <c r="AX78">
        <v>0.54588891308362852</v>
      </c>
      <c r="AY78">
        <v>0.57907747003763599</v>
      </c>
      <c r="AZ78">
        <v>0.61147565445962615</v>
      </c>
      <c r="BA78">
        <v>0.64284725473397608</v>
      </c>
      <c r="BB78">
        <v>0.67289706699841678</v>
      </c>
      <c r="BC78">
        <v>0.70153311099335214</v>
      </c>
      <c r="BD78">
        <v>0.72860202182037337</v>
      </c>
      <c r="BE78">
        <v>0.75402022156078641</v>
      </c>
      <c r="BF78">
        <v>0.77781413380753495</v>
      </c>
      <c r="BG78">
        <v>0.80000241751546497</v>
      </c>
      <c r="BH78">
        <v>0.82068534928165793</v>
      </c>
      <c r="BI78">
        <v>0.83993707473655865</v>
      </c>
      <c r="BJ78">
        <v>0.85786206947236487</v>
      </c>
      <c r="BK78">
        <v>0.87458461063173731</v>
      </c>
      <c r="BL78">
        <v>0.89021990598558542</v>
      </c>
      <c r="BM78">
        <v>0.9048878355007719</v>
      </c>
      <c r="BN78">
        <v>0.9186475383827265</v>
      </c>
      <c r="BO78">
        <v>0.93158030349453436</v>
      </c>
      <c r="BP78">
        <v>0.94369659373898584</v>
      </c>
      <c r="BQ78">
        <v>0.95497108145731024</v>
      </c>
      <c r="BR78">
        <v>0.96537507353353103</v>
      </c>
      <c r="BS78">
        <v>0.97478263518264219</v>
      </c>
      <c r="BT78">
        <v>0.98304986688188023</v>
      </c>
      <c r="BU78">
        <v>0.98997924268701842</v>
      </c>
      <c r="BV78">
        <v>0.9953166717440981</v>
      </c>
      <c r="BW78">
        <v>0.99876920181345596</v>
      </c>
      <c r="BX78">
        <v>1</v>
      </c>
      <c r="BY78">
        <v>0.99864868697469067</v>
      </c>
      <c r="BZ78">
        <v>0.99434924090711529</v>
      </c>
      <c r="CA78">
        <v>0.98676629417920747</v>
      </c>
      <c r="CB78">
        <v>0.97560998458144188</v>
      </c>
      <c r="CC78">
        <v>0.96069742737060682</v>
      </c>
      <c r="CD78">
        <v>0.94196728105151128</v>
      </c>
      <c r="CE78">
        <v>0.91949948326972963</v>
      </c>
      <c r="CF78">
        <v>0.89353302546126312</v>
      </c>
      <c r="CG78">
        <v>0.86441594175228553</v>
      </c>
      <c r="CH78">
        <v>0.83267489774709347</v>
      </c>
      <c r="CI78">
        <v>0.79882170858246282</v>
      </c>
      <c r="CJ78">
        <v>0.7634968095933502</v>
      </c>
      <c r="CK78">
        <v>0.72725671021088312</v>
      </c>
      <c r="CL78">
        <v>0.69069988066921506</v>
      </c>
      <c r="CM78">
        <v>0.65430082589579508</v>
      </c>
      <c r="CN78">
        <v>0.61847886480888548</v>
      </c>
      <c r="CO78">
        <v>0.58359297697257773</v>
      </c>
      <c r="CP78">
        <v>0.54989126734457183</v>
      </c>
      <c r="CQ78">
        <v>0.51757111084132557</v>
      </c>
      <c r="CR78">
        <v>0.48677477531826907</v>
      </c>
      <c r="CS78">
        <v>0.45755958143287129</v>
      </c>
      <c r="CT78">
        <v>0.42995708735735938</v>
      </c>
      <c r="CU78">
        <v>0.4039743076044956</v>
      </c>
      <c r="CV78">
        <v>0.37958439295652574</v>
      </c>
      <c r="CW78">
        <v>0.35676513772593932</v>
      </c>
      <c r="CX78">
        <v>0.33542336111938903</v>
      </c>
      <c r="CY78">
        <v>0.31549852095091524</v>
      </c>
      <c r="CZ78">
        <v>0.29696151044345853</v>
      </c>
      <c r="DA78">
        <v>0.27970786037152578</v>
      </c>
      <c r="DB78">
        <v>0.26367476177637256</v>
      </c>
      <c r="DC78">
        <v>0.24881600846397314</v>
      </c>
      <c r="DD78">
        <v>0.23502729198685668</v>
      </c>
      <c r="DE78">
        <v>0.22228974430079404</v>
      </c>
      <c r="DF78">
        <v>0.2105209125913664</v>
      </c>
      <c r="DG78">
        <v>0.19966619576923353</v>
      </c>
      <c r="DH78">
        <v>0.18968622983138234</v>
      </c>
      <c r="DI78">
        <v>0.18052818638225288</v>
      </c>
      <c r="DJ78">
        <v>0.17214917627504236</v>
      </c>
      <c r="DK78">
        <v>0.16451051386313825</v>
      </c>
      <c r="DL78">
        <v>0.15757304888750284</v>
      </c>
      <c r="DM78">
        <v>0.15130552091118499</v>
      </c>
      <c r="DN78">
        <v>0.14564631858944793</v>
      </c>
      <c r="DO78">
        <v>0.14055578225730486</v>
      </c>
      <c r="DP78">
        <v>0.13597644991838292</v>
      </c>
    </row>
    <row r="79" spans="1:120" x14ac:dyDescent="0.2">
      <c r="A79">
        <v>9.6119445411652835E-2</v>
      </c>
      <c r="B79">
        <v>0.22676097047137483</v>
      </c>
      <c r="C79">
        <v>0.29950651475311579</v>
      </c>
      <c r="D79">
        <v>0.33305154428441486</v>
      </c>
      <c r="E79">
        <v>0.34973202710179346</v>
      </c>
      <c r="F79">
        <v>0.3591505380968803</v>
      </c>
      <c r="G79">
        <v>0.36514202385917255</v>
      </c>
      <c r="H79">
        <v>0.36904714561868746</v>
      </c>
      <c r="I79">
        <v>0.37155466981711299</v>
      </c>
      <c r="J79">
        <v>0.37287679759675829</v>
      </c>
      <c r="K79">
        <v>0.37287207942633116</v>
      </c>
      <c r="L79">
        <v>0.37165530579781791</v>
      </c>
      <c r="M79">
        <v>0.36906776692447157</v>
      </c>
      <c r="N79">
        <v>0.36495854768921088</v>
      </c>
      <c r="O79">
        <v>0.35925036055267906</v>
      </c>
      <c r="P79">
        <v>0.35182146623114879</v>
      </c>
      <c r="Q79">
        <v>0.34260992354022274</v>
      </c>
      <c r="R79">
        <v>0.33156431917495932</v>
      </c>
      <c r="S79">
        <v>0.3188312661335389</v>
      </c>
      <c r="T79">
        <v>0.30459847950757257</v>
      </c>
      <c r="U79">
        <v>0.28938837682191731</v>
      </c>
      <c r="V79">
        <v>0.27351607416637169</v>
      </c>
      <c r="W79">
        <v>0.25752820400269172</v>
      </c>
      <c r="X79">
        <v>0.24190988096631227</v>
      </c>
      <c r="Y79">
        <v>0.2271513448813714</v>
      </c>
      <c r="Z79">
        <v>0.21357245527122901</v>
      </c>
      <c r="AA79">
        <v>0.20143819645656866</v>
      </c>
      <c r="AB79">
        <v>0.19097021911547732</v>
      </c>
      <c r="AC79">
        <v>0.18247556094794673</v>
      </c>
      <c r="AD79">
        <v>0.17585254436624564</v>
      </c>
      <c r="AE79">
        <v>0.17130114179340761</v>
      </c>
      <c r="AF79">
        <v>0.16891309219067488</v>
      </c>
      <c r="AG79">
        <v>0.16875986920977623</v>
      </c>
      <c r="AH79">
        <v>0.17086875352802378</v>
      </c>
      <c r="AI79">
        <v>0.17545083988610746</v>
      </c>
      <c r="AJ79">
        <v>0.18243614000511357</v>
      </c>
      <c r="AK79">
        <v>0.19195608796603419</v>
      </c>
      <c r="AL79">
        <v>0.20402748726258901</v>
      </c>
      <c r="AM79">
        <v>0.21869882226213169</v>
      </c>
      <c r="AN79">
        <v>0.23588471691495905</v>
      </c>
      <c r="AO79">
        <v>0.2556386875021846</v>
      </c>
      <c r="AP79">
        <v>0.27789225475499124</v>
      </c>
      <c r="AQ79">
        <v>0.30246050447158951</v>
      </c>
      <c r="AR79">
        <v>0.32915881782171269</v>
      </c>
      <c r="AS79">
        <v>0.35781566604553527</v>
      </c>
      <c r="AT79">
        <v>0.38799200477583556</v>
      </c>
      <c r="AU79">
        <v>0.41942893773582429</v>
      </c>
      <c r="AV79">
        <v>0.45176036564956112</v>
      </c>
      <c r="AW79">
        <v>0.48456295413643929</v>
      </c>
      <c r="AX79">
        <v>0.51746897840708972</v>
      </c>
      <c r="AY79">
        <v>0.55009401655136592</v>
      </c>
      <c r="AZ79">
        <v>0.58207723509403786</v>
      </c>
      <c r="BA79">
        <v>0.61319016497248102</v>
      </c>
      <c r="BB79">
        <v>0.64313523968624475</v>
      </c>
      <c r="BC79">
        <v>0.67181843650410344</v>
      </c>
      <c r="BD79">
        <v>0.69907935631890361</v>
      </c>
      <c r="BE79">
        <v>0.72482692270027482</v>
      </c>
      <c r="BF79">
        <v>0.74908048116326453</v>
      </c>
      <c r="BG79">
        <v>0.771851882188066</v>
      </c>
      <c r="BH79">
        <v>0.79323457830669464</v>
      </c>
      <c r="BI79">
        <v>0.81329589014464276</v>
      </c>
      <c r="BJ79">
        <v>0.83213579210112165</v>
      </c>
      <c r="BK79">
        <v>0.84987448980928437</v>
      </c>
      <c r="BL79">
        <v>0.86662540886976025</v>
      </c>
      <c r="BM79">
        <v>0.88250954277933569</v>
      </c>
      <c r="BN79">
        <v>0.89758460887365799</v>
      </c>
      <c r="BO79">
        <v>0.91193779319279034</v>
      </c>
      <c r="BP79">
        <v>0.92558235605485129</v>
      </c>
      <c r="BQ79">
        <v>0.93849663300107433</v>
      </c>
      <c r="BR79">
        <v>0.95066252875811597</v>
      </c>
      <c r="BS79">
        <v>0.96195619064462934</v>
      </c>
      <c r="BT79">
        <v>0.97224083400622452</v>
      </c>
      <c r="BU79">
        <v>0.98132491694168245</v>
      </c>
      <c r="BV79">
        <v>0.98895623531067789</v>
      </c>
      <c r="BW79">
        <v>0.99484400027171194</v>
      </c>
      <c r="BX79">
        <v>0.99864868697469067</v>
      </c>
      <c r="BY79">
        <v>1</v>
      </c>
      <c r="BZ79">
        <v>0.99852160318826322</v>
      </c>
      <c r="CA79">
        <v>0.99385519210614492</v>
      </c>
      <c r="CB79">
        <v>0.98568726126385953</v>
      </c>
      <c r="CC79">
        <v>0.97380041135579865</v>
      </c>
      <c r="CD79">
        <v>0.95809617574906802</v>
      </c>
      <c r="CE79">
        <v>0.93861564084402582</v>
      </c>
      <c r="CF79">
        <v>0.91555783318986128</v>
      </c>
      <c r="CG79">
        <v>0.88923718525550299</v>
      </c>
      <c r="CH79">
        <v>0.86014526428738536</v>
      </c>
      <c r="CI79">
        <v>0.82877408126683727</v>
      </c>
      <c r="CJ79">
        <v>0.79574370991013488</v>
      </c>
      <c r="CK79">
        <v>0.76160432115462606</v>
      </c>
      <c r="CL79">
        <v>0.72694935891255164</v>
      </c>
      <c r="CM79">
        <v>0.69225826019897863</v>
      </c>
      <c r="CN79">
        <v>0.6579584274289163</v>
      </c>
      <c r="CO79">
        <v>0.62441948568659178</v>
      </c>
      <c r="CP79">
        <v>0.59190301324006878</v>
      </c>
      <c r="CQ79">
        <v>0.5606206558627671</v>
      </c>
      <c r="CR79">
        <v>0.53072837216435143</v>
      </c>
      <c r="CS79">
        <v>0.50229791757136255</v>
      </c>
      <c r="CT79">
        <v>0.47537391307363974</v>
      </c>
      <c r="CU79">
        <v>0.44997510621061215</v>
      </c>
      <c r="CV79">
        <v>0.42608589772356231</v>
      </c>
      <c r="CW79">
        <v>0.40369324138463636</v>
      </c>
      <c r="CX79">
        <v>0.38271323982269717</v>
      </c>
      <c r="CY79">
        <v>0.36309294215558846</v>
      </c>
      <c r="CZ79">
        <v>0.34480880025065624</v>
      </c>
      <c r="DA79">
        <v>0.32776244659494458</v>
      </c>
      <c r="DB79">
        <v>0.31189559674106282</v>
      </c>
      <c r="DC79">
        <v>0.2971655836130121</v>
      </c>
      <c r="DD79">
        <v>0.28347161319537634</v>
      </c>
      <c r="DE79">
        <v>0.27079634894570592</v>
      </c>
      <c r="DF79">
        <v>0.25905967841122196</v>
      </c>
      <c r="DG79">
        <v>0.2482075075254325</v>
      </c>
      <c r="DH79">
        <v>0.23820070309445104</v>
      </c>
      <c r="DI79">
        <v>0.22898536323069574</v>
      </c>
      <c r="DJ79">
        <v>0.22051758555606898</v>
      </c>
      <c r="DK79">
        <v>0.21275502197509308</v>
      </c>
      <c r="DL79">
        <v>0.20565450049622133</v>
      </c>
      <c r="DM79">
        <v>0.19917745587684108</v>
      </c>
      <c r="DN79">
        <v>0.19325248169588291</v>
      </c>
      <c r="DO79">
        <v>0.18782450347706495</v>
      </c>
      <c r="DP79">
        <v>0.18281209402839751</v>
      </c>
    </row>
    <row r="80" spans="1:120" x14ac:dyDescent="0.2">
      <c r="A80">
        <v>9.0338153802552987E-2</v>
      </c>
      <c r="B80">
        <v>0.21797336079081706</v>
      </c>
      <c r="C80">
        <v>0.28950365214069884</v>
      </c>
      <c r="D80">
        <v>0.32277775895024241</v>
      </c>
      <c r="E80">
        <v>0.33949163968868168</v>
      </c>
      <c r="F80">
        <v>0.3490270964487534</v>
      </c>
      <c r="G80">
        <v>0.35514906677776076</v>
      </c>
      <c r="H80">
        <v>0.35919113618400522</v>
      </c>
      <c r="I80">
        <v>0.36184003267099873</v>
      </c>
      <c r="J80">
        <v>0.3633148531753862</v>
      </c>
      <c r="K80">
        <v>0.36348128358264986</v>
      </c>
      <c r="L80">
        <v>0.3624555316123636</v>
      </c>
      <c r="M80">
        <v>0.36008267827045648</v>
      </c>
      <c r="N80">
        <v>0.35620992175542199</v>
      </c>
      <c r="O80">
        <v>0.3507634681976286</v>
      </c>
      <c r="P80">
        <v>0.343613264521966</v>
      </c>
      <c r="Q80">
        <v>0.33469463340980149</v>
      </c>
      <c r="R80">
        <v>0.32394832226094317</v>
      </c>
      <c r="S80">
        <v>0.31151286814940476</v>
      </c>
      <c r="T80">
        <v>0.29756260317594085</v>
      </c>
      <c r="U80">
        <v>0.28261188145653376</v>
      </c>
      <c r="V80">
        <v>0.26695781917961681</v>
      </c>
      <c r="W80">
        <v>0.25113999775410145</v>
      </c>
      <c r="X80">
        <v>0.23562503518140004</v>
      </c>
      <c r="Y80">
        <v>0.2209012383406285</v>
      </c>
      <c r="Z80">
        <v>0.20727463357131287</v>
      </c>
      <c r="AA80">
        <v>0.19500009028540186</v>
      </c>
      <c r="AB80">
        <v>0.1843000342380175</v>
      </c>
      <c r="AC80">
        <v>0.17547420303494649</v>
      </c>
      <c r="AD80">
        <v>0.16841640885341291</v>
      </c>
      <c r="AE80">
        <v>0.1633247730679116</v>
      </c>
      <c r="AF80">
        <v>0.16029309823304785</v>
      </c>
      <c r="AG80">
        <v>0.15938648500935923</v>
      </c>
      <c r="AH80">
        <v>0.16063617279389708</v>
      </c>
      <c r="AI80">
        <v>0.16425829476308682</v>
      </c>
      <c r="AJ80">
        <v>0.17018024940509924</v>
      </c>
      <c r="AK80">
        <v>0.17854835977633426</v>
      </c>
      <c r="AL80">
        <v>0.18937947789686227</v>
      </c>
      <c r="AM80">
        <v>0.20273636916109464</v>
      </c>
      <c r="AN80">
        <v>0.21854875949022931</v>
      </c>
      <c r="AO80">
        <v>0.23688031557959158</v>
      </c>
      <c r="AP80">
        <v>0.25769021337876169</v>
      </c>
      <c r="AQ80">
        <v>0.28080477241446661</v>
      </c>
      <c r="AR80">
        <v>0.30606508788128528</v>
      </c>
      <c r="AS80">
        <v>0.33332370532245365</v>
      </c>
      <c r="AT80">
        <v>0.36216313902249547</v>
      </c>
      <c r="AU80">
        <v>0.39234591586750744</v>
      </c>
      <c r="AV80">
        <v>0.42352837968822421</v>
      </c>
      <c r="AW80">
        <v>0.45530289000166291</v>
      </c>
      <c r="AX80">
        <v>0.48731970509683498</v>
      </c>
      <c r="AY80">
        <v>0.51920577085444142</v>
      </c>
      <c r="AZ80">
        <v>0.55060374585875071</v>
      </c>
      <c r="BA80">
        <v>0.58129486804738728</v>
      </c>
      <c r="BB80">
        <v>0.61098090614312295</v>
      </c>
      <c r="BC80">
        <v>0.63956661903925294</v>
      </c>
      <c r="BD80">
        <v>0.66688563957567015</v>
      </c>
      <c r="BE80">
        <v>0.6928401057402227</v>
      </c>
      <c r="BF80">
        <v>0.71744247668408112</v>
      </c>
      <c r="BG80">
        <v>0.74069815658415805</v>
      </c>
      <c r="BH80">
        <v>0.76269354994515703</v>
      </c>
      <c r="BI80">
        <v>0.78348910577240749</v>
      </c>
      <c r="BJ80">
        <v>0.80318020353220465</v>
      </c>
      <c r="BK80">
        <v>0.82188258535936409</v>
      </c>
      <c r="BL80">
        <v>0.8397076389238135</v>
      </c>
      <c r="BM80">
        <v>0.85677721855616862</v>
      </c>
      <c r="BN80">
        <v>0.87314735449546155</v>
      </c>
      <c r="BO80">
        <v>0.88891109879472019</v>
      </c>
      <c r="BP80">
        <v>0.90408451846889604</v>
      </c>
      <c r="BQ80">
        <v>0.91864982983169841</v>
      </c>
      <c r="BR80">
        <v>0.93259998761007634</v>
      </c>
      <c r="BS80">
        <v>0.94581361558111188</v>
      </c>
      <c r="BT80">
        <v>0.95816169384563743</v>
      </c>
      <c r="BU80">
        <v>0.96945946674446892</v>
      </c>
      <c r="BV80">
        <v>0.97945742668884017</v>
      </c>
      <c r="BW80">
        <v>0.98786775085488154</v>
      </c>
      <c r="BX80">
        <v>0.99434924090711518</v>
      </c>
      <c r="BY80">
        <v>0.99852160318826333</v>
      </c>
      <c r="BZ80">
        <v>1</v>
      </c>
      <c r="CA80">
        <v>0.99840168716848054</v>
      </c>
      <c r="CB80">
        <v>0.99338988817048279</v>
      </c>
      <c r="CC80">
        <v>0.98471135575401203</v>
      </c>
      <c r="CD80">
        <v>0.97222874871200604</v>
      </c>
      <c r="CE80">
        <v>0.95594207926294616</v>
      </c>
      <c r="CF80">
        <v>0.93600770967901969</v>
      </c>
      <c r="CG80">
        <v>0.91270360486821278</v>
      </c>
      <c r="CH80">
        <v>0.88648293051327587</v>
      </c>
      <c r="CI80">
        <v>0.85781513724798308</v>
      </c>
      <c r="CJ80">
        <v>0.82729699387832589</v>
      </c>
      <c r="CK80">
        <v>0.79547012413974183</v>
      </c>
      <c r="CL80">
        <v>0.76292085426765066</v>
      </c>
      <c r="CM80">
        <v>0.73013225163405826</v>
      </c>
      <c r="CN80">
        <v>0.69753879836313193</v>
      </c>
      <c r="CO80">
        <v>0.66552007250562073</v>
      </c>
      <c r="CP80">
        <v>0.63435101151100681</v>
      </c>
      <c r="CQ80">
        <v>0.60425750852029203</v>
      </c>
      <c r="CR80">
        <v>0.57540940909089078</v>
      </c>
      <c r="CS80">
        <v>0.54789337864222387</v>
      </c>
      <c r="CT80">
        <v>0.52176762593757509</v>
      </c>
      <c r="CU80">
        <v>0.4970631543513675</v>
      </c>
      <c r="CV80">
        <v>0.47377616451812171</v>
      </c>
      <c r="CW80">
        <v>0.45190331293615082</v>
      </c>
      <c r="CX80">
        <v>0.43137070691835899</v>
      </c>
      <c r="CY80">
        <v>0.41213347663725391</v>
      </c>
      <c r="CZ80">
        <v>0.3941740279510953</v>
      </c>
      <c r="DA80">
        <v>0.37740069238691576</v>
      </c>
      <c r="DB80">
        <v>0.36176014159467024</v>
      </c>
      <c r="DC80">
        <v>0.34721351274123163</v>
      </c>
      <c r="DD80">
        <v>0.33366405045430469</v>
      </c>
      <c r="DE80">
        <v>0.32109610118172427</v>
      </c>
      <c r="DF80">
        <v>0.30943220999265758</v>
      </c>
      <c r="DG80">
        <v>0.29861902003770352</v>
      </c>
      <c r="DH80">
        <v>0.28861776283024776</v>
      </c>
      <c r="DI80">
        <v>0.27937359540279599</v>
      </c>
      <c r="DJ80">
        <v>0.27084166880364752</v>
      </c>
      <c r="DK80">
        <v>0.26297595600141233</v>
      </c>
      <c r="DL80">
        <v>0.25572915384080691</v>
      </c>
      <c r="DM80">
        <v>0.24905518726211193</v>
      </c>
      <c r="DN80">
        <v>0.24287256063874493</v>
      </c>
      <c r="DO80">
        <v>0.23711019608916131</v>
      </c>
      <c r="DP80">
        <v>0.23166171481730186</v>
      </c>
    </row>
    <row r="81" spans="1:120" x14ac:dyDescent="0.2">
      <c r="A81">
        <v>8.4246773060764044E-2</v>
      </c>
      <c r="B81">
        <v>0.20861056299032471</v>
      </c>
      <c r="C81">
        <v>0.27879387757361745</v>
      </c>
      <c r="D81">
        <v>0.31174766941635446</v>
      </c>
      <c r="E81">
        <v>0.32847839278079011</v>
      </c>
      <c r="F81">
        <v>0.33812760992977903</v>
      </c>
      <c r="G81">
        <v>0.344382635158614</v>
      </c>
      <c r="H81">
        <v>0.34856875719712771</v>
      </c>
      <c r="I81">
        <v>0.35136969938306017</v>
      </c>
      <c r="J81">
        <v>0.35301171155431355</v>
      </c>
      <c r="K81">
        <v>0.35336888381930259</v>
      </c>
      <c r="L81">
        <v>0.35255852351743322</v>
      </c>
      <c r="M81">
        <v>0.35043023803078205</v>
      </c>
      <c r="N81">
        <v>0.34682960958602616</v>
      </c>
      <c r="O81">
        <v>0.34168675613991495</v>
      </c>
      <c r="P81">
        <v>0.33486290422502979</v>
      </c>
      <c r="Q81">
        <v>0.3262906909968315</v>
      </c>
      <c r="R81">
        <v>0.31590253412051006</v>
      </c>
      <c r="S81">
        <v>0.30382784363706572</v>
      </c>
      <c r="T81">
        <v>0.29022643921444796</v>
      </c>
      <c r="U81">
        <v>0.27560264622834812</v>
      </c>
      <c r="V81">
        <v>0.26023418990827396</v>
      </c>
      <c r="W81">
        <v>0.24465179388739969</v>
      </c>
      <c r="X81">
        <v>0.22930188198237839</v>
      </c>
      <c r="Y81">
        <v>0.2146695883517806</v>
      </c>
      <c r="Z81">
        <v>0.2010461158942714</v>
      </c>
      <c r="AA81">
        <v>0.18867511022230726</v>
      </c>
      <c r="AB81">
        <v>0.17777953517321424</v>
      </c>
      <c r="AC81">
        <v>0.16865039988581951</v>
      </c>
      <c r="AD81">
        <v>0.16117719975972813</v>
      </c>
      <c r="AE81">
        <v>0.15555540879157126</v>
      </c>
      <c r="AF81">
        <v>0.15188024966196687</v>
      </c>
      <c r="AG81">
        <v>0.1502098653785621</v>
      </c>
      <c r="AH81">
        <v>0.15057906400660173</v>
      </c>
      <c r="AI81">
        <v>0.15320818670231096</v>
      </c>
      <c r="AJ81">
        <v>0.15802167938709966</v>
      </c>
      <c r="AK81">
        <v>0.1651803622841998</v>
      </c>
      <c r="AL81">
        <v>0.17470053024371363</v>
      </c>
      <c r="AM81">
        <v>0.18665895805929927</v>
      </c>
      <c r="AN81">
        <v>0.20100077278546935</v>
      </c>
      <c r="AO81">
        <v>0.21779920580433967</v>
      </c>
      <c r="AP81">
        <v>0.23704185103091735</v>
      </c>
      <c r="AQ81">
        <v>0.25856667408117845</v>
      </c>
      <c r="AR81">
        <v>0.28224152021131677</v>
      </c>
      <c r="AS81">
        <v>0.30794424624161892</v>
      </c>
      <c r="AT81">
        <v>0.33528099158512636</v>
      </c>
      <c r="AU81">
        <v>0.36403721619025148</v>
      </c>
      <c r="AV81">
        <v>0.39389394461510185</v>
      </c>
      <c r="AW81">
        <v>0.42446141216236227</v>
      </c>
      <c r="AX81">
        <v>0.45541031205878707</v>
      </c>
      <c r="AY81">
        <v>0.48638109278162878</v>
      </c>
      <c r="AZ81">
        <v>0.5170218177329331</v>
      </c>
      <c r="BA81">
        <v>0.54712531931078345</v>
      </c>
      <c r="BB81">
        <v>0.57639441932051361</v>
      </c>
      <c r="BC81">
        <v>0.60473358196793958</v>
      </c>
      <c r="BD81">
        <v>0.63197150155912263</v>
      </c>
      <c r="BE81">
        <v>0.65800432067325165</v>
      </c>
      <c r="BF81">
        <v>0.68283779043241266</v>
      </c>
      <c r="BG81">
        <v>0.70647121580617323</v>
      </c>
      <c r="BH81">
        <v>0.72898376156104938</v>
      </c>
      <c r="BI81">
        <v>0.75042897784057461</v>
      </c>
      <c r="BJ81">
        <v>0.77089752852759896</v>
      </c>
      <c r="BK81">
        <v>0.79050025737345264</v>
      </c>
      <c r="BL81">
        <v>0.80934627363881273</v>
      </c>
      <c r="BM81">
        <v>0.82755795810022326</v>
      </c>
      <c r="BN81">
        <v>0.84518938764897855</v>
      </c>
      <c r="BO81">
        <v>0.86233939148394745</v>
      </c>
      <c r="BP81">
        <v>0.87902690244982218</v>
      </c>
      <c r="BQ81">
        <v>0.89523810180583707</v>
      </c>
      <c r="BR81">
        <v>0.91097745176128964</v>
      </c>
      <c r="BS81">
        <v>0.92612641417743213</v>
      </c>
      <c r="BT81">
        <v>0.9405644255445077</v>
      </c>
      <c r="BU81">
        <v>0.9541143699158644</v>
      </c>
      <c r="BV81">
        <v>0.96653027028142213</v>
      </c>
      <c r="BW81">
        <v>0.97752819353502118</v>
      </c>
      <c r="BX81">
        <v>0.98676629417920747</v>
      </c>
      <c r="BY81">
        <v>0.99385519210614492</v>
      </c>
      <c r="BZ81">
        <v>0.99840168716848066</v>
      </c>
      <c r="CA81">
        <v>1</v>
      </c>
      <c r="CB81">
        <v>0.99828883707509986</v>
      </c>
      <c r="CC81">
        <v>0.99297893752575661</v>
      </c>
      <c r="CD81">
        <v>0.98389260966505987</v>
      </c>
      <c r="CE81">
        <v>0.9709868650259319</v>
      </c>
      <c r="CF81">
        <v>0.95437305464716227</v>
      </c>
      <c r="CG81">
        <v>0.93429000457797706</v>
      </c>
      <c r="CH81">
        <v>0.91114927206707141</v>
      </c>
      <c r="CI81">
        <v>0.88539506196001128</v>
      </c>
      <c r="CJ81">
        <v>0.85759790573402594</v>
      </c>
      <c r="CK81">
        <v>0.82828851020506478</v>
      </c>
      <c r="CL81">
        <v>0.7980438560260027</v>
      </c>
      <c r="CM81">
        <v>0.76734907094098503</v>
      </c>
      <c r="CN81">
        <v>0.73664457381609127</v>
      </c>
      <c r="CO81">
        <v>0.70631901169575384</v>
      </c>
      <c r="CP81">
        <v>0.67666031357613599</v>
      </c>
      <c r="CQ81">
        <v>0.64790838508624204</v>
      </c>
      <c r="CR81">
        <v>0.62024703482088506</v>
      </c>
      <c r="CS81">
        <v>0.59377811411242454</v>
      </c>
      <c r="CT81">
        <v>0.56857384348043716</v>
      </c>
      <c r="CU81">
        <v>0.54467787312901683</v>
      </c>
      <c r="CV81">
        <v>0.52209870952053916</v>
      </c>
      <c r="CW81">
        <v>0.50084310553029399</v>
      </c>
      <c r="CX81">
        <v>0.48084787065544454</v>
      </c>
      <c r="CY81">
        <v>0.4620766837692234</v>
      </c>
      <c r="CZ81">
        <v>0.44451824226075487</v>
      </c>
      <c r="DA81">
        <v>0.42808814796435696</v>
      </c>
      <c r="DB81">
        <v>0.41273842500865032</v>
      </c>
      <c r="DC81">
        <v>0.39843429456727086</v>
      </c>
      <c r="DD81">
        <v>0.38508354332700434</v>
      </c>
      <c r="DE81">
        <v>0.37267236725851721</v>
      </c>
      <c r="DF81">
        <v>0.36112627687185511</v>
      </c>
      <c r="DG81">
        <v>0.35039291245987314</v>
      </c>
      <c r="DH81">
        <v>0.34043398829646754</v>
      </c>
      <c r="DI81">
        <v>0.33119391869569359</v>
      </c>
      <c r="DJ81">
        <v>0.32262698479798929</v>
      </c>
      <c r="DK81">
        <v>0.31468350196112826</v>
      </c>
      <c r="DL81">
        <v>0.30731200079945808</v>
      </c>
      <c r="DM81">
        <v>0.30045875061367111</v>
      </c>
      <c r="DN81">
        <v>0.29403200927657858</v>
      </c>
      <c r="DO81">
        <v>0.28794424448839662</v>
      </c>
      <c r="DP81">
        <v>0.28206339510807876</v>
      </c>
    </row>
    <row r="82" spans="1:120" x14ac:dyDescent="0.2">
      <c r="A82">
        <v>7.7884767818204456E-2</v>
      </c>
      <c r="B82">
        <v>0.19868803755920617</v>
      </c>
      <c r="C82">
        <v>0.26737103212876373</v>
      </c>
      <c r="D82">
        <v>0.29993993907881117</v>
      </c>
      <c r="E82">
        <v>0.31666042588429566</v>
      </c>
      <c r="F82">
        <v>0.32641236867557905</v>
      </c>
      <c r="G82">
        <v>0.33279686962997257</v>
      </c>
      <c r="H82">
        <v>0.33712911047407035</v>
      </c>
      <c r="I82">
        <v>0.34008852827289787</v>
      </c>
      <c r="J82">
        <v>0.34190842926160608</v>
      </c>
      <c r="K82">
        <v>0.34247251115166583</v>
      </c>
      <c r="L82">
        <v>0.34189901077518636</v>
      </c>
      <c r="M82">
        <v>0.34004262169656541</v>
      </c>
      <c r="N82">
        <v>0.33674778302158964</v>
      </c>
      <c r="O82">
        <v>0.33194886328281009</v>
      </c>
      <c r="P82">
        <v>0.32549820599876517</v>
      </c>
      <c r="Q82">
        <v>0.31732575217522363</v>
      </c>
      <c r="R82">
        <v>0.30735531523993603</v>
      </c>
      <c r="S82">
        <v>0.29570605823868978</v>
      </c>
      <c r="T82">
        <v>0.28252221654887799</v>
      </c>
      <c r="U82">
        <v>0.26829596978748904</v>
      </c>
      <c r="V82">
        <v>0.25328413010217726</v>
      </c>
      <c r="W82">
        <v>0.23800670252346132</v>
      </c>
      <c r="X82">
        <v>0.22288807788224133</v>
      </c>
      <c r="Y82">
        <v>0.20840883711102193</v>
      </c>
      <c r="Z82">
        <v>0.1948443056218139</v>
      </c>
      <c r="AA82">
        <v>0.18242583809605245</v>
      </c>
      <c r="AB82">
        <v>0.17137655417132217</v>
      </c>
      <c r="AC82">
        <v>0.16197732008372914</v>
      </c>
      <c r="AD82">
        <v>0.15411354756065179</v>
      </c>
      <c r="AE82">
        <v>0.14797717667519805</v>
      </c>
      <c r="AF82">
        <v>0.14366431643061997</v>
      </c>
      <c r="AG82">
        <v>0.14122537332212234</v>
      </c>
      <c r="AH82">
        <v>0.14069864518122646</v>
      </c>
      <c r="AI82">
        <v>0.14230757430285559</v>
      </c>
      <c r="AJ82">
        <v>0.14597339849200106</v>
      </c>
      <c r="AK82">
        <v>0.15187089177532304</v>
      </c>
      <c r="AL82">
        <v>0.16001524169251949</v>
      </c>
      <c r="AM82">
        <v>0.17049680040503484</v>
      </c>
      <c r="AN82">
        <v>0.18327635301326545</v>
      </c>
      <c r="AO82">
        <v>0.19843601685774881</v>
      </c>
      <c r="AP82">
        <v>0.21599236214417453</v>
      </c>
      <c r="AQ82">
        <v>0.23579541036679119</v>
      </c>
      <c r="AR82">
        <v>0.25774072279401844</v>
      </c>
      <c r="AS82">
        <v>0.2817323956693546</v>
      </c>
      <c r="AT82">
        <v>0.30740243519459221</v>
      </c>
      <c r="AU82">
        <v>0.33456051346067672</v>
      </c>
      <c r="AV82">
        <v>0.36291458411232119</v>
      </c>
      <c r="AW82">
        <v>0.39209492127391965</v>
      </c>
      <c r="AX82">
        <v>0.42179489826158334</v>
      </c>
      <c r="AY82">
        <v>0.45167080904831236</v>
      </c>
      <c r="AZ82">
        <v>0.48137804854585908</v>
      </c>
      <c r="BA82">
        <v>0.51072292176667589</v>
      </c>
      <c r="BB82">
        <v>0.53941106050412979</v>
      </c>
      <c r="BC82">
        <v>0.56734759253359612</v>
      </c>
      <c r="BD82">
        <v>0.59435739743362204</v>
      </c>
      <c r="BE82">
        <v>0.6203314215149992</v>
      </c>
      <c r="BF82">
        <v>0.64526897184723153</v>
      </c>
      <c r="BG82">
        <v>0.66916364397559258</v>
      </c>
      <c r="BH82">
        <v>0.69208717508569395</v>
      </c>
      <c r="BI82">
        <v>0.7140861837772049</v>
      </c>
      <c r="BJ82">
        <v>0.73524650562065208</v>
      </c>
      <c r="BK82">
        <v>0.75567368881736297</v>
      </c>
      <c r="BL82">
        <v>0.77547421022356666</v>
      </c>
      <c r="BM82">
        <v>0.79477068277652863</v>
      </c>
      <c r="BN82">
        <v>0.81361493397359885</v>
      </c>
      <c r="BO82">
        <v>0.83211142620562084</v>
      </c>
      <c r="BP82">
        <v>0.85028188158088946</v>
      </c>
      <c r="BQ82">
        <v>0.86811668453561608</v>
      </c>
      <c r="BR82">
        <v>0.88563204239736903</v>
      </c>
      <c r="BS82">
        <v>0.90271270331419506</v>
      </c>
      <c r="BT82">
        <v>0.9192472452953826</v>
      </c>
      <c r="BU82">
        <v>0.9350669995756854</v>
      </c>
      <c r="BV82">
        <v>0.94993045531366216</v>
      </c>
      <c r="BW82">
        <v>0.96355856906834425</v>
      </c>
      <c r="BX82">
        <v>0.97560998458144188</v>
      </c>
      <c r="BY82">
        <v>0.98568726126385942</v>
      </c>
      <c r="BZ82">
        <v>0.9933898881704829</v>
      </c>
      <c r="CA82">
        <v>0.99828883707509986</v>
      </c>
      <c r="CB82">
        <v>1</v>
      </c>
      <c r="CC82">
        <v>0.99819631133806197</v>
      </c>
      <c r="CD82">
        <v>0.99265942236547378</v>
      </c>
      <c r="CE82">
        <v>0.98330160091506547</v>
      </c>
      <c r="CF82">
        <v>0.97018713631082598</v>
      </c>
      <c r="CG82">
        <v>0.95351322841231645</v>
      </c>
      <c r="CH82">
        <v>0.93364683335556875</v>
      </c>
      <c r="CI82">
        <v>0.9110042298830453</v>
      </c>
      <c r="CJ82">
        <v>0.88612674596240804</v>
      </c>
      <c r="CK82">
        <v>0.85953170193195827</v>
      </c>
      <c r="CL82">
        <v>0.83178441068095421</v>
      </c>
      <c r="CM82">
        <v>0.80337032500833128</v>
      </c>
      <c r="CN82">
        <v>0.77473442704395779</v>
      </c>
      <c r="CO82">
        <v>0.74627327552424483</v>
      </c>
      <c r="CP82">
        <v>0.71828732727327482</v>
      </c>
      <c r="CQ82">
        <v>0.69103009091557355</v>
      </c>
      <c r="CR82">
        <v>0.66469916999702039</v>
      </c>
      <c r="CS82">
        <v>0.63941180837152867</v>
      </c>
      <c r="CT82">
        <v>0.61525446719460986</v>
      </c>
      <c r="CU82">
        <v>0.59228378788289804</v>
      </c>
      <c r="CV82">
        <v>0.57052093081631838</v>
      </c>
      <c r="CW82">
        <v>0.54998314903524059</v>
      </c>
      <c r="CX82">
        <v>0.53061853183535312</v>
      </c>
      <c r="CY82">
        <v>0.51239974685256651</v>
      </c>
      <c r="CZ82">
        <v>0.49532206867693446</v>
      </c>
      <c r="DA82">
        <v>0.47930893417053116</v>
      </c>
      <c r="DB82">
        <v>0.46431809071842634</v>
      </c>
      <c r="DC82">
        <v>0.45031909845977425</v>
      </c>
      <c r="DD82">
        <v>0.43722481129675683</v>
      </c>
      <c r="DE82">
        <v>0.42502340732695032</v>
      </c>
      <c r="DF82">
        <v>0.41364370343610513</v>
      </c>
      <c r="DG82">
        <v>0.40303459411631953</v>
      </c>
      <c r="DH82">
        <v>0.39315842224572461</v>
      </c>
      <c r="DI82">
        <v>0.38395906974976773</v>
      </c>
      <c r="DJ82">
        <v>0.37539005604708614</v>
      </c>
      <c r="DK82">
        <v>0.36739812472203004</v>
      </c>
      <c r="DL82">
        <v>0.35992765277858302</v>
      </c>
      <c r="DM82">
        <v>0.35291720339542643</v>
      </c>
      <c r="DN82">
        <v>0.34626474008738983</v>
      </c>
      <c r="DO82">
        <v>0.33986600394070882</v>
      </c>
      <c r="DP82">
        <v>0.33356275709158295</v>
      </c>
    </row>
    <row r="83" spans="1:120" x14ac:dyDescent="0.2">
      <c r="A83">
        <v>7.1237269769617001E-2</v>
      </c>
      <c r="B83">
        <v>0.18817984605007357</v>
      </c>
      <c r="C83">
        <v>0.2552047496201813</v>
      </c>
      <c r="D83">
        <v>0.28732310474710593</v>
      </c>
      <c r="E83">
        <v>0.30400586170261445</v>
      </c>
      <c r="F83">
        <v>0.31384934159146421</v>
      </c>
      <c r="G83">
        <v>0.32035943608501016</v>
      </c>
      <c r="H83">
        <v>0.32483916023530046</v>
      </c>
      <c r="I83">
        <v>0.32796245448013578</v>
      </c>
      <c r="J83">
        <v>0.32996968281037908</v>
      </c>
      <c r="K83">
        <v>0.33075528589689146</v>
      </c>
      <c r="L83">
        <v>0.33043814210852679</v>
      </c>
      <c r="M83">
        <v>0.32887880836754679</v>
      </c>
      <c r="N83">
        <v>0.32592110021827492</v>
      </c>
      <c r="O83">
        <v>0.32150398247628625</v>
      </c>
      <c r="P83">
        <v>0.31547092516557923</v>
      </c>
      <c r="Q83">
        <v>0.30774923906064983</v>
      </c>
      <c r="R83">
        <v>0.2982539151721742</v>
      </c>
      <c r="S83">
        <v>0.287092905283925</v>
      </c>
      <c r="T83">
        <v>0.27439388638519663</v>
      </c>
      <c r="U83">
        <v>0.26063476968343774</v>
      </c>
      <c r="V83">
        <v>0.24605020335646205</v>
      </c>
      <c r="W83">
        <v>0.23114745014415233</v>
      </c>
      <c r="X83">
        <v>0.21632723533041912</v>
      </c>
      <c r="Y83">
        <v>0.20206404443686846</v>
      </c>
      <c r="Z83">
        <v>0.18861635586177614</v>
      </c>
      <c r="AA83">
        <v>0.17620220101306822</v>
      </c>
      <c r="AB83">
        <v>0.16504443225621687</v>
      </c>
      <c r="AC83">
        <v>0.15541233132417501</v>
      </c>
      <c r="AD83">
        <v>0.14718761208483949</v>
      </c>
      <c r="AE83">
        <v>0.14055780409128785</v>
      </c>
      <c r="AF83">
        <v>0.13561919773424858</v>
      </c>
      <c r="AG83">
        <v>0.1324140919210211</v>
      </c>
      <c r="AH83">
        <v>0.13098381956365474</v>
      </c>
      <c r="AI83">
        <v>0.1315538233961609</v>
      </c>
      <c r="AJ83">
        <v>0.13404201144049593</v>
      </c>
      <c r="AK83">
        <v>0.13863640690590681</v>
      </c>
      <c r="AL83">
        <v>0.14535060689886853</v>
      </c>
      <c r="AM83">
        <v>0.15428797369010425</v>
      </c>
      <c r="AN83">
        <v>0.16542503378824056</v>
      </c>
      <c r="AO83">
        <v>0.17885217931636133</v>
      </c>
      <c r="AP83">
        <v>0.19461511240768203</v>
      </c>
      <c r="AQ83">
        <v>0.21257638323751524</v>
      </c>
      <c r="AR83">
        <v>0.2326599677307464</v>
      </c>
      <c r="AS83">
        <v>0.25479691694178258</v>
      </c>
      <c r="AT83">
        <v>0.27864710479361338</v>
      </c>
      <c r="AU83">
        <v>0.30404567552746492</v>
      </c>
      <c r="AV83">
        <v>0.33072941066281825</v>
      </c>
      <c r="AW83">
        <v>0.35835070808739666</v>
      </c>
      <c r="AX83">
        <v>0.3866278201095199</v>
      </c>
      <c r="AY83">
        <v>0.41523489169864336</v>
      </c>
      <c r="AZ83">
        <v>0.44383673701756549</v>
      </c>
      <c r="BA83">
        <v>0.47225471772315603</v>
      </c>
      <c r="BB83">
        <v>0.50019918034111643</v>
      </c>
      <c r="BC83">
        <v>0.52757669314980726</v>
      </c>
      <c r="BD83">
        <v>0.55420958237598961</v>
      </c>
      <c r="BE83">
        <v>0.57998441647754184</v>
      </c>
      <c r="BF83">
        <v>0.60489432804266163</v>
      </c>
      <c r="BG83">
        <v>0.62892757219592055</v>
      </c>
      <c r="BH83">
        <v>0.65214838140533382</v>
      </c>
      <c r="BI83">
        <v>0.67459633466501745</v>
      </c>
      <c r="BJ83">
        <v>0.69635237632159541</v>
      </c>
      <c r="BK83">
        <v>0.71751637565801352</v>
      </c>
      <c r="BL83">
        <v>0.7381917740237427</v>
      </c>
      <c r="BM83">
        <v>0.75850108707862451</v>
      </c>
      <c r="BN83">
        <v>0.77849363682627082</v>
      </c>
      <c r="BO83">
        <v>0.79827920708499478</v>
      </c>
      <c r="BP83">
        <v>0.81788230501532988</v>
      </c>
      <c r="BQ83">
        <v>0.83729758617888261</v>
      </c>
      <c r="BR83">
        <v>0.85655324170587499</v>
      </c>
      <c r="BS83">
        <v>0.87553770698989264</v>
      </c>
      <c r="BT83">
        <v>0.89414930069260234</v>
      </c>
      <c r="BU83">
        <v>0.91222864354107069</v>
      </c>
      <c r="BV83">
        <v>0.92953956996520937</v>
      </c>
      <c r="BW83">
        <v>0.9458090505512069</v>
      </c>
      <c r="BX83">
        <v>0.9606974273706067</v>
      </c>
      <c r="BY83">
        <v>0.97380041135579865</v>
      </c>
      <c r="BZ83">
        <v>0.98471135575401203</v>
      </c>
      <c r="CA83">
        <v>0.99297893752575672</v>
      </c>
      <c r="CB83">
        <v>0.99819631133806186</v>
      </c>
      <c r="CC83">
        <v>1</v>
      </c>
      <c r="CD83">
        <v>0.99812917909536902</v>
      </c>
      <c r="CE83">
        <v>0.99245104508226822</v>
      </c>
      <c r="CF83">
        <v>0.98298100240742903</v>
      </c>
      <c r="CG83">
        <v>0.96987268847253494</v>
      </c>
      <c r="CH83">
        <v>0.95344572971977748</v>
      </c>
      <c r="CI83">
        <v>0.93408606657249904</v>
      </c>
      <c r="CJ83">
        <v>0.9123029229632742</v>
      </c>
      <c r="CK83">
        <v>0.88859788775035553</v>
      </c>
      <c r="CL83">
        <v>0.86352211872469309</v>
      </c>
      <c r="CM83">
        <v>0.8375595859599172</v>
      </c>
      <c r="CN83">
        <v>0.81115823278487098</v>
      </c>
      <c r="CO83">
        <v>0.78472128561693866</v>
      </c>
      <c r="CP83">
        <v>0.75856093294907789</v>
      </c>
      <c r="CQ83">
        <v>0.73294362344992992</v>
      </c>
      <c r="CR83">
        <v>0.70808048565948123</v>
      </c>
      <c r="CS83">
        <v>0.68410408634858078</v>
      </c>
      <c r="CT83">
        <v>0.66111522709843373</v>
      </c>
      <c r="CU83">
        <v>0.63918370887708775</v>
      </c>
      <c r="CV83">
        <v>0.61834355184227641</v>
      </c>
      <c r="CW83">
        <v>0.59862275911796548</v>
      </c>
      <c r="CX83">
        <v>0.57998123410919511</v>
      </c>
      <c r="CY83">
        <v>0.56240093257691248</v>
      </c>
      <c r="CZ83">
        <v>0.54588395401463596</v>
      </c>
      <c r="DA83">
        <v>0.53036204662947561</v>
      </c>
      <c r="DB83">
        <v>0.51579903366774293</v>
      </c>
      <c r="DC83">
        <v>0.50216901646339152</v>
      </c>
      <c r="DD83">
        <v>0.4893904040024209</v>
      </c>
      <c r="DE83">
        <v>0.47745348375708413</v>
      </c>
      <c r="DF83">
        <v>0.46629069867313155</v>
      </c>
      <c r="DG83">
        <v>0.45585246045631034</v>
      </c>
      <c r="DH83">
        <v>0.44610189323920668</v>
      </c>
      <c r="DI83">
        <v>0.43698257386488959</v>
      </c>
      <c r="DJ83">
        <v>0.42844741180334672</v>
      </c>
      <c r="DK83">
        <v>0.42043970347978071</v>
      </c>
      <c r="DL83">
        <v>0.41289974160878851</v>
      </c>
      <c r="DM83">
        <v>0.40575844587772775</v>
      </c>
      <c r="DN83">
        <v>0.39890358272913079</v>
      </c>
      <c r="DO83">
        <v>0.39221410296480064</v>
      </c>
      <c r="DP83">
        <v>0.38550546603311936</v>
      </c>
    </row>
    <row r="84" spans="1:120" x14ac:dyDescent="0.2">
      <c r="A84">
        <v>6.4375372889155305E-2</v>
      </c>
      <c r="B84">
        <v>0.17713725251351739</v>
      </c>
      <c r="C84">
        <v>0.24232265853221827</v>
      </c>
      <c r="D84">
        <v>0.27390529553799758</v>
      </c>
      <c r="E84">
        <v>0.29050798566995822</v>
      </c>
      <c r="F84">
        <v>0.30041994409389228</v>
      </c>
      <c r="G84">
        <v>0.30704225701353571</v>
      </c>
      <c r="H84">
        <v>0.31166295355204526</v>
      </c>
      <c r="I84">
        <v>0.31494858518306751</v>
      </c>
      <c r="J84">
        <v>0.31714625923634665</v>
      </c>
      <c r="K84">
        <v>0.31816204974610307</v>
      </c>
      <c r="L84">
        <v>0.31811514784573913</v>
      </c>
      <c r="M84">
        <v>0.31687249511303389</v>
      </c>
      <c r="N84">
        <v>0.31427779539136352</v>
      </c>
      <c r="O84">
        <v>0.31027493554069197</v>
      </c>
      <c r="P84">
        <v>0.30469866620975855</v>
      </c>
      <c r="Q84">
        <v>0.29747373471256078</v>
      </c>
      <c r="R84">
        <v>0.28850633742794357</v>
      </c>
      <c r="S84">
        <v>0.27789234640411248</v>
      </c>
      <c r="T84">
        <v>0.26574211045620177</v>
      </c>
      <c r="U84">
        <v>0.25251718982520738</v>
      </c>
      <c r="V84">
        <v>0.23842895060834823</v>
      </c>
      <c r="W84">
        <v>0.22396995397150957</v>
      </c>
      <c r="X84">
        <v>0.20951563932815429</v>
      </c>
      <c r="Y84">
        <v>0.19553285580657206</v>
      </c>
      <c r="Z84">
        <v>0.18226224333819044</v>
      </c>
      <c r="AA84">
        <v>0.16990761904211135</v>
      </c>
      <c r="AB84">
        <v>0.15869092931543111</v>
      </c>
      <c r="AC84">
        <v>0.14886861449014491</v>
      </c>
      <c r="AD84">
        <v>0.14031902595734777</v>
      </c>
      <c r="AE84">
        <v>0.13322445880663866</v>
      </c>
      <c r="AF84">
        <v>0.12768077242440945</v>
      </c>
      <c r="AG84">
        <v>0.12372164529217329</v>
      </c>
      <c r="AH84">
        <v>0.12139108827342181</v>
      </c>
      <c r="AI84">
        <v>0.12091556768592698</v>
      </c>
      <c r="AJ84">
        <v>0.12220947946111704</v>
      </c>
      <c r="AK84">
        <v>0.12547321178885187</v>
      </c>
      <c r="AL84">
        <v>0.13071837958806712</v>
      </c>
      <c r="AM84">
        <v>0.13806068554006934</v>
      </c>
      <c r="AN84">
        <v>0.14749233672202347</v>
      </c>
      <c r="AO84">
        <v>0.15911121098416686</v>
      </c>
      <c r="AP84">
        <v>0.17299221862575989</v>
      </c>
      <c r="AQ84">
        <v>0.18901060853119178</v>
      </c>
      <c r="AR84">
        <v>0.20711925155718428</v>
      </c>
      <c r="AS84">
        <v>0.22727671143531444</v>
      </c>
      <c r="AT84">
        <v>0.24917240080715003</v>
      </c>
      <c r="AU84">
        <v>0.27266783539427758</v>
      </c>
      <c r="AV84">
        <v>0.2975303399801823</v>
      </c>
      <c r="AW84">
        <v>0.32343635415243266</v>
      </c>
      <c r="AX84">
        <v>0.35013074045166015</v>
      </c>
      <c r="AY84">
        <v>0.37730759557250265</v>
      </c>
      <c r="AZ84">
        <v>0.40464290538138442</v>
      </c>
      <c r="BA84">
        <v>0.4319746713751037</v>
      </c>
      <c r="BB84">
        <v>0.4590196788601405</v>
      </c>
      <c r="BC84">
        <v>0.48568678268377169</v>
      </c>
      <c r="BD84">
        <v>0.51179693551259031</v>
      </c>
      <c r="BE84">
        <v>0.53723321580789563</v>
      </c>
      <c r="BF84">
        <v>0.56198290887674729</v>
      </c>
      <c r="BG84">
        <v>0.58602932891727089</v>
      </c>
      <c r="BH84">
        <v>0.60942902671857913</v>
      </c>
      <c r="BI84">
        <v>0.63221471983795818</v>
      </c>
      <c r="BJ84">
        <v>0.65446226670471996</v>
      </c>
      <c r="BK84">
        <v>0.6762655226930957</v>
      </c>
      <c r="BL84">
        <v>0.69772458287532324</v>
      </c>
      <c r="BM84">
        <v>0.71896140025585287</v>
      </c>
      <c r="BN84">
        <v>0.74002260788788032</v>
      </c>
      <c r="BO84">
        <v>0.76102295944250853</v>
      </c>
      <c r="BP84">
        <v>0.78198962492624169</v>
      </c>
      <c r="BQ84">
        <v>0.80292169377190903</v>
      </c>
      <c r="BR84">
        <v>0.82385931213772368</v>
      </c>
      <c r="BS84">
        <v>0.84469507246300946</v>
      </c>
      <c r="BT84">
        <v>0.86533752983043732</v>
      </c>
      <c r="BU84">
        <v>0.8856373521760682</v>
      </c>
      <c r="BV84">
        <v>0.90536469678860043</v>
      </c>
      <c r="BW84">
        <v>0.92425355296342449</v>
      </c>
      <c r="BX84">
        <v>0.94196728105151128</v>
      </c>
      <c r="BY84">
        <v>0.95809617574906802</v>
      </c>
      <c r="BZ84">
        <v>0.97222874871200604</v>
      </c>
      <c r="CA84">
        <v>0.98389260966505987</v>
      </c>
      <c r="CB84">
        <v>0.99265942236547389</v>
      </c>
      <c r="CC84">
        <v>0.99812917909536902</v>
      </c>
      <c r="CD84">
        <v>1</v>
      </c>
      <c r="CE84">
        <v>0.99809222664040587</v>
      </c>
      <c r="CF84">
        <v>0.99237202707186001</v>
      </c>
      <c r="CG84">
        <v>0.98294771570757211</v>
      </c>
      <c r="CH84">
        <v>0.97008946632531523</v>
      </c>
      <c r="CI84">
        <v>0.95415065018507317</v>
      </c>
      <c r="CJ84">
        <v>0.93560590616040851</v>
      </c>
      <c r="CK84">
        <v>0.91493863503647987</v>
      </c>
      <c r="CL84">
        <v>0.89268351694700998</v>
      </c>
      <c r="CM84">
        <v>0.86932107662531843</v>
      </c>
      <c r="CN84">
        <v>0.84530052332073757</v>
      </c>
      <c r="CO84">
        <v>0.82103025113881178</v>
      </c>
      <c r="CP84">
        <v>0.79683328202398096</v>
      </c>
      <c r="CQ84">
        <v>0.77298814904655122</v>
      </c>
      <c r="CR84">
        <v>0.74971894866901467</v>
      </c>
      <c r="CS84">
        <v>0.72717335550450535</v>
      </c>
      <c r="CT84">
        <v>0.70546639453470095</v>
      </c>
      <c r="CU84">
        <v>0.68468099303012664</v>
      </c>
      <c r="CV84">
        <v>0.6648641497099137</v>
      </c>
      <c r="CW84">
        <v>0.64605471242041457</v>
      </c>
      <c r="CX84">
        <v>0.62822478407481619</v>
      </c>
      <c r="CY84">
        <v>0.61136584528166682</v>
      </c>
      <c r="CZ84">
        <v>0.5954869608482003</v>
      </c>
      <c r="DA84">
        <v>0.58052861514245058</v>
      </c>
      <c r="DB84">
        <v>0.56646095828043763</v>
      </c>
      <c r="DC84">
        <v>0.55326281283588963</v>
      </c>
      <c r="DD84">
        <v>0.54085860777276251</v>
      </c>
      <c r="DE84">
        <v>0.52924080281775221</v>
      </c>
      <c r="DF84">
        <v>0.51834579281170179</v>
      </c>
      <c r="DG84">
        <v>0.50812576110719532</v>
      </c>
      <c r="DH84">
        <v>0.4985447688566404</v>
      </c>
      <c r="DI84">
        <v>0.48954633688031929</v>
      </c>
      <c r="DJ84">
        <v>0.48108291865137509</v>
      </c>
      <c r="DK84">
        <v>0.47309456566278757</v>
      </c>
      <c r="DL84">
        <v>0.46551764382820215</v>
      </c>
      <c r="DM84">
        <v>0.45827557457000678</v>
      </c>
      <c r="DN84">
        <v>0.45124620866819648</v>
      </c>
      <c r="DO84">
        <v>0.44429187419414717</v>
      </c>
      <c r="DP84">
        <v>0.43720197508798936</v>
      </c>
    </row>
    <row r="85" spans="1:120" x14ac:dyDescent="0.2">
      <c r="A85">
        <v>5.7369463633170116E-2</v>
      </c>
      <c r="B85">
        <v>0.16564164183451968</v>
      </c>
      <c r="C85">
        <v>0.2288058432292015</v>
      </c>
      <c r="D85">
        <v>0.25976430796683098</v>
      </c>
      <c r="E85">
        <v>0.27624124355313295</v>
      </c>
      <c r="F85">
        <v>0.28619614077719902</v>
      </c>
      <c r="G85">
        <v>0.29291516595688794</v>
      </c>
      <c r="H85">
        <v>0.2976682150632361</v>
      </c>
      <c r="I85">
        <v>0.30111255763870459</v>
      </c>
      <c r="J85">
        <v>0.30350146389038929</v>
      </c>
      <c r="K85">
        <v>0.30475338445352862</v>
      </c>
      <c r="L85">
        <v>0.30498745663333204</v>
      </c>
      <c r="M85">
        <v>0.30407754344466859</v>
      </c>
      <c r="N85">
        <v>0.30186784148702761</v>
      </c>
      <c r="O85">
        <v>0.29830737273905283</v>
      </c>
      <c r="P85">
        <v>0.29322245207950454</v>
      </c>
      <c r="Q85">
        <v>0.28653553184269248</v>
      </c>
      <c r="R85">
        <v>0.27814397368924088</v>
      </c>
      <c r="S85">
        <v>0.2681309399636736</v>
      </c>
      <c r="T85">
        <v>0.25658873484770078</v>
      </c>
      <c r="U85">
        <v>0.24396068340546312</v>
      </c>
      <c r="V85">
        <v>0.23043386607170441</v>
      </c>
      <c r="W85">
        <v>0.2164843067281727</v>
      </c>
      <c r="X85">
        <v>0.20246070561087037</v>
      </c>
      <c r="Y85">
        <v>0.18882068063652982</v>
      </c>
      <c r="Z85">
        <v>0.17578629030026849</v>
      </c>
      <c r="AA85">
        <v>0.16354631390677365</v>
      </c>
      <c r="AB85">
        <v>0.15232117155546687</v>
      </c>
      <c r="AC85">
        <v>0.14235327138852938</v>
      </c>
      <c r="AD85">
        <v>0.13351814498701259</v>
      </c>
      <c r="AE85">
        <v>0.12599194854286422</v>
      </c>
      <c r="AF85">
        <v>0.11986959174237462</v>
      </c>
      <c r="AG85">
        <v>0.11517575910820575</v>
      </c>
      <c r="AH85">
        <v>0.1119568803000148</v>
      </c>
      <c r="AI85">
        <v>0.11043921302974968</v>
      </c>
      <c r="AJ85">
        <v>0.11053373533412157</v>
      </c>
      <c r="AK85">
        <v>0.11245220002556608</v>
      </c>
      <c r="AL85">
        <v>0.11620387725220449</v>
      </c>
      <c r="AM85">
        <v>0.12191598709537457</v>
      </c>
      <c r="AN85">
        <v>0.12959629277321588</v>
      </c>
      <c r="AO85">
        <v>0.13934943498333929</v>
      </c>
      <c r="AP85">
        <v>0.15127899391499941</v>
      </c>
      <c r="AQ85">
        <v>0.16527334490174425</v>
      </c>
      <c r="AR85">
        <v>0.1813143374359347</v>
      </c>
      <c r="AS85">
        <v>0.19938815818745356</v>
      </c>
      <c r="AT85">
        <v>0.21921533509855182</v>
      </c>
      <c r="AU85">
        <v>0.2406843165744964</v>
      </c>
      <c r="AV85">
        <v>0.26359436579824302</v>
      </c>
      <c r="AW85">
        <v>0.28764750021153007</v>
      </c>
      <c r="AX85">
        <v>0.31261687264241567</v>
      </c>
      <c r="AY85">
        <v>0.33821807674903936</v>
      </c>
      <c r="AZ85">
        <v>0.3641401193370386</v>
      </c>
      <c r="BA85">
        <v>0.39023888311919941</v>
      </c>
      <c r="BB85">
        <v>0.41623919732470882</v>
      </c>
      <c r="BC85">
        <v>0.44205299773804974</v>
      </c>
      <c r="BD85">
        <v>0.46750106122429741</v>
      </c>
      <c r="BE85">
        <v>0.49246381488947288</v>
      </c>
      <c r="BF85">
        <v>0.51692300085119025</v>
      </c>
      <c r="BG85">
        <v>0.5408574214112617</v>
      </c>
      <c r="BH85">
        <v>0.5643159432094399</v>
      </c>
      <c r="BI85">
        <v>0.58732443881017948</v>
      </c>
      <c r="BJ85">
        <v>0.60995359237992564</v>
      </c>
      <c r="BK85">
        <v>0.63229094337739544</v>
      </c>
      <c r="BL85">
        <v>0.65443286404589096</v>
      </c>
      <c r="BM85">
        <v>0.67650039141749096</v>
      </c>
      <c r="BN85">
        <v>0.69853720178197598</v>
      </c>
      <c r="BO85">
        <v>0.7206625851796219</v>
      </c>
      <c r="BP85">
        <v>0.74290632663731138</v>
      </c>
      <c r="BQ85">
        <v>0.76527190813088297</v>
      </c>
      <c r="BR85">
        <v>0.78781137461432993</v>
      </c>
      <c r="BS85">
        <v>0.81042186182160048</v>
      </c>
      <c r="BT85">
        <v>0.8330225661557592</v>
      </c>
      <c r="BU85">
        <v>0.85547485828995973</v>
      </c>
      <c r="BV85">
        <v>0.87755614984909414</v>
      </c>
      <c r="BW85">
        <v>0.89900845513992611</v>
      </c>
      <c r="BX85">
        <v>0.91949948326972963</v>
      </c>
      <c r="BY85">
        <v>0.93861564084402593</v>
      </c>
      <c r="BZ85">
        <v>0.95594207926294605</v>
      </c>
      <c r="CA85">
        <v>0.97098686502593201</v>
      </c>
      <c r="CB85">
        <v>0.98330160091506547</v>
      </c>
      <c r="CC85">
        <v>0.99245104508226822</v>
      </c>
      <c r="CD85">
        <v>0.99809222664040598</v>
      </c>
      <c r="CE85">
        <v>1</v>
      </c>
      <c r="CF85">
        <v>0.99808969941769399</v>
      </c>
      <c r="CG85">
        <v>0.99242394251464883</v>
      </c>
      <c r="CH85">
        <v>0.98322167323300524</v>
      </c>
      <c r="CI85">
        <v>0.9708019385794846</v>
      </c>
      <c r="CJ85">
        <v>0.95560249034627209</v>
      </c>
      <c r="CK85">
        <v>0.93808642342208826</v>
      </c>
      <c r="CL85">
        <v>0.91876967256645836</v>
      </c>
      <c r="CM85">
        <v>0.89812733380853671</v>
      </c>
      <c r="CN85">
        <v>0.87660812701877178</v>
      </c>
      <c r="CO85">
        <v>0.85462402009224547</v>
      </c>
      <c r="CP85">
        <v>0.83250772970586684</v>
      </c>
      <c r="CQ85">
        <v>0.81054883551338053</v>
      </c>
      <c r="CR85">
        <v>0.78898367623167431</v>
      </c>
      <c r="CS85">
        <v>0.76797459685856218</v>
      </c>
      <c r="CT85">
        <v>0.7476505547510095</v>
      </c>
      <c r="CU85">
        <v>0.72810741689398906</v>
      </c>
      <c r="CV85">
        <v>0.70940505889290129</v>
      </c>
      <c r="CW85">
        <v>0.6915931669939136</v>
      </c>
      <c r="CX85">
        <v>0.67465628387167154</v>
      </c>
      <c r="CY85">
        <v>0.65859551275512962</v>
      </c>
      <c r="CZ85">
        <v>0.64342695253184035</v>
      </c>
      <c r="DA85">
        <v>0.62910014674909043</v>
      </c>
      <c r="DB85">
        <v>0.61559175979312153</v>
      </c>
      <c r="DC85">
        <v>0.60288546766811224</v>
      </c>
      <c r="DD85">
        <v>0.5909120813791483</v>
      </c>
      <c r="DE85">
        <v>0.57966633532079992</v>
      </c>
      <c r="DF85">
        <v>0.5690888273006145</v>
      </c>
      <c r="DG85">
        <v>0.55913376287860184</v>
      </c>
      <c r="DH85">
        <v>0.54976629477701555</v>
      </c>
      <c r="DI85">
        <v>0.54093014985238608</v>
      </c>
      <c r="DJ85">
        <v>0.53257750878674737</v>
      </c>
      <c r="DK85">
        <v>0.52464542834253747</v>
      </c>
      <c r="DL85">
        <v>0.51706656217962332</v>
      </c>
      <c r="DM85">
        <v>0.50975713478569606</v>
      </c>
      <c r="DN85">
        <v>0.50258547912347229</v>
      </c>
      <c r="DO85">
        <v>0.49539775097149802</v>
      </c>
      <c r="DP85">
        <v>0.48795791084592988</v>
      </c>
    </row>
    <row r="86" spans="1:120" x14ac:dyDescent="0.2">
      <c r="A86">
        <v>5.0255652794446486E-2</v>
      </c>
      <c r="B86">
        <v>0.15377329747737642</v>
      </c>
      <c r="C86">
        <v>0.21475811896975119</v>
      </c>
      <c r="D86">
        <v>0.2450133824943537</v>
      </c>
      <c r="E86">
        <v>0.26132242685610046</v>
      </c>
      <c r="F86">
        <v>0.27129537671884202</v>
      </c>
      <c r="G86">
        <v>0.27809507825893198</v>
      </c>
      <c r="H86">
        <v>0.28297034071813459</v>
      </c>
      <c r="I86">
        <v>0.28656747186325904</v>
      </c>
      <c r="J86">
        <v>0.28914531588098924</v>
      </c>
      <c r="K86">
        <v>0.29063545348611119</v>
      </c>
      <c r="L86">
        <v>0.29115648649624659</v>
      </c>
      <c r="M86">
        <v>0.29058979536844931</v>
      </c>
      <c r="N86">
        <v>0.28878059844233162</v>
      </c>
      <c r="O86">
        <v>0.28568335500552283</v>
      </c>
      <c r="P86">
        <v>0.28111633104681683</v>
      </c>
      <c r="Q86">
        <v>0.27499991330832257</v>
      </c>
      <c r="R86">
        <v>0.26722299203710653</v>
      </c>
      <c r="S86">
        <v>0.25785544687459772</v>
      </c>
      <c r="T86">
        <v>0.24697124927153583</v>
      </c>
      <c r="U86">
        <v>0.23499374414573518</v>
      </c>
      <c r="V86">
        <v>0.22208521561329247</v>
      </c>
      <c r="W86">
        <v>0.20870336547766108</v>
      </c>
      <c r="X86">
        <v>0.19516916954159538</v>
      </c>
      <c r="Y86">
        <v>0.18192944509973297</v>
      </c>
      <c r="Z86">
        <v>0.16918718689783105</v>
      </c>
      <c r="AA86">
        <v>0.15711534188086532</v>
      </c>
      <c r="AB86">
        <v>0.14593229685457279</v>
      </c>
      <c r="AC86">
        <v>0.13586541578055036</v>
      </c>
      <c r="AD86">
        <v>0.12678783823840867</v>
      </c>
      <c r="AE86">
        <v>0.11886889649538389</v>
      </c>
      <c r="AF86">
        <v>0.1122019330382404</v>
      </c>
      <c r="AG86">
        <v>0.10680244802854606</v>
      </c>
      <c r="AH86">
        <v>0.1027189142041222</v>
      </c>
      <c r="AI86">
        <v>0.10017629938179635</v>
      </c>
      <c r="AJ86">
        <v>9.9082218900179528E-2</v>
      </c>
      <c r="AK86">
        <v>9.9658672313077706E-2</v>
      </c>
      <c r="AL86">
        <v>0.10191224281445382</v>
      </c>
      <c r="AM86">
        <v>0.10598074319723019</v>
      </c>
      <c r="AN86">
        <v>0.11188719791838762</v>
      </c>
      <c r="AO86">
        <v>0.11974207828381736</v>
      </c>
      <c r="AP86">
        <v>0.12967699589696774</v>
      </c>
      <c r="AQ86">
        <v>0.14159343554307527</v>
      </c>
      <c r="AR86">
        <v>0.15550207480419204</v>
      </c>
      <c r="AS86">
        <v>0.17141653454090874</v>
      </c>
      <c r="AT86">
        <v>0.18908946584493846</v>
      </c>
      <c r="AU86">
        <v>0.2084366295922791</v>
      </c>
      <c r="AV86">
        <v>0.22929003890984762</v>
      </c>
      <c r="AW86">
        <v>0.25137862535167987</v>
      </c>
      <c r="AX86">
        <v>0.27450489241062875</v>
      </c>
      <c r="AY86">
        <v>0.29840744140678538</v>
      </c>
      <c r="AZ86">
        <v>0.32278977663799002</v>
      </c>
      <c r="BA86">
        <v>0.34752670325435325</v>
      </c>
      <c r="BB86">
        <v>0.37235260678358384</v>
      </c>
      <c r="BC86">
        <v>0.39718319621851855</v>
      </c>
      <c r="BD86">
        <v>0.42184020053874949</v>
      </c>
      <c r="BE86">
        <v>0.4462022764881593</v>
      </c>
      <c r="BF86">
        <v>0.47024608344064905</v>
      </c>
      <c r="BG86">
        <v>0.49394627664858937</v>
      </c>
      <c r="BH86">
        <v>0.51734407316960695</v>
      </c>
      <c r="BI86">
        <v>0.54045869718687034</v>
      </c>
      <c r="BJ86">
        <v>0.56335555588168007</v>
      </c>
      <c r="BK86">
        <v>0.58611567947534826</v>
      </c>
      <c r="BL86">
        <v>0.60883144367034292</v>
      </c>
      <c r="BM86">
        <v>0.63162251224310906</v>
      </c>
      <c r="BN86">
        <v>0.65452945983935951</v>
      </c>
      <c r="BO86">
        <v>0.67767562275844284</v>
      </c>
      <c r="BP86">
        <v>0.70109320832208522</v>
      </c>
      <c r="BQ86">
        <v>0.72479015584080231</v>
      </c>
      <c r="BR86">
        <v>0.74883011313158165</v>
      </c>
      <c r="BS86">
        <v>0.77311509215256247</v>
      </c>
      <c r="BT86">
        <v>0.79757526874903051</v>
      </c>
      <c r="BU86">
        <v>0.82208322399899236</v>
      </c>
      <c r="BV86">
        <v>0.84642445576417091</v>
      </c>
      <c r="BW86">
        <v>0.87034992399277566</v>
      </c>
      <c r="BX86">
        <v>0.89353302546126312</v>
      </c>
      <c r="BY86">
        <v>0.91555783318986128</v>
      </c>
      <c r="BZ86">
        <v>0.93600770967901969</v>
      </c>
      <c r="CA86">
        <v>0.95437305464716204</v>
      </c>
      <c r="CB86">
        <v>0.97018713631082598</v>
      </c>
      <c r="CC86">
        <v>0.98298100240742892</v>
      </c>
      <c r="CD86">
        <v>0.99237202707186001</v>
      </c>
      <c r="CE86">
        <v>0.9980896994176941</v>
      </c>
      <c r="CF86">
        <v>1</v>
      </c>
      <c r="CG86">
        <v>0.99811824966789664</v>
      </c>
      <c r="CH86">
        <v>0.99261181969829526</v>
      </c>
      <c r="CI86">
        <v>0.98376393712481269</v>
      </c>
      <c r="CJ86">
        <v>0.97197373229756712</v>
      </c>
      <c r="CK86">
        <v>0.95768204813765112</v>
      </c>
      <c r="CL86">
        <v>0.94138401188753429</v>
      </c>
      <c r="CM86">
        <v>0.92354739754372073</v>
      </c>
      <c r="CN86">
        <v>0.90461863031207768</v>
      </c>
      <c r="CO86">
        <v>0.88501159848467492</v>
      </c>
      <c r="CP86">
        <v>0.86506743119286578</v>
      </c>
      <c r="CQ86">
        <v>0.84508557117932637</v>
      </c>
      <c r="CR86">
        <v>0.82531368235433211</v>
      </c>
      <c r="CS86">
        <v>0.80592816441632276</v>
      </c>
      <c r="CT86">
        <v>0.78707138437396962</v>
      </c>
      <c r="CU86">
        <v>0.76885180209860493</v>
      </c>
      <c r="CV86">
        <v>0.75134192511257358</v>
      </c>
      <c r="CW86">
        <v>0.73460207597460436</v>
      </c>
      <c r="CX86">
        <v>0.71862934218132135</v>
      </c>
      <c r="CY86">
        <v>0.70343443469032962</v>
      </c>
      <c r="CZ86">
        <v>0.68904044541985765</v>
      </c>
      <c r="DA86">
        <v>0.67540618299498134</v>
      </c>
      <c r="DB86">
        <v>0.66251493308307674</v>
      </c>
      <c r="DC86">
        <v>0.65035529998792818</v>
      </c>
      <c r="DD86">
        <v>0.63886476416099491</v>
      </c>
      <c r="DE86">
        <v>0.62804038759123981</v>
      </c>
      <c r="DF86">
        <v>0.61782719028342825</v>
      </c>
      <c r="DG86">
        <v>0.60818161993204134</v>
      </c>
      <c r="DH86">
        <v>0.59907007870653783</v>
      </c>
      <c r="DI86">
        <v>0.59043676071044027</v>
      </c>
      <c r="DJ86">
        <v>0.58223375657036325</v>
      </c>
      <c r="DK86">
        <v>0.57439543894747003</v>
      </c>
      <c r="DL86">
        <v>0.56685102348239191</v>
      </c>
      <c r="DM86">
        <v>0.55950992504588382</v>
      </c>
      <c r="DN86">
        <v>0.55223153118827539</v>
      </c>
      <c r="DO86">
        <v>0.54484647197666369</v>
      </c>
      <c r="DP86">
        <v>0.53709427265047038</v>
      </c>
    </row>
    <row r="87" spans="1:120" x14ac:dyDescent="0.2">
      <c r="A87">
        <v>4.3149542737558909E-2</v>
      </c>
      <c r="B87">
        <v>0.14168419433375201</v>
      </c>
      <c r="C87">
        <v>0.20033947776837138</v>
      </c>
      <c r="D87">
        <v>0.22980830760898752</v>
      </c>
      <c r="E87">
        <v>0.24590035782200945</v>
      </c>
      <c r="F87">
        <v>0.25585968018328681</v>
      </c>
      <c r="G87">
        <v>0.26271794076489424</v>
      </c>
      <c r="H87">
        <v>0.26769973941656494</v>
      </c>
      <c r="I87">
        <v>0.27143843533015977</v>
      </c>
      <c r="J87">
        <v>0.27419778436823888</v>
      </c>
      <c r="K87">
        <v>0.27592273247831567</v>
      </c>
      <c r="L87">
        <v>0.27673097427534149</v>
      </c>
      <c r="M87">
        <v>0.2765116941286192</v>
      </c>
      <c r="N87">
        <v>0.27511170266098578</v>
      </c>
      <c r="O87">
        <v>0.27249095771920434</v>
      </c>
      <c r="P87">
        <v>0.26846026643640142</v>
      </c>
      <c r="Q87">
        <v>0.26293826773874784</v>
      </c>
      <c r="R87">
        <v>0.25580561124796986</v>
      </c>
      <c r="S87">
        <v>0.24711873052041858</v>
      </c>
      <c r="T87">
        <v>0.23693311032271364</v>
      </c>
      <c r="U87">
        <v>0.22565058743149477</v>
      </c>
      <c r="V87">
        <v>0.21340844700251144</v>
      </c>
      <c r="W87">
        <v>0.20064458699747784</v>
      </c>
      <c r="X87">
        <v>0.18765144793782709</v>
      </c>
      <c r="Y87">
        <v>0.17486368909614627</v>
      </c>
      <c r="Z87">
        <v>0.16246476376069263</v>
      </c>
      <c r="AA87">
        <v>0.15061146667538478</v>
      </c>
      <c r="AB87">
        <v>0.13951940254742717</v>
      </c>
      <c r="AC87">
        <v>0.12940009943729702</v>
      </c>
      <c r="AD87">
        <v>0.12012485691873701</v>
      </c>
      <c r="AE87">
        <v>0.11185548739598863</v>
      </c>
      <c r="AF87">
        <v>0.10468321689496794</v>
      </c>
      <c r="AG87">
        <v>9.8614357033266514E-2</v>
      </c>
      <c r="AH87">
        <v>9.3698984894982726E-2</v>
      </c>
      <c r="AI87">
        <v>9.0159737131897177E-2</v>
      </c>
      <c r="AJ87">
        <v>8.7901032961562944E-2</v>
      </c>
      <c r="AK87">
        <v>8.7153886301140113E-2</v>
      </c>
      <c r="AL87">
        <v>8.7921986938054308E-2</v>
      </c>
      <c r="AM87">
        <v>9.0352728759195478E-2</v>
      </c>
      <c r="AN87">
        <v>9.4483895491207476E-2</v>
      </c>
      <c r="AO87">
        <v>0.10043099695538965</v>
      </c>
      <c r="AP87">
        <v>0.10835262108801053</v>
      </c>
      <c r="AQ87">
        <v>0.11816337927784938</v>
      </c>
      <c r="AR87">
        <v>0.12990214199109701</v>
      </c>
      <c r="AS87">
        <v>0.14360954995615355</v>
      </c>
      <c r="AT87">
        <v>0.15907105846086367</v>
      </c>
      <c r="AU87">
        <v>0.17622961724781069</v>
      </c>
      <c r="AV87">
        <v>0.1949505826307244</v>
      </c>
      <c r="AW87">
        <v>0.21499068415882525</v>
      </c>
      <c r="AX87">
        <v>0.23618249405444361</v>
      </c>
      <c r="AY87">
        <v>0.2582886707883767</v>
      </c>
      <c r="AZ87">
        <v>0.28102859547420866</v>
      </c>
      <c r="BA87">
        <v>0.30429662371215382</v>
      </c>
      <c r="BB87">
        <v>0.32783810340731173</v>
      </c>
      <c r="BC87">
        <v>0.35157302563122095</v>
      </c>
      <c r="BD87">
        <v>0.37532518437173612</v>
      </c>
      <c r="BE87">
        <v>0.39897230262961525</v>
      </c>
      <c r="BF87">
        <v>0.42248635282152341</v>
      </c>
      <c r="BG87">
        <v>0.44583827010240329</v>
      </c>
      <c r="BH87">
        <v>0.46906174290920694</v>
      </c>
      <c r="BI87">
        <v>0.49216954957669601</v>
      </c>
      <c r="BJ87">
        <v>0.51522181001636769</v>
      </c>
      <c r="BK87">
        <v>0.53829286544263633</v>
      </c>
      <c r="BL87">
        <v>0.56147080866470822</v>
      </c>
      <c r="BM87">
        <v>0.58487358806429113</v>
      </c>
      <c r="BN87">
        <v>0.60853854198592283</v>
      </c>
      <c r="BO87">
        <v>0.63259251567464647</v>
      </c>
      <c r="BP87">
        <v>0.6570699883311103</v>
      </c>
      <c r="BQ87">
        <v>0.68198324047422465</v>
      </c>
      <c r="BR87">
        <v>0.70740719616577552</v>
      </c>
      <c r="BS87">
        <v>0.73324901954876653</v>
      </c>
      <c r="BT87">
        <v>0.75945001591180938</v>
      </c>
      <c r="BU87">
        <v>0.7858943463265684</v>
      </c>
      <c r="BV87">
        <v>0.81237637134649854</v>
      </c>
      <c r="BW87">
        <v>0.83865682304115585</v>
      </c>
      <c r="BX87">
        <v>0.86441594175228553</v>
      </c>
      <c r="BY87">
        <v>0.88923718525550299</v>
      </c>
      <c r="BZ87">
        <v>0.91270360486821278</v>
      </c>
      <c r="CA87">
        <v>0.93429000457797706</v>
      </c>
      <c r="CB87">
        <v>0.95351322841231656</v>
      </c>
      <c r="CC87">
        <v>0.96987268847253505</v>
      </c>
      <c r="CD87">
        <v>0.98294771570757211</v>
      </c>
      <c r="CE87">
        <v>0.99242394251464894</v>
      </c>
      <c r="CF87">
        <v>0.99811824966789664</v>
      </c>
      <c r="CG87">
        <v>1</v>
      </c>
      <c r="CH87">
        <v>0.99818360856741495</v>
      </c>
      <c r="CI87">
        <v>0.99291609812223103</v>
      </c>
      <c r="CJ87">
        <v>0.98455662844601599</v>
      </c>
      <c r="CK87">
        <v>0.97352212790418158</v>
      </c>
      <c r="CL87">
        <v>0.96028521410073509</v>
      </c>
      <c r="CM87">
        <v>0.94530449341382639</v>
      </c>
      <c r="CN87">
        <v>0.92902237150302858</v>
      </c>
      <c r="CO87">
        <v>0.91185301695894927</v>
      </c>
      <c r="CP87">
        <v>0.89414457337089059</v>
      </c>
      <c r="CQ87">
        <v>0.87620509579221895</v>
      </c>
      <c r="CR87">
        <v>0.85829250942616286</v>
      </c>
      <c r="CS87">
        <v>0.8405964896413809</v>
      </c>
      <c r="CT87">
        <v>0.82327215058020553</v>
      </c>
      <c r="CU87">
        <v>0.80644003904338624</v>
      </c>
      <c r="CV87">
        <v>0.79018488376441454</v>
      </c>
      <c r="CW87">
        <v>0.7745773818785715</v>
      </c>
      <c r="CX87">
        <v>0.75962704483661692</v>
      </c>
      <c r="CY87">
        <v>0.74535407816100707</v>
      </c>
      <c r="CZ87">
        <v>0.73178845224675637</v>
      </c>
      <c r="DA87">
        <v>0.71889833433945383</v>
      </c>
      <c r="DB87">
        <v>0.70667365184021602</v>
      </c>
      <c r="DC87">
        <v>0.69510793812180416</v>
      </c>
      <c r="DD87">
        <v>0.68414557457749114</v>
      </c>
      <c r="DE87">
        <v>0.67378594780936096</v>
      </c>
      <c r="DF87">
        <v>0.66397869746163662</v>
      </c>
      <c r="DG87">
        <v>0.65468267900027222</v>
      </c>
      <c r="DH87">
        <v>0.64586568238357367</v>
      </c>
      <c r="DI87">
        <v>0.63747263314768909</v>
      </c>
      <c r="DJ87">
        <v>0.62945572934808558</v>
      </c>
      <c r="DK87">
        <v>0.62174699092596175</v>
      </c>
      <c r="DL87">
        <v>0.61427252130262266</v>
      </c>
      <c r="DM87">
        <v>0.60693540423321934</v>
      </c>
      <c r="DN87">
        <v>0.59958676385667908</v>
      </c>
      <c r="DO87">
        <v>0.5920425765963423</v>
      </c>
      <c r="DP87">
        <v>0.58401924052183596</v>
      </c>
    </row>
    <row r="88" spans="1:120" x14ac:dyDescent="0.2">
      <c r="A88">
        <v>3.6100243528149577E-2</v>
      </c>
      <c r="B88">
        <v>0.12949703500459359</v>
      </c>
      <c r="C88">
        <v>0.18571473381644765</v>
      </c>
      <c r="D88">
        <v>0.21433394065572747</v>
      </c>
      <c r="E88">
        <v>0.23017020943886521</v>
      </c>
      <c r="F88">
        <v>0.24009011821297643</v>
      </c>
      <c r="G88">
        <v>0.24698851613335779</v>
      </c>
      <c r="H88">
        <v>0.25206330629485607</v>
      </c>
      <c r="I88">
        <v>0.25593342158992555</v>
      </c>
      <c r="J88">
        <v>0.25886674001260024</v>
      </c>
      <c r="K88">
        <v>0.26082183024410976</v>
      </c>
      <c r="L88">
        <v>0.26191512020933866</v>
      </c>
      <c r="M88">
        <v>0.26204385240682071</v>
      </c>
      <c r="N88">
        <v>0.26105694273720748</v>
      </c>
      <c r="O88">
        <v>0.25891993831109666</v>
      </c>
      <c r="P88">
        <v>0.25543680115476008</v>
      </c>
      <c r="Q88">
        <v>0.25052469872966365</v>
      </c>
      <c r="R88">
        <v>0.24405656554777938</v>
      </c>
      <c r="S88">
        <v>0.23607520663505074</v>
      </c>
      <c r="T88">
        <v>0.22661777426270072</v>
      </c>
      <c r="U88">
        <v>0.21606356851796865</v>
      </c>
      <c r="V88">
        <v>0.20452494265050894</v>
      </c>
      <c r="W88">
        <v>0.19241875383810567</v>
      </c>
      <c r="X88">
        <v>0.18000866338464591</v>
      </c>
      <c r="Y88">
        <v>0.16771594940860082</v>
      </c>
      <c r="Z88">
        <v>0.15570452844937627</v>
      </c>
      <c r="AA88">
        <v>0.14411469147070102</v>
      </c>
      <c r="AB88">
        <v>0.1331588172599196</v>
      </c>
      <c r="AC88">
        <v>0.12303196569737526</v>
      </c>
      <c r="AD88">
        <v>0.11360417988263452</v>
      </c>
      <c r="AE88">
        <v>0.10502923449343551</v>
      </c>
      <c r="AF88">
        <v>9.739572647087702E-2</v>
      </c>
      <c r="AG88">
        <v>9.0700896195275466E-2</v>
      </c>
      <c r="AH88">
        <v>8.4996028929523099E-2</v>
      </c>
      <c r="AI88">
        <v>8.0500472522023331E-2</v>
      </c>
      <c r="AJ88">
        <v>7.7115697186435198E-2</v>
      </c>
      <c r="AK88">
        <v>7.5080410283785662E-2</v>
      </c>
      <c r="AL88">
        <v>7.439524909138033E-2</v>
      </c>
      <c r="AM88">
        <v>7.5216121405118561E-2</v>
      </c>
      <c r="AN88">
        <v>7.759493033901646E-2</v>
      </c>
      <c r="AO88">
        <v>8.165134481894934E-2</v>
      </c>
      <c r="AP88">
        <v>8.7569551758597694E-2</v>
      </c>
      <c r="AQ88">
        <v>9.5277126650783653E-2</v>
      </c>
      <c r="AR88">
        <v>0.10484026626995484</v>
      </c>
      <c r="AS88">
        <v>0.11632577239960315</v>
      </c>
      <c r="AT88">
        <v>0.12955207523339313</v>
      </c>
      <c r="AU88">
        <v>0.14448892581783129</v>
      </c>
      <c r="AV88">
        <v>0.16103499385465711</v>
      </c>
      <c r="AW88">
        <v>0.17897529653676914</v>
      </c>
      <c r="AX88">
        <v>0.19817275242848326</v>
      </c>
      <c r="AY88">
        <v>0.21841475024071919</v>
      </c>
      <c r="AZ88">
        <v>0.23943758130566006</v>
      </c>
      <c r="BA88">
        <v>0.26115553607106612</v>
      </c>
      <c r="BB88">
        <v>0.28332598280397514</v>
      </c>
      <c r="BC88">
        <v>0.30587370689477933</v>
      </c>
      <c r="BD88">
        <v>0.32862556946155813</v>
      </c>
      <c r="BE88">
        <v>0.35145913541611956</v>
      </c>
      <c r="BF88">
        <v>0.37434212534789701</v>
      </c>
      <c r="BG88">
        <v>0.39724219465156063</v>
      </c>
      <c r="BH88">
        <v>0.42018572772615198</v>
      </c>
      <c r="BI88">
        <v>0.44317929362389258</v>
      </c>
      <c r="BJ88">
        <v>0.4662777875810965</v>
      </c>
      <c r="BK88">
        <v>0.48954883573799707</v>
      </c>
      <c r="BL88">
        <v>0.51307599539503146</v>
      </c>
      <c r="BM88">
        <v>0.53697516710548621</v>
      </c>
      <c r="BN88">
        <v>0.56128036246816082</v>
      </c>
      <c r="BO88">
        <v>0.58612138559707827</v>
      </c>
      <c r="BP88">
        <v>0.61153479765372332</v>
      </c>
      <c r="BQ88">
        <v>0.63753714745651124</v>
      </c>
      <c r="BR88">
        <v>0.66421400309630529</v>
      </c>
      <c r="BS88">
        <v>0.69147799246401564</v>
      </c>
      <c r="BT88">
        <v>0.71928148603639686</v>
      </c>
      <c r="BU88">
        <v>0.7475204966673088</v>
      </c>
      <c r="BV88">
        <v>0.77599877827583674</v>
      </c>
      <c r="BW88">
        <v>0.80448751514211081</v>
      </c>
      <c r="BX88">
        <v>0.83267489774709347</v>
      </c>
      <c r="BY88">
        <v>0.86014526428738536</v>
      </c>
      <c r="BZ88">
        <v>0.88648293051327587</v>
      </c>
      <c r="CA88">
        <v>0.91114927206707141</v>
      </c>
      <c r="CB88">
        <v>0.93364683335556875</v>
      </c>
      <c r="CC88">
        <v>0.95344572971977748</v>
      </c>
      <c r="CD88">
        <v>0.97008946632531523</v>
      </c>
      <c r="CE88">
        <v>0.98322167323300513</v>
      </c>
      <c r="CF88">
        <v>0.99261181969829515</v>
      </c>
      <c r="CG88">
        <v>0.99818360856741495</v>
      </c>
      <c r="CH88">
        <v>1</v>
      </c>
      <c r="CI88">
        <v>0.9982704547790956</v>
      </c>
      <c r="CJ88">
        <v>0.99331400011636073</v>
      </c>
      <c r="CK88">
        <v>0.985522338474076</v>
      </c>
      <c r="CL88">
        <v>0.97534416982811734</v>
      </c>
      <c r="CM88">
        <v>0.9632273838120784</v>
      </c>
      <c r="CN88">
        <v>0.94960873093898079</v>
      </c>
      <c r="CO88">
        <v>0.93490103824601845</v>
      </c>
      <c r="CP88">
        <v>0.91945810168958908</v>
      </c>
      <c r="CQ88">
        <v>0.90359517276275159</v>
      </c>
      <c r="CR88">
        <v>0.88757933888614304</v>
      </c>
      <c r="CS88">
        <v>0.87161257936421987</v>
      </c>
      <c r="CT88">
        <v>0.8558619521186217</v>
      </c>
      <c r="CU88">
        <v>0.84045943051475447</v>
      </c>
      <c r="CV88">
        <v>0.82550141413780909</v>
      </c>
      <c r="CW88">
        <v>0.81106851084282794</v>
      </c>
      <c r="CX88">
        <v>0.79718244509690606</v>
      </c>
      <c r="CY88">
        <v>0.78387263919894479</v>
      </c>
      <c r="CZ88">
        <v>0.77117573464808431</v>
      </c>
      <c r="DA88">
        <v>0.75906921179241982</v>
      </c>
      <c r="DB88">
        <v>0.74754958158372653</v>
      </c>
      <c r="DC88">
        <v>0.73661524243193532</v>
      </c>
      <c r="DD88">
        <v>0.72621756497246981</v>
      </c>
      <c r="DE88">
        <v>0.71635827312429345</v>
      </c>
      <c r="DF88">
        <v>0.70699170117150245</v>
      </c>
      <c r="DG88">
        <v>0.69807928972420008</v>
      </c>
      <c r="DH88">
        <v>0.68959030785052078</v>
      </c>
      <c r="DI88">
        <v>0.68147066184764604</v>
      </c>
      <c r="DJ88">
        <v>0.67367282951683316</v>
      </c>
      <c r="DK88">
        <v>0.66612685317867137</v>
      </c>
      <c r="DL88">
        <v>0.65875606989246427</v>
      </c>
      <c r="DM88">
        <v>0.65145778683420197</v>
      </c>
      <c r="DN88">
        <v>0.64407563023221193</v>
      </c>
      <c r="DO88">
        <v>0.63641196369399999</v>
      </c>
      <c r="DP88">
        <v>0.62816163810005643</v>
      </c>
    </row>
    <row r="89" spans="1:120" x14ac:dyDescent="0.2">
      <c r="A89">
        <v>2.9192210691315581E-2</v>
      </c>
      <c r="B89">
        <v>0.1173418514921462</v>
      </c>
      <c r="C89">
        <v>0.17103239053091598</v>
      </c>
      <c r="D89">
        <v>0.1987425529998427</v>
      </c>
      <c r="E89">
        <v>0.21428281899900081</v>
      </c>
      <c r="F89">
        <v>0.22413439949005912</v>
      </c>
      <c r="G89">
        <v>0.23105088936218379</v>
      </c>
      <c r="H89">
        <v>0.23620105685277823</v>
      </c>
      <c r="I89">
        <v>0.24018797234270425</v>
      </c>
      <c r="J89">
        <v>0.24328287774818685</v>
      </c>
      <c r="K89">
        <v>0.24545793686432543</v>
      </c>
      <c r="L89">
        <v>0.24682799725199597</v>
      </c>
      <c r="M89">
        <v>0.24729853585102118</v>
      </c>
      <c r="N89">
        <v>0.24672102135036275</v>
      </c>
      <c r="O89">
        <v>0.24506665291431162</v>
      </c>
      <c r="P89">
        <v>0.24213319980076589</v>
      </c>
      <c r="Q89">
        <v>0.23783677891989558</v>
      </c>
      <c r="R89">
        <v>0.23204301895244428</v>
      </c>
      <c r="S89">
        <v>0.22478134922424689</v>
      </c>
      <c r="T89">
        <v>0.21607076898479743</v>
      </c>
      <c r="U89">
        <v>0.20626730314289696</v>
      </c>
      <c r="V89">
        <v>0.19545864261878093</v>
      </c>
      <c r="W89">
        <v>0.1840397170415195</v>
      </c>
      <c r="X89">
        <v>0.17224535521663331</v>
      </c>
      <c r="Y89">
        <v>0.16048242341797958</v>
      </c>
      <c r="Z89">
        <v>0.1488953237765509</v>
      </c>
      <c r="AA89">
        <v>0.1376079135770035</v>
      </c>
      <c r="AB89">
        <v>0.12682866632430431</v>
      </c>
      <c r="AC89">
        <v>0.11673597062798942</v>
      </c>
      <c r="AD89">
        <v>0.1071990742036598</v>
      </c>
      <c r="AE89">
        <v>9.8363354730971866E-2</v>
      </c>
      <c r="AF89">
        <v>9.0314394659832514E-2</v>
      </c>
      <c r="AG89">
        <v>8.304053908842636E-2</v>
      </c>
      <c r="AH89">
        <v>7.6593990489431898E-2</v>
      </c>
      <c r="AI89">
        <v>7.1189953243092019E-2</v>
      </c>
      <c r="AJ89">
        <v>6.6727154328388105E-2</v>
      </c>
      <c r="AK89">
        <v>6.3450854353337235E-2</v>
      </c>
      <c r="AL89">
        <v>6.1358503152162923E-2</v>
      </c>
      <c r="AM89">
        <v>6.0613485114976162E-2</v>
      </c>
      <c r="AN89">
        <v>6.1281056349893274E-2</v>
      </c>
      <c r="AO89">
        <v>6.3484265263105327E-2</v>
      </c>
      <c r="AP89">
        <v>6.7431340864358549E-2</v>
      </c>
      <c r="AQ89">
        <v>7.3062534653936612E-2</v>
      </c>
      <c r="AR89">
        <v>8.0470327222945864E-2</v>
      </c>
      <c r="AS89">
        <v>8.9746512677803605E-2</v>
      </c>
      <c r="AT89">
        <v>0.1007423582019711</v>
      </c>
      <c r="AU89">
        <v>0.11345374967107813</v>
      </c>
      <c r="AV89">
        <v>0.12781219418062442</v>
      </c>
      <c r="AW89">
        <v>0.14363116386563415</v>
      </c>
      <c r="AX89">
        <v>0.16080379595381109</v>
      </c>
      <c r="AY89">
        <v>0.17914253353121407</v>
      </c>
      <c r="AZ89">
        <v>0.19840127187382567</v>
      </c>
      <c r="BA89">
        <v>0.21851433355543479</v>
      </c>
      <c r="BB89">
        <v>0.23925192814009985</v>
      </c>
      <c r="BC89">
        <v>0.26054400428953367</v>
      </c>
      <c r="BD89">
        <v>0.28222132536106348</v>
      </c>
      <c r="BE89">
        <v>0.3041620077941225</v>
      </c>
      <c r="BF89">
        <v>0.32632991276218465</v>
      </c>
      <c r="BG89">
        <v>0.34868990010386003</v>
      </c>
      <c r="BH89">
        <v>0.371261213217355</v>
      </c>
      <c r="BI89">
        <v>0.39404457822188882</v>
      </c>
      <c r="BJ89">
        <v>0.41708968665045859</v>
      </c>
      <c r="BK89">
        <v>0.44045750873301948</v>
      </c>
      <c r="BL89">
        <v>0.46422686659373807</v>
      </c>
      <c r="BM89">
        <v>0.48851136982492632</v>
      </c>
      <c r="BN89">
        <v>0.51334163605095018</v>
      </c>
      <c r="BO89">
        <v>0.53884989815175488</v>
      </c>
      <c r="BP89">
        <v>0.56507456955546265</v>
      </c>
      <c r="BQ89">
        <v>0.59203633003014322</v>
      </c>
      <c r="BR89">
        <v>0.6198308260801666</v>
      </c>
      <c r="BS89">
        <v>0.64837622861353705</v>
      </c>
      <c r="BT89">
        <v>0.67763591186468075</v>
      </c>
      <c r="BU89">
        <v>0.70751776113149267</v>
      </c>
      <c r="BV89">
        <v>0.73783544862538863</v>
      </c>
      <c r="BW89">
        <v>0.76837109196665854</v>
      </c>
      <c r="BX89">
        <v>0.79882170858246271</v>
      </c>
      <c r="BY89">
        <v>0.82877408126683727</v>
      </c>
      <c r="BZ89">
        <v>0.85781513724798308</v>
      </c>
      <c r="CA89">
        <v>0.88539506196001128</v>
      </c>
      <c r="CB89">
        <v>0.91100422988304519</v>
      </c>
      <c r="CC89">
        <v>0.93408606657249904</v>
      </c>
      <c r="CD89">
        <v>0.95415065018507328</v>
      </c>
      <c r="CE89">
        <v>0.97080193857948471</v>
      </c>
      <c r="CF89">
        <v>0.98376393712481269</v>
      </c>
      <c r="CG89">
        <v>0.99291609812223092</v>
      </c>
      <c r="CH89">
        <v>0.9982704547790956</v>
      </c>
      <c r="CI89">
        <v>1</v>
      </c>
      <c r="CJ89">
        <v>0.99838249768424014</v>
      </c>
      <c r="CK89">
        <v>0.99378405652635327</v>
      </c>
      <c r="CL89">
        <v>0.98662834272208211</v>
      </c>
      <c r="CM89">
        <v>0.97735113476526714</v>
      </c>
      <c r="CN89">
        <v>0.9663820886858604</v>
      </c>
      <c r="CO89">
        <v>0.95413123514093412</v>
      </c>
      <c r="CP89">
        <v>0.94095659480418137</v>
      </c>
      <c r="CQ89">
        <v>0.92717929251153297</v>
      </c>
      <c r="CR89">
        <v>0.91307438776643446</v>
      </c>
      <c r="CS89">
        <v>0.89885515504632751</v>
      </c>
      <c r="CT89">
        <v>0.88469967178910869</v>
      </c>
      <c r="CU89">
        <v>0.87075062201959552</v>
      </c>
      <c r="CV89">
        <v>0.85711539561782324</v>
      </c>
      <c r="CW89">
        <v>0.8438840087913021</v>
      </c>
      <c r="CX89">
        <v>0.83109002744570237</v>
      </c>
      <c r="CY89">
        <v>0.81877175173113137</v>
      </c>
      <c r="CZ89">
        <v>0.80697221686594034</v>
      </c>
      <c r="DA89">
        <v>0.79567807780232913</v>
      </c>
      <c r="DB89">
        <v>0.78489227388115945</v>
      </c>
      <c r="DC89">
        <v>0.77461798128701431</v>
      </c>
      <c r="DD89">
        <v>0.76481358722981196</v>
      </c>
      <c r="DE89">
        <v>0.75548309280447923</v>
      </c>
      <c r="DF89">
        <v>0.74658559529737201</v>
      </c>
      <c r="DG89">
        <v>0.73808521976490982</v>
      </c>
      <c r="DH89">
        <v>0.72995282087015845</v>
      </c>
      <c r="DI89">
        <v>0.72213549804131449</v>
      </c>
      <c r="DJ89">
        <v>0.71458619007203383</v>
      </c>
      <c r="DK89">
        <v>0.70723332893640378</v>
      </c>
      <c r="DL89">
        <v>0.69999787426337112</v>
      </c>
      <c r="DM89">
        <v>0.69277194859779001</v>
      </c>
      <c r="DN89">
        <v>0.68539251664227185</v>
      </c>
      <c r="DO89">
        <v>0.67764948713617457</v>
      </c>
      <c r="DP89">
        <v>0.6692179418974693</v>
      </c>
    </row>
    <row r="90" spans="1:120" x14ac:dyDescent="0.2">
      <c r="A90">
        <v>2.2517849910852997E-2</v>
      </c>
      <c r="B90">
        <v>0.10538481618552706</v>
      </c>
      <c r="C90">
        <v>0.15649536719961579</v>
      </c>
      <c r="D90">
        <v>0.18325175754108347</v>
      </c>
      <c r="E90">
        <v>0.19846236821600929</v>
      </c>
      <c r="F90">
        <v>0.20822007098284623</v>
      </c>
      <c r="G90">
        <v>0.21513474539711952</v>
      </c>
      <c r="H90">
        <v>0.22034395945987489</v>
      </c>
      <c r="I90">
        <v>0.22443377599564696</v>
      </c>
      <c r="J90">
        <v>0.22767786103613502</v>
      </c>
      <c r="K90">
        <v>0.2300618175588178</v>
      </c>
      <c r="L90">
        <v>0.23169857336102953</v>
      </c>
      <c r="M90">
        <v>0.23250181267637066</v>
      </c>
      <c r="N90">
        <v>0.23232598158544657</v>
      </c>
      <c r="O90">
        <v>0.23114777244595835</v>
      </c>
      <c r="P90">
        <v>0.2287595568742701</v>
      </c>
      <c r="Q90">
        <v>0.22507663229257527</v>
      </c>
      <c r="R90">
        <v>0.21995791931738176</v>
      </c>
      <c r="S90">
        <v>0.21341972665845399</v>
      </c>
      <c r="T90">
        <v>0.20546353040652923</v>
      </c>
      <c r="U90">
        <v>0.19642156201422004</v>
      </c>
      <c r="V90">
        <v>0.18635760459560455</v>
      </c>
      <c r="W90">
        <v>0.17564412047125283</v>
      </c>
      <c r="X90">
        <v>0.16448745065506035</v>
      </c>
      <c r="Y90">
        <v>0.15327935749058802</v>
      </c>
      <c r="Z90">
        <v>0.14214510564166352</v>
      </c>
      <c r="AA90">
        <v>0.13119222979313908</v>
      </c>
      <c r="AB90">
        <v>0.1206249280734704</v>
      </c>
      <c r="AC90">
        <v>0.11060482959782957</v>
      </c>
      <c r="AD90">
        <v>0.10100083411798487</v>
      </c>
      <c r="AE90">
        <v>9.1949685448625043E-2</v>
      </c>
      <c r="AF90">
        <v>8.3533640845436796E-2</v>
      </c>
      <c r="AG90">
        <v>7.5732432725363494E-2</v>
      </c>
      <c r="AH90">
        <v>6.8598825270177993E-2</v>
      </c>
      <c r="AI90">
        <v>6.23431879078227E-2</v>
      </c>
      <c r="AJ90">
        <v>5.6861797373484048E-2</v>
      </c>
      <c r="AK90">
        <v>5.2405162296444784E-2</v>
      </c>
      <c r="AL90">
        <v>4.8967547990353029E-2</v>
      </c>
      <c r="AM90">
        <v>4.6718713628819505E-2</v>
      </c>
      <c r="AN90">
        <v>4.5736406373637045E-2</v>
      </c>
      <c r="AO90">
        <v>4.6146288427014411E-2</v>
      </c>
      <c r="AP90">
        <v>4.8178919753922661E-2</v>
      </c>
      <c r="AQ90">
        <v>5.1786737481581017E-2</v>
      </c>
      <c r="AR90">
        <v>5.7087125349313768E-2</v>
      </c>
      <c r="AS90">
        <v>6.4195611148785456E-2</v>
      </c>
      <c r="AT90">
        <v>7.2995624549872171E-2</v>
      </c>
      <c r="AU90">
        <v>8.3508156671918909E-2</v>
      </c>
      <c r="AV90">
        <v>9.5696837075506927E-2</v>
      </c>
      <c r="AW90">
        <v>0.10940327387352396</v>
      </c>
      <c r="AX90">
        <v>0.12455027685019666</v>
      </c>
      <c r="AY90">
        <v>0.14097530828431556</v>
      </c>
      <c r="AZ90">
        <v>0.15845033829214156</v>
      </c>
      <c r="BA90">
        <v>0.17692948991958579</v>
      </c>
      <c r="BB90">
        <v>0.19619645564448537</v>
      </c>
      <c r="BC90">
        <v>0.21618656458209462</v>
      </c>
      <c r="BD90">
        <v>0.2367352192868514</v>
      </c>
      <c r="BE90">
        <v>0.25772173272436055</v>
      </c>
      <c r="BF90">
        <v>0.2791066090308435</v>
      </c>
      <c r="BG90">
        <v>0.30085225530801879</v>
      </c>
      <c r="BH90">
        <v>0.32297112433116854</v>
      </c>
      <c r="BI90">
        <v>0.34545848157477105</v>
      </c>
      <c r="BJ90">
        <v>0.36835896223775466</v>
      </c>
      <c r="BK90">
        <v>0.3917269438055348</v>
      </c>
      <c r="BL90">
        <v>0.41563648638790435</v>
      </c>
      <c r="BM90">
        <v>0.44019866332551982</v>
      </c>
      <c r="BN90">
        <v>0.46544066153640395</v>
      </c>
      <c r="BO90">
        <v>0.49149663871851873</v>
      </c>
      <c r="BP90">
        <v>0.51840665953805087</v>
      </c>
      <c r="BQ90">
        <v>0.54619534829958583</v>
      </c>
      <c r="BR90">
        <v>0.57496768478345461</v>
      </c>
      <c r="BS90">
        <v>0.60464752511649433</v>
      </c>
      <c r="BT90">
        <v>0.63520889082630683</v>
      </c>
      <c r="BU90">
        <v>0.66657153242322731</v>
      </c>
      <c r="BV90">
        <v>0.69855927983988209</v>
      </c>
      <c r="BW90">
        <v>0.73096551493173945</v>
      </c>
      <c r="BX90">
        <v>0.7634968095933502</v>
      </c>
      <c r="BY90">
        <v>0.79574370991013488</v>
      </c>
      <c r="BZ90">
        <v>0.82729699387832589</v>
      </c>
      <c r="CA90">
        <v>0.85759790573402594</v>
      </c>
      <c r="CB90">
        <v>0.88612674596240804</v>
      </c>
      <c r="CC90">
        <v>0.91230292296327409</v>
      </c>
      <c r="CD90">
        <v>0.9356059061604084</v>
      </c>
      <c r="CE90">
        <v>0.95560249034627209</v>
      </c>
      <c r="CF90">
        <v>0.97197373229756723</v>
      </c>
      <c r="CG90">
        <v>0.98455662844601588</v>
      </c>
      <c r="CH90">
        <v>0.99331400011636084</v>
      </c>
      <c r="CI90">
        <v>0.99838249768424014</v>
      </c>
      <c r="CJ90">
        <v>1</v>
      </c>
      <c r="CK90">
        <v>0.9985056140472045</v>
      </c>
      <c r="CL90">
        <v>0.99429787016812765</v>
      </c>
      <c r="CM90">
        <v>0.98779922901780237</v>
      </c>
      <c r="CN90">
        <v>0.97943103202270776</v>
      </c>
      <c r="CO90">
        <v>0.96959918232230369</v>
      </c>
      <c r="CP90">
        <v>0.95866460865091763</v>
      </c>
      <c r="CQ90">
        <v>0.94695295591584494</v>
      </c>
      <c r="CR90">
        <v>0.93474608214795341</v>
      </c>
      <c r="CS90">
        <v>0.9222674821005773</v>
      </c>
      <c r="CT90">
        <v>0.90970525440328009</v>
      </c>
      <c r="CU90">
        <v>0.89721196736093578</v>
      </c>
      <c r="CV90">
        <v>0.88490525202905157</v>
      </c>
      <c r="CW90">
        <v>0.87288394802606784</v>
      </c>
      <c r="CX90">
        <v>0.86119293271480346</v>
      </c>
      <c r="CY90">
        <v>0.84987896644768857</v>
      </c>
      <c r="CZ90">
        <v>0.83899112867314185</v>
      </c>
      <c r="DA90">
        <v>0.82852501059526862</v>
      </c>
      <c r="DB90">
        <v>0.81848975228620657</v>
      </c>
      <c r="DC90">
        <v>0.8088931508513123</v>
      </c>
      <c r="DD90">
        <v>0.79970052848200779</v>
      </c>
      <c r="DE90">
        <v>0.79091811108352295</v>
      </c>
      <c r="DF90">
        <v>0.78250972889425696</v>
      </c>
      <c r="DG90">
        <v>0.77444227001987531</v>
      </c>
      <c r="DH90">
        <v>0.76668823384934603</v>
      </c>
      <c r="DI90">
        <v>0.75919610556017758</v>
      </c>
      <c r="DJ90">
        <v>0.75191944101889518</v>
      </c>
      <c r="DK90">
        <v>0.74478543599314329</v>
      </c>
      <c r="DL90">
        <v>0.73771304507816171</v>
      </c>
      <c r="DM90">
        <v>0.73058983476679695</v>
      </c>
      <c r="DN90">
        <v>0.72324697587951314</v>
      </c>
      <c r="DO90">
        <v>0.71546315193471555</v>
      </c>
      <c r="DP90">
        <v>0.70689558432015753</v>
      </c>
    </row>
    <row r="91" spans="1:120" x14ac:dyDescent="0.2">
      <c r="A91">
        <v>1.6104550208432114E-2</v>
      </c>
      <c r="B91">
        <v>9.3715489401038216E-2</v>
      </c>
      <c r="C91">
        <v>0.14222915873445671</v>
      </c>
      <c r="D91">
        <v>0.16800366955971283</v>
      </c>
      <c r="E91">
        <v>0.1828583795286822</v>
      </c>
      <c r="F91">
        <v>0.1925000104446144</v>
      </c>
      <c r="G91">
        <v>0.19939429340221101</v>
      </c>
      <c r="H91">
        <v>0.20464627445142414</v>
      </c>
      <c r="I91">
        <v>0.20882413484036003</v>
      </c>
      <c r="J91">
        <v>0.21220331626278563</v>
      </c>
      <c r="K91">
        <v>0.21478246708643772</v>
      </c>
      <c r="L91">
        <v>0.21667235000286877</v>
      </c>
      <c r="M91">
        <v>0.21779480531373868</v>
      </c>
      <c r="N91">
        <v>0.21800749215644713</v>
      </c>
      <c r="O91">
        <v>0.21729260942077813</v>
      </c>
      <c r="P91">
        <v>0.215437741740126</v>
      </c>
      <c r="Q91">
        <v>0.21235773273599531</v>
      </c>
      <c r="R91">
        <v>0.20790537177110849</v>
      </c>
      <c r="S91">
        <v>0.20208430077554723</v>
      </c>
      <c r="T91">
        <v>0.19487908753469316</v>
      </c>
      <c r="U91">
        <v>0.18659820003604397</v>
      </c>
      <c r="V91">
        <v>0.17728227904953225</v>
      </c>
      <c r="W91">
        <v>0.16728111942853455</v>
      </c>
      <c r="X91">
        <v>0.15677320467088598</v>
      </c>
      <c r="Y91">
        <v>0.14613468341776098</v>
      </c>
      <c r="Z91">
        <v>0.13547219920028114</v>
      </c>
      <c r="AA91">
        <v>0.12487732874190217</v>
      </c>
      <c r="AB91">
        <v>0.11454961936717342</v>
      </c>
      <c r="AC91">
        <v>0.10463410773413555</v>
      </c>
      <c r="AD91">
        <v>9.4999765532512132E-2</v>
      </c>
      <c r="AE91">
        <v>8.5774597694065313E-2</v>
      </c>
      <c r="AF91">
        <v>7.7037326057791705E-2</v>
      </c>
      <c r="AG91">
        <v>6.8759448500477369E-2</v>
      </c>
      <c r="AH91">
        <v>6.0994001664736952E-2</v>
      </c>
      <c r="AI91">
        <v>5.3945976295034101E-2</v>
      </c>
      <c r="AJ91">
        <v>4.7509496647892675E-2</v>
      </c>
      <c r="AK91">
        <v>4.1939153568931936E-2</v>
      </c>
      <c r="AL91">
        <v>3.7226121505582729E-2</v>
      </c>
      <c r="AM91">
        <v>3.3545451928199022E-2</v>
      </c>
      <c r="AN91">
        <v>3.0986598560812505E-2</v>
      </c>
      <c r="AO91">
        <v>2.9677068803917316E-2</v>
      </c>
      <c r="AP91">
        <v>2.9867944981252552E-2</v>
      </c>
      <c r="AQ91">
        <v>3.1523418128515723E-2</v>
      </c>
      <c r="AR91">
        <v>3.4784214302490783E-2</v>
      </c>
      <c r="AS91">
        <v>3.9788159818251852E-2</v>
      </c>
      <c r="AT91">
        <v>4.6449900981374394E-2</v>
      </c>
      <c r="AU91">
        <v>5.481441416387315E-2</v>
      </c>
      <c r="AV91">
        <v>6.4876273277777272E-2</v>
      </c>
      <c r="AW91">
        <v>7.6504679317328572E-2</v>
      </c>
      <c r="AX91">
        <v>8.9651224083388006E-2</v>
      </c>
      <c r="AY91">
        <v>0.10417806171167214</v>
      </c>
      <c r="AZ91">
        <v>0.11987536689626782</v>
      </c>
      <c r="BA91">
        <v>0.1367165727544635</v>
      </c>
      <c r="BB91">
        <v>0.15449923688540371</v>
      </c>
      <c r="BC91">
        <v>0.1731641834555856</v>
      </c>
      <c r="BD91">
        <v>0.19255202293542534</v>
      </c>
      <c r="BE91">
        <v>0.21254378396201801</v>
      </c>
      <c r="BF91">
        <v>0.23309697570429302</v>
      </c>
      <c r="BG91">
        <v>0.25417197255813329</v>
      </c>
      <c r="BH91">
        <v>0.27577478397577709</v>
      </c>
      <c r="BI91">
        <v>0.29789555309339122</v>
      </c>
      <c r="BJ91">
        <v>0.32057403768013526</v>
      </c>
      <c r="BK91">
        <v>0.34385821697972047</v>
      </c>
      <c r="BL91">
        <v>0.36781728222907017</v>
      </c>
      <c r="BM91">
        <v>0.39255966833311573</v>
      </c>
      <c r="BN91">
        <v>0.41810919478800823</v>
      </c>
      <c r="BO91">
        <v>0.44460141363000005</v>
      </c>
      <c r="BP91">
        <v>0.47207780331146348</v>
      </c>
      <c r="BQ91">
        <v>0.50056676665097699</v>
      </c>
      <c r="BR91">
        <v>0.53018190511946217</v>
      </c>
      <c r="BS91">
        <v>0.56085268173464653</v>
      </c>
      <c r="BT91">
        <v>0.59256349879464953</v>
      </c>
      <c r="BU91">
        <v>0.62524571234349513</v>
      </c>
      <c r="BV91">
        <v>0.6587334792595626</v>
      </c>
      <c r="BW91">
        <v>0.69283157580831567</v>
      </c>
      <c r="BX91">
        <v>0.72725671021088312</v>
      </c>
      <c r="BY91">
        <v>0.76160432115462606</v>
      </c>
      <c r="BZ91">
        <v>0.79547012413974183</v>
      </c>
      <c r="CA91">
        <v>0.82828851020506467</v>
      </c>
      <c r="CB91">
        <v>0.85953170193195816</v>
      </c>
      <c r="CC91">
        <v>0.88859788775035553</v>
      </c>
      <c r="CD91">
        <v>0.91493863503647999</v>
      </c>
      <c r="CE91">
        <v>0.93808642342208837</v>
      </c>
      <c r="CF91">
        <v>0.9576820481376509</v>
      </c>
      <c r="CG91">
        <v>0.97352212790418169</v>
      </c>
      <c r="CH91">
        <v>0.985522338474076</v>
      </c>
      <c r="CI91">
        <v>0.99378405652635338</v>
      </c>
      <c r="CJ91">
        <v>0.99850561404720439</v>
      </c>
      <c r="CK91">
        <v>1</v>
      </c>
      <c r="CL91">
        <v>0.99863944365181834</v>
      </c>
      <c r="CM91">
        <v>0.99483272152222013</v>
      </c>
      <c r="CN91">
        <v>0.9889917643195214</v>
      </c>
      <c r="CO91">
        <v>0.98151720889984939</v>
      </c>
      <c r="CP91">
        <v>0.97277167141637455</v>
      </c>
      <c r="CQ91">
        <v>0.96308408399220413</v>
      </c>
      <c r="CR91">
        <v>0.95274195905787984</v>
      </c>
      <c r="CS91">
        <v>0.94197791421395682</v>
      </c>
      <c r="CT91">
        <v>0.93098909919172346</v>
      </c>
      <c r="CU91">
        <v>0.91993708127799068</v>
      </c>
      <c r="CV91">
        <v>0.90894896520759594</v>
      </c>
      <c r="CW91">
        <v>0.89813174634637161</v>
      </c>
      <c r="CX91">
        <v>0.88754106539429645</v>
      </c>
      <c r="CY91">
        <v>0.87723163964699591</v>
      </c>
      <c r="CZ91">
        <v>0.86725822560711385</v>
      </c>
      <c r="DA91">
        <v>0.85762502611961333</v>
      </c>
      <c r="DB91">
        <v>0.84834711717406086</v>
      </c>
      <c r="DC91">
        <v>0.8394367213948245</v>
      </c>
      <c r="DD91">
        <v>0.83086594581883144</v>
      </c>
      <c r="DE91">
        <v>0.82264316341999055</v>
      </c>
      <c r="DF91">
        <v>0.8147368774766901</v>
      </c>
      <c r="DG91">
        <v>0.80711676684692379</v>
      </c>
      <c r="DH91">
        <v>0.7997570263069248</v>
      </c>
      <c r="DI91">
        <v>0.79260768487648547</v>
      </c>
      <c r="DJ91">
        <v>0.78562305358182716</v>
      </c>
      <c r="DK91">
        <v>0.77872944647954134</v>
      </c>
      <c r="DL91">
        <v>0.77184420319229363</v>
      </c>
      <c r="DM91">
        <v>0.76485097051779705</v>
      </c>
      <c r="DN91">
        <v>0.75757596572865138</v>
      </c>
      <c r="DO91">
        <v>0.74978793053338744</v>
      </c>
      <c r="DP91">
        <v>0.74112818727003005</v>
      </c>
    </row>
    <row r="92" spans="1:120" x14ac:dyDescent="0.2">
      <c r="A92">
        <v>1.0010455400944586E-2</v>
      </c>
      <c r="B92">
        <v>8.2455092028438468E-2</v>
      </c>
      <c r="C92">
        <v>0.12838922114570347</v>
      </c>
      <c r="D92">
        <v>0.15316935303734655</v>
      </c>
      <c r="E92">
        <v>0.16764990238428926</v>
      </c>
      <c r="F92">
        <v>0.17715803415472473</v>
      </c>
      <c r="G92">
        <v>0.18401658115141561</v>
      </c>
      <c r="H92">
        <v>0.18929717835982879</v>
      </c>
      <c r="I92">
        <v>0.19354966117570788</v>
      </c>
      <c r="J92">
        <v>0.19705058708123624</v>
      </c>
      <c r="K92">
        <v>0.19981110028544738</v>
      </c>
      <c r="L92">
        <v>0.20193959691613803</v>
      </c>
      <c r="M92">
        <v>0.20336586569538612</v>
      </c>
      <c r="N92">
        <v>0.20395105944060934</v>
      </c>
      <c r="O92">
        <v>0.20368259403888228</v>
      </c>
      <c r="P92">
        <v>0.20234397470990517</v>
      </c>
      <c r="Q92">
        <v>0.19984992157552611</v>
      </c>
      <c r="R92">
        <v>0.19604768878818377</v>
      </c>
      <c r="S92">
        <v>0.19092881526605535</v>
      </c>
      <c r="T92">
        <v>0.18446188655459569</v>
      </c>
      <c r="U92">
        <v>0.1769317920464509</v>
      </c>
      <c r="V92">
        <v>0.16835719156958093</v>
      </c>
      <c r="W92">
        <v>0.15906531148766842</v>
      </c>
      <c r="X92">
        <v>0.14920772451468517</v>
      </c>
      <c r="Y92">
        <v>0.13914480861665737</v>
      </c>
      <c r="Z92">
        <v>0.12896525108072271</v>
      </c>
      <c r="AA92">
        <v>0.11874518111338488</v>
      </c>
      <c r="AB92">
        <v>0.10867923295933354</v>
      </c>
      <c r="AC92">
        <v>9.8896162438207758E-2</v>
      </c>
      <c r="AD92">
        <v>8.9265433537733696E-2</v>
      </c>
      <c r="AE92">
        <v>7.990629815698104E-2</v>
      </c>
      <c r="AF92">
        <v>7.0893696380060572E-2</v>
      </c>
      <c r="AG92">
        <v>6.2191375874394175E-2</v>
      </c>
      <c r="AH92">
        <v>5.3852390295481799E-2</v>
      </c>
      <c r="AI92">
        <v>4.6075864195432664E-2</v>
      </c>
      <c r="AJ92">
        <v>3.8754101421109494E-2</v>
      </c>
      <c r="AK92">
        <v>3.2144669229682024E-2</v>
      </c>
      <c r="AL92">
        <v>2.6235724010551676E-2</v>
      </c>
      <c r="AM92">
        <v>2.1206611443731385E-2</v>
      </c>
      <c r="AN92">
        <v>1.7157538052087161E-2</v>
      </c>
      <c r="AO92">
        <v>1.421724599621187E-2</v>
      </c>
      <c r="AP92">
        <v>1.2655468382224422E-2</v>
      </c>
      <c r="AQ92">
        <v>1.2447545431029789E-2</v>
      </c>
      <c r="AR92">
        <v>1.3755881063379605E-2</v>
      </c>
      <c r="AS92">
        <v>1.673904739569778E-2</v>
      </c>
      <c r="AT92">
        <v>2.1341694778669207E-2</v>
      </c>
      <c r="AU92">
        <v>2.7631376394008842E-2</v>
      </c>
      <c r="AV92">
        <v>3.5632257201308928E-2</v>
      </c>
      <c r="AW92">
        <v>4.5240236092457961E-2</v>
      </c>
      <c r="AX92">
        <v>5.6434568361011045E-2</v>
      </c>
      <c r="AY92">
        <v>6.910146706963903E-2</v>
      </c>
      <c r="AZ92">
        <v>8.3049196001424574E-2</v>
      </c>
      <c r="BA92">
        <v>9.8269908831840863E-2</v>
      </c>
      <c r="BB92">
        <v>0.11457511694551747</v>
      </c>
      <c r="BC92">
        <v>0.13191117115556666</v>
      </c>
      <c r="BD92">
        <v>0.15012435519039827</v>
      </c>
      <c r="BE92">
        <v>0.16909785349582884</v>
      </c>
      <c r="BF92">
        <v>0.18878664897342384</v>
      </c>
      <c r="BG92">
        <v>0.20914936053824146</v>
      </c>
      <c r="BH92">
        <v>0.23018600202662234</v>
      </c>
      <c r="BI92">
        <v>0.25188201107600955</v>
      </c>
      <c r="BJ92">
        <v>0.2742724456276161</v>
      </c>
      <c r="BK92">
        <v>0.2973991392067481</v>
      </c>
      <c r="BL92">
        <v>0.32132649860180668</v>
      </c>
      <c r="BM92">
        <v>0.34616013380241523</v>
      </c>
      <c r="BN92">
        <v>0.37192062049710911</v>
      </c>
      <c r="BO92">
        <v>0.39874440747034362</v>
      </c>
      <c r="BP92">
        <v>0.42667426135629455</v>
      </c>
      <c r="BQ92">
        <v>0.45574210257469239</v>
      </c>
      <c r="BR92">
        <v>0.48606935060769257</v>
      </c>
      <c r="BS92">
        <v>0.51759108209600269</v>
      </c>
      <c r="BT92">
        <v>0.55030154724183333</v>
      </c>
      <c r="BU92">
        <v>0.58414342130842811</v>
      </c>
      <c r="BV92">
        <v>0.61896113376411455</v>
      </c>
      <c r="BW92">
        <v>0.6545709215711536</v>
      </c>
      <c r="BX92">
        <v>0.69069988066921506</v>
      </c>
      <c r="BY92">
        <v>0.72694935891255164</v>
      </c>
      <c r="BZ92">
        <v>0.76292085426765066</v>
      </c>
      <c r="CA92">
        <v>0.79804385602600258</v>
      </c>
      <c r="CB92">
        <v>0.83178441068095432</v>
      </c>
      <c r="CC92">
        <v>0.86352211872469309</v>
      </c>
      <c r="CD92">
        <v>0.89268351694700998</v>
      </c>
      <c r="CE92">
        <v>0.91876967256645847</v>
      </c>
      <c r="CF92">
        <v>0.94138401188753418</v>
      </c>
      <c r="CG92">
        <v>0.9602852141007352</v>
      </c>
      <c r="CH92">
        <v>0.97534416982811734</v>
      </c>
      <c r="CI92">
        <v>0.98662834272208233</v>
      </c>
      <c r="CJ92">
        <v>0.99429787016812765</v>
      </c>
      <c r="CK92">
        <v>0.99863944365181834</v>
      </c>
      <c r="CL92">
        <v>1</v>
      </c>
      <c r="CM92">
        <v>0.99877326068991557</v>
      </c>
      <c r="CN92">
        <v>0.99536136731973812</v>
      </c>
      <c r="CO92">
        <v>0.99015870469853728</v>
      </c>
      <c r="CP92">
        <v>0.98352847266371168</v>
      </c>
      <c r="CQ92">
        <v>0.97580175366500854</v>
      </c>
      <c r="CR92">
        <v>0.96727062172062173</v>
      </c>
      <c r="CS92">
        <v>0.95817576678740357</v>
      </c>
      <c r="CT92">
        <v>0.94872235551094686</v>
      </c>
      <c r="CU92">
        <v>0.93908010499129657</v>
      </c>
      <c r="CV92">
        <v>0.92938477123303442</v>
      </c>
      <c r="CW92">
        <v>0.91975083255224266</v>
      </c>
      <c r="CX92">
        <v>0.91024403205181814</v>
      </c>
      <c r="CY92">
        <v>0.90092653206253426</v>
      </c>
      <c r="CZ92">
        <v>0.89185834466830261</v>
      </c>
      <c r="DA92">
        <v>0.8830518988148458</v>
      </c>
      <c r="DB92">
        <v>0.87452787529021792</v>
      </c>
      <c r="DC92">
        <v>0.86630271955102556</v>
      </c>
      <c r="DD92">
        <v>0.85835509470018401</v>
      </c>
      <c r="DE92">
        <v>0.85069543272834258</v>
      </c>
      <c r="DF92">
        <v>0.84329678731047686</v>
      </c>
      <c r="DG92">
        <v>0.83613163173652927</v>
      </c>
      <c r="DH92">
        <v>0.82917587784905089</v>
      </c>
      <c r="DI92">
        <v>0.82238123488926884</v>
      </c>
      <c r="DJ92">
        <v>0.81570287794349805</v>
      </c>
      <c r="DK92">
        <v>0.80906659328224206</v>
      </c>
      <c r="DL92">
        <v>0.80238847176662709</v>
      </c>
      <c r="DM92">
        <v>0.7955488612292192</v>
      </c>
      <c r="DN92">
        <v>0.78836988585903589</v>
      </c>
      <c r="DO92">
        <v>0.7806116220157483</v>
      </c>
      <c r="DP92">
        <v>0.77190149486376047</v>
      </c>
    </row>
    <row r="93" spans="1:120" x14ac:dyDescent="0.2">
      <c r="A93">
        <v>4.2707276069589217E-3</v>
      </c>
      <c r="B93">
        <v>7.1681751800239113E-2</v>
      </c>
      <c r="C93">
        <v>0.11507689515141553</v>
      </c>
      <c r="D93">
        <v>0.13885986761762703</v>
      </c>
      <c r="E93">
        <v>0.15295199792906766</v>
      </c>
      <c r="F93">
        <v>0.16231060867728683</v>
      </c>
      <c r="G93">
        <v>0.16911825274463976</v>
      </c>
      <c r="H93">
        <v>0.17441282014190279</v>
      </c>
      <c r="I93">
        <v>0.17872549037279639</v>
      </c>
      <c r="J93">
        <v>0.18233333048694025</v>
      </c>
      <c r="K93">
        <v>0.1852594710398513</v>
      </c>
      <c r="L93">
        <v>0.18760986709850527</v>
      </c>
      <c r="M93">
        <v>0.18932201489544517</v>
      </c>
      <c r="N93">
        <v>0.19026069433904635</v>
      </c>
      <c r="O93">
        <v>0.19041843542972861</v>
      </c>
      <c r="P93">
        <v>0.18957531183200224</v>
      </c>
      <c r="Q93">
        <v>0.18764606509810941</v>
      </c>
      <c r="R93">
        <v>0.18447298655421762</v>
      </c>
      <c r="S93">
        <v>0.18003615999525571</v>
      </c>
      <c r="T93">
        <v>0.17428893077679691</v>
      </c>
      <c r="U93">
        <v>0.16749311704739062</v>
      </c>
      <c r="V93">
        <v>0.15964650840747382</v>
      </c>
      <c r="W93">
        <v>0.1510540362743357</v>
      </c>
      <c r="X93">
        <v>0.14184145718536831</v>
      </c>
      <c r="Y93">
        <v>0.13235329886377314</v>
      </c>
      <c r="Z93">
        <v>0.12266113914116117</v>
      </c>
      <c r="AA93">
        <v>0.11282624983595904</v>
      </c>
      <c r="AB93">
        <v>0.10303819342114839</v>
      </c>
      <c r="AC93">
        <v>9.3409944170845194E-2</v>
      </c>
      <c r="AD93">
        <v>8.3811801650352846E-2</v>
      </c>
      <c r="AE93">
        <v>7.4354401739090442E-2</v>
      </c>
      <c r="AF93">
        <v>6.5108854935066976E-2</v>
      </c>
      <c r="AG93">
        <v>5.6031617900930308E-2</v>
      </c>
      <c r="AH93">
        <v>4.7175519310687662E-2</v>
      </c>
      <c r="AI93">
        <v>3.8733639417666992E-2</v>
      </c>
      <c r="AJ93">
        <v>3.0596654938155957E-2</v>
      </c>
      <c r="AK93">
        <v>2.3024215401274868E-2</v>
      </c>
      <c r="AL93">
        <v>1.6001547339667337E-2</v>
      </c>
      <c r="AM93">
        <v>9.7113913825355464E-3</v>
      </c>
      <c r="AN93">
        <v>4.2638522897623099E-3</v>
      </c>
      <c r="AO93">
        <v>-2.1168856419582E-4</v>
      </c>
      <c r="AP93">
        <v>-3.4287110296545016E-3</v>
      </c>
      <c r="AQ93">
        <v>-5.4013372686498237E-3</v>
      </c>
      <c r="AR93">
        <v>-5.9470681888579039E-3</v>
      </c>
      <c r="AS93">
        <v>-4.8883116710429731E-3</v>
      </c>
      <c r="AT93">
        <v>-2.2517934086368333E-3</v>
      </c>
      <c r="AU93">
        <v>2.0512155318056103E-3</v>
      </c>
      <c r="AV93">
        <v>8.072869107905202E-3</v>
      </c>
      <c r="AW93">
        <v>1.5734753329253084E-2</v>
      </c>
      <c r="AX93">
        <v>2.5042395536304229E-2</v>
      </c>
      <c r="AY93">
        <v>3.5905239567243723E-2</v>
      </c>
      <c r="AZ93">
        <v>4.8149383568632999E-2</v>
      </c>
      <c r="BA93">
        <v>6.1784837039324997E-2</v>
      </c>
      <c r="BB93">
        <v>7.66370180532049E-2</v>
      </c>
      <c r="BC93">
        <v>9.265780425469082E-2</v>
      </c>
      <c r="BD93">
        <v>0.10969939652475212</v>
      </c>
      <c r="BE93">
        <v>0.1276474799851488</v>
      </c>
      <c r="BF93">
        <v>0.14645493413599567</v>
      </c>
      <c r="BG93">
        <v>0.16607890459551736</v>
      </c>
      <c r="BH93">
        <v>0.18651382595480923</v>
      </c>
      <c r="BI93">
        <v>0.20774084763000944</v>
      </c>
      <c r="BJ93">
        <v>0.22979053469512181</v>
      </c>
      <c r="BK93">
        <v>0.25269886942631964</v>
      </c>
      <c r="BL93">
        <v>0.27652553202418334</v>
      </c>
      <c r="BM93">
        <v>0.30137329195215867</v>
      </c>
      <c r="BN93">
        <v>0.32725955359632181</v>
      </c>
      <c r="BO93">
        <v>0.35432130246852922</v>
      </c>
      <c r="BP93">
        <v>0.38260233303778018</v>
      </c>
      <c r="BQ93">
        <v>0.41213791757867041</v>
      </c>
      <c r="BR93">
        <v>0.44305652713593396</v>
      </c>
      <c r="BS93">
        <v>0.4752987003257636</v>
      </c>
      <c r="BT93">
        <v>0.50886807525566247</v>
      </c>
      <c r="BU93">
        <v>0.5437181742806011</v>
      </c>
      <c r="BV93">
        <v>0.57970364433460775</v>
      </c>
      <c r="BW93">
        <v>0.61665195246425319</v>
      </c>
      <c r="BX93">
        <v>0.65430082589579508</v>
      </c>
      <c r="BY93">
        <v>0.69225826019897874</v>
      </c>
      <c r="BZ93">
        <v>0.73013225163405826</v>
      </c>
      <c r="CA93">
        <v>0.76734907094098492</v>
      </c>
      <c r="CB93">
        <v>0.80337032500833128</v>
      </c>
      <c r="CC93">
        <v>0.8375595859599172</v>
      </c>
      <c r="CD93">
        <v>0.86932107662531843</v>
      </c>
      <c r="CE93">
        <v>0.89812733380853671</v>
      </c>
      <c r="CF93">
        <v>0.92354739754372084</v>
      </c>
      <c r="CG93">
        <v>0.94530449341382639</v>
      </c>
      <c r="CH93">
        <v>0.9632273838120784</v>
      </c>
      <c r="CI93">
        <v>0.97735113476526703</v>
      </c>
      <c r="CJ93">
        <v>0.98779922901780237</v>
      </c>
      <c r="CK93">
        <v>0.99483272152222002</v>
      </c>
      <c r="CL93">
        <v>0.99877326068991545</v>
      </c>
      <c r="CM93">
        <v>1</v>
      </c>
      <c r="CN93">
        <v>0.99890399323811296</v>
      </c>
      <c r="CO93">
        <v>0.99587301390689209</v>
      </c>
      <c r="CP93">
        <v>0.99126982066914215</v>
      </c>
      <c r="CQ93">
        <v>0.98542663687164977</v>
      </c>
      <c r="CR93">
        <v>0.97863910569183343</v>
      </c>
      <c r="CS93">
        <v>0.97115498544998047</v>
      </c>
      <c r="CT93">
        <v>0.96318647832811211</v>
      </c>
      <c r="CU93">
        <v>0.95491062413703842</v>
      </c>
      <c r="CV93">
        <v>0.94647100251520955</v>
      </c>
      <c r="CW93">
        <v>0.93798891037781484</v>
      </c>
      <c r="CX93">
        <v>0.92953952997957279</v>
      </c>
      <c r="CY93">
        <v>0.92119189290918257</v>
      </c>
      <c r="CZ93">
        <v>0.91301089129958601</v>
      </c>
      <c r="DA93">
        <v>0.90501671845791032</v>
      </c>
      <c r="DB93">
        <v>0.89723533496742647</v>
      </c>
      <c r="DC93">
        <v>0.88968716138942094</v>
      </c>
      <c r="DD93">
        <v>0.88235716518656226</v>
      </c>
      <c r="DE93">
        <v>0.87525772509434063</v>
      </c>
      <c r="DF93">
        <v>0.86836629747911764</v>
      </c>
      <c r="DG93">
        <v>0.86165813024291582</v>
      </c>
      <c r="DH93">
        <v>0.85511085075272375</v>
      </c>
      <c r="DI93">
        <v>0.84867794505208238</v>
      </c>
      <c r="DJ93">
        <v>0.8423155605675372</v>
      </c>
      <c r="DK93">
        <v>0.83594926820779814</v>
      </c>
      <c r="DL93">
        <v>0.82949425134576715</v>
      </c>
      <c r="DM93">
        <v>0.82282816278844906</v>
      </c>
      <c r="DN93">
        <v>0.81576983376415457</v>
      </c>
      <c r="DO93">
        <v>0.80807192151995999</v>
      </c>
      <c r="DP93">
        <v>0.79934986956901166</v>
      </c>
    </row>
    <row r="94" spans="1:120" x14ac:dyDescent="0.2">
      <c r="A94">
        <v>-1.1236904151237493E-3</v>
      </c>
      <c r="B94">
        <v>6.142654897486708E-2</v>
      </c>
      <c r="C94">
        <v>0.10235031298455741</v>
      </c>
      <c r="D94">
        <v>0.12514886362190378</v>
      </c>
      <c r="E94">
        <v>0.13884760881882283</v>
      </c>
      <c r="F94">
        <v>0.1480468233055027</v>
      </c>
      <c r="G94">
        <v>0.15479288568081537</v>
      </c>
      <c r="H94">
        <v>0.16009000427935494</v>
      </c>
      <c r="I94">
        <v>0.16445079508942037</v>
      </c>
      <c r="J94">
        <v>0.16815229054791633</v>
      </c>
      <c r="K94">
        <v>0.17122903649950824</v>
      </c>
      <c r="L94">
        <v>0.17378443544708461</v>
      </c>
      <c r="M94">
        <v>0.17576335935448928</v>
      </c>
      <c r="N94">
        <v>0.17703435693538969</v>
      </c>
      <c r="O94">
        <v>0.17759480641153627</v>
      </c>
      <c r="P94">
        <v>0.17722194832494839</v>
      </c>
      <c r="Q94">
        <v>0.17583085081967267</v>
      </c>
      <c r="R94">
        <v>0.17325939063067283</v>
      </c>
      <c r="S94">
        <v>0.16947692474557136</v>
      </c>
      <c r="T94">
        <v>0.16442259651796204</v>
      </c>
      <c r="U94">
        <v>0.15833587633418367</v>
      </c>
      <c r="V94">
        <v>0.15119498602810966</v>
      </c>
      <c r="W94">
        <v>0.1432831228275529</v>
      </c>
      <c r="X94">
        <v>0.13470155435155573</v>
      </c>
      <c r="Y94">
        <v>0.12577914295296458</v>
      </c>
      <c r="Z94">
        <v>0.11657121885673735</v>
      </c>
      <c r="AA94">
        <v>0.10712492511437015</v>
      </c>
      <c r="AB94">
        <v>9.7624589364486702E-2</v>
      </c>
      <c r="AC94">
        <v>8.8168141566556293E-2</v>
      </c>
      <c r="AD94">
        <v>7.8626861411715085E-2</v>
      </c>
      <c r="AE94">
        <v>6.9102991175369152E-2</v>
      </c>
      <c r="AF94">
        <v>5.966373125137811E-2</v>
      </c>
      <c r="AG94">
        <v>5.025880122580155E-2</v>
      </c>
      <c r="AH94">
        <v>4.0940642595934176E-2</v>
      </c>
      <c r="AI94">
        <v>3.1896005479536582E-2</v>
      </c>
      <c r="AJ94">
        <v>2.3014289541318629E-2</v>
      </c>
      <c r="AK94">
        <v>1.4556346325404331E-2</v>
      </c>
      <c r="AL94">
        <v>6.5046120197760947E-3</v>
      </c>
      <c r="AM94">
        <v>-9.5557319748672351E-4</v>
      </c>
      <c r="AN94">
        <v>-7.7051833578651125E-3</v>
      </c>
      <c r="AO94">
        <v>-1.3614608904044923E-2</v>
      </c>
      <c r="AP94">
        <v>-1.8382318476035251E-2</v>
      </c>
      <c r="AQ94">
        <v>-2.2012611451312818E-2</v>
      </c>
      <c r="AR94">
        <v>-2.4304575837843886E-2</v>
      </c>
      <c r="AS94">
        <v>-2.5063185246416049E-2</v>
      </c>
      <c r="AT94">
        <v>-2.428811178312067E-2</v>
      </c>
      <c r="AU94">
        <v>-2.1870982268369896E-2</v>
      </c>
      <c r="AV94">
        <v>-1.7733293384275362E-2</v>
      </c>
      <c r="AW94">
        <v>-1.1929048952563442E-2</v>
      </c>
      <c r="AX94">
        <v>-4.4278701584923707E-3</v>
      </c>
      <c r="AY94">
        <v>4.7018829705917043E-3</v>
      </c>
      <c r="AZ94">
        <v>1.5303650956969537E-2</v>
      </c>
      <c r="BA94">
        <v>2.7404386307845072E-2</v>
      </c>
      <c r="BB94">
        <v>4.0843197165184211E-2</v>
      </c>
      <c r="BC94">
        <v>5.5577325952561735E-2</v>
      </c>
      <c r="BD94">
        <v>7.1465147684341715E-2</v>
      </c>
      <c r="BE94">
        <v>8.8395106987459546E-2</v>
      </c>
      <c r="BF94">
        <v>0.10631828075901509</v>
      </c>
      <c r="BG94">
        <v>0.12519067669724612</v>
      </c>
      <c r="BH94">
        <v>0.14500155439578138</v>
      </c>
      <c r="BI94">
        <v>0.16572815525889664</v>
      </c>
      <c r="BJ94">
        <v>0.18739683138759639</v>
      </c>
      <c r="BK94">
        <v>0.21003804809762067</v>
      </c>
      <c r="BL94">
        <v>0.23370682557871961</v>
      </c>
      <c r="BM94">
        <v>0.25850315180597272</v>
      </c>
      <c r="BN94">
        <v>0.28444137483344856</v>
      </c>
      <c r="BO94">
        <v>0.31165866595311742</v>
      </c>
      <c r="BP94">
        <v>0.34019968997511574</v>
      </c>
      <c r="BQ94">
        <v>0.37010283728377308</v>
      </c>
      <c r="BR94">
        <v>0.40150289776324355</v>
      </c>
      <c r="BS94">
        <v>0.43434574035956347</v>
      </c>
      <c r="BT94">
        <v>0.46864378630519482</v>
      </c>
      <c r="BU94">
        <v>0.50436097907074129</v>
      </c>
      <c r="BV94">
        <v>0.54136193201785199</v>
      </c>
      <c r="BW94">
        <v>0.57948509939331572</v>
      </c>
      <c r="BX94">
        <v>0.61847886480888536</v>
      </c>
      <c r="BY94">
        <v>0.6579584274289163</v>
      </c>
      <c r="BZ94">
        <v>0.69753879836313193</v>
      </c>
      <c r="CA94">
        <v>0.73664457381609139</v>
      </c>
      <c r="CB94">
        <v>0.77473442704395779</v>
      </c>
      <c r="CC94">
        <v>0.81115823278487087</v>
      </c>
      <c r="CD94">
        <v>0.84530052332073757</v>
      </c>
      <c r="CE94">
        <v>0.87660812701877167</v>
      </c>
      <c r="CF94">
        <v>0.90461863031207768</v>
      </c>
      <c r="CG94">
        <v>0.92902237150302847</v>
      </c>
      <c r="CH94">
        <v>0.94960873093898068</v>
      </c>
      <c r="CI94">
        <v>0.9663820886858604</v>
      </c>
      <c r="CJ94">
        <v>0.97943103202270787</v>
      </c>
      <c r="CK94">
        <v>0.98899176431952152</v>
      </c>
      <c r="CL94">
        <v>0.99536136731973823</v>
      </c>
      <c r="CM94">
        <v>0.99890399323811296</v>
      </c>
      <c r="CN94">
        <v>1</v>
      </c>
      <c r="CO94">
        <v>0.99902931521607985</v>
      </c>
      <c r="CP94">
        <v>0.99635378143026632</v>
      </c>
      <c r="CQ94">
        <v>0.99230581866651568</v>
      </c>
      <c r="CR94">
        <v>0.98718377572234461</v>
      </c>
      <c r="CS94">
        <v>0.98124149658414117</v>
      </c>
      <c r="CT94">
        <v>0.97469733777792855</v>
      </c>
      <c r="CU94">
        <v>0.96773483898112655</v>
      </c>
      <c r="CV94">
        <v>0.96050461045961844</v>
      </c>
      <c r="CW94">
        <v>0.95313414527542484</v>
      </c>
      <c r="CX94">
        <v>0.94570734821081737</v>
      </c>
      <c r="CY94">
        <v>0.93829957567147193</v>
      </c>
      <c r="CZ94">
        <v>0.9309801950109059</v>
      </c>
      <c r="DA94">
        <v>0.92377670249206567</v>
      </c>
      <c r="DB94">
        <v>0.91671998373028551</v>
      </c>
      <c r="DC94">
        <v>0.90983418967732621</v>
      </c>
      <c r="DD94">
        <v>0.90311028694712636</v>
      </c>
      <c r="DE94">
        <v>0.89656249295227997</v>
      </c>
      <c r="DF94">
        <v>0.89017249435584112</v>
      </c>
      <c r="DG94">
        <v>0.88391824290532206</v>
      </c>
      <c r="DH94">
        <v>0.87777908151536754</v>
      </c>
      <c r="DI94">
        <v>0.87171034294904615</v>
      </c>
      <c r="DJ94">
        <v>0.86566920374178036</v>
      </c>
      <c r="DK94">
        <v>0.85958131003175164</v>
      </c>
      <c r="DL94">
        <v>0.85336124120291235</v>
      </c>
      <c r="DM94">
        <v>0.8468845051773225</v>
      </c>
      <c r="DN94">
        <v>0.83996736576256437</v>
      </c>
      <c r="DO94">
        <v>0.832356218020185</v>
      </c>
      <c r="DP94">
        <v>0.82365630554163816</v>
      </c>
    </row>
    <row r="95" spans="1:120" x14ac:dyDescent="0.2">
      <c r="A95">
        <v>-6.1336759339045048E-3</v>
      </c>
      <c r="B95">
        <v>5.1754412268646709E-2</v>
      </c>
      <c r="C95">
        <v>9.0286826686684821E-2</v>
      </c>
      <c r="D95">
        <v>0.1121185512056332</v>
      </c>
      <c r="E95">
        <v>0.1254212263598275</v>
      </c>
      <c r="F95">
        <v>0.13445262533253105</v>
      </c>
      <c r="G95">
        <v>0.14112754413037681</v>
      </c>
      <c r="H95">
        <v>0.14641679066029956</v>
      </c>
      <c r="I95">
        <v>0.15081447920497651</v>
      </c>
      <c r="J95">
        <v>0.15459722248946081</v>
      </c>
      <c r="K95">
        <v>0.15781013199790198</v>
      </c>
      <c r="L95">
        <v>0.16055400839096326</v>
      </c>
      <c r="M95">
        <v>0.16278073253280118</v>
      </c>
      <c r="N95">
        <v>0.16436258189247452</v>
      </c>
      <c r="O95">
        <v>0.16530153894448371</v>
      </c>
      <c r="P95">
        <v>0.1653725072783061</v>
      </c>
      <c r="Q95">
        <v>0.16449107545312289</v>
      </c>
      <c r="R95">
        <v>0.16249123572552188</v>
      </c>
      <c r="S95">
        <v>0.1593323804069828</v>
      </c>
      <c r="T95">
        <v>0.15494041387299468</v>
      </c>
      <c r="U95">
        <v>0.14953332460377278</v>
      </c>
      <c r="V95">
        <v>0.14307115906554949</v>
      </c>
      <c r="W95">
        <v>0.13581606304655575</v>
      </c>
      <c r="X95">
        <v>0.12784620248074977</v>
      </c>
      <c r="Y95">
        <v>0.11947509611348316</v>
      </c>
      <c r="Z95">
        <v>0.11074282174090203</v>
      </c>
      <c r="AA95">
        <v>0.10168311447631823</v>
      </c>
      <c r="AB95">
        <v>9.2475121270789676E-2</v>
      </c>
      <c r="AC95">
        <v>8.3202312294926473E-2</v>
      </c>
      <c r="AD95">
        <v>7.3737263924989957E-2</v>
      </c>
      <c r="AE95">
        <v>6.4174055359851212E-2</v>
      </c>
      <c r="AF95">
        <v>5.457601032591005E-2</v>
      </c>
      <c r="AG95">
        <v>4.4886613798573415E-2</v>
      </c>
      <c r="AH95">
        <v>3.5157715497906659E-2</v>
      </c>
      <c r="AI95">
        <v>2.5569786832770749E-2</v>
      </c>
      <c r="AJ95">
        <v>1.6011104669685774E-2</v>
      </c>
      <c r="AK95">
        <v>6.7430383514192919E-3</v>
      </c>
      <c r="AL95">
        <v>-2.2545957974158693E-3</v>
      </c>
      <c r="AM95">
        <v>-1.079458791194406E-2</v>
      </c>
      <c r="AN95">
        <v>-1.8749786439012768E-2</v>
      </c>
      <c r="AO95">
        <v>-2.5990801862114499E-2</v>
      </c>
      <c r="AP95">
        <v>-3.2202752519804874E-2</v>
      </c>
      <c r="AQ95">
        <v>-3.7380759201198724E-2</v>
      </c>
      <c r="AR95">
        <v>-4.130714681295411E-2</v>
      </c>
      <c r="AS95">
        <v>-4.3770973962508973E-2</v>
      </c>
      <c r="AT95">
        <v>-4.4746522677146149E-2</v>
      </c>
      <c r="AU95">
        <v>-4.4107301603204446E-2</v>
      </c>
      <c r="AV95">
        <v>-4.1750168672060037E-2</v>
      </c>
      <c r="AW95">
        <v>-3.7706061327202431E-2</v>
      </c>
      <c r="AX95">
        <v>-3.1921302137150581E-2</v>
      </c>
      <c r="AY95">
        <v>-2.4443187417274137E-2</v>
      </c>
      <c r="AZ95">
        <v>-1.541158804951053E-2</v>
      </c>
      <c r="BA95">
        <v>-4.7835320794585223E-3</v>
      </c>
      <c r="BB95">
        <v>7.2933248509409725E-3</v>
      </c>
      <c r="BC95">
        <v>2.0781466966775127E-2</v>
      </c>
      <c r="BD95">
        <v>3.5545479485453592E-2</v>
      </c>
      <c r="BE95">
        <v>5.1476734718657775E-2</v>
      </c>
      <c r="BF95">
        <v>6.852485516379421E-2</v>
      </c>
      <c r="BG95">
        <v>8.6644904556681654E-2</v>
      </c>
      <c r="BH95">
        <v>0.1058213787753083</v>
      </c>
      <c r="BI95">
        <v>0.12602802507001482</v>
      </c>
      <c r="BJ95">
        <v>0.14728719824959383</v>
      </c>
      <c r="BK95">
        <v>0.16962417915911898</v>
      </c>
      <c r="BL95">
        <v>0.19308952511221508</v>
      </c>
      <c r="BM95">
        <v>0.21778044034040395</v>
      </c>
      <c r="BN95">
        <v>0.24370838206647755</v>
      </c>
      <c r="BO95">
        <v>0.271010388612416</v>
      </c>
      <c r="BP95">
        <v>0.29973188970668091</v>
      </c>
      <c r="BQ95">
        <v>0.32991412401320291</v>
      </c>
      <c r="BR95">
        <v>0.3616975281023212</v>
      </c>
      <c r="BS95">
        <v>0.39503306839415542</v>
      </c>
      <c r="BT95">
        <v>0.42994143619007608</v>
      </c>
      <c r="BU95">
        <v>0.46639641747730903</v>
      </c>
      <c r="BV95">
        <v>0.50427229653153605</v>
      </c>
      <c r="BW95">
        <v>0.54341818306421774</v>
      </c>
      <c r="BX95">
        <v>0.58359297697257762</v>
      </c>
      <c r="BY95">
        <v>0.62441948568659189</v>
      </c>
      <c r="BZ95">
        <v>0.66552007250562073</v>
      </c>
      <c r="CA95">
        <v>0.70631901169575384</v>
      </c>
      <c r="CB95">
        <v>0.74627327552424483</v>
      </c>
      <c r="CC95">
        <v>0.78472128561693866</v>
      </c>
      <c r="CD95">
        <v>0.82103025113881167</v>
      </c>
      <c r="CE95">
        <v>0.85462402009224547</v>
      </c>
      <c r="CF95">
        <v>0.88501159848467481</v>
      </c>
      <c r="CG95">
        <v>0.91185301695894916</v>
      </c>
      <c r="CH95">
        <v>0.93490103824601856</v>
      </c>
      <c r="CI95">
        <v>0.95413123514093412</v>
      </c>
      <c r="CJ95">
        <v>0.96959918232230369</v>
      </c>
      <c r="CK95">
        <v>0.98151720889984939</v>
      </c>
      <c r="CL95">
        <v>0.9901587046985374</v>
      </c>
      <c r="CM95">
        <v>0.99587301390689198</v>
      </c>
      <c r="CN95">
        <v>0.99902931521607985</v>
      </c>
      <c r="CO95">
        <v>1</v>
      </c>
      <c r="CP95">
        <v>0.99914468236935849</v>
      </c>
      <c r="CQ95">
        <v>0.99679556212421405</v>
      </c>
      <c r="CR95">
        <v>0.99325283229179562</v>
      </c>
      <c r="CS95">
        <v>0.98877558661117004</v>
      </c>
      <c r="CT95">
        <v>0.98358746722975732</v>
      </c>
      <c r="CU95">
        <v>0.97787775600330695</v>
      </c>
      <c r="CV95">
        <v>0.97180337296061892</v>
      </c>
      <c r="CW95">
        <v>0.96549733998857612</v>
      </c>
      <c r="CX95">
        <v>0.95905161931058747</v>
      </c>
      <c r="CY95">
        <v>0.95254736591473599</v>
      </c>
      <c r="CZ95">
        <v>0.94605800350998059</v>
      </c>
      <c r="DA95">
        <v>0.93961787539167196</v>
      </c>
      <c r="DB95">
        <v>0.93326241563015999</v>
      </c>
      <c r="DC95">
        <v>0.92701927912120419</v>
      </c>
      <c r="DD95">
        <v>0.9208850824486613</v>
      </c>
      <c r="DE95">
        <v>0.91487579551897358</v>
      </c>
      <c r="DF95">
        <v>0.90897712606335124</v>
      </c>
      <c r="DG95">
        <v>0.90316967076107613</v>
      </c>
      <c r="DH95">
        <v>0.8974344543281344</v>
      </c>
      <c r="DI95">
        <v>0.89172870874953092</v>
      </c>
      <c r="DJ95">
        <v>0.88601070247976443</v>
      </c>
      <c r="DK95">
        <v>0.88020641365150276</v>
      </c>
      <c r="DL95">
        <v>0.8742301071464047</v>
      </c>
      <c r="DM95">
        <v>0.86795566451759976</v>
      </c>
      <c r="DN95">
        <v>0.8611974815870298</v>
      </c>
      <c r="DO95">
        <v>0.85369678774142954</v>
      </c>
      <c r="DP95">
        <v>0.84505035255887817</v>
      </c>
    </row>
    <row r="96" spans="1:120" x14ac:dyDescent="0.2">
      <c r="A96">
        <v>-1.077540396067727E-2</v>
      </c>
      <c r="B96">
        <v>4.2669862493241617E-2</v>
      </c>
      <c r="C96">
        <v>7.8906103863571442E-2</v>
      </c>
      <c r="D96">
        <v>9.9797607711426928E-2</v>
      </c>
      <c r="E96">
        <v>0.11270701812261329</v>
      </c>
      <c r="F96">
        <v>0.12156572114870048</v>
      </c>
      <c r="G96">
        <v>0.12816228643258817</v>
      </c>
      <c r="H96">
        <v>0.13343488318592509</v>
      </c>
      <c r="I96">
        <v>0.1378595049941328</v>
      </c>
      <c r="J96">
        <v>0.14171190670279638</v>
      </c>
      <c r="K96">
        <v>0.14504720460610013</v>
      </c>
      <c r="L96">
        <v>0.14796353452279024</v>
      </c>
      <c r="M96">
        <v>0.15041942019879312</v>
      </c>
      <c r="N96">
        <v>0.15229088726324289</v>
      </c>
      <c r="O96">
        <v>0.15358424139754756</v>
      </c>
      <c r="P96">
        <v>0.154072500486616</v>
      </c>
      <c r="Q96">
        <v>0.15367194158642836</v>
      </c>
      <c r="R96">
        <v>0.15221307763069222</v>
      </c>
      <c r="S96">
        <v>0.14964605362526165</v>
      </c>
      <c r="T96">
        <v>0.14588448630662876</v>
      </c>
      <c r="U96">
        <v>0.14112581215019271</v>
      </c>
      <c r="V96">
        <v>0.13531316299775661</v>
      </c>
      <c r="W96">
        <v>0.12868850288488687</v>
      </c>
      <c r="X96">
        <v>0.12130823873511992</v>
      </c>
      <c r="Y96">
        <v>0.11347105565630616</v>
      </c>
      <c r="Z96">
        <v>0.10520271044920275</v>
      </c>
      <c r="AA96">
        <v>9.6524323076002602E-2</v>
      </c>
      <c r="AB96">
        <v>8.7609899311315881E-2</v>
      </c>
      <c r="AC96">
        <v>7.8529263337256322E-2</v>
      </c>
      <c r="AD96">
        <v>6.9156407346671889E-2</v>
      </c>
      <c r="AE96">
        <v>5.9577639020865866E-2</v>
      </c>
      <c r="AF96">
        <v>4.9852392344413375E-2</v>
      </c>
      <c r="AG96">
        <v>3.9918499116947115E-2</v>
      </c>
      <c r="AH96">
        <v>2.9827107839799468E-2</v>
      </c>
      <c r="AI96">
        <v>1.9752373604034562E-2</v>
      </c>
      <c r="AJ96">
        <v>9.5817367587387858E-3</v>
      </c>
      <c r="AK96">
        <v>-4.2358698795477094E-4</v>
      </c>
      <c r="AL96">
        <v>-1.0286168531023328E-2</v>
      </c>
      <c r="AM96">
        <v>-1.9817637225480439E-2</v>
      </c>
      <c r="AN96">
        <v>-2.8883454681696993E-2</v>
      </c>
      <c r="AO96">
        <v>-3.7354801429078016E-2</v>
      </c>
      <c r="AP96">
        <v>-4.4905026524792002E-2</v>
      </c>
      <c r="AQ96">
        <v>-5.1520749061873435E-2</v>
      </c>
      <c r="AR96">
        <v>-5.6969029443341826E-2</v>
      </c>
      <c r="AS96">
        <v>-6.1024600366007632E-2</v>
      </c>
      <c r="AT96">
        <v>-6.3637993122183947E-2</v>
      </c>
      <c r="AU96">
        <v>-6.4666013257903054E-2</v>
      </c>
      <c r="AV96">
        <v>-6.3982684043495081E-2</v>
      </c>
      <c r="AW96">
        <v>-6.1597209383233889E-2</v>
      </c>
      <c r="AX96">
        <v>-5.7434219770934464E-2</v>
      </c>
      <c r="AY96">
        <v>-5.1521100760401242E-2</v>
      </c>
      <c r="AZ96">
        <v>-4.3981713391274053E-2</v>
      </c>
      <c r="BA96">
        <v>-3.4758155773059254E-2</v>
      </c>
      <c r="BB96">
        <v>-2.3985211496495715E-2</v>
      </c>
      <c r="BC96">
        <v>-1.1695389530771726E-2</v>
      </c>
      <c r="BD96">
        <v>1.9820964105463578E-3</v>
      </c>
      <c r="BE96">
        <v>1.6941677707128736E-2</v>
      </c>
      <c r="BF96">
        <v>3.3131798806846219E-2</v>
      </c>
      <c r="BG96">
        <v>5.0506808514248228E-2</v>
      </c>
      <c r="BH96">
        <v>6.9046845046203509E-2</v>
      </c>
      <c r="BI96">
        <v>8.8722513641723955E-2</v>
      </c>
      <c r="BJ96">
        <v>0.10955245377378683</v>
      </c>
      <c r="BK96">
        <v>0.13155710472618237</v>
      </c>
      <c r="BL96">
        <v>0.15478271213517766</v>
      </c>
      <c r="BM96">
        <v>0.17932379588526939</v>
      </c>
      <c r="BN96">
        <v>0.20518908030780067</v>
      </c>
      <c r="BO96">
        <v>0.23251522505787539</v>
      </c>
      <c r="BP96">
        <v>0.26134824444433746</v>
      </c>
      <c r="BQ96">
        <v>0.29173208658581462</v>
      </c>
      <c r="BR96">
        <v>0.32381214571238992</v>
      </c>
      <c r="BS96">
        <v>0.35754427783003911</v>
      </c>
      <c r="BT96">
        <v>0.39295683193543218</v>
      </c>
      <c r="BU96">
        <v>0.43003295638160144</v>
      </c>
      <c r="BV96">
        <v>0.46865619437425632</v>
      </c>
      <c r="BW96">
        <v>0.50868589761508243</v>
      </c>
      <c r="BX96">
        <v>0.54989126734457183</v>
      </c>
      <c r="BY96">
        <v>0.59190301324006878</v>
      </c>
      <c r="BZ96">
        <v>0.63435101151100681</v>
      </c>
      <c r="CA96">
        <v>0.67666031357613599</v>
      </c>
      <c r="CB96">
        <v>0.71828732727327482</v>
      </c>
      <c r="CC96">
        <v>0.75856093294907789</v>
      </c>
      <c r="CD96">
        <v>0.79683328202398085</v>
      </c>
      <c r="CE96">
        <v>0.83250772970586684</v>
      </c>
      <c r="CF96">
        <v>0.86506743119286567</v>
      </c>
      <c r="CG96">
        <v>0.89414457337089048</v>
      </c>
      <c r="CH96">
        <v>0.91945810168958897</v>
      </c>
      <c r="CI96">
        <v>0.94095659480418126</v>
      </c>
      <c r="CJ96">
        <v>0.95866460865091763</v>
      </c>
      <c r="CK96">
        <v>0.97277167141637455</v>
      </c>
      <c r="CL96">
        <v>0.98352847266371179</v>
      </c>
      <c r="CM96">
        <v>0.99126982066914193</v>
      </c>
      <c r="CN96">
        <v>0.99635378143026632</v>
      </c>
      <c r="CO96">
        <v>0.99914468236935861</v>
      </c>
      <c r="CP96">
        <v>1</v>
      </c>
      <c r="CQ96">
        <v>0.99925049917957176</v>
      </c>
      <c r="CR96">
        <v>0.99719781492881732</v>
      </c>
      <c r="CS96">
        <v>0.99410548177047131</v>
      </c>
      <c r="CT96">
        <v>0.99020163931467786</v>
      </c>
      <c r="CU96">
        <v>0.98568062837197679</v>
      </c>
      <c r="CV96">
        <v>0.98070496289804743</v>
      </c>
      <c r="CW96">
        <v>0.97541262448406429</v>
      </c>
      <c r="CX96">
        <v>0.96990297279303328</v>
      </c>
      <c r="CY96">
        <v>0.96426242909632964</v>
      </c>
      <c r="CZ96">
        <v>0.95856811517050178</v>
      </c>
      <c r="DA96">
        <v>0.95286073864065113</v>
      </c>
      <c r="DB96">
        <v>0.94717994010124951</v>
      </c>
      <c r="DC96">
        <v>0.94155661914304134</v>
      </c>
      <c r="DD96">
        <v>0.9359927275333888</v>
      </c>
      <c r="DE96">
        <v>0.93050587781407124</v>
      </c>
      <c r="DF96">
        <v>0.9250855795732823</v>
      </c>
      <c r="DG96">
        <v>0.91971500579370358</v>
      </c>
      <c r="DH96">
        <v>0.91437681844019214</v>
      </c>
      <c r="DI96">
        <v>0.90903018197088981</v>
      </c>
      <c r="DJ96">
        <v>0.90363449071623769</v>
      </c>
      <c r="DK96">
        <v>0.89811628269915122</v>
      </c>
      <c r="DL96">
        <v>0.89238975840730572</v>
      </c>
      <c r="DM96">
        <v>0.88632764564144262</v>
      </c>
      <c r="DN96">
        <v>0.87974307857822831</v>
      </c>
      <c r="DO96">
        <v>0.87237312176236514</v>
      </c>
      <c r="DP96">
        <v>0.86380762653666421</v>
      </c>
    </row>
    <row r="97" spans="1:120" x14ac:dyDescent="0.2">
      <c r="A97">
        <v>-1.5053086260104553E-2</v>
      </c>
      <c r="B97">
        <v>3.4181439964089233E-2</v>
      </c>
      <c r="C97">
        <v>6.8225249660182383E-2</v>
      </c>
      <c r="D97">
        <v>8.8207655455714337E-2</v>
      </c>
      <c r="E97">
        <v>0.10072883248619759</v>
      </c>
      <c r="F97">
        <v>0.10941091955197947</v>
      </c>
      <c r="G97">
        <v>0.11592235523963242</v>
      </c>
      <c r="H97">
        <v>0.12116953832897456</v>
      </c>
      <c r="I97">
        <v>0.12561081903777277</v>
      </c>
      <c r="J97">
        <v>0.12952089453427496</v>
      </c>
      <c r="K97">
        <v>0.13296417663942595</v>
      </c>
      <c r="L97">
        <v>0.13603615198544908</v>
      </c>
      <c r="M97">
        <v>0.13870158364565635</v>
      </c>
      <c r="N97">
        <v>0.14084019565387679</v>
      </c>
      <c r="O97">
        <v>0.1424623617375585</v>
      </c>
      <c r="P97">
        <v>0.14333961199382567</v>
      </c>
      <c r="Q97">
        <v>0.1433889988787532</v>
      </c>
      <c r="R97">
        <v>0.14243802346796489</v>
      </c>
      <c r="S97">
        <v>0.14042826480007461</v>
      </c>
      <c r="T97">
        <v>0.13726201825914497</v>
      </c>
      <c r="U97">
        <v>0.13311717882602875</v>
      </c>
      <c r="V97">
        <v>0.12792129616646492</v>
      </c>
      <c r="W97">
        <v>0.12189700392054484</v>
      </c>
      <c r="X97">
        <v>0.11508037529478597</v>
      </c>
      <c r="Y97">
        <v>0.10775580264310242</v>
      </c>
      <c r="Z97">
        <v>9.9935673266440428E-2</v>
      </c>
      <c r="AA97">
        <v>9.1629323798677803E-2</v>
      </c>
      <c r="AB97">
        <v>8.300560965246595E-2</v>
      </c>
      <c r="AC97">
        <v>7.4121573648611466E-2</v>
      </c>
      <c r="AD97">
        <v>6.4852713859674407E-2</v>
      </c>
      <c r="AE97">
        <v>5.5277916865070331E-2</v>
      </c>
      <c r="AF97">
        <v>4.5452849675012633E-2</v>
      </c>
      <c r="AG97">
        <v>3.5310159078782967E-2</v>
      </c>
      <c r="AH97">
        <v>2.4900207013066975E-2</v>
      </c>
      <c r="AI97">
        <v>1.4390950457311896E-2</v>
      </c>
      <c r="AJ97">
        <v>3.6691856207529848E-3</v>
      </c>
      <c r="AK97">
        <v>-7.0045273723632505E-3</v>
      </c>
      <c r="AL97">
        <v>-1.7654943158297406E-2</v>
      </c>
      <c r="AM97">
        <v>-2.8093071732328577E-2</v>
      </c>
      <c r="AN97">
        <v>-3.8177724340248374E-2</v>
      </c>
      <c r="AO97">
        <v>-4.7780926201827605E-2</v>
      </c>
      <c r="AP97">
        <v>-5.6565624121650469E-2</v>
      </c>
      <c r="AQ97">
        <v>-6.4510612766517081E-2</v>
      </c>
      <c r="AR97">
        <v>-7.1369149625910858E-2</v>
      </c>
      <c r="AS97">
        <v>-7.690303865891468E-2</v>
      </c>
      <c r="AT97">
        <v>-8.1040703440441245E-2</v>
      </c>
      <c r="AU97">
        <v>-8.362372822612385E-2</v>
      </c>
      <c r="AV97">
        <v>-8.4504933212168579E-2</v>
      </c>
      <c r="AW97">
        <v>-8.3673224582492461E-2</v>
      </c>
      <c r="AX97">
        <v>-8.1033137889741258E-2</v>
      </c>
      <c r="AY97">
        <v>-7.6593323823320014E-2</v>
      </c>
      <c r="AZ97">
        <v>-7.0462486891796544E-2</v>
      </c>
      <c r="BA97">
        <v>-6.2568752725429236E-2</v>
      </c>
      <c r="BB97">
        <v>-5.3034644594657454E-2</v>
      </c>
      <c r="BC97">
        <v>-4.1887907268709314E-2</v>
      </c>
      <c r="BD97">
        <v>-2.9251601179502571E-2</v>
      </c>
      <c r="BE97">
        <v>-1.5228225897555648E-2</v>
      </c>
      <c r="BF97">
        <v>1.2975995774757655E-4</v>
      </c>
      <c r="BG97">
        <v>1.6776112028174698E-2</v>
      </c>
      <c r="BH97">
        <v>3.468699769606215E-2</v>
      </c>
      <c r="BI97">
        <v>5.3830273785776449E-2</v>
      </c>
      <c r="BJ97">
        <v>7.4221032657675517E-2</v>
      </c>
      <c r="BK97">
        <v>9.5875279295162874E-2</v>
      </c>
      <c r="BL97">
        <v>0.11883509995187988</v>
      </c>
      <c r="BM97">
        <v>0.14319246108496481</v>
      </c>
      <c r="BN97">
        <v>0.16895347522814963</v>
      </c>
      <c r="BO97">
        <v>0.19625427340724394</v>
      </c>
      <c r="BP97">
        <v>0.22514132980343451</v>
      </c>
      <c r="BQ97">
        <v>0.25566107580507552</v>
      </c>
      <c r="BR97">
        <v>0.28796327976970165</v>
      </c>
      <c r="BS97">
        <v>0.32200846631041391</v>
      </c>
      <c r="BT97">
        <v>0.35783208068142919</v>
      </c>
      <c r="BU97">
        <v>0.39542603705935891</v>
      </c>
      <c r="BV97">
        <v>0.43468276784427973</v>
      </c>
      <c r="BW97">
        <v>0.4754713860673625</v>
      </c>
      <c r="BX97">
        <v>0.51757111084132557</v>
      </c>
      <c r="BY97">
        <v>0.5606206558627671</v>
      </c>
      <c r="BZ97">
        <v>0.60425750852029203</v>
      </c>
      <c r="CA97">
        <v>0.64790838508624204</v>
      </c>
      <c r="CB97">
        <v>0.69103009091557366</v>
      </c>
      <c r="CC97">
        <v>0.73294362344993003</v>
      </c>
      <c r="CD97">
        <v>0.77298814904655133</v>
      </c>
      <c r="CE97">
        <v>0.81054883551338053</v>
      </c>
      <c r="CF97">
        <v>0.84508557117932637</v>
      </c>
      <c r="CG97">
        <v>0.87620509579221884</v>
      </c>
      <c r="CH97">
        <v>0.90359517276275159</v>
      </c>
      <c r="CI97">
        <v>0.92717929251153286</v>
      </c>
      <c r="CJ97">
        <v>0.94695295591584494</v>
      </c>
      <c r="CK97">
        <v>0.96308408399220402</v>
      </c>
      <c r="CL97">
        <v>0.97580175366500843</v>
      </c>
      <c r="CM97">
        <v>0.98542663687164977</v>
      </c>
      <c r="CN97">
        <v>0.99230581866651568</v>
      </c>
      <c r="CO97">
        <v>0.99679556212421405</v>
      </c>
      <c r="CP97">
        <v>0.99925049917957176</v>
      </c>
      <c r="CQ97">
        <v>1</v>
      </c>
      <c r="CR97">
        <v>0.99934608012784054</v>
      </c>
      <c r="CS97">
        <v>0.9975562457283671</v>
      </c>
      <c r="CT97">
        <v>0.9948624008709217</v>
      </c>
      <c r="CU97">
        <v>0.99146331094077034</v>
      </c>
      <c r="CV97">
        <v>0.98752644999685113</v>
      </c>
      <c r="CW97">
        <v>0.98319421527699269</v>
      </c>
      <c r="CX97">
        <v>0.97857272250977967</v>
      </c>
      <c r="CY97">
        <v>0.97375318460587845</v>
      </c>
      <c r="CZ97">
        <v>0.968816065174253</v>
      </c>
      <c r="DA97">
        <v>0.96380796317372186</v>
      </c>
      <c r="DB97">
        <v>0.95877239951884752</v>
      </c>
      <c r="DC97">
        <v>0.95374328652838813</v>
      </c>
      <c r="DD97">
        <v>0.94872756391937085</v>
      </c>
      <c r="DE97">
        <v>0.94374438010807005</v>
      </c>
      <c r="DF97">
        <v>0.938786855035464</v>
      </c>
      <c r="DG97">
        <v>0.93384063055041011</v>
      </c>
      <c r="DH97">
        <v>0.9288899681612397</v>
      </c>
      <c r="DI97">
        <v>0.92389597607650553</v>
      </c>
      <c r="DJ97">
        <v>0.91881919691412051</v>
      </c>
      <c r="DK97">
        <v>0.91358692751735104</v>
      </c>
      <c r="DL97">
        <v>0.90811352837859594</v>
      </c>
      <c r="DM97">
        <v>0.90227100073094724</v>
      </c>
      <c r="DN97">
        <v>0.8958717543875977</v>
      </c>
      <c r="DO97">
        <v>0.88864961696643463</v>
      </c>
      <c r="DP97">
        <v>0.88018893396385256</v>
      </c>
    </row>
    <row r="98" spans="1:120" x14ac:dyDescent="0.2">
      <c r="A98">
        <v>-1.9001375512649167E-2</v>
      </c>
      <c r="B98">
        <v>2.6259307926305098E-2</v>
      </c>
      <c r="C98">
        <v>5.8222552403044525E-2</v>
      </c>
      <c r="D98">
        <v>7.7334449132498734E-2</v>
      </c>
      <c r="E98">
        <v>8.9478694987100191E-2</v>
      </c>
      <c r="F98">
        <v>9.7985557254717345E-2</v>
      </c>
      <c r="G98">
        <v>0.10440951857277542</v>
      </c>
      <c r="H98">
        <v>0.10962637070692149</v>
      </c>
      <c r="I98">
        <v>0.11407745976067339</v>
      </c>
      <c r="J98">
        <v>0.11803618080230642</v>
      </c>
      <c r="K98">
        <v>0.1215755362156329</v>
      </c>
      <c r="L98">
        <v>0.12478844687130473</v>
      </c>
      <c r="M98">
        <v>0.12764550541165331</v>
      </c>
      <c r="N98">
        <v>0.13003001210472029</v>
      </c>
      <c r="O98">
        <v>0.13195622885430505</v>
      </c>
      <c r="P98">
        <v>0.13319449225716154</v>
      </c>
      <c r="Q98">
        <v>0.13366284126246814</v>
      </c>
      <c r="R98">
        <v>0.13318613479293251</v>
      </c>
      <c r="S98">
        <v>0.13169818197159738</v>
      </c>
      <c r="T98">
        <v>0.12909084412723645</v>
      </c>
      <c r="U98">
        <v>0.12552365121736472</v>
      </c>
      <c r="V98">
        <v>0.12090983818024331</v>
      </c>
      <c r="W98">
        <v>0.11545367692021716</v>
      </c>
      <c r="X98">
        <v>0.10917238919672363</v>
      </c>
      <c r="Y98">
        <v>0.10233668655648066</v>
      </c>
      <c r="Z98">
        <v>9.4946503868977628E-2</v>
      </c>
      <c r="AA98">
        <v>8.7000195481416548E-2</v>
      </c>
      <c r="AB98">
        <v>7.8661636424697048E-2</v>
      </c>
      <c r="AC98">
        <v>6.997582541406315E-2</v>
      </c>
      <c r="AD98">
        <v>6.0819880378719451E-2</v>
      </c>
      <c r="AE98">
        <v>5.1265648952844273E-2</v>
      </c>
      <c r="AF98">
        <v>4.1365104071242838E-2</v>
      </c>
      <c r="AG98">
        <v>3.1046208877399381E-2</v>
      </c>
      <c r="AH98">
        <v>2.0358446727759869E-2</v>
      </c>
      <c r="AI98">
        <v>9.4637487284636081E-3</v>
      </c>
      <c r="AJ98">
        <v>-1.7515799474695462E-3</v>
      </c>
      <c r="AK98">
        <v>-1.3028027766998325E-2</v>
      </c>
      <c r="AL98">
        <v>-2.43923952805386E-2</v>
      </c>
      <c r="AM98">
        <v>-3.5655508813909248E-2</v>
      </c>
      <c r="AN98">
        <v>-4.6670274614505174E-2</v>
      </c>
      <c r="AO98">
        <v>-5.7309676279518641E-2</v>
      </c>
      <c r="AP98">
        <v>-6.7227659891032895E-2</v>
      </c>
      <c r="AQ98">
        <v>-7.6395809572738546E-2</v>
      </c>
      <c r="AR98">
        <v>-8.4554955839540494E-2</v>
      </c>
      <c r="AS98">
        <v>-9.1455303591232828E-2</v>
      </c>
      <c r="AT98">
        <v>-9.7004815041550993E-2</v>
      </c>
      <c r="AU98">
        <v>-0.10103116764271533</v>
      </c>
      <c r="AV98">
        <v>-0.10336775277576776</v>
      </c>
      <c r="AW98">
        <v>-0.1039844983973916</v>
      </c>
      <c r="AX98">
        <v>-0.10276739885519602</v>
      </c>
      <c r="AY98">
        <v>-9.9707607579646348E-2</v>
      </c>
      <c r="AZ98">
        <v>-9.4899499879016525E-2</v>
      </c>
      <c r="BA98">
        <v>-8.8258250277455957E-2</v>
      </c>
      <c r="BB98">
        <v>-7.9894692636011441E-2</v>
      </c>
      <c r="BC98">
        <v>-6.9832073241378675E-2</v>
      </c>
      <c r="BD98">
        <v>-5.8187446144643294E-2</v>
      </c>
      <c r="BE98">
        <v>-4.5060193459390337E-2</v>
      </c>
      <c r="BF98">
        <v>-3.0503488500321897E-2</v>
      </c>
      <c r="BG98">
        <v>-1.4563995162976356E-2</v>
      </c>
      <c r="BH98">
        <v>2.7308603381324217E-3</v>
      </c>
      <c r="BI98">
        <v>2.1346464914970876E-2</v>
      </c>
      <c r="BJ98">
        <v>4.1294665508578764E-2</v>
      </c>
      <c r="BK98">
        <v>6.2587356131404176E-2</v>
      </c>
      <c r="BL98">
        <v>8.5262689755756169E-2</v>
      </c>
      <c r="BM98">
        <v>0.10941019167975552</v>
      </c>
      <c r="BN98">
        <v>0.13503353771705631</v>
      </c>
      <c r="BO98">
        <v>0.16226816662659391</v>
      </c>
      <c r="BP98">
        <v>0.19116090851051021</v>
      </c>
      <c r="BQ98">
        <v>0.22176052002259691</v>
      </c>
      <c r="BR98">
        <v>0.2542205854273823</v>
      </c>
      <c r="BS98">
        <v>0.28850603296727156</v>
      </c>
      <c r="BT98">
        <v>0.32465888028332801</v>
      </c>
      <c r="BU98">
        <v>0.36267924997870399</v>
      </c>
      <c r="BV98">
        <v>0.4024680179078845</v>
      </c>
      <c r="BW98">
        <v>0.44390357753103338</v>
      </c>
      <c r="BX98">
        <v>0.48677477531826902</v>
      </c>
      <c r="BY98">
        <v>0.53072837216435154</v>
      </c>
      <c r="BZ98">
        <v>0.57540940909089078</v>
      </c>
      <c r="CA98">
        <v>0.62024703482088506</v>
      </c>
      <c r="CB98">
        <v>0.66469916999702039</v>
      </c>
      <c r="CC98">
        <v>0.70808048565948134</v>
      </c>
      <c r="CD98">
        <v>0.74971894866901467</v>
      </c>
      <c r="CE98">
        <v>0.7889836762316742</v>
      </c>
      <c r="CF98">
        <v>0.825313682354332</v>
      </c>
      <c r="CG98">
        <v>0.85829250942616286</v>
      </c>
      <c r="CH98">
        <v>0.88757933888614315</v>
      </c>
      <c r="CI98">
        <v>0.91307438776643446</v>
      </c>
      <c r="CJ98">
        <v>0.93474608214795341</v>
      </c>
      <c r="CK98">
        <v>0.95274195905787973</v>
      </c>
      <c r="CL98">
        <v>0.96727062172062184</v>
      </c>
      <c r="CM98">
        <v>0.97863910569183343</v>
      </c>
      <c r="CN98">
        <v>0.9871837757223445</v>
      </c>
      <c r="CO98">
        <v>0.99325283229179562</v>
      </c>
      <c r="CP98">
        <v>0.99719781492881732</v>
      </c>
      <c r="CQ98">
        <v>0.99934608012784043</v>
      </c>
      <c r="CR98">
        <v>1</v>
      </c>
      <c r="CS98">
        <v>0.99942999851732761</v>
      </c>
      <c r="CT98">
        <v>0.997871339464665</v>
      </c>
      <c r="CU98">
        <v>0.99552660085161304</v>
      </c>
      <c r="CV98">
        <v>0.99256762603001558</v>
      </c>
      <c r="CW98">
        <v>0.98914073124967217</v>
      </c>
      <c r="CX98">
        <v>0.98535819311358197</v>
      </c>
      <c r="CY98">
        <v>0.9813155584884472</v>
      </c>
      <c r="CZ98">
        <v>0.97709630288561689</v>
      </c>
      <c r="DA98">
        <v>0.97275247624832017</v>
      </c>
      <c r="DB98">
        <v>0.9683311437183999</v>
      </c>
      <c r="DC98">
        <v>0.96386901731409103</v>
      </c>
      <c r="DD98">
        <v>0.95937768356863118</v>
      </c>
      <c r="DE98">
        <v>0.95487774484361765</v>
      </c>
      <c r="DF98">
        <v>0.95036569966743034</v>
      </c>
      <c r="DG98">
        <v>0.94582957115670452</v>
      </c>
      <c r="DH98">
        <v>0.94125517491420818</v>
      </c>
      <c r="DI98">
        <v>0.93660555324770811</v>
      </c>
      <c r="DJ98">
        <v>0.93184241479759589</v>
      </c>
      <c r="DK98">
        <v>0.92689398773572984</v>
      </c>
      <c r="DL98">
        <v>0.92167499216262672</v>
      </c>
      <c r="DM98">
        <v>0.91605708033653888</v>
      </c>
      <c r="DN98">
        <v>0.90985243237848767</v>
      </c>
      <c r="DO98">
        <v>0.90279246561442217</v>
      </c>
      <c r="DP98">
        <v>0.89445732456091354</v>
      </c>
    </row>
    <row r="99" spans="1:120" x14ac:dyDescent="0.2">
      <c r="A99">
        <v>-2.261072072855598E-2</v>
      </c>
      <c r="B99">
        <v>1.8912845374686536E-2</v>
      </c>
      <c r="C99">
        <v>4.890536166039023E-2</v>
      </c>
      <c r="D99">
        <v>6.7182998633776622E-2</v>
      </c>
      <c r="E99">
        <v>7.8959270749090676E-2</v>
      </c>
      <c r="F99">
        <v>8.7290183117738354E-2</v>
      </c>
      <c r="G99">
        <v>9.3622506028179828E-2</v>
      </c>
      <c r="H99">
        <v>9.8802616549400021E-2</v>
      </c>
      <c r="I99">
        <v>0.10325545645484295</v>
      </c>
      <c r="J99">
        <v>0.10725293932110373</v>
      </c>
      <c r="K99">
        <v>0.11087597629750728</v>
      </c>
      <c r="L99">
        <v>0.11421498946631203</v>
      </c>
      <c r="M99">
        <v>0.11724595907333368</v>
      </c>
      <c r="N99">
        <v>0.11985566361853578</v>
      </c>
      <c r="O99">
        <v>0.12206191417972422</v>
      </c>
      <c r="P99">
        <v>0.12363419531507887</v>
      </c>
      <c r="Q99">
        <v>0.1244915659596368</v>
      </c>
      <c r="R99">
        <v>0.12445658395334869</v>
      </c>
      <c r="S99">
        <v>0.12345593516857799</v>
      </c>
      <c r="T99">
        <v>0.1213719520327272</v>
      </c>
      <c r="U99">
        <v>0.11834681977664066</v>
      </c>
      <c r="V99">
        <v>0.11428070112382746</v>
      </c>
      <c r="W99">
        <v>0.10936045711026073</v>
      </c>
      <c r="X99">
        <v>0.10358581868722314</v>
      </c>
      <c r="Y99">
        <v>9.7214457594643117E-2</v>
      </c>
      <c r="Z99">
        <v>9.0234780608024368E-2</v>
      </c>
      <c r="AA99">
        <v>8.2634887911552879E-2</v>
      </c>
      <c r="AB99">
        <v>7.4573835161068136E-2</v>
      </c>
      <c r="AC99">
        <v>6.6085382912616925E-2</v>
      </c>
      <c r="AD99">
        <v>5.7048277832673695E-2</v>
      </c>
      <c r="AE99">
        <v>4.7527734945466617E-2</v>
      </c>
      <c r="AF99">
        <v>3.7572155642829438E-2</v>
      </c>
      <c r="AG99">
        <v>2.7105287610310679E-2</v>
      </c>
      <c r="AH99">
        <v>1.6175659557659639E-2</v>
      </c>
      <c r="AI99">
        <v>4.9393897315716589E-3</v>
      </c>
      <c r="AJ99">
        <v>-6.7175482838870365E-3</v>
      </c>
      <c r="AK99">
        <v>-1.8537048641857123E-2</v>
      </c>
      <c r="AL99">
        <v>-3.054771589861326E-2</v>
      </c>
      <c r="AM99">
        <v>-4.2560624773153533E-2</v>
      </c>
      <c r="AN99">
        <v>-5.442331693946522E-2</v>
      </c>
      <c r="AO99">
        <v>-6.6009968914146303E-2</v>
      </c>
      <c r="AP99">
        <v>-7.6966631898039151E-2</v>
      </c>
      <c r="AQ99">
        <v>-8.7258259672555002E-2</v>
      </c>
      <c r="AR99">
        <v>-9.6614491241414149E-2</v>
      </c>
      <c r="AS99">
        <v>-0.10477518664159761</v>
      </c>
      <c r="AT99">
        <v>-0.11162935572661672</v>
      </c>
      <c r="AU99">
        <v>-0.11699207378541004</v>
      </c>
      <c r="AV99">
        <v>-0.12067881522470002</v>
      </c>
      <c r="AW99">
        <v>-0.12264192020167129</v>
      </c>
      <c r="AX99">
        <v>-0.12275031016654084</v>
      </c>
      <c r="AY99">
        <v>-0.12097888272168468</v>
      </c>
      <c r="AZ99">
        <v>-0.11740844819410663</v>
      </c>
      <c r="BA99">
        <v>-0.11194225491262035</v>
      </c>
      <c r="BB99">
        <v>-0.10468006293524099</v>
      </c>
      <c r="BC99">
        <v>-9.5640895405745233E-2</v>
      </c>
      <c r="BD99">
        <v>-8.4935986787941994E-2</v>
      </c>
      <c r="BE99">
        <v>-7.266166001222113E-2</v>
      </c>
      <c r="BF99">
        <v>-5.8871567232982112E-2</v>
      </c>
      <c r="BG99">
        <v>-4.3612741139903273E-2</v>
      </c>
      <c r="BH99">
        <v>-2.6915850624748532E-2</v>
      </c>
      <c r="BI99">
        <v>-8.8176634768070382E-3</v>
      </c>
      <c r="BJ99">
        <v>1.0690593241031195E-2</v>
      </c>
      <c r="BK99">
        <v>3.1617099320722375E-2</v>
      </c>
      <c r="BL99">
        <v>5.399620336227768E-2</v>
      </c>
      <c r="BM99">
        <v>7.7915167751973255E-2</v>
      </c>
      <c r="BN99">
        <v>0.10337540321519814</v>
      </c>
      <c r="BO99">
        <v>0.13051149856481942</v>
      </c>
      <c r="BP99">
        <v>0.15937057623491274</v>
      </c>
      <c r="BQ99">
        <v>0.19000355423896373</v>
      </c>
      <c r="BR99">
        <v>0.22256733271474691</v>
      </c>
      <c r="BS99">
        <v>0.25703101092151992</v>
      </c>
      <c r="BT99">
        <v>0.29344263181444141</v>
      </c>
      <c r="BU99">
        <v>0.33181002204374715</v>
      </c>
      <c r="BV99">
        <v>0.3720420506276817</v>
      </c>
      <c r="BW99">
        <v>0.41402586659299107</v>
      </c>
      <c r="BX99">
        <v>0.45755958143287129</v>
      </c>
      <c r="BY99">
        <v>0.50229791757136255</v>
      </c>
      <c r="BZ99">
        <v>0.54789337864222398</v>
      </c>
      <c r="CA99">
        <v>0.59377811411242454</v>
      </c>
      <c r="CB99">
        <v>0.63941180837152856</v>
      </c>
      <c r="CC99">
        <v>0.68410408634858078</v>
      </c>
      <c r="CD99">
        <v>0.72717335550450535</v>
      </c>
      <c r="CE99">
        <v>0.76797459685856218</v>
      </c>
      <c r="CF99">
        <v>0.80592816441632287</v>
      </c>
      <c r="CG99">
        <v>0.84059648964138101</v>
      </c>
      <c r="CH99">
        <v>0.87161257936421976</v>
      </c>
      <c r="CI99">
        <v>0.89885515504632763</v>
      </c>
      <c r="CJ99">
        <v>0.92226748210057719</v>
      </c>
      <c r="CK99">
        <v>0.94197791421395682</v>
      </c>
      <c r="CL99">
        <v>0.95817576678740357</v>
      </c>
      <c r="CM99">
        <v>0.97115498544998047</v>
      </c>
      <c r="CN99">
        <v>0.98124149658414117</v>
      </c>
      <c r="CO99">
        <v>0.98877558661117004</v>
      </c>
      <c r="CP99">
        <v>0.99410548177047142</v>
      </c>
      <c r="CQ99">
        <v>0.99755624572836699</v>
      </c>
      <c r="CR99">
        <v>0.99942999851732761</v>
      </c>
      <c r="CS99">
        <v>1</v>
      </c>
      <c r="CT99">
        <v>0.9995038909273668</v>
      </c>
      <c r="CU99">
        <v>0.99814776450097642</v>
      </c>
      <c r="CV99">
        <v>0.99610727066737492</v>
      </c>
      <c r="CW99">
        <v>0.99353218965790713</v>
      </c>
      <c r="CX99">
        <v>0.99054041758819666</v>
      </c>
      <c r="CY99">
        <v>0.98723140001857201</v>
      </c>
      <c r="CZ99">
        <v>0.98369133677042964</v>
      </c>
      <c r="DA99">
        <v>0.97997731069365535</v>
      </c>
      <c r="DB99">
        <v>0.97613962785714359</v>
      </c>
      <c r="DC99">
        <v>0.97221759383509565</v>
      </c>
      <c r="DD99">
        <v>0.96822712713263848</v>
      </c>
      <c r="DE99">
        <v>0.96419019350094182</v>
      </c>
      <c r="DF99">
        <v>0.96010647351705514</v>
      </c>
      <c r="DG99">
        <v>0.95596627604958462</v>
      </c>
      <c r="DH99">
        <v>0.95175692857314353</v>
      </c>
      <c r="DI99">
        <v>0.94744340684973416</v>
      </c>
      <c r="DJ99">
        <v>0.9429885952179492</v>
      </c>
      <c r="DK99">
        <v>0.93832181706230156</v>
      </c>
      <c r="DL99">
        <v>0.93335833640544308</v>
      </c>
      <c r="DM99">
        <v>0.92796981416470659</v>
      </c>
      <c r="DN99">
        <v>0.92196865772483327</v>
      </c>
      <c r="DO99">
        <v>0.91508465217726953</v>
      </c>
      <c r="DP99">
        <v>0.90689493268636712</v>
      </c>
    </row>
    <row r="100" spans="1:120" x14ac:dyDescent="0.2">
      <c r="A100">
        <v>-2.5916742549285145E-2</v>
      </c>
      <c r="B100">
        <v>1.2098433209356175E-2</v>
      </c>
      <c r="C100">
        <v>4.0230279267402295E-2</v>
      </c>
      <c r="D100">
        <v>5.7713332544696586E-2</v>
      </c>
      <c r="E100">
        <v>6.9134700115109554E-2</v>
      </c>
      <c r="F100">
        <v>7.7292767881663102E-2</v>
      </c>
      <c r="G100">
        <v>8.3532679536691079E-2</v>
      </c>
      <c r="H100">
        <v>8.8672639181252275E-2</v>
      </c>
      <c r="I100">
        <v>9.3121858086939374E-2</v>
      </c>
      <c r="J100">
        <v>9.7150722808785339E-2</v>
      </c>
      <c r="K100">
        <v>0.10084742996779721</v>
      </c>
      <c r="L100">
        <v>0.10429994866400441</v>
      </c>
      <c r="M100">
        <v>0.10748931336096818</v>
      </c>
      <c r="N100">
        <v>0.11030557290542688</v>
      </c>
      <c r="O100">
        <v>0.11276992739102056</v>
      </c>
      <c r="P100">
        <v>0.11465118393200735</v>
      </c>
      <c r="Q100">
        <v>0.11586952352093685</v>
      </c>
      <c r="R100">
        <v>0.11624546140946151</v>
      </c>
      <c r="S100">
        <v>0.11569921402195515</v>
      </c>
      <c r="T100">
        <v>0.11410435879256088</v>
      </c>
      <c r="U100">
        <v>0.11158682322573776</v>
      </c>
      <c r="V100">
        <v>0.10803476850949174</v>
      </c>
      <c r="W100">
        <v>0.10361870149224296</v>
      </c>
      <c r="X100">
        <v>9.8322077148580739E-2</v>
      </c>
      <c r="Y100">
        <v>9.2390247295448133E-2</v>
      </c>
      <c r="Z100">
        <v>8.5800955476422122E-2</v>
      </c>
      <c r="AA100">
        <v>7.8532797060235929E-2</v>
      </c>
      <c r="AB100">
        <v>7.0740156677580421E-2</v>
      </c>
      <c r="AC100">
        <v>6.2446370183404321E-2</v>
      </c>
      <c r="AD100">
        <v>5.3531859382240372E-2</v>
      </c>
      <c r="AE100">
        <v>4.4055620790936383E-2</v>
      </c>
      <c r="AF100">
        <v>3.4062568905646136E-2</v>
      </c>
      <c r="AG100">
        <v>2.3472729625928234E-2</v>
      </c>
      <c r="AH100">
        <v>1.2333632202900839E-2</v>
      </c>
      <c r="AI100">
        <v>7.9582914409584383E-4</v>
      </c>
      <c r="AJ100">
        <v>-1.1254956221635377E-2</v>
      </c>
      <c r="AK100">
        <v>-2.3562209776508778E-2</v>
      </c>
      <c r="AL100">
        <v>-3.6156215030060633E-2</v>
      </c>
      <c r="AM100">
        <v>-4.8848617147110383E-2</v>
      </c>
      <c r="AN100">
        <v>-6.1482156167452055E-2</v>
      </c>
      <c r="AO100">
        <v>-7.393226919704976E-2</v>
      </c>
      <c r="AP100">
        <v>-8.5838240705078464E-2</v>
      </c>
      <c r="AQ100">
        <v>-9.7158925331116155E-2</v>
      </c>
      <c r="AR100">
        <v>-0.10761392049999094</v>
      </c>
      <c r="AS100">
        <v>-0.11693386873810589</v>
      </c>
      <c r="AT100">
        <v>-0.12499032876810498</v>
      </c>
      <c r="AU100">
        <v>-0.13158692753608695</v>
      </c>
      <c r="AV100">
        <v>-0.13652275435193911</v>
      </c>
      <c r="AW100">
        <v>-0.13973380406144592</v>
      </c>
      <c r="AX100">
        <v>-0.14107337469438366</v>
      </c>
      <c r="AY100">
        <v>-0.1405012258042477</v>
      </c>
      <c r="AZ100">
        <v>-0.13808546241665412</v>
      </c>
      <c r="BA100">
        <v>-0.13371831639970944</v>
      </c>
      <c r="BB100">
        <v>-0.12748912369129717</v>
      </c>
      <c r="BC100">
        <v>-0.11941292046923889</v>
      </c>
      <c r="BD100">
        <v>-0.10959534013366211</v>
      </c>
      <c r="BE100">
        <v>-9.8129692535693008E-2</v>
      </c>
      <c r="BF100">
        <v>-8.5069934818257087E-2</v>
      </c>
      <c r="BG100">
        <v>-7.0463390237421264E-2</v>
      </c>
      <c r="BH100">
        <v>-5.4343650203040536E-2</v>
      </c>
      <c r="BI100">
        <v>-3.6749366804484658E-2</v>
      </c>
      <c r="BJ100">
        <v>-1.7674586098522693E-2</v>
      </c>
      <c r="BK100">
        <v>2.8854255018959402E-3</v>
      </c>
      <c r="BL100">
        <v>2.4961458424145124E-2</v>
      </c>
      <c r="BM100">
        <v>4.8638640815404421E-2</v>
      </c>
      <c r="BN100">
        <v>7.3916272403293945E-2</v>
      </c>
      <c r="BO100">
        <v>0.10092802771712588</v>
      </c>
      <c r="BP100">
        <v>0.12972122187321608</v>
      </c>
      <c r="BQ100">
        <v>0.16034879262340301</v>
      </c>
      <c r="BR100">
        <v>0.19297050650039277</v>
      </c>
      <c r="BS100">
        <v>0.22755941133844218</v>
      </c>
      <c r="BT100">
        <v>0.26416907744632312</v>
      </c>
      <c r="BU100">
        <v>0.30281451763511391</v>
      </c>
      <c r="BV100">
        <v>0.34341213706303697</v>
      </c>
      <c r="BW100">
        <v>0.38585734342796985</v>
      </c>
      <c r="BX100">
        <v>0.42995708735735938</v>
      </c>
      <c r="BY100">
        <v>0.4753739130736398</v>
      </c>
      <c r="BZ100">
        <v>0.52176762593757509</v>
      </c>
      <c r="CA100">
        <v>0.56857384348043727</v>
      </c>
      <c r="CB100">
        <v>0.61525446719460986</v>
      </c>
      <c r="CC100">
        <v>0.66111522709843362</v>
      </c>
      <c r="CD100">
        <v>0.70546639453470084</v>
      </c>
      <c r="CE100">
        <v>0.74765055475100961</v>
      </c>
      <c r="CF100">
        <v>0.78707138437396962</v>
      </c>
      <c r="CG100">
        <v>0.82327215058020542</v>
      </c>
      <c r="CH100">
        <v>0.8558619521186217</v>
      </c>
      <c r="CI100">
        <v>0.88469967178910858</v>
      </c>
      <c r="CJ100">
        <v>0.90970525440328009</v>
      </c>
      <c r="CK100">
        <v>0.93098909919172335</v>
      </c>
      <c r="CL100">
        <v>0.94872235551094708</v>
      </c>
      <c r="CM100">
        <v>0.96318647832811222</v>
      </c>
      <c r="CN100">
        <v>0.97469733777792844</v>
      </c>
      <c r="CO100">
        <v>0.98358746722975732</v>
      </c>
      <c r="CP100">
        <v>0.99020163931467775</v>
      </c>
      <c r="CQ100">
        <v>0.9948624008709217</v>
      </c>
      <c r="CR100">
        <v>0.997871339464665</v>
      </c>
      <c r="CS100">
        <v>0.99950389092736669</v>
      </c>
      <c r="CT100">
        <v>1</v>
      </c>
      <c r="CU100">
        <v>0.99956842730012163</v>
      </c>
      <c r="CV100">
        <v>0.99838834222838835</v>
      </c>
      <c r="CW100">
        <v>0.99661256380306251</v>
      </c>
      <c r="CX100">
        <v>0.99436407199795918</v>
      </c>
      <c r="CY100">
        <v>0.9917458546452399</v>
      </c>
      <c r="CZ100">
        <v>0.98884654827724383</v>
      </c>
      <c r="DA100">
        <v>0.98572788669697387</v>
      </c>
      <c r="DB100">
        <v>0.98244312075323581</v>
      </c>
      <c r="DC100">
        <v>0.97903397736436071</v>
      </c>
      <c r="DD100">
        <v>0.97552038391556617</v>
      </c>
      <c r="DE100">
        <v>0.97192560270324901</v>
      </c>
      <c r="DF100">
        <v>0.96825228507154881</v>
      </c>
      <c r="DG100">
        <v>0.96449295340429586</v>
      </c>
      <c r="DH100">
        <v>0.960636384402623</v>
      </c>
      <c r="DI100">
        <v>0.95664948361664126</v>
      </c>
      <c r="DJ100">
        <v>0.95249630192916368</v>
      </c>
      <c r="DK100">
        <v>0.94810740739472132</v>
      </c>
      <c r="DL100">
        <v>0.94339876230232289</v>
      </c>
      <c r="DM100">
        <v>0.93824235686680879</v>
      </c>
      <c r="DN100">
        <v>0.93245121059723579</v>
      </c>
      <c r="DO100">
        <v>0.92575416263424315</v>
      </c>
      <c r="DP100">
        <v>0.91772641352127127</v>
      </c>
    </row>
    <row r="101" spans="1:120" x14ac:dyDescent="0.2">
      <c r="A101">
        <v>-2.8942516458102502E-2</v>
      </c>
      <c r="B101">
        <v>5.790731857288867E-3</v>
      </c>
      <c r="C101">
        <v>3.2173028914136315E-2</v>
      </c>
      <c r="D101">
        <v>4.8902726467952323E-2</v>
      </c>
      <c r="E101">
        <v>5.9983288411604371E-2</v>
      </c>
      <c r="F101">
        <v>6.797231108989947E-2</v>
      </c>
      <c r="G101">
        <v>7.4119496584261382E-2</v>
      </c>
      <c r="H101">
        <v>7.9216246845167648E-2</v>
      </c>
      <c r="I101">
        <v>8.3656846029005791E-2</v>
      </c>
      <c r="J101">
        <v>8.7710039402569162E-2</v>
      </c>
      <c r="K101">
        <v>9.1470769592886303E-2</v>
      </c>
      <c r="L101">
        <v>9.5024627783633464E-2</v>
      </c>
      <c r="M101">
        <v>9.8357308079995168E-2</v>
      </c>
      <c r="N101">
        <v>0.10136203440824937</v>
      </c>
      <c r="O101">
        <v>0.10406317000489368</v>
      </c>
      <c r="P101">
        <v>0.10622905004843476</v>
      </c>
      <c r="Q101">
        <v>0.10778099236786214</v>
      </c>
      <c r="R101">
        <v>0.10853774439251779</v>
      </c>
      <c r="S101">
        <v>0.10841366223880201</v>
      </c>
      <c r="T101">
        <v>0.10727433967657915</v>
      </c>
      <c r="U101">
        <v>0.10523046809891398</v>
      </c>
      <c r="V101">
        <v>0.10215933806650458</v>
      </c>
      <c r="W101">
        <v>9.8215977797234386E-2</v>
      </c>
      <c r="X101">
        <v>9.336890610629564E-2</v>
      </c>
      <c r="Y101">
        <v>8.7851803337607726E-2</v>
      </c>
      <c r="Z101">
        <v>8.1632564316865358E-2</v>
      </c>
      <c r="AA101">
        <v>7.468097291162204E-2</v>
      </c>
      <c r="AB101">
        <v>6.7146929200259678E-2</v>
      </c>
      <c r="AC101">
        <v>5.9044101445752908E-2</v>
      </c>
      <c r="AD101">
        <v>5.0254577540753076E-2</v>
      </c>
      <c r="AE101">
        <v>4.0831497090104786E-2</v>
      </c>
      <c r="AF101">
        <v>3.0816458892459299E-2</v>
      </c>
      <c r="AG101">
        <v>2.0126119562028907E-2</v>
      </c>
      <c r="AH101">
        <v>8.8070351058702322E-3</v>
      </c>
      <c r="AI101">
        <v>-2.995629777131705E-3</v>
      </c>
      <c r="AJ101">
        <v>-1.5396196067212736E-2</v>
      </c>
      <c r="AK101">
        <v>-2.8140054624067753E-2</v>
      </c>
      <c r="AL101">
        <v>-4.1258926520993416E-2</v>
      </c>
      <c r="AM101">
        <v>-5.4565332162861545E-2</v>
      </c>
      <c r="AN101">
        <v>-6.7897680199971555E-2</v>
      </c>
      <c r="AO101">
        <v>-8.1132800462980645E-2</v>
      </c>
      <c r="AP101">
        <v>-9.3904128744279308E-2</v>
      </c>
      <c r="AQ101">
        <v>-0.10616493203625925</v>
      </c>
      <c r="AR101">
        <v>-0.11762583692860161</v>
      </c>
      <c r="AS101">
        <v>-0.12800930957283335</v>
      </c>
      <c r="AT101">
        <v>-0.13717080911652127</v>
      </c>
      <c r="AU101">
        <v>-0.14490364683662518</v>
      </c>
      <c r="AV101">
        <v>-0.15099191985008298</v>
      </c>
      <c r="AW101">
        <v>-0.15535652362481883</v>
      </c>
      <c r="AX101">
        <v>-0.15783644237370184</v>
      </c>
      <c r="AY101">
        <v>-0.15837741810194075</v>
      </c>
      <c r="AZ101">
        <v>-0.15703564547418541</v>
      </c>
      <c r="BA101">
        <v>-0.1536932577161344</v>
      </c>
      <c r="BB101">
        <v>-0.14842974233392717</v>
      </c>
      <c r="BC101">
        <v>-0.14125644230594681</v>
      </c>
      <c r="BD101">
        <v>-0.1322736124376466</v>
      </c>
      <c r="BE101">
        <v>-0.12157161802149778</v>
      </c>
      <c r="BF101">
        <v>-0.10920458760018759</v>
      </c>
      <c r="BG101">
        <v>-9.5220043401132742E-2</v>
      </c>
      <c r="BH101">
        <v>-7.965421762463884E-2</v>
      </c>
      <c r="BI101">
        <v>-6.2547377520778977E-2</v>
      </c>
      <c r="BJ101">
        <v>-4.3896216481054177E-2</v>
      </c>
      <c r="BK101">
        <v>-2.3699085174227207E-2</v>
      </c>
      <c r="BL101">
        <v>-1.9285875818475765E-3</v>
      </c>
      <c r="BM101">
        <v>2.1498428213539887E-2</v>
      </c>
      <c r="BN101">
        <v>4.6579295579463664E-2</v>
      </c>
      <c r="BO101">
        <v>7.3446713738643282E-2</v>
      </c>
      <c r="BP101">
        <v>0.10214814036001001</v>
      </c>
      <c r="BQ101">
        <v>0.13273839741374086</v>
      </c>
      <c r="BR101">
        <v>0.1653797162592385</v>
      </c>
      <c r="BS101">
        <v>0.20004886357244525</v>
      </c>
      <c r="BT101">
        <v>0.23680445399045683</v>
      </c>
      <c r="BU101">
        <v>0.2756682136996062</v>
      </c>
      <c r="BV101">
        <v>0.31656362947927308</v>
      </c>
      <c r="BW101">
        <v>0.35939389231830726</v>
      </c>
      <c r="BX101">
        <v>0.40397430760449554</v>
      </c>
      <c r="BY101">
        <v>0.44997510621061215</v>
      </c>
      <c r="BZ101">
        <v>0.4970631543513675</v>
      </c>
      <c r="CA101">
        <v>0.54467787312901683</v>
      </c>
      <c r="CB101">
        <v>0.59228378788289815</v>
      </c>
      <c r="CC101">
        <v>0.63918370887708775</v>
      </c>
      <c r="CD101">
        <v>0.68468099303012675</v>
      </c>
      <c r="CE101">
        <v>0.72810741689398906</v>
      </c>
      <c r="CF101">
        <v>0.76885180209860482</v>
      </c>
      <c r="CG101">
        <v>0.80644003904338624</v>
      </c>
      <c r="CH101">
        <v>0.84045943051475447</v>
      </c>
      <c r="CI101">
        <v>0.87075062201959552</v>
      </c>
      <c r="CJ101">
        <v>0.89721196736093589</v>
      </c>
      <c r="CK101">
        <v>0.91993708127799068</v>
      </c>
      <c r="CL101">
        <v>0.93908010499129646</v>
      </c>
      <c r="CM101">
        <v>0.95491062413703842</v>
      </c>
      <c r="CN101">
        <v>0.96773483898112655</v>
      </c>
      <c r="CO101">
        <v>0.97787775600330706</v>
      </c>
      <c r="CP101">
        <v>0.98568062837197679</v>
      </c>
      <c r="CQ101">
        <v>0.99146331094077023</v>
      </c>
      <c r="CR101">
        <v>0.99552660085161293</v>
      </c>
      <c r="CS101">
        <v>0.99814776450097653</v>
      </c>
      <c r="CT101">
        <v>0.99956842730012163</v>
      </c>
      <c r="CU101">
        <v>1</v>
      </c>
      <c r="CV101">
        <v>0.99962438399715137</v>
      </c>
      <c r="CW101">
        <v>0.99859724346862089</v>
      </c>
      <c r="CX101">
        <v>0.99704614583705509</v>
      </c>
      <c r="CY101">
        <v>0.99507726675019781</v>
      </c>
      <c r="CZ101">
        <v>0.99278143647479689</v>
      </c>
      <c r="DA101">
        <v>0.99022466065001946</v>
      </c>
      <c r="DB101">
        <v>0.98746288742358157</v>
      </c>
      <c r="DC101">
        <v>0.9845400808531225</v>
      </c>
      <c r="DD101">
        <v>0.98147988659509955</v>
      </c>
      <c r="DE101">
        <v>0.97830680015025828</v>
      </c>
      <c r="DF101">
        <v>0.97502625058932946</v>
      </c>
      <c r="DG101">
        <v>0.97163287895854056</v>
      </c>
      <c r="DH101">
        <v>0.96811687831273496</v>
      </c>
      <c r="DI101">
        <v>0.96444705191274205</v>
      </c>
      <c r="DJ101">
        <v>0.96058862372218512</v>
      </c>
      <c r="DK101">
        <v>0.95647352599507651</v>
      </c>
      <c r="DL101">
        <v>0.95201856096854554</v>
      </c>
      <c r="DM101">
        <v>0.94709633041757901</v>
      </c>
      <c r="DN101">
        <v>0.941520814351816</v>
      </c>
      <c r="DO101">
        <v>0.93502052690207826</v>
      </c>
      <c r="DP101">
        <v>0.92716969076403755</v>
      </c>
    </row>
    <row r="102" spans="1:120" x14ac:dyDescent="0.2">
      <c r="A102">
        <v>-3.1705838977986213E-2</v>
      </c>
      <c r="B102">
        <v>-3.6444748100975094E-5</v>
      </c>
      <c r="C102">
        <v>2.4704206268633299E-2</v>
      </c>
      <c r="D102">
        <v>4.0721402435475965E-2</v>
      </c>
      <c r="E102">
        <v>5.1475692120668368E-2</v>
      </c>
      <c r="F102">
        <v>5.9299965568334244E-2</v>
      </c>
      <c r="G102">
        <v>6.5354453706384152E-2</v>
      </c>
      <c r="H102">
        <v>7.040513260141211E-2</v>
      </c>
      <c r="I102">
        <v>7.4832105771156093E-2</v>
      </c>
      <c r="J102">
        <v>7.8902547273623558E-2</v>
      </c>
      <c r="K102">
        <v>8.2717602226845807E-2</v>
      </c>
      <c r="L102">
        <v>8.6360611963425607E-2</v>
      </c>
      <c r="M102">
        <v>8.9821576510644069E-2</v>
      </c>
      <c r="N102">
        <v>9.2996770479839605E-2</v>
      </c>
      <c r="O102">
        <v>9.5913520562892277E-2</v>
      </c>
      <c r="P102">
        <v>9.833986107081534E-2</v>
      </c>
      <c r="Q102">
        <v>0.10019832965967754</v>
      </c>
      <c r="R102">
        <v>0.10130612918880205</v>
      </c>
      <c r="S102">
        <v>0.10157232051825861</v>
      </c>
      <c r="T102">
        <v>0.10085526744300477</v>
      </c>
      <c r="U102">
        <v>9.925141891861719E-2</v>
      </c>
      <c r="V102">
        <v>9.6628218097043389E-2</v>
      </c>
      <c r="W102">
        <v>9.3126146683904593E-2</v>
      </c>
      <c r="X102">
        <v>8.869994358849205E-2</v>
      </c>
      <c r="Y102">
        <v>8.3572296443087224E-2</v>
      </c>
      <c r="Z102">
        <v>7.7702013196435799E-2</v>
      </c>
      <c r="AA102">
        <v>7.1050747757392049E-2</v>
      </c>
      <c r="AB102">
        <v>6.3764052549430683E-2</v>
      </c>
      <c r="AC102">
        <v>5.5846670455210301E-2</v>
      </c>
      <c r="AD102">
        <v>4.7182313025027796E-2</v>
      </c>
      <c r="AE102">
        <v>3.7818692383146169E-2</v>
      </c>
      <c r="AF102">
        <v>2.779417716115604E-2</v>
      </c>
      <c r="AG102">
        <v>1.7022501519426123E-2</v>
      </c>
      <c r="AH102">
        <v>5.5491438773397073E-3</v>
      </c>
      <c r="AI102">
        <v>-6.4857705547737522E-3</v>
      </c>
      <c r="AJ102">
        <v>-1.9196588165850278E-2</v>
      </c>
      <c r="AK102">
        <v>-3.2330673040092739E-2</v>
      </c>
      <c r="AL102">
        <v>-4.5921057333500118E-2</v>
      </c>
      <c r="AM102">
        <v>-5.9781379198348465E-2</v>
      </c>
      <c r="AN102">
        <v>-7.3746128114104775E-2</v>
      </c>
      <c r="AO102">
        <v>-8.7693580094645146E-2</v>
      </c>
      <c r="AP102">
        <v>-0.1012521526714134</v>
      </c>
      <c r="AQ102">
        <v>-0.11437005871902055</v>
      </c>
      <c r="AR102">
        <v>-0.12674983973354556</v>
      </c>
      <c r="AS102">
        <v>-0.13810675158186256</v>
      </c>
      <c r="AT102">
        <v>-0.14828146331801001</v>
      </c>
      <c r="AU102">
        <v>-0.15705799573404541</v>
      </c>
      <c r="AV102">
        <v>-0.16420676703863465</v>
      </c>
      <c r="AW102">
        <v>-0.16963469633827377</v>
      </c>
      <c r="AX102">
        <v>-0.17316777800458164</v>
      </c>
      <c r="AY102">
        <v>-0.1747387572482286</v>
      </c>
      <c r="AZ102">
        <v>-0.17439273600035685</v>
      </c>
      <c r="BA102">
        <v>-0.17200256305292413</v>
      </c>
      <c r="BB102">
        <v>-0.16763854700399386</v>
      </c>
      <c r="BC102">
        <v>-0.16130859082321355</v>
      </c>
      <c r="BD102">
        <v>-0.15310778864983871</v>
      </c>
      <c r="BE102">
        <v>-0.14312368617151297</v>
      </c>
      <c r="BF102">
        <v>-0.13141046064426726</v>
      </c>
      <c r="BG102">
        <v>-0.11801578971767902</v>
      </c>
      <c r="BH102">
        <v>-0.10297826226142062</v>
      </c>
      <c r="BI102">
        <v>-8.6339555673458843E-2</v>
      </c>
      <c r="BJ102">
        <v>-6.8098814404642521E-2</v>
      </c>
      <c r="BK102">
        <v>-4.8257175794870502E-2</v>
      </c>
      <c r="BL102">
        <v>-2.679048163105081E-2</v>
      </c>
      <c r="BM102">
        <v>-3.6173549620807694E-3</v>
      </c>
      <c r="BN102">
        <v>2.1257698697570201E-2</v>
      </c>
      <c r="BO102">
        <v>4.7966361591460192E-2</v>
      </c>
      <c r="BP102">
        <v>7.6556187007611701E-2</v>
      </c>
      <c r="BQ102">
        <v>0.10708375789473248</v>
      </c>
      <c r="BR102">
        <v>0.13971341398747364</v>
      </c>
      <c r="BS102">
        <v>0.1744254134674029</v>
      </c>
      <c r="BT102">
        <v>0.21128299552775545</v>
      </c>
      <c r="BU102">
        <v>0.25031413909634975</v>
      </c>
      <c r="BV102">
        <v>0.29144898161007998</v>
      </c>
      <c r="BW102">
        <v>0.33459798193911028</v>
      </c>
      <c r="BX102">
        <v>0.37958439295652574</v>
      </c>
      <c r="BY102">
        <v>0.42608589772356231</v>
      </c>
      <c r="BZ102">
        <v>0.47377616451812171</v>
      </c>
      <c r="CA102">
        <v>0.52209870952053927</v>
      </c>
      <c r="CB102">
        <v>0.57052093081631849</v>
      </c>
      <c r="CC102">
        <v>0.61834355184227641</v>
      </c>
      <c r="CD102">
        <v>0.66486414970991381</v>
      </c>
      <c r="CE102">
        <v>0.70940505889290129</v>
      </c>
      <c r="CF102">
        <v>0.75134192511257358</v>
      </c>
      <c r="CG102">
        <v>0.79018488376441465</v>
      </c>
      <c r="CH102">
        <v>0.82550141413780909</v>
      </c>
      <c r="CI102">
        <v>0.85711539561782324</v>
      </c>
      <c r="CJ102">
        <v>0.88490525202905168</v>
      </c>
      <c r="CK102">
        <v>0.90894896520759583</v>
      </c>
      <c r="CL102">
        <v>0.92938477123303442</v>
      </c>
      <c r="CM102">
        <v>0.94647100251520955</v>
      </c>
      <c r="CN102">
        <v>0.96050461045961844</v>
      </c>
      <c r="CO102">
        <v>0.97180337296061892</v>
      </c>
      <c r="CP102">
        <v>0.98070496289804732</v>
      </c>
      <c r="CQ102">
        <v>0.98752644999685102</v>
      </c>
      <c r="CR102">
        <v>0.99256762603001558</v>
      </c>
      <c r="CS102">
        <v>0.99610727066737492</v>
      </c>
      <c r="CT102">
        <v>0.99838834222838835</v>
      </c>
      <c r="CU102">
        <v>0.99962438399715137</v>
      </c>
      <c r="CV102">
        <v>1</v>
      </c>
      <c r="CW102">
        <v>0.9996730357766439</v>
      </c>
      <c r="CX102">
        <v>0.99877538612846761</v>
      </c>
      <c r="CY102">
        <v>0.99741605727772242</v>
      </c>
      <c r="CZ102">
        <v>0.99568786155799516</v>
      </c>
      <c r="DA102">
        <v>0.99366073335791938</v>
      </c>
      <c r="DB102">
        <v>0.99139307345056171</v>
      </c>
      <c r="DC102">
        <v>0.98893093022702472</v>
      </c>
      <c r="DD102">
        <v>0.98630139626311153</v>
      </c>
      <c r="DE102">
        <v>0.9835301349500265</v>
      </c>
      <c r="DF102">
        <v>0.98062517715512687</v>
      </c>
      <c r="DG102">
        <v>0.97758321187583697</v>
      </c>
      <c r="DH102">
        <v>0.97439578863902665</v>
      </c>
      <c r="DI102">
        <v>0.97103361399581867</v>
      </c>
      <c r="DJ102">
        <v>0.96746306855173925</v>
      </c>
      <c r="DK102">
        <v>0.96361757731113051</v>
      </c>
      <c r="DL102">
        <v>0.95941490816804575</v>
      </c>
      <c r="DM102">
        <v>0.95472854378860772</v>
      </c>
      <c r="DN102">
        <v>0.94937375608334407</v>
      </c>
      <c r="DO102">
        <v>0.94307931799152733</v>
      </c>
      <c r="DP102">
        <v>0.93541936610001553</v>
      </c>
    </row>
    <row r="103" spans="1:120" x14ac:dyDescent="0.2">
      <c r="A103">
        <v>-3.4220561104994579E-2</v>
      </c>
      <c r="B103">
        <v>-5.412568023182132E-3</v>
      </c>
      <c r="C103">
        <v>1.778588062299603E-2</v>
      </c>
      <c r="D103">
        <v>3.3127625632790501E-2</v>
      </c>
      <c r="E103">
        <v>4.3568539456805437E-2</v>
      </c>
      <c r="F103">
        <v>5.1231796127418405E-2</v>
      </c>
      <c r="G103">
        <v>5.7193703508709746E-2</v>
      </c>
      <c r="H103">
        <v>6.2196057733027159E-2</v>
      </c>
      <c r="I103">
        <v>6.6605477351545955E-2</v>
      </c>
      <c r="J103">
        <v>7.0687475604370151E-2</v>
      </c>
      <c r="K103">
        <v>7.4548892868122746E-2</v>
      </c>
      <c r="L103">
        <v>7.8270852577926334E-2</v>
      </c>
      <c r="M103">
        <v>8.1847347856744149E-2</v>
      </c>
      <c r="N103">
        <v>8.5177456344375388E-2</v>
      </c>
      <c r="O103">
        <v>8.8291280469437017E-2</v>
      </c>
      <c r="P103">
        <v>9.095666770246004E-2</v>
      </c>
      <c r="Q103">
        <v>9.3097396762550758E-2</v>
      </c>
      <c r="R103">
        <v>9.452931104570611E-2</v>
      </c>
      <c r="S103">
        <v>9.5156720038689441E-2</v>
      </c>
      <c r="T103">
        <v>9.4831373350612008E-2</v>
      </c>
      <c r="U103">
        <v>9.3636471996516105E-2</v>
      </c>
      <c r="V103">
        <v>9.1430543454271485E-2</v>
      </c>
      <c r="W103">
        <v>8.8340390091581636E-2</v>
      </c>
      <c r="X103">
        <v>8.4308091047961498E-2</v>
      </c>
      <c r="Y103">
        <v>7.9546037953403315E-2</v>
      </c>
      <c r="Z103">
        <v>7.4004632269338233E-2</v>
      </c>
      <c r="AA103">
        <v>6.7638022262292027E-2</v>
      </c>
      <c r="AB103">
        <v>6.0587634373520154E-2</v>
      </c>
      <c r="AC103">
        <v>5.2849949545311081E-2</v>
      </c>
      <c r="AD103">
        <v>4.4310305589973842E-2</v>
      </c>
      <c r="AE103">
        <v>3.5011355440838256E-2</v>
      </c>
      <c r="AF103">
        <v>2.4988364636467603E-2</v>
      </c>
      <c r="AG103">
        <v>1.4152499979240975E-2</v>
      </c>
      <c r="AH103">
        <v>2.548197551711874E-3</v>
      </c>
      <c r="AI103">
        <v>-9.6892069098324408E-3</v>
      </c>
      <c r="AJ103">
        <v>-2.2673956143618289E-2</v>
      </c>
      <c r="AK103">
        <v>-3.6155547751142249E-2</v>
      </c>
      <c r="AL103">
        <v>-5.0168132149231937E-2</v>
      </c>
      <c r="AM103">
        <v>-6.4526644497550134E-2</v>
      </c>
      <c r="AN103">
        <v>-7.9062077355618487E-2</v>
      </c>
      <c r="AO103">
        <v>-9.3654123535518372E-2</v>
      </c>
      <c r="AP103">
        <v>-0.1079269973481288</v>
      </c>
      <c r="AQ103">
        <v>-0.12182425102904823</v>
      </c>
      <c r="AR103">
        <v>-0.13504122759831771</v>
      </c>
      <c r="AS103">
        <v>-0.14728683987092642</v>
      </c>
      <c r="AT103">
        <v>-0.15838819099355445</v>
      </c>
      <c r="AU103">
        <v>-0.16812095762361701</v>
      </c>
      <c r="AV103">
        <v>-0.17624309900775581</v>
      </c>
      <c r="AW103">
        <v>-0.18264866820059455</v>
      </c>
      <c r="AX103">
        <v>-0.18715184459586118</v>
      </c>
      <c r="AY103">
        <v>-0.18967340356317186</v>
      </c>
      <c r="AZ103">
        <v>-0.19024810368705325</v>
      </c>
      <c r="BA103">
        <v>-0.18874031905394634</v>
      </c>
      <c r="BB103">
        <v>-0.18521180975567061</v>
      </c>
      <c r="BC103">
        <v>-0.17966724968269732</v>
      </c>
      <c r="BD103">
        <v>-0.17219687403281031</v>
      </c>
      <c r="BE103">
        <v>-0.1628854930922109</v>
      </c>
      <c r="BF103">
        <v>-0.15178723296534927</v>
      </c>
      <c r="BG103">
        <v>-0.13894990483640879</v>
      </c>
      <c r="BH103">
        <v>-0.12441418991352857</v>
      </c>
      <c r="BI103">
        <v>-0.10822297222228848</v>
      </c>
      <c r="BJ103">
        <v>-9.0377671043295041E-2</v>
      </c>
      <c r="BK103">
        <v>-7.0881934513761846E-2</v>
      </c>
      <c r="BL103">
        <v>-4.9714651601348026E-2</v>
      </c>
      <c r="BM103">
        <v>-2.6796069385503885E-2</v>
      </c>
      <c r="BN103">
        <v>-2.1324045096860187E-3</v>
      </c>
      <c r="BO103">
        <v>2.4407007672497684E-2</v>
      </c>
      <c r="BP103">
        <v>5.2869761450394515E-2</v>
      </c>
      <c r="BQ103">
        <v>8.3314102615840505E-2</v>
      </c>
      <c r="BR103">
        <v>0.11590614024021351</v>
      </c>
      <c r="BS103">
        <v>0.15062944933418701</v>
      </c>
      <c r="BT103">
        <v>0.18755144666783044</v>
      </c>
      <c r="BU103">
        <v>0.22670594815106107</v>
      </c>
      <c r="BV103">
        <v>0.2680293070798101</v>
      </c>
      <c r="BW103">
        <v>0.31143878525689933</v>
      </c>
      <c r="BX103">
        <v>0.35676513772593932</v>
      </c>
      <c r="BY103">
        <v>0.40369324138463636</v>
      </c>
      <c r="BZ103">
        <v>0.45190331293615077</v>
      </c>
      <c r="CA103">
        <v>0.50084310553029399</v>
      </c>
      <c r="CB103">
        <v>0.54998314903524059</v>
      </c>
      <c r="CC103">
        <v>0.59862275911796548</v>
      </c>
      <c r="CD103">
        <v>0.64605471242041457</v>
      </c>
      <c r="CE103">
        <v>0.6915931669939136</v>
      </c>
      <c r="CF103">
        <v>0.73460207597460436</v>
      </c>
      <c r="CG103">
        <v>0.7745773818785715</v>
      </c>
      <c r="CH103">
        <v>0.81106851084282794</v>
      </c>
      <c r="CI103">
        <v>0.84388400879130199</v>
      </c>
      <c r="CJ103">
        <v>0.87288394802606795</v>
      </c>
      <c r="CK103">
        <v>0.8981317463463715</v>
      </c>
      <c r="CL103">
        <v>0.91975083255224277</v>
      </c>
      <c r="CM103">
        <v>0.93798891037781484</v>
      </c>
      <c r="CN103">
        <v>0.95313414527542473</v>
      </c>
      <c r="CO103">
        <v>0.96549733998857612</v>
      </c>
      <c r="CP103">
        <v>0.97541262448406441</v>
      </c>
      <c r="CQ103">
        <v>0.98319421527699258</v>
      </c>
      <c r="CR103">
        <v>0.98914073124967217</v>
      </c>
      <c r="CS103">
        <v>0.99353218965790713</v>
      </c>
      <c r="CT103">
        <v>0.9966125638030624</v>
      </c>
      <c r="CU103">
        <v>0.99859724346862078</v>
      </c>
      <c r="CV103">
        <v>0.99967303577664401</v>
      </c>
      <c r="CW103">
        <v>1</v>
      </c>
      <c r="CX103">
        <v>0.99971364786575745</v>
      </c>
      <c r="CY103">
        <v>0.99892568200427567</v>
      </c>
      <c r="CZ103">
        <v>0.99773066166950708</v>
      </c>
      <c r="DA103">
        <v>0.99620213403054414</v>
      </c>
      <c r="DB103">
        <v>0.99440072920808842</v>
      </c>
      <c r="DC103">
        <v>0.99237444510712691</v>
      </c>
      <c r="DD103">
        <v>0.99015354545610978</v>
      </c>
      <c r="DE103">
        <v>0.98776482078685846</v>
      </c>
      <c r="DF103">
        <v>0.98521872878539729</v>
      </c>
      <c r="DG103">
        <v>0.98251392900728385</v>
      </c>
      <c r="DH103">
        <v>0.9796432908434668</v>
      </c>
      <c r="DI103">
        <v>0.97657940202854376</v>
      </c>
      <c r="DJ103">
        <v>0.973289792107073</v>
      </c>
      <c r="DK103">
        <v>0.96970948560569525</v>
      </c>
      <c r="DL103">
        <v>0.96575733671192876</v>
      </c>
      <c r="DM103">
        <v>0.96130794872790093</v>
      </c>
      <c r="DN103">
        <v>0.95617817024937457</v>
      </c>
      <c r="DO103">
        <v>0.95009755935054685</v>
      </c>
      <c r="DP103">
        <v>0.94264097319796136</v>
      </c>
    </row>
    <row r="104" spans="1:120" x14ac:dyDescent="0.2">
      <c r="A104">
        <v>-3.651926173733358E-2</v>
      </c>
      <c r="B104">
        <v>-1.0377740798172446E-2</v>
      </c>
      <c r="C104">
        <v>1.1377389732916842E-2</v>
      </c>
      <c r="D104">
        <v>2.6082773017191908E-2</v>
      </c>
      <c r="E104">
        <v>3.622548160849811E-2</v>
      </c>
      <c r="F104">
        <v>4.3733400671017879E-2</v>
      </c>
      <c r="G104">
        <v>4.9604363455790695E-2</v>
      </c>
      <c r="H104">
        <v>5.45573735679021E-2</v>
      </c>
      <c r="I104">
        <v>5.8946278569217421E-2</v>
      </c>
      <c r="J104">
        <v>6.3035014780220264E-2</v>
      </c>
      <c r="K104">
        <v>6.6935647208830135E-2</v>
      </c>
      <c r="L104">
        <v>7.0727177363505131E-2</v>
      </c>
      <c r="M104">
        <v>7.4407278023831291E-2</v>
      </c>
      <c r="N104">
        <v>7.7877710800037969E-2</v>
      </c>
      <c r="O104">
        <v>8.117116445653097E-2</v>
      </c>
      <c r="P104">
        <v>8.405540590736045E-2</v>
      </c>
      <c r="Q104">
        <v>8.6455459664032341E-2</v>
      </c>
      <c r="R104">
        <v>8.8185970111545831E-2</v>
      </c>
      <c r="S104">
        <v>8.9147003764721941E-2</v>
      </c>
      <c r="T104">
        <v>8.9184291746003855E-2</v>
      </c>
      <c r="U104">
        <v>8.836869449148109E-2</v>
      </c>
      <c r="V104">
        <v>8.655069801831157E-2</v>
      </c>
      <c r="W104">
        <v>8.3844279972313751E-2</v>
      </c>
      <c r="X104">
        <v>8.0179899406346775E-2</v>
      </c>
      <c r="Y104">
        <v>7.5760254881703654E-2</v>
      </c>
      <c r="Z104">
        <v>7.0528032246938641E-2</v>
      </c>
      <c r="AA104">
        <v>6.4430482878599621E-2</v>
      </c>
      <c r="AB104">
        <v>5.7605035005929228E-2</v>
      </c>
      <c r="AC104">
        <v>5.00406170432331E-2</v>
      </c>
      <c r="AD104">
        <v>4.1624110950215003E-2</v>
      </c>
      <c r="AE104">
        <v>3.2393465427846477E-2</v>
      </c>
      <c r="AF104">
        <v>2.2380986889324557E-2</v>
      </c>
      <c r="AG104">
        <v>1.1495586252424734E-2</v>
      </c>
      <c r="AH104">
        <v>-2.1932372906383521E-4</v>
      </c>
      <c r="AI104">
        <v>-1.2632947804118911E-2</v>
      </c>
      <c r="AJ104">
        <v>-2.5859358974712275E-2</v>
      </c>
      <c r="AK104">
        <v>-3.9650266538461022E-2</v>
      </c>
      <c r="AL104">
        <v>-5.4040764637816048E-2</v>
      </c>
      <c r="AM104">
        <v>-6.8847273981930524E-2</v>
      </c>
      <c r="AN104">
        <v>-8.3897609163384138E-2</v>
      </c>
      <c r="AO104">
        <v>-9.9072915054111615E-2</v>
      </c>
      <c r="AP104">
        <v>-0.11399388314447789</v>
      </c>
      <c r="AQ104">
        <v>-0.12859977327869332</v>
      </c>
      <c r="AR104">
        <v>-0.1425795165992417</v>
      </c>
      <c r="AS104">
        <v>-0.15563648752207829</v>
      </c>
      <c r="AT104">
        <v>-0.16758530422541046</v>
      </c>
      <c r="AU104">
        <v>-0.17819415464537861</v>
      </c>
      <c r="AV104">
        <v>-0.1872097050954869</v>
      </c>
      <c r="AW104">
        <v>-0.19451410244599585</v>
      </c>
      <c r="AX104">
        <v>-0.19991081770559463</v>
      </c>
      <c r="AY104">
        <v>-0.20330959214341127</v>
      </c>
      <c r="AZ104">
        <v>-0.20473554550589154</v>
      </c>
      <c r="BA104">
        <v>-0.20404531421539712</v>
      </c>
      <c r="BB104">
        <v>-0.20129265780288472</v>
      </c>
      <c r="BC104">
        <v>-0.19647932394797857</v>
      </c>
      <c r="BD104">
        <v>-0.18969088918695642</v>
      </c>
      <c r="BE104">
        <v>-0.18100954227375546</v>
      </c>
      <c r="BF104">
        <v>-0.17048926939641065</v>
      </c>
      <c r="BG104">
        <v>-0.15817799089341489</v>
      </c>
      <c r="BH104">
        <v>-0.14411827737027669</v>
      </c>
      <c r="BI104">
        <v>-0.12835401900501966</v>
      </c>
      <c r="BJ104">
        <v>-0.11088873927532863</v>
      </c>
      <c r="BK104">
        <v>-9.1728345561285049E-2</v>
      </c>
      <c r="BL104">
        <v>-7.0854611260433284E-2</v>
      </c>
      <c r="BM104">
        <v>-4.8189264583315135E-2</v>
      </c>
      <c r="BN104">
        <v>-2.3740072473435788E-2</v>
      </c>
      <c r="BO104">
        <v>2.622573317084903E-3</v>
      </c>
      <c r="BP104">
        <v>3.0946270661026357E-2</v>
      </c>
      <c r="BQ104">
        <v>6.1290850500248052E-2</v>
      </c>
      <c r="BR104">
        <v>9.382390886656021E-2</v>
      </c>
      <c r="BS104">
        <v>0.1285321276354178</v>
      </c>
      <c r="BT104">
        <v>0.16548672773612033</v>
      </c>
      <c r="BU104">
        <v>0.20472698618214424</v>
      </c>
      <c r="BV104">
        <v>0.24619505761662017</v>
      </c>
      <c r="BW104">
        <v>0.28981456983412041</v>
      </c>
      <c r="BX104">
        <v>0.33542336111938897</v>
      </c>
      <c r="BY104">
        <v>0.38271323982269717</v>
      </c>
      <c r="BZ104">
        <v>0.43137070691835899</v>
      </c>
      <c r="CA104">
        <v>0.48084787065544454</v>
      </c>
      <c r="CB104">
        <v>0.53061853183535312</v>
      </c>
      <c r="CC104">
        <v>0.57998123410919511</v>
      </c>
      <c r="CD104">
        <v>0.62822478407481619</v>
      </c>
      <c r="CE104">
        <v>0.67465628387167142</v>
      </c>
      <c r="CF104">
        <v>0.71862934218132135</v>
      </c>
      <c r="CG104">
        <v>0.7596270448366168</v>
      </c>
      <c r="CH104">
        <v>0.79718244509690595</v>
      </c>
      <c r="CI104">
        <v>0.83109002744570226</v>
      </c>
      <c r="CJ104">
        <v>0.86119293271480346</v>
      </c>
      <c r="CK104">
        <v>0.88754106539429634</v>
      </c>
      <c r="CL104">
        <v>0.91024403205181803</v>
      </c>
      <c r="CM104">
        <v>0.9295395299795729</v>
      </c>
      <c r="CN104">
        <v>0.94570734821081737</v>
      </c>
      <c r="CO104">
        <v>0.95905161931058747</v>
      </c>
      <c r="CP104">
        <v>0.96990297279303317</v>
      </c>
      <c r="CQ104">
        <v>0.97857272250977967</v>
      </c>
      <c r="CR104">
        <v>0.98535819311358186</v>
      </c>
      <c r="CS104">
        <v>0.99054041758819655</v>
      </c>
      <c r="CT104">
        <v>0.99436407199795929</v>
      </c>
      <c r="CU104">
        <v>0.9970461458370552</v>
      </c>
      <c r="CV104">
        <v>0.9987753861284675</v>
      </c>
      <c r="CW104">
        <v>0.99971364786575734</v>
      </c>
      <c r="CX104">
        <v>1</v>
      </c>
      <c r="CY104">
        <v>0.99974830772987289</v>
      </c>
      <c r="CZ104">
        <v>0.99905483254739835</v>
      </c>
      <c r="DA104">
        <v>0.9979964256877909</v>
      </c>
      <c r="DB104">
        <v>0.99663574429399815</v>
      </c>
      <c r="DC104">
        <v>0.99502260592694958</v>
      </c>
      <c r="DD104">
        <v>0.99319020972590477</v>
      </c>
      <c r="DE104">
        <v>0.99116643850424646</v>
      </c>
      <c r="DF104">
        <v>0.98896401164780012</v>
      </c>
      <c r="DG104">
        <v>0.98658350044137166</v>
      </c>
      <c r="DH104">
        <v>0.9840190587173695</v>
      </c>
      <c r="DI104">
        <v>0.98124514191743395</v>
      </c>
      <c r="DJ104">
        <v>0.97823042865764265</v>
      </c>
      <c r="DK104">
        <v>0.97491164242427331</v>
      </c>
      <c r="DL104">
        <v>0.97120883651552659</v>
      </c>
      <c r="DM104">
        <v>0.96699796382251513</v>
      </c>
      <c r="DN104">
        <v>0.96209772127546678</v>
      </c>
      <c r="DO104">
        <v>0.95623894552796407</v>
      </c>
      <c r="DP104">
        <v>0.94899795847447099</v>
      </c>
    </row>
    <row r="105" spans="1:120" x14ac:dyDescent="0.2">
      <c r="A105">
        <v>-3.8608744439580657E-2</v>
      </c>
      <c r="B105">
        <v>-1.4958697197809252E-2</v>
      </c>
      <c r="C105">
        <v>5.4399354100923914E-3</v>
      </c>
      <c r="D105">
        <v>1.9541834911858603E-2</v>
      </c>
      <c r="E105">
        <v>2.9398068761189201E-2</v>
      </c>
      <c r="F105">
        <v>3.6754136766924822E-2</v>
      </c>
      <c r="G105">
        <v>4.2534179255917189E-2</v>
      </c>
      <c r="H105">
        <v>4.7435524282962993E-2</v>
      </c>
      <c r="I105">
        <v>5.1799904978735475E-2</v>
      </c>
      <c r="J105">
        <v>5.5889682321323644E-2</v>
      </c>
      <c r="K105">
        <v>5.9821708983852438E-2</v>
      </c>
      <c r="L105">
        <v>6.3672984884445713E-2</v>
      </c>
      <c r="M105">
        <v>6.7444519761861124E-2</v>
      </c>
      <c r="N105">
        <v>7.1040617405516995E-2</v>
      </c>
      <c r="O105">
        <v>7.4496391301817413E-2</v>
      </c>
      <c r="P105">
        <v>7.7579642908488913E-2</v>
      </c>
      <c r="Q105">
        <v>8.0216671134585832E-2</v>
      </c>
      <c r="R105">
        <v>8.2221104406435513E-2</v>
      </c>
      <c r="S105">
        <v>8.3489218625372494E-2</v>
      </c>
      <c r="T105">
        <v>8.3861328278205624E-2</v>
      </c>
      <c r="U105">
        <v>8.3396782626921587E-2</v>
      </c>
      <c r="V105">
        <v>8.1938875413265458E-2</v>
      </c>
      <c r="W105">
        <v>7.958950129507962E-2</v>
      </c>
      <c r="X105">
        <v>7.6268440725108952E-2</v>
      </c>
      <c r="Y105">
        <v>7.2169338372315497E-2</v>
      </c>
      <c r="Z105">
        <v>6.7227742660144307E-2</v>
      </c>
      <c r="AA105">
        <v>6.1384479797252776E-2</v>
      </c>
      <c r="AB105">
        <v>5.4773212732852079E-2</v>
      </c>
      <c r="AC105">
        <v>4.7375838405101907E-2</v>
      </c>
      <c r="AD105">
        <v>3.9080788390242087E-2</v>
      </c>
      <c r="AE105">
        <v>2.99216235788098E-2</v>
      </c>
      <c r="AF105">
        <v>1.9927772879301382E-2</v>
      </c>
      <c r="AG105">
        <v>9.0062724527840178E-3</v>
      </c>
      <c r="AH105">
        <v>-2.8005721877586696E-3</v>
      </c>
      <c r="AI105">
        <v>-1.536619265414688E-2</v>
      </c>
      <c r="AJ105">
        <v>-2.8804431133228434E-2</v>
      </c>
      <c r="AK105">
        <v>-4.2869256272715622E-2</v>
      </c>
      <c r="AL105">
        <v>-5.7596565779047551E-2</v>
      </c>
      <c r="AM105">
        <v>-7.280439887066921E-2</v>
      </c>
      <c r="AN105">
        <v>-8.8317684477293559E-2</v>
      </c>
      <c r="AO105">
        <v>-0.10401902435896977</v>
      </c>
      <c r="AP105">
        <v>-0.11952614423753558</v>
      </c>
      <c r="AQ105">
        <v>-0.13477443379402951</v>
      </c>
      <c r="AR105">
        <v>-0.14944709382817331</v>
      </c>
      <c r="AS105">
        <v>-0.16324264735237062</v>
      </c>
      <c r="AT105">
        <v>-0.17596428205922088</v>
      </c>
      <c r="AU105">
        <v>-0.18737350607200262</v>
      </c>
      <c r="AV105">
        <v>-0.19720671137100645</v>
      </c>
      <c r="AW105">
        <v>-0.20533510231298777</v>
      </c>
      <c r="AX105">
        <v>-0.21155245440617235</v>
      </c>
      <c r="AY105">
        <v>-0.21575836425550135</v>
      </c>
      <c r="AZ105">
        <v>-0.21796898101631806</v>
      </c>
      <c r="BA105">
        <v>-0.21803391663123672</v>
      </c>
      <c r="BB105">
        <v>-0.21599948792288062</v>
      </c>
      <c r="BC105">
        <v>-0.21186472362951478</v>
      </c>
      <c r="BD105">
        <v>-0.20571081977777547</v>
      </c>
      <c r="BE105">
        <v>-0.19761747331270796</v>
      </c>
      <c r="BF105">
        <v>-0.18763841995555799</v>
      </c>
      <c r="BG105">
        <v>-0.17582172096036619</v>
      </c>
      <c r="BH105">
        <v>-0.16221159485968298</v>
      </c>
      <c r="BI105">
        <v>-0.14685277180799727</v>
      </c>
      <c r="BJ105">
        <v>-0.12975075343227252</v>
      </c>
      <c r="BK105">
        <v>-0.11091344459331322</v>
      </c>
      <c r="BL105">
        <v>-9.0325363393649133E-2</v>
      </c>
      <c r="BM105">
        <v>-6.7909534523565282E-2</v>
      </c>
      <c r="BN105">
        <v>-4.3675204669705835E-2</v>
      </c>
      <c r="BO105">
        <v>-1.7493777282306014E-2</v>
      </c>
      <c r="BP105">
        <v>1.0682319836181725E-2</v>
      </c>
      <c r="BQ105">
        <v>4.0914409602559959E-2</v>
      </c>
      <c r="BR105">
        <v>7.3371327986937074E-2</v>
      </c>
      <c r="BS105">
        <v>0.10804267381930847</v>
      </c>
      <c r="BT105">
        <v>0.14500314195363251</v>
      </c>
      <c r="BU105">
        <v>0.18429708242756246</v>
      </c>
      <c r="BV105">
        <v>0.22587209477845152</v>
      </c>
      <c r="BW105">
        <v>0.26965774737554327</v>
      </c>
      <c r="BX105">
        <v>0.31549852095091518</v>
      </c>
      <c r="BY105">
        <v>0.36309294215558841</v>
      </c>
      <c r="BZ105">
        <v>0.41213347663725391</v>
      </c>
      <c r="CA105">
        <v>0.46207668376922334</v>
      </c>
      <c r="CB105">
        <v>0.51239974685256651</v>
      </c>
      <c r="CC105">
        <v>0.56240093257691248</v>
      </c>
      <c r="CD105">
        <v>0.61136584528166682</v>
      </c>
      <c r="CE105">
        <v>0.65859551275512962</v>
      </c>
      <c r="CF105">
        <v>0.70343443469032974</v>
      </c>
      <c r="CG105">
        <v>0.74535407816100707</v>
      </c>
      <c r="CH105">
        <v>0.78387263919894468</v>
      </c>
      <c r="CI105">
        <v>0.81877175173113137</v>
      </c>
      <c r="CJ105">
        <v>0.84987896644768857</v>
      </c>
      <c r="CK105">
        <v>0.8772316396469958</v>
      </c>
      <c r="CL105">
        <v>0.90092653206253426</v>
      </c>
      <c r="CM105">
        <v>0.92119189290918257</v>
      </c>
      <c r="CN105">
        <v>0.93829957567147193</v>
      </c>
      <c r="CO105">
        <v>0.95254736591473599</v>
      </c>
      <c r="CP105">
        <v>0.96426242909632975</v>
      </c>
      <c r="CQ105">
        <v>0.97375318460587856</v>
      </c>
      <c r="CR105">
        <v>0.9813155584884472</v>
      </c>
      <c r="CS105">
        <v>0.98723140001857201</v>
      </c>
      <c r="CT105">
        <v>0.9917458546452399</v>
      </c>
      <c r="CU105">
        <v>0.99507726675019781</v>
      </c>
      <c r="CV105">
        <v>0.99741605727772242</v>
      </c>
      <c r="CW105">
        <v>0.99892568200427578</v>
      </c>
      <c r="CX105">
        <v>0.99974830772987289</v>
      </c>
      <c r="CY105">
        <v>1</v>
      </c>
      <c r="CZ105">
        <v>0.99977830178533245</v>
      </c>
      <c r="DA105">
        <v>0.99916323499472059</v>
      </c>
      <c r="DB105">
        <v>0.99821927200235172</v>
      </c>
      <c r="DC105">
        <v>0.99699795011731795</v>
      </c>
      <c r="DD105">
        <v>0.99553517751238907</v>
      </c>
      <c r="DE105">
        <v>0.99385989536259589</v>
      </c>
      <c r="DF105">
        <v>0.9919869433885492</v>
      </c>
      <c r="DG105">
        <v>0.98991875786869432</v>
      </c>
      <c r="DH105">
        <v>0.9876507395188906</v>
      </c>
      <c r="DI105">
        <v>0.98515921452879007</v>
      </c>
      <c r="DJ105">
        <v>0.98241400684255187</v>
      </c>
      <c r="DK105">
        <v>0.97935365022694387</v>
      </c>
      <c r="DL105">
        <v>0.97589951332453917</v>
      </c>
      <c r="DM105">
        <v>0.9719291230564624</v>
      </c>
      <c r="DN105">
        <v>0.96726329696553925</v>
      </c>
      <c r="DO105">
        <v>0.96163462425817559</v>
      </c>
      <c r="DP105">
        <v>0.95462163149122292</v>
      </c>
    </row>
    <row r="106" spans="1:120" x14ac:dyDescent="0.2">
      <c r="A106">
        <v>-4.0508795478807327E-2</v>
      </c>
      <c r="B106">
        <v>-1.9173431794350059E-2</v>
      </c>
      <c r="C106">
        <v>-4.0900558638804308E-5</v>
      </c>
      <c r="D106">
        <v>1.3493780226387628E-2</v>
      </c>
      <c r="E106">
        <v>2.3077948254377464E-2</v>
      </c>
      <c r="F106">
        <v>3.0287894823101669E-2</v>
      </c>
      <c r="G106">
        <v>3.5979049954219529E-2</v>
      </c>
      <c r="H106">
        <v>4.0828338284433614E-2</v>
      </c>
      <c r="I106">
        <v>4.5166047755881705E-2</v>
      </c>
      <c r="J106">
        <v>4.9253065133480309E-2</v>
      </c>
      <c r="K106">
        <v>5.3210597227881469E-2</v>
      </c>
      <c r="L106">
        <v>5.7113716185867955E-2</v>
      </c>
      <c r="M106">
        <v>6.0966520558522815E-2</v>
      </c>
      <c r="N106">
        <v>6.467567135701871E-2</v>
      </c>
      <c r="O106">
        <v>6.8278553792771313E-2</v>
      </c>
      <c r="P106">
        <v>7.1543052535675902E-2</v>
      </c>
      <c r="Q106">
        <v>7.4396746778361555E-2</v>
      </c>
      <c r="R106">
        <v>7.6652368700841064E-2</v>
      </c>
      <c r="S106">
        <v>7.8202804065433007E-2</v>
      </c>
      <c r="T106">
        <v>7.8883501631630215E-2</v>
      </c>
      <c r="U106">
        <v>7.8743123607314766E-2</v>
      </c>
      <c r="V106">
        <v>7.7618503203446723E-2</v>
      </c>
      <c r="W106">
        <v>7.5600239841773179E-2</v>
      </c>
      <c r="X106">
        <v>7.2598401898088555E-2</v>
      </c>
      <c r="Y106">
        <v>6.8798133085218455E-2</v>
      </c>
      <c r="Z106">
        <v>6.4128439277956861E-2</v>
      </c>
      <c r="AA106">
        <v>5.8524314900075168E-2</v>
      </c>
      <c r="AB106">
        <v>5.2115730534947412E-2</v>
      </c>
      <c r="AC106">
        <v>4.4878226212427305E-2</v>
      </c>
      <c r="AD106">
        <v>3.6701702653283118E-2</v>
      </c>
      <c r="AE106">
        <v>2.7615683978159368E-2</v>
      </c>
      <c r="AF106">
        <v>1.7646814560456345E-2</v>
      </c>
      <c r="AG106">
        <v>6.7005685479430664E-3</v>
      </c>
      <c r="AH106">
        <v>-5.1818373521228638E-3</v>
      </c>
      <c r="AI106">
        <v>-1.7877804383642878E-2</v>
      </c>
      <c r="AJ106">
        <v>-3.1500869583245834E-2</v>
      </c>
      <c r="AK106">
        <v>-4.5807332447504921E-2</v>
      </c>
      <c r="AL106">
        <v>-6.0833701167531999E-2</v>
      </c>
      <c r="AM106">
        <v>-7.6399788088127474E-2</v>
      </c>
      <c r="AN106">
        <v>-9.2327890694286957E-2</v>
      </c>
      <c r="AO106">
        <v>-0.10850204839208193</v>
      </c>
      <c r="AP106">
        <v>-0.124537608677198</v>
      </c>
      <c r="AQ106">
        <v>-0.14036640289867108</v>
      </c>
      <c r="AR106">
        <v>-0.15566652580343895</v>
      </c>
      <c r="AS106">
        <v>-0.17013238141190859</v>
      </c>
      <c r="AT106">
        <v>-0.18355666636496187</v>
      </c>
      <c r="AU106">
        <v>-0.19569493635959861</v>
      </c>
      <c r="AV106">
        <v>-0.20627433615909199</v>
      </c>
      <c r="AW106">
        <v>-0.21515596616430596</v>
      </c>
      <c r="AX106">
        <v>-0.22212493871675126</v>
      </c>
      <c r="AY106">
        <v>-0.2270714852942895</v>
      </c>
      <c r="AZ106">
        <v>-0.23000347721944023</v>
      </c>
      <c r="BA106">
        <v>-0.23076412987629358</v>
      </c>
      <c r="BB106">
        <v>-0.22939289182572206</v>
      </c>
      <c r="BC106">
        <v>-0.22588625944708388</v>
      </c>
      <c r="BD106">
        <v>-0.22032130550722259</v>
      </c>
      <c r="BE106">
        <v>-0.21277537813692157</v>
      </c>
      <c r="BF106">
        <v>-0.20330187072305728</v>
      </c>
      <c r="BG106">
        <v>-0.19194898109014513</v>
      </c>
      <c r="BH106">
        <v>-0.1787624040877234</v>
      </c>
      <c r="BI106">
        <v>-0.16378752739693683</v>
      </c>
      <c r="BJ106">
        <v>-0.14703170474209931</v>
      </c>
      <c r="BK106">
        <v>-0.12850459371241746</v>
      </c>
      <c r="BL106">
        <v>-0.10819332807757721</v>
      </c>
      <c r="BM106">
        <v>-8.6022059029981085E-2</v>
      </c>
      <c r="BN106">
        <v>-6.2001392012468438E-2</v>
      </c>
      <c r="BO106">
        <v>-3.600375690641907E-2</v>
      </c>
      <c r="BP106">
        <v>-7.9816159063578525E-3</v>
      </c>
      <c r="BQ106">
        <v>2.2127772896419415E-2</v>
      </c>
      <c r="BR106">
        <v>5.4494241013217953E-2</v>
      </c>
      <c r="BS106">
        <v>8.911016021610102E-2</v>
      </c>
      <c r="BT106">
        <v>0.1260533203383766</v>
      </c>
      <c r="BU106">
        <v>0.16537284503425201</v>
      </c>
      <c r="BV106">
        <v>0.20702137674046583</v>
      </c>
      <c r="BW106">
        <v>0.25093401832756324</v>
      </c>
      <c r="BX106">
        <v>0.29696151044345848</v>
      </c>
      <c r="BY106">
        <v>0.34480880025065624</v>
      </c>
      <c r="BZ106">
        <v>0.3941740279510953</v>
      </c>
      <c r="CA106">
        <v>0.44451824226075481</v>
      </c>
      <c r="CB106">
        <v>0.4953220686769344</v>
      </c>
      <c r="CC106">
        <v>0.54588395401463596</v>
      </c>
      <c r="CD106">
        <v>0.5954869608482003</v>
      </c>
      <c r="CE106">
        <v>0.64342695253184035</v>
      </c>
      <c r="CF106">
        <v>0.68904044541985765</v>
      </c>
      <c r="CG106">
        <v>0.73178845224675637</v>
      </c>
      <c r="CH106">
        <v>0.77117573464808431</v>
      </c>
      <c r="CI106">
        <v>0.80697221686594034</v>
      </c>
      <c r="CJ106">
        <v>0.83899112867314174</v>
      </c>
      <c r="CK106">
        <v>0.86725822560711385</v>
      </c>
      <c r="CL106">
        <v>0.89185834466830249</v>
      </c>
      <c r="CM106">
        <v>0.91301089129958601</v>
      </c>
      <c r="CN106">
        <v>0.9309801950109059</v>
      </c>
      <c r="CO106">
        <v>0.94605800350998059</v>
      </c>
      <c r="CP106">
        <v>0.95856811517050178</v>
      </c>
      <c r="CQ106">
        <v>0.968816065174253</v>
      </c>
      <c r="CR106">
        <v>0.97709630288561689</v>
      </c>
      <c r="CS106">
        <v>0.98369133677042975</v>
      </c>
      <c r="CT106">
        <v>0.98884654827724383</v>
      </c>
      <c r="CU106">
        <v>0.99278143647479689</v>
      </c>
      <c r="CV106">
        <v>0.99568786155799516</v>
      </c>
      <c r="CW106">
        <v>0.99773066166950697</v>
      </c>
      <c r="CX106">
        <v>0.99905483254739846</v>
      </c>
      <c r="CY106">
        <v>0.99977830178533256</v>
      </c>
      <c r="CZ106">
        <v>1</v>
      </c>
      <c r="DA106">
        <v>0.99980262863566383</v>
      </c>
      <c r="DB106">
        <v>0.99925242179609997</v>
      </c>
      <c r="DC106">
        <v>0.99840251666905577</v>
      </c>
      <c r="DD106">
        <v>0.99729132067973625</v>
      </c>
      <c r="DE106">
        <v>0.99594880645440298</v>
      </c>
      <c r="DF106">
        <v>0.99439179789421728</v>
      </c>
      <c r="DG106">
        <v>0.99262455579525766</v>
      </c>
      <c r="DH106">
        <v>0.99064369493254312</v>
      </c>
      <c r="DI106">
        <v>0.9884274111679533</v>
      </c>
      <c r="DJ106">
        <v>0.98594667320163898</v>
      </c>
      <c r="DK106">
        <v>0.98314194170280456</v>
      </c>
      <c r="DL106">
        <v>0.979936001451015</v>
      </c>
      <c r="DM106">
        <v>0.9762081786860205</v>
      </c>
      <c r="DN106">
        <v>0.97178166393878518</v>
      </c>
      <c r="DO106">
        <v>0.96639126829111521</v>
      </c>
      <c r="DP106">
        <v>0.95961841115174928</v>
      </c>
    </row>
    <row r="107" spans="1:120" x14ac:dyDescent="0.2">
      <c r="A107">
        <v>-4.2238292178979946E-2</v>
      </c>
      <c r="B107">
        <v>-2.3063374603546086E-2</v>
      </c>
      <c r="C107">
        <v>-5.1188310134664128E-3</v>
      </c>
      <c r="D107">
        <v>7.8794172759524255E-3</v>
      </c>
      <c r="E107">
        <v>1.7203360301247948E-2</v>
      </c>
      <c r="F107">
        <v>2.4271473708150554E-2</v>
      </c>
      <c r="G107">
        <v>2.9874785999101094E-2</v>
      </c>
      <c r="H107">
        <v>3.4670904308145005E-2</v>
      </c>
      <c r="I107">
        <v>3.8979291739298823E-2</v>
      </c>
      <c r="J107">
        <v>4.3059411514346335E-2</v>
      </c>
      <c r="K107">
        <v>4.7036463328443211E-2</v>
      </c>
      <c r="L107">
        <v>5.0983663738160205E-2</v>
      </c>
      <c r="M107">
        <v>5.4907933780233113E-2</v>
      </c>
      <c r="N107">
        <v>5.8718122207236975E-2</v>
      </c>
      <c r="O107">
        <v>6.2453773925207907E-2</v>
      </c>
      <c r="P107">
        <v>6.5882900284951418E-2</v>
      </c>
      <c r="Q107">
        <v>6.893437310949814E-2</v>
      </c>
      <c r="R107">
        <v>7.1420113597854162E-2</v>
      </c>
      <c r="S107">
        <v>7.3230074815328255E-2</v>
      </c>
      <c r="T107">
        <v>7.4195275965937835E-2</v>
      </c>
      <c r="U107">
        <v>7.4354443109878821E-2</v>
      </c>
      <c r="V107">
        <v>7.3538685065169501E-2</v>
      </c>
      <c r="W107">
        <v>7.182795337885467E-2</v>
      </c>
      <c r="X107">
        <v>6.9123428562851863E-2</v>
      </c>
      <c r="Y107">
        <v>6.5602321008388961E-2</v>
      </c>
      <c r="Z107">
        <v>6.1187590645776661E-2</v>
      </c>
      <c r="AA107">
        <v>5.5808843428949075E-2</v>
      </c>
      <c r="AB107">
        <v>4.9592572067135222E-2</v>
      </c>
      <c r="AC107">
        <v>4.2508458282191991E-2</v>
      </c>
      <c r="AD107">
        <v>3.4447816109198275E-2</v>
      </c>
      <c r="AE107">
        <v>2.5436474090048872E-2</v>
      </c>
      <c r="AF107">
        <v>1.5498369531938306E-2</v>
      </c>
      <c r="AG107">
        <v>4.5376973387164501E-3</v>
      </c>
      <c r="AH107">
        <v>-7.4053832776266862E-3</v>
      </c>
      <c r="AI107">
        <v>-2.0212012696203291E-2</v>
      </c>
      <c r="AJ107">
        <v>-3.3995353379161847E-2</v>
      </c>
      <c r="AK107">
        <v>-4.8514048835884338E-2</v>
      </c>
      <c r="AL107">
        <v>-6.380508505207691E-2</v>
      </c>
      <c r="AM107">
        <v>-7.9690139791888631E-2</v>
      </c>
      <c r="AN107">
        <v>-9.5989098111295648E-2</v>
      </c>
      <c r="AO107">
        <v>-0.11258742180553444</v>
      </c>
      <c r="AP107">
        <v>-0.12909856288218016</v>
      </c>
      <c r="AQ107">
        <v>-0.14545110807519721</v>
      </c>
      <c r="AR107">
        <v>-0.16131862085755791</v>
      </c>
      <c r="AS107">
        <v>-0.17639197786066269</v>
      </c>
      <c r="AT107">
        <v>-0.19045427450033234</v>
      </c>
      <c r="AU107">
        <v>-0.20325581164410189</v>
      </c>
      <c r="AV107">
        <v>-0.21451536448051148</v>
      </c>
      <c r="AW107">
        <v>-0.22408475393277127</v>
      </c>
      <c r="AX107">
        <v>-0.23174129874622401</v>
      </c>
      <c r="AY107">
        <v>-0.23736669861717016</v>
      </c>
      <c r="AZ107">
        <v>-0.24096109465106375</v>
      </c>
      <c r="BA107">
        <v>-0.2423619465103401</v>
      </c>
      <c r="BB107">
        <v>-0.2416023199091426</v>
      </c>
      <c r="BC107">
        <v>-0.23867642374089948</v>
      </c>
      <c r="BD107">
        <v>-0.23365743672681566</v>
      </c>
      <c r="BE107">
        <v>-0.22662047119771728</v>
      </c>
      <c r="BF107">
        <v>-0.21761851339473923</v>
      </c>
      <c r="BG107">
        <v>-0.2066999296939859</v>
      </c>
      <c r="BH107">
        <v>-0.19391171039351823</v>
      </c>
      <c r="BI107">
        <v>-0.17929975063415626</v>
      </c>
      <c r="BJ107">
        <v>-0.16287314610304807</v>
      </c>
      <c r="BK107">
        <v>-0.14464308537991449</v>
      </c>
      <c r="BL107">
        <v>-0.1245991738312372</v>
      </c>
      <c r="BM107">
        <v>-0.10266656301146165</v>
      </c>
      <c r="BN107">
        <v>-7.885709847818724E-2</v>
      </c>
      <c r="BO107">
        <v>-5.3044215858468254E-2</v>
      </c>
      <c r="BP107">
        <v>-2.518044497907352E-2</v>
      </c>
      <c r="BQ107">
        <v>4.7983263936727102E-3</v>
      </c>
      <c r="BR107">
        <v>3.7062717357097097E-2</v>
      </c>
      <c r="BS107">
        <v>7.1607709909222619E-2</v>
      </c>
      <c r="BT107">
        <v>0.10851388840061568</v>
      </c>
      <c r="BU107">
        <v>0.14783484282889781</v>
      </c>
      <c r="BV107">
        <v>0.18952792499319843</v>
      </c>
      <c r="BW107">
        <v>0.23353339467434034</v>
      </c>
      <c r="BX107">
        <v>0.27970786037152573</v>
      </c>
      <c r="BY107">
        <v>0.32776244659494452</v>
      </c>
      <c r="BZ107">
        <v>0.37740069238691576</v>
      </c>
      <c r="CA107">
        <v>0.42808814796435701</v>
      </c>
      <c r="CB107">
        <v>0.47930893417053122</v>
      </c>
      <c r="CC107">
        <v>0.53036204662947561</v>
      </c>
      <c r="CD107">
        <v>0.58052861514245058</v>
      </c>
      <c r="CE107">
        <v>0.62910014674909043</v>
      </c>
      <c r="CF107">
        <v>0.67540618299498134</v>
      </c>
      <c r="CG107">
        <v>0.71889833433945394</v>
      </c>
      <c r="CH107">
        <v>0.75906921179241982</v>
      </c>
      <c r="CI107">
        <v>0.79567807780232902</v>
      </c>
      <c r="CJ107">
        <v>0.82852501059526884</v>
      </c>
      <c r="CK107">
        <v>0.85762502611961333</v>
      </c>
      <c r="CL107">
        <v>0.88305189881484569</v>
      </c>
      <c r="CM107">
        <v>0.90501671845791032</v>
      </c>
      <c r="CN107">
        <v>0.92377670249206567</v>
      </c>
      <c r="CO107">
        <v>0.93961787539167196</v>
      </c>
      <c r="CP107">
        <v>0.95286073864065113</v>
      </c>
      <c r="CQ107">
        <v>0.96380796317372175</v>
      </c>
      <c r="CR107">
        <v>0.97275247624832029</v>
      </c>
      <c r="CS107">
        <v>0.97997731069365523</v>
      </c>
      <c r="CT107">
        <v>0.98572788669697398</v>
      </c>
      <c r="CU107">
        <v>0.99022466065001946</v>
      </c>
      <c r="CV107">
        <v>0.99366073335791938</v>
      </c>
      <c r="CW107">
        <v>0.99620213403054403</v>
      </c>
      <c r="CX107">
        <v>0.9979964256877909</v>
      </c>
      <c r="CY107">
        <v>0.99916323499472059</v>
      </c>
      <c r="CZ107">
        <v>0.99980262863566383</v>
      </c>
      <c r="DA107">
        <v>1</v>
      </c>
      <c r="DB107">
        <v>0.99982297072022053</v>
      </c>
      <c r="DC107">
        <v>0.99932629546934171</v>
      </c>
      <c r="DD107">
        <v>0.9985506707555718</v>
      </c>
      <c r="DE107">
        <v>0.99752709429475572</v>
      </c>
      <c r="DF107">
        <v>0.99627423793678571</v>
      </c>
      <c r="DG107">
        <v>0.9947981556308535</v>
      </c>
      <c r="DH107">
        <v>0.99309665976489958</v>
      </c>
      <c r="DI107">
        <v>0.9911498217030712</v>
      </c>
      <c r="DJ107">
        <v>0.98892976182082304</v>
      </c>
      <c r="DK107">
        <v>0.98637897216169834</v>
      </c>
      <c r="DL107">
        <v>0.98342176962460326</v>
      </c>
      <c r="DM107">
        <v>0.97993948977604473</v>
      </c>
      <c r="DN107">
        <v>0.9757579465885251</v>
      </c>
      <c r="DO107">
        <v>0.97061462022608569</v>
      </c>
      <c r="DP107">
        <v>0.96409448581379031</v>
      </c>
    </row>
    <row r="108" spans="1:120" x14ac:dyDescent="0.2">
      <c r="A108">
        <v>-4.3806014280150352E-2</v>
      </c>
      <c r="B108">
        <v>-2.6640958063676324E-2</v>
      </c>
      <c r="C108">
        <v>-9.8074457559500696E-3</v>
      </c>
      <c r="D108">
        <v>2.6849391807487392E-3</v>
      </c>
      <c r="E108">
        <v>1.1760430172264226E-2</v>
      </c>
      <c r="F108">
        <v>1.8690948729632496E-2</v>
      </c>
      <c r="G108">
        <v>2.4207412470861708E-2</v>
      </c>
      <c r="H108">
        <v>2.8949186716976365E-2</v>
      </c>
      <c r="I108">
        <v>3.3225525503813302E-2</v>
      </c>
      <c r="J108">
        <v>3.7294560479414464E-2</v>
      </c>
      <c r="K108">
        <v>4.1285172073915063E-2</v>
      </c>
      <c r="L108">
        <v>4.5268779579182024E-2</v>
      </c>
      <c r="M108">
        <v>4.9254898828646164E-2</v>
      </c>
      <c r="N108">
        <v>5.3154446818756224E-2</v>
      </c>
      <c r="O108">
        <v>5.7008984614183966E-2</v>
      </c>
      <c r="P108">
        <v>6.058672171747069E-2</v>
      </c>
      <c r="Q108">
        <v>6.3817778457706392E-2</v>
      </c>
      <c r="R108">
        <v>6.6513416367740941E-2</v>
      </c>
      <c r="S108">
        <v>6.8560952151300689E-2</v>
      </c>
      <c r="T108">
        <v>6.9787490282482545E-2</v>
      </c>
      <c r="U108">
        <v>7.0222487069610345E-2</v>
      </c>
      <c r="V108">
        <v>6.9692026069362575E-2</v>
      </c>
      <c r="W108">
        <v>6.8266040851016951E-2</v>
      </c>
      <c r="X108">
        <v>6.5837633227911557E-2</v>
      </c>
      <c r="Y108">
        <v>6.2576599144557946E-2</v>
      </c>
      <c r="Z108">
        <v>5.8400338054690207E-2</v>
      </c>
      <c r="AA108">
        <v>5.3233526448985435E-2</v>
      </c>
      <c r="AB108">
        <v>4.7199290059357336E-2</v>
      </c>
      <c r="AC108">
        <v>4.0261978609150935E-2</v>
      </c>
      <c r="AD108">
        <v>3.2314288398907792E-2</v>
      </c>
      <c r="AE108">
        <v>2.3378600632272328E-2</v>
      </c>
      <c r="AF108">
        <v>1.3476251883172793E-2</v>
      </c>
      <c r="AG108">
        <v>2.5104496644438958E-3</v>
      </c>
      <c r="AH108">
        <v>-9.4797485553565833E-3</v>
      </c>
      <c r="AI108">
        <v>-2.2378942863227159E-2</v>
      </c>
      <c r="AJ108">
        <v>-3.6299869645119921E-2</v>
      </c>
      <c r="AK108">
        <v>-5.1003557479735097E-2</v>
      </c>
      <c r="AL108">
        <v>-6.6527320721879724E-2</v>
      </c>
      <c r="AM108">
        <v>-8.2694782581190424E-2</v>
      </c>
      <c r="AN108">
        <v>-9.9323661436272873E-2</v>
      </c>
      <c r="AO108">
        <v>-0.11630080024261095</v>
      </c>
      <c r="AP108">
        <v>-0.13323820024450023</v>
      </c>
      <c r="AQ108">
        <v>-0.15006149868116553</v>
      </c>
      <c r="AR108">
        <v>-0.16644026345750876</v>
      </c>
      <c r="AS108">
        <v>-0.1820624046209281</v>
      </c>
      <c r="AT108">
        <v>-0.19670224447955348</v>
      </c>
      <c r="AU108">
        <v>-0.2101054520631204</v>
      </c>
      <c r="AV108">
        <v>-0.22198331536617269</v>
      </c>
      <c r="AW108">
        <v>-0.23217907990342926</v>
      </c>
      <c r="AX108">
        <v>-0.24046316233567497</v>
      </c>
      <c r="AY108">
        <v>-0.24670940493044208</v>
      </c>
      <c r="AZ108">
        <v>-0.25091081085511585</v>
      </c>
      <c r="BA108">
        <v>-0.2528996666703679</v>
      </c>
      <c r="BB108">
        <v>-0.25270311493510023</v>
      </c>
      <c r="BC108">
        <v>-0.25031328682324422</v>
      </c>
      <c r="BD108">
        <v>-0.24579967007469991</v>
      </c>
      <c r="BE108">
        <v>-0.2392352777555708</v>
      </c>
      <c r="BF108">
        <v>-0.23067263731292628</v>
      </c>
      <c r="BG108">
        <v>-0.22016028087733469</v>
      </c>
      <c r="BH108">
        <v>-0.20774633058821476</v>
      </c>
      <c r="BI108">
        <v>-0.19347705555684544</v>
      </c>
      <c r="BJ108">
        <v>-0.17736316520913067</v>
      </c>
      <c r="BK108">
        <v>-0.15941718393353144</v>
      </c>
      <c r="BL108">
        <v>-0.13963106704533532</v>
      </c>
      <c r="BM108">
        <v>-0.11793081635835143</v>
      </c>
      <c r="BN108">
        <v>-9.4329428069864302E-2</v>
      </c>
      <c r="BO108">
        <v>-6.8701307368018091E-2</v>
      </c>
      <c r="BP108">
        <v>-4.0999066376355399E-2</v>
      </c>
      <c r="BQ108">
        <v>-1.1157274464811044E-2</v>
      </c>
      <c r="BR108">
        <v>2.0995262080736262E-2</v>
      </c>
      <c r="BS108">
        <v>5.5456014226279458E-2</v>
      </c>
      <c r="BT108">
        <v>9.2308069453184677E-2</v>
      </c>
      <c r="BU108">
        <v>0.13160921068975745</v>
      </c>
      <c r="BV108">
        <v>0.17332114835292345</v>
      </c>
      <c r="BW108">
        <v>0.21738895749178533</v>
      </c>
      <c r="BX108">
        <v>0.26367476177637256</v>
      </c>
      <c r="BY108">
        <v>0.31189559674106282</v>
      </c>
      <c r="BZ108">
        <v>0.36176014159467018</v>
      </c>
      <c r="CA108">
        <v>0.41273842500865038</v>
      </c>
      <c r="CB108">
        <v>0.46431809071842639</v>
      </c>
      <c r="CC108">
        <v>0.51579903366774282</v>
      </c>
      <c r="CD108">
        <v>0.56646095828043752</v>
      </c>
      <c r="CE108">
        <v>0.61559175979312153</v>
      </c>
      <c r="CF108">
        <v>0.66251493308307674</v>
      </c>
      <c r="CG108">
        <v>0.70667365184021602</v>
      </c>
      <c r="CH108">
        <v>0.74754958158372653</v>
      </c>
      <c r="CI108">
        <v>0.78489227388115945</v>
      </c>
      <c r="CJ108">
        <v>0.81848975228620668</v>
      </c>
      <c r="CK108">
        <v>0.84834711717406086</v>
      </c>
      <c r="CL108">
        <v>0.87452787529021803</v>
      </c>
      <c r="CM108">
        <v>0.89723533496742647</v>
      </c>
      <c r="CN108">
        <v>0.91671998373028551</v>
      </c>
      <c r="CO108">
        <v>0.9332624156301601</v>
      </c>
      <c r="CP108">
        <v>0.94717994010124951</v>
      </c>
      <c r="CQ108">
        <v>0.95877239951884741</v>
      </c>
      <c r="CR108">
        <v>0.96833114371839979</v>
      </c>
      <c r="CS108">
        <v>0.97613962785714359</v>
      </c>
      <c r="CT108">
        <v>0.98244312075323581</v>
      </c>
      <c r="CU108">
        <v>0.98746288742358157</v>
      </c>
      <c r="CV108">
        <v>0.99139307345056171</v>
      </c>
      <c r="CW108">
        <v>0.99440072920808842</v>
      </c>
      <c r="CX108">
        <v>0.99663574429399815</v>
      </c>
      <c r="CY108">
        <v>0.99821927200235172</v>
      </c>
      <c r="CZ108">
        <v>0.99925242179609997</v>
      </c>
      <c r="DA108">
        <v>0.99982297072022053</v>
      </c>
      <c r="DB108">
        <v>1</v>
      </c>
      <c r="DC108">
        <v>0.99983960074957845</v>
      </c>
      <c r="DD108">
        <v>0.99938467913487516</v>
      </c>
      <c r="DE108">
        <v>0.9986672340227859</v>
      </c>
      <c r="DF108">
        <v>0.99770766855361981</v>
      </c>
      <c r="DG108">
        <v>0.99651381191785182</v>
      </c>
      <c r="DH108">
        <v>0.99508464666923746</v>
      </c>
      <c r="DI108">
        <v>0.99340214528472071</v>
      </c>
      <c r="DJ108">
        <v>0.99143957750878153</v>
      </c>
      <c r="DK108">
        <v>0.98914159664662438</v>
      </c>
      <c r="DL108">
        <v>0.98643415561627701</v>
      </c>
      <c r="DM108">
        <v>0.98320082263671615</v>
      </c>
      <c r="DN108">
        <v>0.97927028802113647</v>
      </c>
      <c r="DO108">
        <v>0.97438313946214727</v>
      </c>
      <c r="DP108">
        <v>0.96812857429170374</v>
      </c>
    </row>
    <row r="109" spans="1:120" x14ac:dyDescent="0.2">
      <c r="A109">
        <v>-4.5220534482386436E-2</v>
      </c>
      <c r="B109">
        <v>-2.9929951350957856E-2</v>
      </c>
      <c r="C109">
        <v>-1.4139302681020816E-2</v>
      </c>
      <c r="D109">
        <v>-2.1261951934231165E-3</v>
      </c>
      <c r="E109">
        <v>6.7108990931502308E-3</v>
      </c>
      <c r="F109">
        <v>1.3507410761320905E-2</v>
      </c>
      <c r="G109">
        <v>1.893792489650039E-2</v>
      </c>
      <c r="H109">
        <v>2.3624485113179095E-2</v>
      </c>
      <c r="I109">
        <v>2.7866610206058261E-2</v>
      </c>
      <c r="J109">
        <v>3.1921137694556956E-2</v>
      </c>
      <c r="K109">
        <v>3.5920230330833823E-2</v>
      </c>
      <c r="L109">
        <v>3.9933572201310726E-2</v>
      </c>
      <c r="M109">
        <v>4.3973034115705266E-2</v>
      </c>
      <c r="N109">
        <v>4.7951390443138078E-2</v>
      </c>
      <c r="O109">
        <v>5.1912102002688761E-2</v>
      </c>
      <c r="P109">
        <v>5.5623589081998791E-2</v>
      </c>
      <c r="Q109">
        <v>5.9017246153333182E-2</v>
      </c>
      <c r="R109">
        <v>6.1903735045034144E-2</v>
      </c>
      <c r="S109">
        <v>6.4168130534938403E-2</v>
      </c>
      <c r="T109">
        <v>6.563403633835313E-2</v>
      </c>
      <c r="U109">
        <v>6.6322310216068645E-2</v>
      </c>
      <c r="V109">
        <v>6.6054667613384452E-2</v>
      </c>
      <c r="W109">
        <v>6.4891627378166408E-2</v>
      </c>
      <c r="X109">
        <v>6.2718960700335932E-2</v>
      </c>
      <c r="Y109">
        <v>5.969956915612671E-2</v>
      </c>
      <c r="Z109">
        <v>5.5745736109215009E-2</v>
      </c>
      <c r="AA109">
        <v>5.0777655487136357E-2</v>
      </c>
      <c r="AB109">
        <v>4.491519300253035E-2</v>
      </c>
      <c r="AC109">
        <v>3.8117873950033083E-2</v>
      </c>
      <c r="AD109">
        <v>3.0279728513317953E-2</v>
      </c>
      <c r="AE109">
        <v>2.1419993181986032E-2</v>
      </c>
      <c r="AF109">
        <v>1.1557438874113162E-2</v>
      </c>
      <c r="AG109">
        <v>5.9461287040905755E-4</v>
      </c>
      <c r="AH109">
        <v>-1.1430535255446387E-2</v>
      </c>
      <c r="AI109">
        <v>-2.4405858251999576E-2</v>
      </c>
      <c r="AJ109">
        <v>-3.8443570087454242E-2</v>
      </c>
      <c r="AK109">
        <v>-5.3307078286681644E-2</v>
      </c>
      <c r="AL109">
        <v>-6.9033903475661282E-2</v>
      </c>
      <c r="AM109">
        <v>-8.5449701872862896E-2</v>
      </c>
      <c r="AN109">
        <v>-0.10237017587432816</v>
      </c>
      <c r="AO109">
        <v>-0.11968351913585563</v>
      </c>
      <c r="AP109">
        <v>-0.13700071247320525</v>
      </c>
      <c r="AQ109">
        <v>-0.15424467523159005</v>
      </c>
      <c r="AR109">
        <v>-0.1710814876922653</v>
      </c>
      <c r="AS109">
        <v>-0.18719661786395467</v>
      </c>
      <c r="AT109">
        <v>-0.20235640269694849</v>
      </c>
      <c r="AU109">
        <v>-0.21630244858926206</v>
      </c>
      <c r="AV109">
        <v>-0.22873937250976645</v>
      </c>
      <c r="AW109">
        <v>-0.23950255871752887</v>
      </c>
      <c r="AX109">
        <v>-0.24835633841477894</v>
      </c>
      <c r="AY109">
        <v>-0.25516741202900162</v>
      </c>
      <c r="AZ109">
        <v>-0.25992216091100134</v>
      </c>
      <c r="BA109">
        <v>-0.26244826565572649</v>
      </c>
      <c r="BB109">
        <v>-0.26276743102253264</v>
      </c>
      <c r="BC109">
        <v>-0.26086988738956035</v>
      </c>
      <c r="BD109">
        <v>-0.25682171146576227</v>
      </c>
      <c r="BE109">
        <v>-0.25069390750881038</v>
      </c>
      <c r="BF109">
        <v>-0.2425385020306067</v>
      </c>
      <c r="BG109">
        <v>-0.23240422368227334</v>
      </c>
      <c r="BH109">
        <v>-0.22034018522602236</v>
      </c>
      <c r="BI109">
        <v>-0.20639288764045421</v>
      </c>
      <c r="BJ109">
        <v>-0.1905745820077559</v>
      </c>
      <c r="BK109">
        <v>-0.17289891264304358</v>
      </c>
      <c r="BL109">
        <v>-0.15336006970793783</v>
      </c>
      <c r="BM109">
        <v>-0.13188477011879768</v>
      </c>
      <c r="BN109">
        <v>-0.10848706414039737</v>
      </c>
      <c r="BO109">
        <v>-8.3042300107236539E-2</v>
      </c>
      <c r="BP109">
        <v>-5.5503189012793754E-2</v>
      </c>
      <c r="BQ109">
        <v>-2.5803024551482846E-2</v>
      </c>
      <c r="BR109">
        <v>6.2297789369423614E-3</v>
      </c>
      <c r="BS109">
        <v>4.0595075719012601E-2</v>
      </c>
      <c r="BT109">
        <v>7.7378149881141112E-2</v>
      </c>
      <c r="BU109">
        <v>0.11664072725114046</v>
      </c>
      <c r="BV109">
        <v>0.15834857706108582</v>
      </c>
      <c r="BW109">
        <v>0.20245124292668637</v>
      </c>
      <c r="BX109">
        <v>0.24881600846397314</v>
      </c>
      <c r="BY109">
        <v>0.2971655836130121</v>
      </c>
      <c r="BZ109">
        <v>0.34721351274123163</v>
      </c>
      <c r="CA109">
        <v>0.39843429456727081</v>
      </c>
      <c r="CB109">
        <v>0.45031909845977425</v>
      </c>
      <c r="CC109">
        <v>0.50216901646339152</v>
      </c>
      <c r="CD109">
        <v>0.55326281283588952</v>
      </c>
      <c r="CE109">
        <v>0.60288546766811224</v>
      </c>
      <c r="CF109">
        <v>0.65035529998792807</v>
      </c>
      <c r="CG109">
        <v>0.69510793812180427</v>
      </c>
      <c r="CH109">
        <v>0.73661524243193521</v>
      </c>
      <c r="CI109">
        <v>0.7746179812870142</v>
      </c>
      <c r="CJ109">
        <v>0.80889315085131241</v>
      </c>
      <c r="CK109">
        <v>0.83943672139482439</v>
      </c>
      <c r="CL109">
        <v>0.86630271955102545</v>
      </c>
      <c r="CM109">
        <v>0.88968716138942083</v>
      </c>
      <c r="CN109">
        <v>0.90983418967732621</v>
      </c>
      <c r="CO109">
        <v>0.92701927912120408</v>
      </c>
      <c r="CP109">
        <v>0.94155661914304134</v>
      </c>
      <c r="CQ109">
        <v>0.95374328652838813</v>
      </c>
      <c r="CR109">
        <v>0.96386901731409103</v>
      </c>
      <c r="CS109">
        <v>0.97221759383509576</v>
      </c>
      <c r="CT109">
        <v>0.97903397736436082</v>
      </c>
      <c r="CU109">
        <v>0.98454008085312239</v>
      </c>
      <c r="CV109">
        <v>0.98893093022702472</v>
      </c>
      <c r="CW109">
        <v>0.99237444510712691</v>
      </c>
      <c r="CX109">
        <v>0.99502260592694958</v>
      </c>
      <c r="CY109">
        <v>0.99699795011731795</v>
      </c>
      <c r="CZ109">
        <v>0.99840251666905588</v>
      </c>
      <c r="DA109">
        <v>0.9993262954693416</v>
      </c>
      <c r="DB109">
        <v>0.99983960074957834</v>
      </c>
      <c r="DC109">
        <v>1</v>
      </c>
      <c r="DD109">
        <v>0.99985224519099791</v>
      </c>
      <c r="DE109">
        <v>0.99942943408285356</v>
      </c>
      <c r="DF109">
        <v>0.99875357336203452</v>
      </c>
      <c r="DG109">
        <v>0.99783426213713688</v>
      </c>
      <c r="DH109">
        <v>0.99667164282695986</v>
      </c>
      <c r="DI109">
        <v>0.99524961666739831</v>
      </c>
      <c r="DJ109">
        <v>0.99354262185575692</v>
      </c>
      <c r="DK109">
        <v>0.99149760105143692</v>
      </c>
      <c r="DL109">
        <v>0.98904227641011777</v>
      </c>
      <c r="DM109">
        <v>0.98606268395554275</v>
      </c>
      <c r="DN109">
        <v>0.98239066492872396</v>
      </c>
      <c r="DO109">
        <v>0.97777039102110075</v>
      </c>
      <c r="DP109">
        <v>0.97179598801902023</v>
      </c>
    </row>
    <row r="110" spans="1:120" x14ac:dyDescent="0.2">
      <c r="A110">
        <v>-4.6510593166787913E-2</v>
      </c>
      <c r="B110">
        <v>-3.2964925574024723E-2</v>
      </c>
      <c r="C110">
        <v>-1.8149241860110042E-2</v>
      </c>
      <c r="D110">
        <v>-6.5872607703149014E-3</v>
      </c>
      <c r="E110">
        <v>2.0229847949146118E-3</v>
      </c>
      <c r="F110">
        <v>8.6901598775550263E-3</v>
      </c>
      <c r="G110">
        <v>1.4036250678451066E-2</v>
      </c>
      <c r="H110">
        <v>1.8666985204562975E-2</v>
      </c>
      <c r="I110">
        <v>2.2872764561083451E-2</v>
      </c>
      <c r="J110">
        <v>2.6909257526060833E-2</v>
      </c>
      <c r="K110">
        <v>3.0911690904249653E-2</v>
      </c>
      <c r="L110">
        <v>3.4948067859406719E-2</v>
      </c>
      <c r="M110">
        <v>3.903240599091632E-2</v>
      </c>
      <c r="N110">
        <v>4.3079273866433745E-2</v>
      </c>
      <c r="O110">
        <v>4.7133878999154645E-2</v>
      </c>
      <c r="P110">
        <v>5.0964926861760157E-2</v>
      </c>
      <c r="Q110">
        <v>5.4505090712718342E-2</v>
      </c>
      <c r="R110">
        <v>5.7564529070762066E-2</v>
      </c>
      <c r="S110">
        <v>6.0026429198030085E-2</v>
      </c>
      <c r="T110">
        <v>6.1711295179839525E-2</v>
      </c>
      <c r="U110">
        <v>6.2632014010855441E-2</v>
      </c>
      <c r="V110">
        <v>6.2606493052590334E-2</v>
      </c>
      <c r="W110">
        <v>6.1686393958530074E-2</v>
      </c>
      <c r="X110">
        <v>5.9750875593817282E-2</v>
      </c>
      <c r="Y110">
        <v>5.6956356923064271E-2</v>
      </c>
      <c r="Z110">
        <v>5.3210445437619089E-2</v>
      </c>
      <c r="AA110">
        <v>4.8429216449561711E-2</v>
      </c>
      <c r="AB110">
        <v>4.2729390238235049E-2</v>
      </c>
      <c r="AC110">
        <v>3.6066126987572063E-2</v>
      </c>
      <c r="AD110">
        <v>2.8334701921778428E-2</v>
      </c>
      <c r="AE110">
        <v>1.9551512130490025E-2</v>
      </c>
      <c r="AF110">
        <v>9.732799411363997E-3</v>
      </c>
      <c r="AG110">
        <v>-1.2193124012692255E-3</v>
      </c>
      <c r="AH110">
        <v>-1.3267991949824592E-2</v>
      </c>
      <c r="AI110">
        <v>-2.6304068091040664E-2</v>
      </c>
      <c r="AJ110">
        <v>-4.0439235814329157E-2</v>
      </c>
      <c r="AK110">
        <v>-5.5439299671066325E-2</v>
      </c>
      <c r="AL110">
        <v>-7.1341815664275499E-2</v>
      </c>
      <c r="AM110">
        <v>-8.7974563760277555E-2</v>
      </c>
      <c r="AN110">
        <v>-0.10515141431433699</v>
      </c>
      <c r="AO110">
        <v>-0.12276186343100398</v>
      </c>
      <c r="AP110">
        <v>-0.14041625959660015</v>
      </c>
      <c r="AQ110">
        <v>-0.15803505841956919</v>
      </c>
      <c r="AR110">
        <v>-0.17528125296758135</v>
      </c>
      <c r="AS110">
        <v>-0.19183840828692519</v>
      </c>
      <c r="AT110">
        <v>-0.2074655551307944</v>
      </c>
      <c r="AU110">
        <v>-0.22190079503690455</v>
      </c>
      <c r="AV110">
        <v>-0.23484282115831628</v>
      </c>
      <c r="AW110">
        <v>-0.24611978587713493</v>
      </c>
      <c r="AX110">
        <v>-0.25549066365827394</v>
      </c>
      <c r="AY110">
        <v>-0.26281565949199337</v>
      </c>
      <c r="AZ110">
        <v>-0.26807502527762184</v>
      </c>
      <c r="BA110">
        <v>-0.27109233429554491</v>
      </c>
      <c r="BB110">
        <v>-0.27188430264840652</v>
      </c>
      <c r="BC110">
        <v>-0.2704394212783644</v>
      </c>
      <c r="BD110">
        <v>-0.26682055090495976</v>
      </c>
      <c r="BE110">
        <v>-0.26109682991985916</v>
      </c>
      <c r="BF110">
        <v>-0.25331968936478794</v>
      </c>
      <c r="BG110">
        <v>-0.24353812060373653</v>
      </c>
      <c r="BH110">
        <v>-0.23180206834231559</v>
      </c>
      <c r="BI110">
        <v>-0.21815814861119368</v>
      </c>
      <c r="BJ110">
        <v>-0.20262006220021928</v>
      </c>
      <c r="BK110">
        <v>-0.18520239049414394</v>
      </c>
      <c r="BL110">
        <v>-0.16590145025983097</v>
      </c>
      <c r="BM110">
        <v>-0.14464453875487779</v>
      </c>
      <c r="BN110">
        <v>-0.12144667119636855</v>
      </c>
      <c r="BO110">
        <v>-9.6184134563934459E-2</v>
      </c>
      <c r="BP110">
        <v>-6.8809731391550194E-2</v>
      </c>
      <c r="BQ110">
        <v>-3.9255521223715624E-2</v>
      </c>
      <c r="BR110">
        <v>-7.3496747908812542E-3</v>
      </c>
      <c r="BS110">
        <v>2.6909910674960989E-2</v>
      </c>
      <c r="BT110">
        <v>6.3610455267817306E-2</v>
      </c>
      <c r="BU110">
        <v>0.10281742776528548</v>
      </c>
      <c r="BV110">
        <v>0.14450034834448963</v>
      </c>
      <c r="BW110">
        <v>0.18861292849666686</v>
      </c>
      <c r="BX110">
        <v>0.23502729198685668</v>
      </c>
      <c r="BY110">
        <v>0.28347161319537634</v>
      </c>
      <c r="BZ110">
        <v>0.33366405045430469</v>
      </c>
      <c r="CA110">
        <v>0.38508354332700429</v>
      </c>
      <c r="CB110">
        <v>0.43722481129675683</v>
      </c>
      <c r="CC110">
        <v>0.48939040400242084</v>
      </c>
      <c r="CD110">
        <v>0.54085860777276251</v>
      </c>
      <c r="CE110">
        <v>0.59091208137914841</v>
      </c>
      <c r="CF110">
        <v>0.63886476416099502</v>
      </c>
      <c r="CG110">
        <v>0.68414557457749114</v>
      </c>
      <c r="CH110">
        <v>0.7262175649724697</v>
      </c>
      <c r="CI110">
        <v>0.76481358722981196</v>
      </c>
      <c r="CJ110">
        <v>0.79970052848200768</v>
      </c>
      <c r="CK110">
        <v>0.83086594581883155</v>
      </c>
      <c r="CL110">
        <v>0.8583550947001839</v>
      </c>
      <c r="CM110">
        <v>0.88235716518656215</v>
      </c>
      <c r="CN110">
        <v>0.90311028694712647</v>
      </c>
      <c r="CO110">
        <v>0.9208850824486613</v>
      </c>
      <c r="CP110">
        <v>0.9359927275333888</v>
      </c>
      <c r="CQ110">
        <v>0.94872756391937085</v>
      </c>
      <c r="CR110">
        <v>0.95937768356863107</v>
      </c>
      <c r="CS110">
        <v>0.96822712713263848</v>
      </c>
      <c r="CT110">
        <v>0.97552038391556606</v>
      </c>
      <c r="CU110">
        <v>0.98147988659509955</v>
      </c>
      <c r="CV110">
        <v>0.98630139626311164</v>
      </c>
      <c r="CW110">
        <v>0.99015354545610967</v>
      </c>
      <c r="CX110">
        <v>0.99319020972590466</v>
      </c>
      <c r="CY110">
        <v>0.99553517751238907</v>
      </c>
      <c r="CZ110">
        <v>0.99729132067973625</v>
      </c>
      <c r="DA110">
        <v>0.99855067075557169</v>
      </c>
      <c r="DB110">
        <v>0.99938467913487528</v>
      </c>
      <c r="DC110">
        <v>0.99985224519099791</v>
      </c>
      <c r="DD110">
        <v>1</v>
      </c>
      <c r="DE110">
        <v>0.99986197060700932</v>
      </c>
      <c r="DF110">
        <v>0.99946175795953418</v>
      </c>
      <c r="DG110">
        <v>0.99881071779812236</v>
      </c>
      <c r="DH110">
        <v>0.997910140957456</v>
      </c>
      <c r="DI110">
        <v>0.99674590008063768</v>
      </c>
      <c r="DJ110">
        <v>0.99529361659190163</v>
      </c>
      <c r="DK110">
        <v>0.99350267140454163</v>
      </c>
      <c r="DL110">
        <v>0.99130267021007479</v>
      </c>
      <c r="DM110">
        <v>0.98858236085293949</v>
      </c>
      <c r="DN110">
        <v>0.98517700582740819</v>
      </c>
      <c r="DO110">
        <v>0.98083483349173883</v>
      </c>
      <c r="DP110">
        <v>0.97515557438246381</v>
      </c>
    </row>
    <row r="111" spans="1:120" x14ac:dyDescent="0.2">
      <c r="A111">
        <v>-4.7674916996723472E-2</v>
      </c>
      <c r="B111">
        <v>-3.5749533188098148E-2</v>
      </c>
      <c r="C111">
        <v>-2.1844377216061854E-2</v>
      </c>
      <c r="D111">
        <v>-1.070757965688993E-2</v>
      </c>
      <c r="E111">
        <v>-2.3140744537807683E-3</v>
      </c>
      <c r="F111">
        <v>4.2274674224377371E-3</v>
      </c>
      <c r="G111">
        <v>9.4900113563021367E-3</v>
      </c>
      <c r="H111">
        <v>1.4063955123823878E-2</v>
      </c>
      <c r="I111">
        <v>1.8231100721855027E-2</v>
      </c>
      <c r="J111">
        <v>2.2246036456145247E-2</v>
      </c>
      <c r="K111">
        <v>2.6246796893655756E-2</v>
      </c>
      <c r="L111">
        <v>3.0299734932849886E-2</v>
      </c>
      <c r="M111">
        <v>3.4420867732540064E-2</v>
      </c>
      <c r="N111">
        <v>3.8526362248223756E-2</v>
      </c>
      <c r="O111">
        <v>4.266313272219445E-2</v>
      </c>
      <c r="P111">
        <v>4.660019385488099E-2</v>
      </c>
      <c r="Q111">
        <v>5.0271470234879302E-2</v>
      </c>
      <c r="R111">
        <v>5.3486720108805404E-2</v>
      </c>
      <c r="S111">
        <v>5.612753363686801E-2</v>
      </c>
      <c r="T111">
        <v>5.8011746604414473E-2</v>
      </c>
      <c r="U111">
        <v>5.9144806668331301E-2</v>
      </c>
      <c r="V111">
        <v>5.9341471682147838E-2</v>
      </c>
      <c r="W111">
        <v>5.8645029122009612E-2</v>
      </c>
      <c r="X111">
        <v>5.6928696368715559E-2</v>
      </c>
      <c r="Y111">
        <v>5.4342889225064167E-2</v>
      </c>
      <c r="Z111">
        <v>5.0790904511740641E-2</v>
      </c>
      <c r="AA111">
        <v>4.6185095245795581E-2</v>
      </c>
      <c r="AB111">
        <v>4.0639126557445317E-2</v>
      </c>
      <c r="AC111">
        <v>3.4104239648673651E-2</v>
      </c>
      <c r="AD111">
        <v>2.6476924378315406E-2</v>
      </c>
      <c r="AE111">
        <v>1.7770955960338636E-2</v>
      </c>
      <c r="AF111">
        <v>8.0001043310862878E-3</v>
      </c>
      <c r="AG111">
        <v>-2.9336421700143361E-3</v>
      </c>
      <c r="AH111">
        <v>-1.4994597227342844E-2</v>
      </c>
      <c r="AI111">
        <v>-2.8076374671439561E-2</v>
      </c>
      <c r="AJ111">
        <v>-4.2290049505556503E-2</v>
      </c>
      <c r="AK111">
        <v>-5.7403867690420649E-2</v>
      </c>
      <c r="AL111">
        <v>-7.3455298215202094E-2</v>
      </c>
      <c r="AM111">
        <v>-9.0274332522574496E-2</v>
      </c>
      <c r="AN111">
        <v>-0.1076731241846597</v>
      </c>
      <c r="AO111">
        <v>-0.12554247512812891</v>
      </c>
      <c r="AP111">
        <v>-0.14349247013848682</v>
      </c>
      <c r="AQ111">
        <v>-0.16144134476075217</v>
      </c>
      <c r="AR111">
        <v>-0.17904943020006236</v>
      </c>
      <c r="AS111">
        <v>-0.19599888732974224</v>
      </c>
      <c r="AT111">
        <v>-0.21204208613405462</v>
      </c>
      <c r="AU111">
        <v>-0.22691417614300446</v>
      </c>
      <c r="AV111">
        <v>-0.24030866048175223</v>
      </c>
      <c r="AW111">
        <v>-0.25204704534861117</v>
      </c>
      <c r="AX111">
        <v>-0.26188370707086722</v>
      </c>
      <c r="AY111">
        <v>-0.269672972110301</v>
      </c>
      <c r="AZ111">
        <v>-0.27538942190256038</v>
      </c>
      <c r="BA111">
        <v>-0.27885301775327409</v>
      </c>
      <c r="BB111">
        <v>-0.28007590245241842</v>
      </c>
      <c r="BC111">
        <v>-0.27904498734495348</v>
      </c>
      <c r="BD111">
        <v>-0.27582014931222243</v>
      </c>
      <c r="BE111">
        <v>-0.27046874609332966</v>
      </c>
      <c r="BF111">
        <v>-0.26304156039222609</v>
      </c>
      <c r="BG111">
        <v>-0.25358786812531375</v>
      </c>
      <c r="BH111">
        <v>-0.24215832237299226</v>
      </c>
      <c r="BI111">
        <v>-0.22879951529403464</v>
      </c>
      <c r="BJ111">
        <v>-0.21352651057933347</v>
      </c>
      <c r="BK111">
        <v>-0.19635463629356936</v>
      </c>
      <c r="BL111">
        <v>-0.17728225713271847</v>
      </c>
      <c r="BM111">
        <v>-0.15623710526855472</v>
      </c>
      <c r="BN111">
        <v>-0.1332350759977052</v>
      </c>
      <c r="BO111">
        <v>-0.10815336159355131</v>
      </c>
      <c r="BP111">
        <v>-8.0944867467804521E-2</v>
      </c>
      <c r="BQ111">
        <v>-5.1540439396313691E-2</v>
      </c>
      <c r="BR111">
        <v>-1.976820361216286E-2</v>
      </c>
      <c r="BS111">
        <v>1.4376120352406508E-2</v>
      </c>
      <c r="BT111">
        <v>5.0981417995714783E-2</v>
      </c>
      <c r="BU111">
        <v>9.0116710613291212E-2</v>
      </c>
      <c r="BV111">
        <v>0.13175495355572445</v>
      </c>
      <c r="BW111">
        <v>0.17585374884270738</v>
      </c>
      <c r="BX111">
        <v>0.22228974430079404</v>
      </c>
      <c r="BY111">
        <v>0.27079634894570592</v>
      </c>
      <c r="BZ111">
        <v>0.32109610118172421</v>
      </c>
      <c r="CA111">
        <v>0.37267236725851721</v>
      </c>
      <c r="CB111">
        <v>0.42502340732695032</v>
      </c>
      <c r="CC111">
        <v>0.47745348375708418</v>
      </c>
      <c r="CD111">
        <v>0.52924080281775221</v>
      </c>
      <c r="CE111">
        <v>0.57966633532079992</v>
      </c>
      <c r="CF111">
        <v>0.62804038759123981</v>
      </c>
      <c r="CG111">
        <v>0.67378594780936085</v>
      </c>
      <c r="CH111">
        <v>0.71635827312429345</v>
      </c>
      <c r="CI111">
        <v>0.75548309280447923</v>
      </c>
      <c r="CJ111">
        <v>0.79091811108352295</v>
      </c>
      <c r="CK111">
        <v>0.82264316341999044</v>
      </c>
      <c r="CL111">
        <v>0.85069543272834258</v>
      </c>
      <c r="CM111">
        <v>0.87525772509434052</v>
      </c>
      <c r="CN111">
        <v>0.89656249295227985</v>
      </c>
      <c r="CO111">
        <v>0.91487579551897358</v>
      </c>
      <c r="CP111">
        <v>0.93050587781407124</v>
      </c>
      <c r="CQ111">
        <v>0.94374438010807016</v>
      </c>
      <c r="CR111">
        <v>0.95487774484361765</v>
      </c>
      <c r="CS111">
        <v>0.96419019350094171</v>
      </c>
      <c r="CT111">
        <v>0.97192560270324913</v>
      </c>
      <c r="CU111">
        <v>0.97830680015025828</v>
      </c>
      <c r="CV111">
        <v>0.98353013495002661</v>
      </c>
      <c r="CW111">
        <v>0.98776482078685857</v>
      </c>
      <c r="CX111">
        <v>0.99116643850424646</v>
      </c>
      <c r="CY111">
        <v>0.993859895362596</v>
      </c>
      <c r="CZ111">
        <v>0.99594880645440298</v>
      </c>
      <c r="DA111">
        <v>0.99752709429475572</v>
      </c>
      <c r="DB111">
        <v>0.99866723402278579</v>
      </c>
      <c r="DC111">
        <v>0.99942943408285356</v>
      </c>
      <c r="DD111">
        <v>0.99986197060700921</v>
      </c>
      <c r="DE111">
        <v>1</v>
      </c>
      <c r="DF111">
        <v>0.99986845680868663</v>
      </c>
      <c r="DG111">
        <v>0.99948055260412882</v>
      </c>
      <c r="DH111">
        <v>0.99883871767868704</v>
      </c>
      <c r="DI111">
        <v>0.99793085032082551</v>
      </c>
      <c r="DJ111">
        <v>0.99673379035316501</v>
      </c>
      <c r="DK111">
        <v>0.99519951979501531</v>
      </c>
      <c r="DL111">
        <v>0.99325968647913621</v>
      </c>
      <c r="DM111">
        <v>0.99080601926586898</v>
      </c>
      <c r="DN111">
        <v>0.98767752845408985</v>
      </c>
      <c r="DO111">
        <v>0.98362702704985261</v>
      </c>
      <c r="DP111">
        <v>0.9782606412529995</v>
      </c>
    </row>
    <row r="112" spans="1:120" x14ac:dyDescent="0.2">
      <c r="A112">
        <v>-4.8715376304141141E-2</v>
      </c>
      <c r="B112">
        <v>-3.8304583890734774E-2</v>
      </c>
      <c r="C112">
        <v>-2.5257320851331255E-2</v>
      </c>
      <c r="D112">
        <v>-1.4525562957842185E-2</v>
      </c>
      <c r="E112">
        <v>-6.3415803986928768E-3</v>
      </c>
      <c r="F112">
        <v>7.6506064576857061E-5</v>
      </c>
      <c r="G112">
        <v>5.2555504569737257E-3</v>
      </c>
      <c r="H112">
        <v>9.7712978636345267E-3</v>
      </c>
      <c r="I112">
        <v>1.3897305034378958E-2</v>
      </c>
      <c r="J112">
        <v>1.7887172797891478E-2</v>
      </c>
      <c r="K112">
        <v>2.188143920680875E-2</v>
      </c>
      <c r="L112">
        <v>2.5944834158424072E-2</v>
      </c>
      <c r="M112">
        <v>3.0095166020942841E-2</v>
      </c>
      <c r="N112">
        <v>3.4250061230633948E-2</v>
      </c>
      <c r="O112">
        <v>3.8458033075139508E-2</v>
      </c>
      <c r="P112">
        <v>4.2488438950395287E-2</v>
      </c>
      <c r="Q112">
        <v>4.627644175140358E-2</v>
      </c>
      <c r="R112">
        <v>4.963148186539558E-2</v>
      </c>
      <c r="S112">
        <v>5.243383545785462E-2</v>
      </c>
      <c r="T112">
        <v>5.4499063046873512E-2</v>
      </c>
      <c r="U112">
        <v>5.5825682061512588E-2</v>
      </c>
      <c r="V112">
        <v>5.62258681828137E-2</v>
      </c>
      <c r="W112">
        <v>5.5734978523994762E-2</v>
      </c>
      <c r="X112">
        <v>5.422091872571827E-2</v>
      </c>
      <c r="Y112">
        <v>5.1828533907315219E-2</v>
      </c>
      <c r="Z112">
        <v>4.8457137576263458E-2</v>
      </c>
      <c r="AA112">
        <v>4.4015733052355732E-2</v>
      </c>
      <c r="AB112">
        <v>3.8615011661957306E-2</v>
      </c>
      <c r="AC112">
        <v>3.2202709091249379E-2</v>
      </c>
      <c r="AD112">
        <v>2.4676490290601587E-2</v>
      </c>
      <c r="AE112">
        <v>1.6047786728717248E-2</v>
      </c>
      <c r="AF112">
        <v>6.3278718586242547E-3</v>
      </c>
      <c r="AG112">
        <v>-4.5810608571493711E-3</v>
      </c>
      <c r="AH112">
        <v>-1.6644523332098458E-2</v>
      </c>
      <c r="AI112">
        <v>-2.9758683165225761E-2</v>
      </c>
      <c r="AJ112">
        <v>-4.4033933209613657E-2</v>
      </c>
      <c r="AK112">
        <v>-5.9240983045424106E-2</v>
      </c>
      <c r="AL112">
        <v>-7.541703344747698E-2</v>
      </c>
      <c r="AM112">
        <v>-9.2394379112733335E-2</v>
      </c>
      <c r="AN112">
        <v>-0.10998359552939199</v>
      </c>
      <c r="AO112">
        <v>-0.12807670289230227</v>
      </c>
      <c r="AP112">
        <v>-0.14628391641211877</v>
      </c>
      <c r="AQ112">
        <v>-0.16452140729068754</v>
      </c>
      <c r="AR112">
        <v>-0.18244724707813034</v>
      </c>
      <c r="AS112">
        <v>-0.19974263419721153</v>
      </c>
      <c r="AT112">
        <v>-0.21615392570371153</v>
      </c>
      <c r="AU112">
        <v>-0.2314137929682781</v>
      </c>
      <c r="AV112">
        <v>-0.24521124622216089</v>
      </c>
      <c r="AW112">
        <v>-0.2573616901496642</v>
      </c>
      <c r="AX112">
        <v>-0.26761562055488702</v>
      </c>
      <c r="AY112">
        <v>-0.27582206754421035</v>
      </c>
      <c r="AZ112">
        <v>-0.2819503869323457</v>
      </c>
      <c r="BA112">
        <v>-0.28581741858372867</v>
      </c>
      <c r="BB112">
        <v>-0.28743113539064818</v>
      </c>
      <c r="BC112">
        <v>-0.2867770401083119</v>
      </c>
      <c r="BD112">
        <v>-0.28391223961451839</v>
      </c>
      <c r="BE112">
        <v>-0.27890243253941693</v>
      </c>
      <c r="BF112">
        <v>-0.27179769315603014</v>
      </c>
      <c r="BG112">
        <v>-0.26264764326072298</v>
      </c>
      <c r="BH112">
        <v>-0.25150353700273748</v>
      </c>
      <c r="BI112">
        <v>-0.23841180544708446</v>
      </c>
      <c r="BJ112">
        <v>-0.22338883210642926</v>
      </c>
      <c r="BK112">
        <v>-0.20645052075316489</v>
      </c>
      <c r="BL112">
        <v>-0.18759719097344379</v>
      </c>
      <c r="BM112">
        <v>-0.16675688044281442</v>
      </c>
      <c r="BN112">
        <v>-0.14394628485382002</v>
      </c>
      <c r="BO112">
        <v>-0.11904348596557666</v>
      </c>
      <c r="BP112">
        <v>-9.2001491203786992E-2</v>
      </c>
      <c r="BQ112">
        <v>-6.2749971558946918E-2</v>
      </c>
      <c r="BR112">
        <v>-3.1117133047449834E-2</v>
      </c>
      <c r="BS112">
        <v>2.9033784621747675E-3</v>
      </c>
      <c r="BT112">
        <v>3.9401871913992685E-2</v>
      </c>
      <c r="BU112">
        <v>7.8450736593618814E-2</v>
      </c>
      <c r="BV112">
        <v>0.1200261110364525</v>
      </c>
      <c r="BW112">
        <v>0.16408920412920672</v>
      </c>
      <c r="BX112">
        <v>0.2105209125913664</v>
      </c>
      <c r="BY112">
        <v>0.25905967841122202</v>
      </c>
      <c r="BZ112">
        <v>0.30943220999265764</v>
      </c>
      <c r="CA112">
        <v>0.36112627687185511</v>
      </c>
      <c r="CB112">
        <v>0.41364370343610513</v>
      </c>
      <c r="CC112">
        <v>0.46629069867313155</v>
      </c>
      <c r="CD112">
        <v>0.5183457928117019</v>
      </c>
      <c r="CE112">
        <v>0.5690888273006145</v>
      </c>
      <c r="CF112">
        <v>0.61782719028342825</v>
      </c>
      <c r="CG112">
        <v>0.66397869746163674</v>
      </c>
      <c r="CH112">
        <v>0.70699170117150234</v>
      </c>
      <c r="CI112">
        <v>0.74658559529737201</v>
      </c>
      <c r="CJ112">
        <v>0.78250972889425696</v>
      </c>
      <c r="CK112">
        <v>0.8147368774766901</v>
      </c>
      <c r="CL112">
        <v>0.84329678731047675</v>
      </c>
      <c r="CM112">
        <v>0.86836629747911775</v>
      </c>
      <c r="CN112">
        <v>0.89017249435584123</v>
      </c>
      <c r="CO112">
        <v>0.90897712606335124</v>
      </c>
      <c r="CP112">
        <v>0.9250855795732823</v>
      </c>
      <c r="CQ112">
        <v>0.93878685503546411</v>
      </c>
      <c r="CR112">
        <v>0.95036569966743034</v>
      </c>
      <c r="CS112">
        <v>0.96010647351705514</v>
      </c>
      <c r="CT112">
        <v>0.96825228507154881</v>
      </c>
      <c r="CU112">
        <v>0.97502625058932946</v>
      </c>
      <c r="CV112">
        <v>0.98062517715512676</v>
      </c>
      <c r="CW112">
        <v>0.9852187287853974</v>
      </c>
      <c r="CX112">
        <v>0.98896401164780023</v>
      </c>
      <c r="CY112">
        <v>0.99198694338854931</v>
      </c>
      <c r="CZ112">
        <v>0.99439179789421728</v>
      </c>
      <c r="DA112">
        <v>0.99627423793678571</v>
      </c>
      <c r="DB112">
        <v>0.9977076685536197</v>
      </c>
      <c r="DC112">
        <v>0.99875357336203452</v>
      </c>
      <c r="DD112">
        <v>0.99946175795953418</v>
      </c>
      <c r="DE112">
        <v>0.99986845680868663</v>
      </c>
      <c r="DF112">
        <v>1</v>
      </c>
      <c r="DG112">
        <v>0.9998713463585861</v>
      </c>
      <c r="DH112">
        <v>0.99948613345015225</v>
      </c>
      <c r="DI112">
        <v>0.99883433872467253</v>
      </c>
      <c r="DJ112">
        <v>0.9978940534256594</v>
      </c>
      <c r="DK112">
        <v>0.99662003287381651</v>
      </c>
      <c r="DL112">
        <v>0.99494611873553329</v>
      </c>
      <c r="DM112">
        <v>0.99276730030542237</v>
      </c>
      <c r="DN112">
        <v>0.98992664738008973</v>
      </c>
      <c r="DO112">
        <v>0.98618209388982159</v>
      </c>
      <c r="DP112">
        <v>0.981146925886212</v>
      </c>
    </row>
    <row r="113" spans="1:120" x14ac:dyDescent="0.2">
      <c r="A113">
        <v>-4.965508556860395E-2</v>
      </c>
      <c r="B113">
        <v>-4.0651182782949526E-2</v>
      </c>
      <c r="C113">
        <v>-2.8405215938652865E-2</v>
      </c>
      <c r="D113">
        <v>-1.8055325466585625E-2</v>
      </c>
      <c r="E113">
        <v>-1.0071803993898967E-2</v>
      </c>
      <c r="F113">
        <v>-3.7739774463593605E-3</v>
      </c>
      <c r="G113">
        <v>1.3221095721972806E-3</v>
      </c>
      <c r="H113">
        <v>5.778409670045166E-3</v>
      </c>
      <c r="I113">
        <v>9.8607530926110663E-3</v>
      </c>
      <c r="J113">
        <v>1.3821872483655774E-2</v>
      </c>
      <c r="K113">
        <v>1.7804613762853215E-2</v>
      </c>
      <c r="L113">
        <v>2.1872117117070856E-2</v>
      </c>
      <c r="M113">
        <v>2.604384896577484E-2</v>
      </c>
      <c r="N113">
        <v>3.0238768691259112E-2</v>
      </c>
      <c r="O113">
        <v>3.450690640176754E-2</v>
      </c>
      <c r="P113">
        <v>3.8618008643709345E-2</v>
      </c>
      <c r="Q113">
        <v>4.2508486872853364E-2</v>
      </c>
      <c r="R113">
        <v>4.5987558572980335E-2</v>
      </c>
      <c r="S113">
        <v>4.893446570531905E-2</v>
      </c>
      <c r="T113">
        <v>5.1162893336443221E-2</v>
      </c>
      <c r="U113">
        <v>5.2664906069714863E-2</v>
      </c>
      <c r="V113">
        <v>5.3250665781578894E-2</v>
      </c>
      <c r="W113">
        <v>5.2948020041047865E-2</v>
      </c>
      <c r="X113">
        <v>5.162018692664911E-2</v>
      </c>
      <c r="Y113">
        <v>4.9406784883997724E-2</v>
      </c>
      <c r="Z113">
        <v>4.6203514170377533E-2</v>
      </c>
      <c r="AA113">
        <v>4.191636769193488E-2</v>
      </c>
      <c r="AB113">
        <v>3.6653104882091614E-2</v>
      </c>
      <c r="AC113">
        <v>3.0358365653258949E-2</v>
      </c>
      <c r="AD113">
        <v>2.2930955438314689E-2</v>
      </c>
      <c r="AE113">
        <v>1.4380174704934554E-2</v>
      </c>
      <c r="AF113">
        <v>4.7148529490266414E-3</v>
      </c>
      <c r="AG113">
        <v>-6.1623951803441487E-3</v>
      </c>
      <c r="AH113">
        <v>-1.8218274858343715E-2</v>
      </c>
      <c r="AI113">
        <v>-3.1351320510361678E-2</v>
      </c>
      <c r="AJ113">
        <v>-4.5671171101103684E-2</v>
      </c>
      <c r="AK113">
        <v>-6.0951029839771291E-2</v>
      </c>
      <c r="AL113">
        <v>-7.7227715535829883E-2</v>
      </c>
      <c r="AM113">
        <v>-9.4335895419296656E-2</v>
      </c>
      <c r="AN113">
        <v>-0.11208466959973647</v>
      </c>
      <c r="AO113">
        <v>-0.13036729655829998</v>
      </c>
      <c r="AP113">
        <v>-0.14879443190704511</v>
      </c>
      <c r="AQ113">
        <v>-0.16728039058136962</v>
      </c>
      <c r="AR113">
        <v>-0.18548136082082808</v>
      </c>
      <c r="AS113">
        <v>-0.20307804789236492</v>
      </c>
      <c r="AT113">
        <v>-0.21981137080319837</v>
      </c>
      <c r="AU113">
        <v>-0.23541200099799717</v>
      </c>
      <c r="AV113">
        <v>-0.24956514117183973</v>
      </c>
      <c r="AW113">
        <v>-0.26208060215516632</v>
      </c>
      <c r="AX113">
        <v>-0.27270568938895667</v>
      </c>
      <c r="AY113">
        <v>-0.28128468706552739</v>
      </c>
      <c r="AZ113">
        <v>-0.28778211723903691</v>
      </c>
      <c r="BA113">
        <v>-0.2920121896857592</v>
      </c>
      <c r="BB113">
        <v>-0.29397908220017888</v>
      </c>
      <c r="BC113">
        <v>-0.29366701656731214</v>
      </c>
      <c r="BD113">
        <v>-0.2911305363935795</v>
      </c>
      <c r="BE113">
        <v>-0.28643379297673438</v>
      </c>
      <c r="BF113">
        <v>-0.27962607654776833</v>
      </c>
      <c r="BG113">
        <v>-0.27075740609589</v>
      </c>
      <c r="BH113">
        <v>-0.25987950965463763</v>
      </c>
      <c r="BI113">
        <v>-0.24703855985913947</v>
      </c>
      <c r="BJ113">
        <v>-0.23225216846734201</v>
      </c>
      <c r="BK113">
        <v>-0.21553665513754994</v>
      </c>
      <c r="BL113">
        <v>-0.19689421299624374</v>
      </c>
      <c r="BM113">
        <v>-0.17625306377403577</v>
      </c>
      <c r="BN113">
        <v>-0.15363063052083828</v>
      </c>
      <c r="BO113">
        <v>-0.12890585027509266</v>
      </c>
      <c r="BP113">
        <v>-0.10203185108825968</v>
      </c>
      <c r="BQ113">
        <v>-7.2937127952775418E-2</v>
      </c>
      <c r="BR113">
        <v>-4.1450151698867524E-2</v>
      </c>
      <c r="BS113">
        <v>-7.5625354679223437E-3</v>
      </c>
      <c r="BT113">
        <v>2.8817185820117733E-2</v>
      </c>
      <c r="BU113">
        <v>6.7764632090896088E-2</v>
      </c>
      <c r="BV113">
        <v>0.10925884640562582</v>
      </c>
      <c r="BW113">
        <v>0.15326441153981063</v>
      </c>
      <c r="BX113">
        <v>0.19966619576923353</v>
      </c>
      <c r="BY113">
        <v>0.24820750752543247</v>
      </c>
      <c r="BZ113">
        <v>0.29861902003770346</v>
      </c>
      <c r="CA113">
        <v>0.35039291245987314</v>
      </c>
      <c r="CB113">
        <v>0.40303459411631953</v>
      </c>
      <c r="CC113">
        <v>0.45585246045631034</v>
      </c>
      <c r="CD113">
        <v>0.50812576110719532</v>
      </c>
      <c r="CE113">
        <v>0.55913376287860184</v>
      </c>
      <c r="CF113">
        <v>0.60818161993204134</v>
      </c>
      <c r="CG113">
        <v>0.65468267900027233</v>
      </c>
      <c r="CH113">
        <v>0.69807928972420008</v>
      </c>
      <c r="CI113">
        <v>0.73808521976490982</v>
      </c>
      <c r="CJ113">
        <v>0.77444227001987531</v>
      </c>
      <c r="CK113">
        <v>0.80711676684692368</v>
      </c>
      <c r="CL113">
        <v>0.83613163173652927</v>
      </c>
      <c r="CM113">
        <v>0.86165813024291582</v>
      </c>
      <c r="CN113">
        <v>0.88391824290532217</v>
      </c>
      <c r="CO113">
        <v>0.90316967076107602</v>
      </c>
      <c r="CP113">
        <v>0.91971500579370369</v>
      </c>
      <c r="CQ113">
        <v>0.93384063055041011</v>
      </c>
      <c r="CR113">
        <v>0.94582957115670463</v>
      </c>
      <c r="CS113">
        <v>0.95596627604958451</v>
      </c>
      <c r="CT113">
        <v>0.96449295340429575</v>
      </c>
      <c r="CU113">
        <v>0.97163287895854045</v>
      </c>
      <c r="CV113">
        <v>0.97758321187583697</v>
      </c>
      <c r="CW113">
        <v>0.98251392900728385</v>
      </c>
      <c r="CX113">
        <v>0.98658350044137166</v>
      </c>
      <c r="CY113">
        <v>0.98991875786869421</v>
      </c>
      <c r="CZ113">
        <v>0.99262455579525755</v>
      </c>
      <c r="DA113">
        <v>0.9947981556308535</v>
      </c>
      <c r="DB113">
        <v>0.99651381191785182</v>
      </c>
      <c r="DC113">
        <v>0.99783426213713688</v>
      </c>
      <c r="DD113">
        <v>0.99881071779812247</v>
      </c>
      <c r="DE113">
        <v>0.99948055260412882</v>
      </c>
      <c r="DF113">
        <v>0.99987134635858621</v>
      </c>
      <c r="DG113">
        <v>1</v>
      </c>
      <c r="DH113">
        <v>0.99987123669561861</v>
      </c>
      <c r="DI113">
        <v>0.99947728076860953</v>
      </c>
      <c r="DJ113">
        <v>0.99879750669636003</v>
      </c>
      <c r="DK113">
        <v>0.99778966842889572</v>
      </c>
      <c r="DL113">
        <v>0.99638998748789098</v>
      </c>
      <c r="DM113">
        <v>0.99449705335056071</v>
      </c>
      <c r="DN113">
        <v>0.9919583886615474</v>
      </c>
      <c r="DO113">
        <v>0.98853768234372863</v>
      </c>
      <c r="DP113">
        <v>0.98385630907933752</v>
      </c>
    </row>
    <row r="114" spans="1:120" x14ac:dyDescent="0.2">
      <c r="A114">
        <v>-5.0478149003888188E-2</v>
      </c>
      <c r="B114">
        <v>-4.2790162660867853E-2</v>
      </c>
      <c r="C114">
        <v>-3.1301579198353011E-2</v>
      </c>
      <c r="D114">
        <v>-2.1317727894708084E-2</v>
      </c>
      <c r="E114">
        <v>-1.3529731687201842E-2</v>
      </c>
      <c r="F114">
        <v>-7.3512862929777404E-3</v>
      </c>
      <c r="G114">
        <v>-2.338906844628542E-3</v>
      </c>
      <c r="H114">
        <v>2.0560714201947146E-3</v>
      </c>
      <c r="I114">
        <v>6.0920233195274629E-3</v>
      </c>
      <c r="J114">
        <v>1.0020836580670878E-2</v>
      </c>
      <c r="K114">
        <v>1.3987412940843541E-2</v>
      </c>
      <c r="L114">
        <v>1.8053252463296147E-2</v>
      </c>
      <c r="M114">
        <v>2.2239308322841274E-2</v>
      </c>
      <c r="N114">
        <v>2.6465713952276732E-2</v>
      </c>
      <c r="O114">
        <v>3.0783928838333044E-2</v>
      </c>
      <c r="P114">
        <v>3.496412426103835E-2</v>
      </c>
      <c r="Q114">
        <v>3.8943922473193358E-2</v>
      </c>
      <c r="R114">
        <v>4.2532391183485729E-2</v>
      </c>
      <c r="S114">
        <v>4.5608038226479575E-2</v>
      </c>
      <c r="T114">
        <v>4.7983005069780045E-2</v>
      </c>
      <c r="U114">
        <v>4.9643363580670341E-2</v>
      </c>
      <c r="V114">
        <v>5.0397820074237723E-2</v>
      </c>
      <c r="W114">
        <v>5.0267093414526287E-2</v>
      </c>
      <c r="X114">
        <v>4.9110304946718197E-2</v>
      </c>
      <c r="Y114">
        <v>4.7062240154966052E-2</v>
      </c>
      <c r="Z114">
        <v>4.4015275148319467E-2</v>
      </c>
      <c r="AA114">
        <v>3.9872738811700899E-2</v>
      </c>
      <c r="AB114">
        <v>3.4739520433918862E-2</v>
      </c>
      <c r="AC114">
        <v>2.8557560159829787E-2</v>
      </c>
      <c r="AD114">
        <v>2.1226761426791693E-2</v>
      </c>
      <c r="AE114">
        <v>1.2754566928642476E-2</v>
      </c>
      <c r="AF114">
        <v>3.1472858354561714E-3</v>
      </c>
      <c r="AG114">
        <v>-7.6916647605403086E-3</v>
      </c>
      <c r="AH114">
        <v>-1.9730261133017533E-2</v>
      </c>
      <c r="AI114">
        <v>-3.2869190681605508E-2</v>
      </c>
      <c r="AJ114">
        <v>-4.7217274746846422E-2</v>
      </c>
      <c r="AK114">
        <v>-6.2550244330112414E-2</v>
      </c>
      <c r="AL114">
        <v>-7.890437871190642E-2</v>
      </c>
      <c r="AM114">
        <v>-9.6116791287366554E-2</v>
      </c>
      <c r="AN114">
        <v>-0.11399525119683279</v>
      </c>
      <c r="AO114">
        <v>-0.13243417070798599</v>
      </c>
      <c r="AP114">
        <v>-0.15104503542009201</v>
      </c>
      <c r="AQ114">
        <v>-0.16974046978128393</v>
      </c>
      <c r="AR114">
        <v>-0.18817511578563675</v>
      </c>
      <c r="AS114">
        <v>-0.20602967605335176</v>
      </c>
      <c r="AT114">
        <v>-0.22304016181928446</v>
      </c>
      <c r="AU114">
        <v>-0.23893572405289118</v>
      </c>
      <c r="AV114">
        <v>-0.25339843761391828</v>
      </c>
      <c r="AW114">
        <v>-0.26623298743143919</v>
      </c>
      <c r="AX114">
        <v>-0.27718416005320951</v>
      </c>
      <c r="AY114">
        <v>-0.2860920778437207</v>
      </c>
      <c r="AZ114">
        <v>-0.29291681216203524</v>
      </c>
      <c r="BA114">
        <v>-0.29747036404612304</v>
      </c>
      <c r="BB114">
        <v>-0.29975353358675361</v>
      </c>
      <c r="BC114">
        <v>-0.29974941208098271</v>
      </c>
      <c r="BD114">
        <v>-0.29751015948854576</v>
      </c>
      <c r="BE114">
        <v>-0.29309849229406099</v>
      </c>
      <c r="BF114">
        <v>-0.2865628440934182</v>
      </c>
      <c r="BG114">
        <v>-0.27795371189104723</v>
      </c>
      <c r="BH114">
        <v>-0.26732317945950035</v>
      </c>
      <c r="BI114">
        <v>-0.2547170243054116</v>
      </c>
      <c r="BJ114">
        <v>-0.24015406413634799</v>
      </c>
      <c r="BK114">
        <v>-0.22365085958590517</v>
      </c>
      <c r="BL114">
        <v>-0.20521138428998889</v>
      </c>
      <c r="BM114">
        <v>-0.18476395364820267</v>
      </c>
      <c r="BN114">
        <v>-0.16232662205488962</v>
      </c>
      <c r="BO114">
        <v>-0.13777917182484187</v>
      </c>
      <c r="BP114">
        <v>-0.1110748530172533</v>
      </c>
      <c r="BQ114">
        <v>-8.2141000752146809E-2</v>
      </c>
      <c r="BR114">
        <v>-5.0806509021148527E-2</v>
      </c>
      <c r="BS114">
        <v>-1.7061003267488679E-2</v>
      </c>
      <c r="BT114">
        <v>1.9187861306254567E-2</v>
      </c>
      <c r="BU114">
        <v>5.8018834316433558E-2</v>
      </c>
      <c r="BV114">
        <v>9.9413592551208185E-2</v>
      </c>
      <c r="BW114">
        <v>0.1433398650526154</v>
      </c>
      <c r="BX114">
        <v>0.18968622983138234</v>
      </c>
      <c r="BY114">
        <v>0.23820070309445104</v>
      </c>
      <c r="BZ114">
        <v>0.28861776283024781</v>
      </c>
      <c r="CA114">
        <v>0.34043398829646754</v>
      </c>
      <c r="CB114">
        <v>0.39315842224572467</v>
      </c>
      <c r="CC114">
        <v>0.44610189323920668</v>
      </c>
      <c r="CD114">
        <v>0.49854476885664045</v>
      </c>
      <c r="CE114">
        <v>0.54976629477701555</v>
      </c>
      <c r="CF114">
        <v>0.59907007870653795</v>
      </c>
      <c r="CG114">
        <v>0.64586568238357378</v>
      </c>
      <c r="CH114">
        <v>0.68959030785052078</v>
      </c>
      <c r="CI114">
        <v>0.72995282087015856</v>
      </c>
      <c r="CJ114">
        <v>0.76668823384934603</v>
      </c>
      <c r="CK114">
        <v>0.7997570263069248</v>
      </c>
      <c r="CL114">
        <v>0.82917587784905089</v>
      </c>
      <c r="CM114">
        <v>0.85511085075272375</v>
      </c>
      <c r="CN114">
        <v>0.87777908151536754</v>
      </c>
      <c r="CO114">
        <v>0.8974344543281344</v>
      </c>
      <c r="CP114">
        <v>0.91437681844019203</v>
      </c>
      <c r="CQ114">
        <v>0.9288899681612397</v>
      </c>
      <c r="CR114">
        <v>0.94125517491420818</v>
      </c>
      <c r="CS114">
        <v>0.95175692857314353</v>
      </c>
      <c r="CT114">
        <v>0.96063638440262289</v>
      </c>
      <c r="CU114">
        <v>0.96811687831273507</v>
      </c>
      <c r="CV114">
        <v>0.97439578863902676</v>
      </c>
      <c r="CW114">
        <v>0.97964329084346691</v>
      </c>
      <c r="CX114">
        <v>0.9840190587173695</v>
      </c>
      <c r="CY114">
        <v>0.98765073951889071</v>
      </c>
      <c r="CZ114">
        <v>0.99064369493254323</v>
      </c>
      <c r="DA114">
        <v>0.99309665976489969</v>
      </c>
      <c r="DB114">
        <v>0.99508464666923746</v>
      </c>
      <c r="DC114">
        <v>0.99667164282695997</v>
      </c>
      <c r="DD114">
        <v>0.99791014095745589</v>
      </c>
      <c r="DE114">
        <v>0.99883871767868715</v>
      </c>
      <c r="DF114">
        <v>0.99948613345015225</v>
      </c>
      <c r="DG114">
        <v>0.99987123669561861</v>
      </c>
      <c r="DH114">
        <v>1</v>
      </c>
      <c r="DI114">
        <v>0.99986685926008556</v>
      </c>
      <c r="DJ114">
        <v>0.99945260257471502</v>
      </c>
      <c r="DK114">
        <v>0.99871820879251194</v>
      </c>
      <c r="DL114">
        <v>0.99760248364620763</v>
      </c>
      <c r="DM114">
        <v>0.99600797880229797</v>
      </c>
      <c r="DN114">
        <v>0.99378709143483845</v>
      </c>
      <c r="DO114">
        <v>0.99070994912404309</v>
      </c>
      <c r="DP114">
        <v>0.98640699866353543</v>
      </c>
    </row>
    <row r="115" spans="1:120" x14ac:dyDescent="0.2">
      <c r="A115">
        <v>-5.1216959293774393E-2</v>
      </c>
      <c r="B115">
        <v>-4.4746163808133246E-2</v>
      </c>
      <c r="C115">
        <v>-3.3962317331192982E-2</v>
      </c>
      <c r="D115">
        <v>-2.4322576457270803E-2</v>
      </c>
      <c r="E115">
        <v>-1.6721481200657147E-2</v>
      </c>
      <c r="F115">
        <v>-1.0659382299515104E-2</v>
      </c>
      <c r="G115">
        <v>-5.7303002502355517E-3</v>
      </c>
      <c r="H115">
        <v>-1.3979611873304188E-3</v>
      </c>
      <c r="I115">
        <v>2.5890037652456194E-3</v>
      </c>
      <c r="J115">
        <v>6.481819347133746E-3</v>
      </c>
      <c r="K115">
        <v>1.0427293559213383E-2</v>
      </c>
      <c r="L115">
        <v>1.4485299899748805E-2</v>
      </c>
      <c r="M115">
        <v>1.8678177819233331E-2</v>
      </c>
      <c r="N115">
        <v>2.292713016563484E-2</v>
      </c>
      <c r="O115">
        <v>2.7284948981325084E-2</v>
      </c>
      <c r="P115">
        <v>3.1522341049366409E-2</v>
      </c>
      <c r="Q115">
        <v>3.5578098821399284E-2</v>
      </c>
      <c r="R115">
        <v>3.9261260306591841E-2</v>
      </c>
      <c r="S115">
        <v>4.2449859943475853E-2</v>
      </c>
      <c r="T115">
        <v>4.4954901100937347E-2</v>
      </c>
      <c r="U115">
        <v>4.6756850731385712E-2</v>
      </c>
      <c r="V115">
        <v>4.7663545503751702E-2</v>
      </c>
      <c r="W115">
        <v>4.76889202389187E-2</v>
      </c>
      <c r="X115">
        <v>4.6688573850076569E-2</v>
      </c>
      <c r="Y115">
        <v>4.479279164140141E-2</v>
      </c>
      <c r="Z115">
        <v>4.1890948438634494E-2</v>
      </c>
      <c r="AA115">
        <v>3.7884053371569783E-2</v>
      </c>
      <c r="AB115">
        <v>3.2874116446452384E-2</v>
      </c>
      <c r="AC115">
        <v>2.6800777657407845E-2</v>
      </c>
      <c r="AD115">
        <v>1.9565017219133334E-2</v>
      </c>
      <c r="AE115">
        <v>1.1172630932062397E-2</v>
      </c>
      <c r="AF115">
        <v>1.6273772264194662E-3</v>
      </c>
      <c r="AG115">
        <v>-9.166207372680547E-3</v>
      </c>
      <c r="AH115">
        <v>-2.1177429458254272E-2</v>
      </c>
      <c r="AI115">
        <v>-3.43089568380349E-2</v>
      </c>
      <c r="AJ115">
        <v>-4.8668676375922412E-2</v>
      </c>
      <c r="AK115">
        <v>-6.4034961692715997E-2</v>
      </c>
      <c r="AL115">
        <v>-8.0443358259684197E-2</v>
      </c>
      <c r="AM115">
        <v>-9.7733576950348733E-2</v>
      </c>
      <c r="AN115">
        <v>-0.11571211951472847</v>
      </c>
      <c r="AO115">
        <v>-0.13427456342982613</v>
      </c>
      <c r="AP115">
        <v>-0.15303358048071808</v>
      </c>
      <c r="AQ115">
        <v>-0.17190026094083341</v>
      </c>
      <c r="AR115">
        <v>-0.19052807862978804</v>
      </c>
      <c r="AS115">
        <v>-0.2085982008550506</v>
      </c>
      <c r="AT115">
        <v>-0.22584226243594516</v>
      </c>
      <c r="AU115">
        <v>-0.2419883710286907</v>
      </c>
      <c r="AV115">
        <v>-0.25671611704621244</v>
      </c>
      <c r="AW115">
        <v>-0.26982552206485905</v>
      </c>
      <c r="AX115">
        <v>-0.28105953800838307</v>
      </c>
      <c r="AY115">
        <v>-0.29025462958636877</v>
      </c>
      <c r="AZ115">
        <v>-0.29736677056054228</v>
      </c>
      <c r="BA115">
        <v>-0.30220624379883837</v>
      </c>
      <c r="BB115">
        <v>-0.30477080112613986</v>
      </c>
      <c r="BC115">
        <v>-0.30504252245144153</v>
      </c>
      <c r="BD115">
        <v>-0.3030714036680861</v>
      </c>
      <c r="BE115">
        <v>-0.29891880032493734</v>
      </c>
      <c r="BF115">
        <v>-0.29263220912534155</v>
      </c>
      <c r="BG115">
        <v>-0.28426266627172658</v>
      </c>
      <c r="BH115">
        <v>-0.27386251374725307</v>
      </c>
      <c r="BI115">
        <v>-0.26147699363935911</v>
      </c>
      <c r="BJ115">
        <v>-0.24712607213002502</v>
      </c>
      <c r="BK115">
        <v>-0.23082640792197373</v>
      </c>
      <c r="BL115">
        <v>-0.21258368669509992</v>
      </c>
      <c r="BM115">
        <v>-0.19232618558812373</v>
      </c>
      <c r="BN115">
        <v>-0.17007252138039589</v>
      </c>
      <c r="BO115">
        <v>-0.14570331890876193</v>
      </c>
      <c r="BP115">
        <v>-0.11917194699934064</v>
      </c>
      <c r="BQ115">
        <v>-9.0404594174559663E-2</v>
      </c>
      <c r="BR115">
        <v>-5.9230752340197285E-2</v>
      </c>
      <c r="BS115">
        <v>-2.5638083298578446E-2</v>
      </c>
      <c r="BT115">
        <v>1.0466375119399568E-2</v>
      </c>
      <c r="BU115">
        <v>4.9164383460166883E-2</v>
      </c>
      <c r="BV115">
        <v>9.0440022518007882E-2</v>
      </c>
      <c r="BW115">
        <v>0.13426393402527684</v>
      </c>
      <c r="BX115">
        <v>0.18052818638225288</v>
      </c>
      <c r="BY115">
        <v>0.22898536323069574</v>
      </c>
      <c r="BZ115">
        <v>0.27937359540279599</v>
      </c>
      <c r="CA115">
        <v>0.33119391869569353</v>
      </c>
      <c r="CB115">
        <v>0.38395906974976768</v>
      </c>
      <c r="CC115">
        <v>0.43698257386488959</v>
      </c>
      <c r="CD115">
        <v>0.48954633688031929</v>
      </c>
      <c r="CE115">
        <v>0.54093014985238619</v>
      </c>
      <c r="CF115">
        <v>0.59043676071044027</v>
      </c>
      <c r="CG115">
        <v>0.63747263314768909</v>
      </c>
      <c r="CH115">
        <v>0.68147066184764615</v>
      </c>
      <c r="CI115">
        <v>0.72213549804131438</v>
      </c>
      <c r="CJ115">
        <v>0.75919610556017758</v>
      </c>
      <c r="CK115">
        <v>0.79260768487648536</v>
      </c>
      <c r="CL115">
        <v>0.82238123488926884</v>
      </c>
      <c r="CM115">
        <v>0.84867794505208238</v>
      </c>
      <c r="CN115">
        <v>0.87171034294904615</v>
      </c>
      <c r="CO115">
        <v>0.89172870874953092</v>
      </c>
      <c r="CP115">
        <v>0.90903018197088981</v>
      </c>
      <c r="CQ115">
        <v>0.92389597607650553</v>
      </c>
      <c r="CR115">
        <v>0.93660555324770811</v>
      </c>
      <c r="CS115">
        <v>0.94744340684973416</v>
      </c>
      <c r="CT115">
        <v>0.95664948361664126</v>
      </c>
      <c r="CU115">
        <v>0.96444705191274205</v>
      </c>
      <c r="CV115">
        <v>0.97103361399581878</v>
      </c>
      <c r="CW115">
        <v>0.97657940202854365</v>
      </c>
      <c r="CX115">
        <v>0.98124514191743395</v>
      </c>
      <c r="CY115">
        <v>0.98515921452879007</v>
      </c>
      <c r="CZ115">
        <v>0.98842741116795341</v>
      </c>
      <c r="DA115">
        <v>0.99114982170307109</v>
      </c>
      <c r="DB115">
        <v>0.99340214528472071</v>
      </c>
      <c r="DC115">
        <v>0.99524961666739842</v>
      </c>
      <c r="DD115">
        <v>0.99674590008063757</v>
      </c>
      <c r="DE115">
        <v>0.9979308503208254</v>
      </c>
      <c r="DF115">
        <v>0.99883433872467253</v>
      </c>
      <c r="DG115">
        <v>0.99947728076860953</v>
      </c>
      <c r="DH115">
        <v>0.99986685926008556</v>
      </c>
      <c r="DI115">
        <v>1</v>
      </c>
      <c r="DJ115">
        <v>0.99985885761311166</v>
      </c>
      <c r="DK115">
        <v>0.99940798610883919</v>
      </c>
      <c r="DL115">
        <v>0.99858901213159657</v>
      </c>
      <c r="DM115">
        <v>0.99730888666900486</v>
      </c>
      <c r="DN115">
        <v>0.99542538680632597</v>
      </c>
      <c r="DO115">
        <v>0.99271588460533777</v>
      </c>
      <c r="DP115">
        <v>0.98882106263468439</v>
      </c>
    </row>
    <row r="116" spans="1:120" x14ac:dyDescent="0.2">
      <c r="A116">
        <v>-5.1851645491377177E-2</v>
      </c>
      <c r="B116">
        <v>-4.6518397978160819E-2</v>
      </c>
      <c r="C116">
        <v>-3.6401259096939434E-2</v>
      </c>
      <c r="D116">
        <v>-2.7092472394361074E-2</v>
      </c>
      <c r="E116">
        <v>-1.9674842049460177E-2</v>
      </c>
      <c r="F116">
        <v>-1.3729277616140009E-2</v>
      </c>
      <c r="G116">
        <v>-8.8851536036394473E-3</v>
      </c>
      <c r="H116">
        <v>-4.6181876875652332E-3</v>
      </c>
      <c r="I116">
        <v>-6.8376752275023909E-4</v>
      </c>
      <c r="J116">
        <v>3.1687041168823741E-3</v>
      </c>
      <c r="K116">
        <v>7.0877222780660705E-3</v>
      </c>
      <c r="L116">
        <v>1.1131463307939219E-2</v>
      </c>
      <c r="M116">
        <v>1.5323528597916428E-2</v>
      </c>
      <c r="N116">
        <v>1.9586026239495589E-2</v>
      </c>
      <c r="O116">
        <v>2.3973041573227067E-2</v>
      </c>
      <c r="P116">
        <v>2.825585720376797E-2</v>
      </c>
      <c r="Q116">
        <v>3.2374431906644963E-2</v>
      </c>
      <c r="R116">
        <v>3.6137878890609772E-2</v>
      </c>
      <c r="S116">
        <v>3.9424038817681063E-2</v>
      </c>
      <c r="T116">
        <v>4.2043169241009794E-2</v>
      </c>
      <c r="U116">
        <v>4.3970493635105926E-2</v>
      </c>
      <c r="V116">
        <v>4.5013606396355627E-2</v>
      </c>
      <c r="W116">
        <v>4.5179898026119374E-2</v>
      </c>
      <c r="X116">
        <v>4.4322068429607016E-2</v>
      </c>
      <c r="Y116">
        <v>4.2566217336900684E-2</v>
      </c>
      <c r="Z116">
        <v>3.9798978952372402E-2</v>
      </c>
      <c r="AA116">
        <v>3.5919373053077852E-2</v>
      </c>
      <c r="AB116">
        <v>3.1026538968547224E-2</v>
      </c>
      <c r="AC116">
        <v>2.505821529364009E-2</v>
      </c>
      <c r="AD116">
        <v>1.7916406572015653E-2</v>
      </c>
      <c r="AE116">
        <v>9.6055193724324858E-3</v>
      </c>
      <c r="AF116">
        <v>1.2669249542148538E-4</v>
      </c>
      <c r="AG116">
        <v>-1.0614079429198829E-2</v>
      </c>
      <c r="AH116">
        <v>-2.2587484574791712E-2</v>
      </c>
      <c r="AI116">
        <v>-3.5698003159509203E-2</v>
      </c>
      <c r="AJ116">
        <v>-5.0052490526404966E-2</v>
      </c>
      <c r="AK116">
        <v>-6.5432047856600811E-2</v>
      </c>
      <c r="AL116">
        <v>-8.1871319388395397E-2</v>
      </c>
      <c r="AM116">
        <v>-9.9212713541503628E-2</v>
      </c>
      <c r="AN116">
        <v>-0.11726158769424998</v>
      </c>
      <c r="AO116">
        <v>-0.13591464836892792</v>
      </c>
      <c r="AP116">
        <v>-0.15478613977438829</v>
      </c>
      <c r="AQ116">
        <v>-0.17378578235578757</v>
      </c>
      <c r="AR116">
        <v>-0.19256621915534725</v>
      </c>
      <c r="AS116">
        <v>-0.21080960250796058</v>
      </c>
      <c r="AT116">
        <v>-0.22824369641938863</v>
      </c>
      <c r="AU116">
        <v>-0.24459600291573963</v>
      </c>
      <c r="AV116">
        <v>-0.25954434648463548</v>
      </c>
      <c r="AW116">
        <v>-0.27288450190512054</v>
      </c>
      <c r="AX116">
        <v>-0.28435824783639657</v>
      </c>
      <c r="AY116">
        <v>-0.2937989652167694</v>
      </c>
      <c r="AZ116">
        <v>-0.30115883453533299</v>
      </c>
      <c r="BA116">
        <v>-0.30624689727734578</v>
      </c>
      <c r="BB116">
        <v>-0.3090582148780826</v>
      </c>
      <c r="BC116">
        <v>-0.30957397293148448</v>
      </c>
      <c r="BD116">
        <v>-0.30784221626441044</v>
      </c>
      <c r="BE116">
        <v>-0.30392303152430578</v>
      </c>
      <c r="BF116">
        <v>-0.29786285310657779</v>
      </c>
      <c r="BG116">
        <v>-0.2897133729311499</v>
      </c>
      <c r="BH116">
        <v>-0.27952706876851285</v>
      </c>
      <c r="BI116">
        <v>-0.26734851015196581</v>
      </c>
      <c r="BJ116">
        <v>-0.25319878362417425</v>
      </c>
      <c r="BK116">
        <v>-0.23709447719986812</v>
      </c>
      <c r="BL116">
        <v>-0.21904291497717795</v>
      </c>
      <c r="BM116">
        <v>-0.1989722367093788</v>
      </c>
      <c r="BN116">
        <v>-0.17690154513329756</v>
      </c>
      <c r="BO116">
        <v>-0.15271228815857465</v>
      </c>
      <c r="BP116">
        <v>-0.12635796106525418</v>
      </c>
      <c r="BQ116">
        <v>-9.7763627590387647E-2</v>
      </c>
      <c r="BR116">
        <v>-6.6759531132567732E-2</v>
      </c>
      <c r="BS116">
        <v>-3.3331402073156498E-2</v>
      </c>
      <c r="BT116">
        <v>2.6140634600249364E-3</v>
      </c>
      <c r="BU116">
        <v>4.1161584151849992E-2</v>
      </c>
      <c r="BV116">
        <v>8.2297369544025376E-2</v>
      </c>
      <c r="BW116">
        <v>0.12599478780825585</v>
      </c>
      <c r="BX116">
        <v>0.17214917627504236</v>
      </c>
      <c r="BY116">
        <v>0.22051758555606896</v>
      </c>
      <c r="BZ116">
        <v>0.27084166880364752</v>
      </c>
      <c r="CA116">
        <v>0.32262698479798924</v>
      </c>
      <c r="CB116">
        <v>0.37539005604708614</v>
      </c>
      <c r="CC116">
        <v>0.42844741180334667</v>
      </c>
      <c r="CD116">
        <v>0.48108291865137504</v>
      </c>
      <c r="CE116">
        <v>0.53257750878674748</v>
      </c>
      <c r="CF116">
        <v>0.58223375657036325</v>
      </c>
      <c r="CG116">
        <v>0.62945572934808569</v>
      </c>
      <c r="CH116">
        <v>0.67367282951683305</v>
      </c>
      <c r="CI116">
        <v>0.71458619007203383</v>
      </c>
      <c r="CJ116">
        <v>0.75191944101889518</v>
      </c>
      <c r="CK116">
        <v>0.78562305358182727</v>
      </c>
      <c r="CL116">
        <v>0.81570287794349805</v>
      </c>
      <c r="CM116">
        <v>0.8423155605675372</v>
      </c>
      <c r="CN116">
        <v>0.86566920374178036</v>
      </c>
      <c r="CO116">
        <v>0.88601070247976443</v>
      </c>
      <c r="CP116">
        <v>0.90363449071623769</v>
      </c>
      <c r="CQ116">
        <v>0.91881919691412062</v>
      </c>
      <c r="CR116">
        <v>0.931842414797596</v>
      </c>
      <c r="CS116">
        <v>0.94298859521794931</v>
      </c>
      <c r="CT116">
        <v>0.95249630192916368</v>
      </c>
      <c r="CU116">
        <v>0.96058862372218512</v>
      </c>
      <c r="CV116">
        <v>0.96746306855173925</v>
      </c>
      <c r="CW116">
        <v>0.97328979210707289</v>
      </c>
      <c r="CX116">
        <v>0.97823042865764254</v>
      </c>
      <c r="CY116">
        <v>0.98241400684255198</v>
      </c>
      <c r="CZ116">
        <v>0.98594667320163898</v>
      </c>
      <c r="DA116">
        <v>0.98892976182082293</v>
      </c>
      <c r="DB116">
        <v>0.99143957750878153</v>
      </c>
      <c r="DC116">
        <v>0.99354262185575704</v>
      </c>
      <c r="DD116">
        <v>0.99529361659190174</v>
      </c>
      <c r="DE116">
        <v>0.99673379035316501</v>
      </c>
      <c r="DF116">
        <v>0.99789405342565929</v>
      </c>
      <c r="DG116">
        <v>0.99879750669636014</v>
      </c>
      <c r="DH116">
        <v>0.99945260257471502</v>
      </c>
      <c r="DI116">
        <v>0.99985885761311166</v>
      </c>
      <c r="DJ116">
        <v>1</v>
      </c>
      <c r="DK116">
        <v>0.99984436908705632</v>
      </c>
      <c r="DL116">
        <v>0.99933674229598746</v>
      </c>
      <c r="DM116">
        <v>0.99838893102675019</v>
      </c>
      <c r="DN116">
        <v>0.99686465601169738</v>
      </c>
      <c r="DO116">
        <v>0.99454941198291347</v>
      </c>
      <c r="DP116">
        <v>0.99109538792590934</v>
      </c>
    </row>
    <row r="117" spans="1:120" x14ac:dyDescent="0.2">
      <c r="A117">
        <v>-5.2396890461060025E-2</v>
      </c>
      <c r="B117">
        <v>-4.8114746164476155E-2</v>
      </c>
      <c r="C117">
        <v>-3.8620350604491718E-2</v>
      </c>
      <c r="D117">
        <v>-2.9625753852498569E-2</v>
      </c>
      <c r="E117">
        <v>-2.2386259568484397E-2</v>
      </c>
      <c r="F117">
        <v>-1.6556440615547768E-2</v>
      </c>
      <c r="G117">
        <v>-1.179849313139179E-2</v>
      </c>
      <c r="H117">
        <v>-7.5994675188725122E-3</v>
      </c>
      <c r="I117">
        <v>-3.7211879517097114E-3</v>
      </c>
      <c r="J117">
        <v>8.6438512480203065E-5</v>
      </c>
      <c r="K117">
        <v>3.9734527248320743E-3</v>
      </c>
      <c r="L117">
        <v>7.9962498127331121E-3</v>
      </c>
      <c r="M117">
        <v>1.217959060680469E-2</v>
      </c>
      <c r="N117">
        <v>1.6446357120535396E-2</v>
      </c>
      <c r="O117">
        <v>2.0851830486239443E-2</v>
      </c>
      <c r="P117">
        <v>2.5167966173423484E-2</v>
      </c>
      <c r="Q117">
        <v>2.9335860853638821E-2</v>
      </c>
      <c r="R117">
        <v>3.3164834657815716E-2</v>
      </c>
      <c r="S117">
        <v>3.6532803205661081E-2</v>
      </c>
      <c r="T117">
        <v>3.9249720004065042E-2</v>
      </c>
      <c r="U117">
        <v>4.1285890213978639E-2</v>
      </c>
      <c r="V117">
        <v>4.2449331527210303E-2</v>
      </c>
      <c r="W117">
        <v>4.2741166834989172E-2</v>
      </c>
      <c r="X117">
        <v>4.20117901362572E-2</v>
      </c>
      <c r="Y117">
        <v>4.0383425053542372E-2</v>
      </c>
      <c r="Z117">
        <v>3.7740257849467634E-2</v>
      </c>
      <c r="AA117">
        <v>3.3979696214116305E-2</v>
      </c>
      <c r="AB117">
        <v>2.9197944079727752E-2</v>
      </c>
      <c r="AC117">
        <v>2.3331247098711112E-2</v>
      </c>
      <c r="AD117">
        <v>1.6282629298071099E-2</v>
      </c>
      <c r="AE117">
        <v>8.0553364256989706E-3</v>
      </c>
      <c r="AF117">
        <v>-1.3522397803151134E-3</v>
      </c>
      <c r="AG117">
        <v>-1.2032212560086082E-2</v>
      </c>
      <c r="AH117">
        <v>-2.3956780528702995E-2</v>
      </c>
      <c r="AI117">
        <v>-3.703205893935986E-2</v>
      </c>
      <c r="AJ117">
        <v>-5.1363737004404268E-2</v>
      </c>
      <c r="AK117">
        <v>-6.6735796656943541E-2</v>
      </c>
      <c r="AL117">
        <v>-8.3181781562283952E-2</v>
      </c>
      <c r="AM117">
        <v>-0.10054694619796814</v>
      </c>
      <c r="AN117">
        <v>-0.11863561261814953</v>
      </c>
      <c r="AO117">
        <v>-0.1373455970898855</v>
      </c>
      <c r="AP117">
        <v>-0.15629316064434623</v>
      </c>
      <c r="AQ117">
        <v>-0.17538678804694133</v>
      </c>
      <c r="AR117">
        <v>-0.19427867060656023</v>
      </c>
      <c r="AS117">
        <v>-0.21265248699077494</v>
      </c>
      <c r="AT117">
        <v>-0.23023261989073107</v>
      </c>
      <c r="AU117">
        <v>-0.24674648493071774</v>
      </c>
      <c r="AV117">
        <v>-0.26187084243919884</v>
      </c>
      <c r="AW117">
        <v>-0.27539760012668246</v>
      </c>
      <c r="AX117">
        <v>-0.28706809239501169</v>
      </c>
      <c r="AY117">
        <v>-0.29671316367849843</v>
      </c>
      <c r="AZ117">
        <v>-0.30428150868525777</v>
      </c>
      <c r="BA117">
        <v>-0.30958140512184651</v>
      </c>
      <c r="BB117">
        <v>-0.31260558589233545</v>
      </c>
      <c r="BC117">
        <v>-0.31333446472435167</v>
      </c>
      <c r="BD117">
        <v>-0.31181431111466412</v>
      </c>
      <c r="BE117">
        <v>-0.30810403514910084</v>
      </c>
      <c r="BF117">
        <v>-0.30224890080395744</v>
      </c>
      <c r="BG117">
        <v>-0.29430133735118652</v>
      </c>
      <c r="BH117">
        <v>-0.28431387355711557</v>
      </c>
      <c r="BI117">
        <v>-0.27233023215984936</v>
      </c>
      <c r="BJ117">
        <v>-0.25837259130386864</v>
      </c>
      <c r="BK117">
        <v>-0.24245731612359206</v>
      </c>
      <c r="BL117">
        <v>-0.22459330873344241</v>
      </c>
      <c r="BM117">
        <v>-0.20470846513568638</v>
      </c>
      <c r="BN117">
        <v>-0.18282226800761786</v>
      </c>
      <c r="BO117">
        <v>-0.15881703351831788</v>
      </c>
      <c r="BP117">
        <v>-0.13264637078909247</v>
      </c>
      <c r="BQ117">
        <v>-0.10423421795388124</v>
      </c>
      <c r="BR117">
        <v>-7.3411782672590603E-2</v>
      </c>
      <c r="BS117">
        <v>-4.0162834646110569E-2</v>
      </c>
      <c r="BT117">
        <v>-4.3940503860917923E-3</v>
      </c>
      <c r="BU117">
        <v>3.3982208024520892E-2</v>
      </c>
      <c r="BV117">
        <v>7.4954030281411191E-2</v>
      </c>
      <c r="BW117">
        <v>0.11849732923336943</v>
      </c>
      <c r="BX117">
        <v>0.16451051386313825</v>
      </c>
      <c r="BY117">
        <v>0.21275502197509308</v>
      </c>
      <c r="BZ117">
        <v>0.26297595600141233</v>
      </c>
      <c r="CA117">
        <v>0.31468350196112832</v>
      </c>
      <c r="CB117">
        <v>0.36739812472203004</v>
      </c>
      <c r="CC117">
        <v>0.42043970347978071</v>
      </c>
      <c r="CD117">
        <v>0.47309456566278757</v>
      </c>
      <c r="CE117">
        <v>0.52464542834253736</v>
      </c>
      <c r="CF117">
        <v>0.57439543894747003</v>
      </c>
      <c r="CG117">
        <v>0.62174699092596175</v>
      </c>
      <c r="CH117">
        <v>0.66612685317867137</v>
      </c>
      <c r="CI117">
        <v>0.70723332893640367</v>
      </c>
      <c r="CJ117">
        <v>0.74478543599314329</v>
      </c>
      <c r="CK117">
        <v>0.77872944647954123</v>
      </c>
      <c r="CL117">
        <v>0.80906659328224206</v>
      </c>
      <c r="CM117">
        <v>0.83594926820779825</v>
      </c>
      <c r="CN117">
        <v>0.85958131003175164</v>
      </c>
      <c r="CO117">
        <v>0.88020641365150276</v>
      </c>
      <c r="CP117">
        <v>0.89811628269915111</v>
      </c>
      <c r="CQ117">
        <v>0.91358692751735104</v>
      </c>
      <c r="CR117">
        <v>0.92689398773572984</v>
      </c>
      <c r="CS117">
        <v>0.93832181706230144</v>
      </c>
      <c r="CT117">
        <v>0.94810740739472144</v>
      </c>
      <c r="CU117">
        <v>0.95647352599507651</v>
      </c>
      <c r="CV117">
        <v>0.96361757731113051</v>
      </c>
      <c r="CW117">
        <v>0.96970948560569514</v>
      </c>
      <c r="CX117">
        <v>0.97491164242427331</v>
      </c>
      <c r="CY117">
        <v>0.97935365022694376</v>
      </c>
      <c r="CZ117">
        <v>0.98314194170280467</v>
      </c>
      <c r="DA117">
        <v>0.98637897216169834</v>
      </c>
      <c r="DB117">
        <v>0.98914159664662449</v>
      </c>
      <c r="DC117">
        <v>0.99149760105143681</v>
      </c>
      <c r="DD117">
        <v>0.99350267140454163</v>
      </c>
      <c r="DE117">
        <v>0.99519951979501531</v>
      </c>
      <c r="DF117">
        <v>0.9966200328738164</v>
      </c>
      <c r="DG117">
        <v>0.99778966842889572</v>
      </c>
      <c r="DH117">
        <v>0.99871820879251194</v>
      </c>
      <c r="DI117">
        <v>0.99940798610883907</v>
      </c>
      <c r="DJ117">
        <v>0.99984436908705632</v>
      </c>
      <c r="DK117">
        <v>1</v>
      </c>
      <c r="DL117">
        <v>0.99982304977493364</v>
      </c>
      <c r="DM117">
        <v>0.99923083905490717</v>
      </c>
      <c r="DN117">
        <v>0.99809371961058546</v>
      </c>
      <c r="DO117">
        <v>0.99620640866324695</v>
      </c>
      <c r="DP117">
        <v>0.99323418482666981</v>
      </c>
    </row>
    <row r="118" spans="1:120" x14ac:dyDescent="0.2">
      <c r="A118">
        <v>-5.284786262978617E-2</v>
      </c>
      <c r="B118">
        <v>-4.9546436158826333E-2</v>
      </c>
      <c r="C118">
        <v>-4.0641696142975962E-2</v>
      </c>
      <c r="D118">
        <v>-3.1950618667340273E-2</v>
      </c>
      <c r="E118">
        <v>-2.4887461306591217E-2</v>
      </c>
      <c r="F118">
        <v>-1.917490454837921E-2</v>
      </c>
      <c r="G118">
        <v>-1.4506023585019361E-2</v>
      </c>
      <c r="H118">
        <v>-1.0378851239950335E-2</v>
      </c>
      <c r="I118">
        <v>-6.5614941188849082E-3</v>
      </c>
      <c r="J118">
        <v>-2.8042824050674752E-3</v>
      </c>
      <c r="K118">
        <v>1.0441884692750547E-3</v>
      </c>
      <c r="L118">
        <v>5.0383730607140428E-3</v>
      </c>
      <c r="M118">
        <v>9.2041692422285201E-3</v>
      </c>
      <c r="N118">
        <v>1.3465047578413516E-2</v>
      </c>
      <c r="O118">
        <v>1.7877450299797502E-2</v>
      </c>
      <c r="P118">
        <v>2.2214148423087873E-2</v>
      </c>
      <c r="Q118">
        <v>2.6417352776837818E-2</v>
      </c>
      <c r="R118">
        <v>3.0296751076481006E-2</v>
      </c>
      <c r="S118">
        <v>3.373065064792282E-2</v>
      </c>
      <c r="T118">
        <v>3.6529166722485046E-2</v>
      </c>
      <c r="U118">
        <v>3.8657967058008377E-2</v>
      </c>
      <c r="V118">
        <v>3.9926193660867887E-2</v>
      </c>
      <c r="W118">
        <v>4.0328895051126627E-2</v>
      </c>
      <c r="X118">
        <v>3.971476107939139E-2</v>
      </c>
      <c r="Y118">
        <v>3.8202401538207288E-2</v>
      </c>
      <c r="Z118">
        <v>3.5673827894733244E-2</v>
      </c>
      <c r="AA118">
        <v>3.2025172053548254E-2</v>
      </c>
      <c r="AB118">
        <v>2.7349642843060032E-2</v>
      </c>
      <c r="AC118">
        <v>2.1582376098533352E-2</v>
      </c>
      <c r="AD118">
        <v>1.4627405973019933E-2</v>
      </c>
      <c r="AE118">
        <v>6.4870740323332626E-3</v>
      </c>
      <c r="AF118">
        <v>-2.8431247126806769E-3</v>
      </c>
      <c r="AG118">
        <v>-1.3452977869146676E-2</v>
      </c>
      <c r="AH118">
        <v>-2.5316277491790353E-2</v>
      </c>
      <c r="AI118">
        <v>-3.834064191949093E-2</v>
      </c>
      <c r="AJ118">
        <v>-5.2630445625006024E-2</v>
      </c>
      <c r="AK118">
        <v>-6.797269677015734E-2</v>
      </c>
      <c r="AL118">
        <v>-8.4399629503749463E-2</v>
      </c>
      <c r="AM118">
        <v>-0.10175953617516649</v>
      </c>
      <c r="AN118">
        <v>-0.11985575657833655</v>
      </c>
      <c r="AO118">
        <v>-0.1385872519631528</v>
      </c>
      <c r="AP118">
        <v>-0.15757275680220031</v>
      </c>
      <c r="AQ118">
        <v>-0.17671963483854589</v>
      </c>
      <c r="AR118">
        <v>-0.19568002518742694</v>
      </c>
      <c r="AS118">
        <v>-0.21413974159038329</v>
      </c>
      <c r="AT118">
        <v>-0.23182027482050227</v>
      </c>
      <c r="AU118">
        <v>-0.24844943373834202</v>
      </c>
      <c r="AV118">
        <v>-0.2637037129632463</v>
      </c>
      <c r="AW118">
        <v>-0.27737152127354486</v>
      </c>
      <c r="AX118">
        <v>-0.2891944975317377</v>
      </c>
      <c r="AY118">
        <v>-0.29900152734054908</v>
      </c>
      <c r="AZ118">
        <v>-0.30673811069665508</v>
      </c>
      <c r="BA118">
        <v>-0.31221227730235979</v>
      </c>
      <c r="BB118">
        <v>-0.31541480400485467</v>
      </c>
      <c r="BC118">
        <v>-0.31632543713424838</v>
      </c>
      <c r="BD118">
        <v>-0.31498887626545979</v>
      </c>
      <c r="BE118">
        <v>-0.31146297103541448</v>
      </c>
      <c r="BF118">
        <v>-0.30579164088671995</v>
      </c>
      <c r="BG118">
        <v>-0.29802819741263581</v>
      </c>
      <c r="BH118">
        <v>-0.28822509372510757</v>
      </c>
      <c r="BI118">
        <v>-0.27642505337853779</v>
      </c>
      <c r="BJ118">
        <v>-0.26265133118226758</v>
      </c>
      <c r="BK118">
        <v>-0.2469199068130471</v>
      </c>
      <c r="BL118">
        <v>-0.22924118172791949</v>
      </c>
      <c r="BM118">
        <v>-0.20954272139268315</v>
      </c>
      <c r="BN118">
        <v>-0.18784431330138654</v>
      </c>
      <c r="BO118">
        <v>-0.16402914477998609</v>
      </c>
      <c r="BP118">
        <v>-0.13805094901210024</v>
      </c>
      <c r="BQ118">
        <v>-0.109832541997232</v>
      </c>
      <c r="BR118">
        <v>-7.9206311246305713E-2</v>
      </c>
      <c r="BS118">
        <v>-4.61540459741221E-2</v>
      </c>
      <c r="BT118">
        <v>-1.0582725733542868E-2</v>
      </c>
      <c r="BU118">
        <v>2.7598207509078078E-2</v>
      </c>
      <c r="BV118">
        <v>6.8378444288445722E-2</v>
      </c>
      <c r="BW118">
        <v>0.11173629114640725</v>
      </c>
      <c r="BX118">
        <v>0.15757304888750281</v>
      </c>
      <c r="BY118">
        <v>0.20565450049622133</v>
      </c>
      <c r="BZ118">
        <v>0.25572915384080691</v>
      </c>
      <c r="CA118">
        <v>0.30731200079945803</v>
      </c>
      <c r="CB118">
        <v>0.35992765277858307</v>
      </c>
      <c r="CC118">
        <v>0.41289974160878851</v>
      </c>
      <c r="CD118">
        <v>0.46551764382820215</v>
      </c>
      <c r="CE118">
        <v>0.51706656217962332</v>
      </c>
      <c r="CF118">
        <v>0.56685102348239191</v>
      </c>
      <c r="CG118">
        <v>0.61427252130262278</v>
      </c>
      <c r="CH118">
        <v>0.65875606989246427</v>
      </c>
      <c r="CI118">
        <v>0.69999787426337101</v>
      </c>
      <c r="CJ118">
        <v>0.73771304507816182</v>
      </c>
      <c r="CK118">
        <v>0.77184420319229363</v>
      </c>
      <c r="CL118">
        <v>0.8023884717666272</v>
      </c>
      <c r="CM118">
        <v>0.82949425134576715</v>
      </c>
      <c r="CN118">
        <v>0.85336124120291235</v>
      </c>
      <c r="CO118">
        <v>0.8742301071464047</v>
      </c>
      <c r="CP118">
        <v>0.89238975840730583</v>
      </c>
      <c r="CQ118">
        <v>0.90811352837859582</v>
      </c>
      <c r="CR118">
        <v>0.92167499216262672</v>
      </c>
      <c r="CS118">
        <v>0.93335833640544308</v>
      </c>
      <c r="CT118">
        <v>0.94339876230232289</v>
      </c>
      <c r="CU118">
        <v>0.95201856096854554</v>
      </c>
      <c r="CV118">
        <v>0.95941490816804575</v>
      </c>
      <c r="CW118">
        <v>0.96575733671192887</v>
      </c>
      <c r="CX118">
        <v>0.97120883651552647</v>
      </c>
      <c r="CY118">
        <v>0.97589951332453928</v>
      </c>
      <c r="CZ118">
        <v>0.97993600145101512</v>
      </c>
      <c r="DA118">
        <v>0.98342176962460326</v>
      </c>
      <c r="DB118">
        <v>0.9864341556162769</v>
      </c>
      <c r="DC118">
        <v>0.98904227641011766</v>
      </c>
      <c r="DD118">
        <v>0.99130267021007479</v>
      </c>
      <c r="DE118">
        <v>0.99325968647913609</v>
      </c>
      <c r="DF118">
        <v>0.99494611873553318</v>
      </c>
      <c r="DG118">
        <v>0.99638998748789098</v>
      </c>
      <c r="DH118">
        <v>0.99760248364620763</v>
      </c>
      <c r="DI118">
        <v>0.99858901213159657</v>
      </c>
      <c r="DJ118">
        <v>0.99933674229598746</v>
      </c>
      <c r="DK118">
        <v>0.99982304977493364</v>
      </c>
      <c r="DL118">
        <v>1</v>
      </c>
      <c r="DM118">
        <v>0.99979102592314084</v>
      </c>
      <c r="DN118">
        <v>0.99907398039245998</v>
      </c>
      <c r="DO118">
        <v>0.99765407116298077</v>
      </c>
      <c r="DP118">
        <v>0.99521150892372068</v>
      </c>
    </row>
    <row r="119" spans="1:120" x14ac:dyDescent="0.2">
      <c r="A119">
        <v>-5.3202165777059766E-2</v>
      </c>
      <c r="B119">
        <v>-5.0808071683515713E-2</v>
      </c>
      <c r="C119">
        <v>-4.2458660765970949E-2</v>
      </c>
      <c r="D119">
        <v>-3.4060265827615552E-2</v>
      </c>
      <c r="E119">
        <v>-2.7172085020558442E-2</v>
      </c>
      <c r="F119">
        <v>-2.1578856654421552E-2</v>
      </c>
      <c r="G119">
        <v>-1.7002506074496441E-2</v>
      </c>
      <c r="H119">
        <v>-1.2951625831410607E-2</v>
      </c>
      <c r="I119">
        <v>-9.2004546687207284E-3</v>
      </c>
      <c r="J119">
        <v>-5.4996828698906583E-3</v>
      </c>
      <c r="K119">
        <v>-1.696685701411694E-3</v>
      </c>
      <c r="L119">
        <v>2.2608610296408782E-3</v>
      </c>
      <c r="M119">
        <v>6.3999250228364774E-3</v>
      </c>
      <c r="N119">
        <v>1.0644400790068098E-2</v>
      </c>
      <c r="O119">
        <v>1.5051826405828909E-2</v>
      </c>
      <c r="P119">
        <v>1.9395940624119219E-2</v>
      </c>
      <c r="Q119">
        <v>2.3620029540880879E-2</v>
      </c>
      <c r="R119">
        <v>2.7534329204832977E-2</v>
      </c>
      <c r="S119">
        <v>3.1017860352213666E-2</v>
      </c>
      <c r="T119">
        <v>3.3881390718237245E-2</v>
      </c>
      <c r="U119">
        <v>3.6086220398732702E-2</v>
      </c>
      <c r="V119">
        <v>3.7443397080634551E-2</v>
      </c>
      <c r="W119">
        <v>3.7942044174856297E-2</v>
      </c>
      <c r="X119">
        <v>3.7429803827452979E-2</v>
      </c>
      <c r="Y119">
        <v>3.6021956984980931E-2</v>
      </c>
      <c r="Z119">
        <v>3.3598581768637975E-2</v>
      </c>
      <c r="AA119">
        <v>3.0054967165620873E-2</v>
      </c>
      <c r="AB119">
        <v>2.5481178091645476E-2</v>
      </c>
      <c r="AC119">
        <v>1.9811706573115689E-2</v>
      </c>
      <c r="AD119">
        <v>1.2951598017927559E-2</v>
      </c>
      <c r="AE119">
        <v>4.9025570405522769E-3</v>
      </c>
      <c r="AF119">
        <v>-4.3430344534698016E-3</v>
      </c>
      <c r="AG119">
        <v>-1.4872070086988416E-2</v>
      </c>
      <c r="AH119">
        <v>-2.6660119010290872E-2</v>
      </c>
      <c r="AI119">
        <v>-3.9616145440038039E-2</v>
      </c>
      <c r="AJ119">
        <v>-5.3842990024846958E-2</v>
      </c>
      <c r="AK119">
        <v>-6.9130968735770765E-2</v>
      </c>
      <c r="AL119">
        <v>-8.5510742354101568E-2</v>
      </c>
      <c r="AM119">
        <v>-0.10283382229545904</v>
      </c>
      <c r="AN119">
        <v>-0.12090274806873411</v>
      </c>
      <c r="AO119">
        <v>-0.13961756963953109</v>
      </c>
      <c r="AP119">
        <v>-0.15860008967696151</v>
      </c>
      <c r="AQ119">
        <v>-0.17775667665623723</v>
      </c>
      <c r="AR119">
        <v>-0.19673984038627207</v>
      </c>
      <c r="AS119">
        <v>-0.21523823429217109</v>
      </c>
      <c r="AT119">
        <v>-0.2329709343100331</v>
      </c>
      <c r="AU119">
        <v>-0.24966673670767597</v>
      </c>
      <c r="AV119">
        <v>-0.26500267792286536</v>
      </c>
      <c r="AW119">
        <v>-0.27876408119494617</v>
      </c>
      <c r="AX119">
        <v>-0.29069365560811594</v>
      </c>
      <c r="AY119">
        <v>-0.30061899093748262</v>
      </c>
      <c r="AZ119">
        <v>-0.30848260619964846</v>
      </c>
      <c r="BA119">
        <v>-0.31409290505056209</v>
      </c>
      <c r="BB119">
        <v>-0.31743903896267361</v>
      </c>
      <c r="BC119">
        <v>-0.31850018908437866</v>
      </c>
      <c r="BD119">
        <v>-0.31731973087427701</v>
      </c>
      <c r="BE119">
        <v>-0.31395448809897114</v>
      </c>
      <c r="BF119">
        <v>-0.3084468922791837</v>
      </c>
      <c r="BG119">
        <v>-0.30085125963970127</v>
      </c>
      <c r="BH119">
        <v>-0.29121987558349627</v>
      </c>
      <c r="BI119">
        <v>-0.27959424495513707</v>
      </c>
      <c r="BJ119">
        <v>-0.26599869874872062</v>
      </c>
      <c r="BK119">
        <v>-0.25044867255337072</v>
      </c>
      <c r="BL119">
        <v>-0.23295598742981324</v>
      </c>
      <c r="BM119">
        <v>-0.21344780456980791</v>
      </c>
      <c r="BN119">
        <v>-0.19194409516738417</v>
      </c>
      <c r="BO119">
        <v>-0.16832898810143904</v>
      </c>
      <c r="BP119">
        <v>-0.14255633517802213</v>
      </c>
      <c r="BQ119">
        <v>-0.11454782895499939</v>
      </c>
      <c r="BR119">
        <v>-8.4137313107898681E-2</v>
      </c>
      <c r="BS119">
        <v>-5.130451291129777E-2</v>
      </c>
      <c r="BT119">
        <v>-1.5957093868297533E-2</v>
      </c>
      <c r="BU119">
        <v>2.1998432877905479E-2</v>
      </c>
      <c r="BV119">
        <v>6.2553093673575477E-2</v>
      </c>
      <c r="BW119">
        <v>0.10568744584086331</v>
      </c>
      <c r="BX119">
        <v>0.15130552091118499</v>
      </c>
      <c r="BY119">
        <v>0.19917745587684105</v>
      </c>
      <c r="BZ119">
        <v>0.24905518726211193</v>
      </c>
      <c r="CA119">
        <v>0.30045875061367117</v>
      </c>
      <c r="CB119">
        <v>0.35291720339542643</v>
      </c>
      <c r="CC119">
        <v>0.40575844587772775</v>
      </c>
      <c r="CD119">
        <v>0.45827557457000684</v>
      </c>
      <c r="CE119">
        <v>0.50975713478569606</v>
      </c>
      <c r="CF119">
        <v>0.55950992504588382</v>
      </c>
      <c r="CG119">
        <v>0.60693540423321934</v>
      </c>
      <c r="CH119">
        <v>0.65145778683420197</v>
      </c>
      <c r="CI119">
        <v>0.6927719485977899</v>
      </c>
      <c r="CJ119">
        <v>0.73058983476679684</v>
      </c>
      <c r="CK119">
        <v>0.76485097051779705</v>
      </c>
      <c r="CL119">
        <v>0.79554886122921931</v>
      </c>
      <c r="CM119">
        <v>0.82282816278844906</v>
      </c>
      <c r="CN119">
        <v>0.8468845051773225</v>
      </c>
      <c r="CO119">
        <v>0.86795566451759976</v>
      </c>
      <c r="CP119">
        <v>0.88632764564144251</v>
      </c>
      <c r="CQ119">
        <v>0.90227100073094724</v>
      </c>
      <c r="CR119">
        <v>0.91605708033653888</v>
      </c>
      <c r="CS119">
        <v>0.92796981416470647</v>
      </c>
      <c r="CT119">
        <v>0.93824235686680879</v>
      </c>
      <c r="CU119">
        <v>0.94709633041757901</v>
      </c>
      <c r="CV119">
        <v>0.95472854378860772</v>
      </c>
      <c r="CW119">
        <v>0.96130794872790082</v>
      </c>
      <c r="CX119">
        <v>0.96699796382251513</v>
      </c>
      <c r="CY119">
        <v>0.97192912305646229</v>
      </c>
      <c r="CZ119">
        <v>0.9762081786860205</v>
      </c>
      <c r="DA119">
        <v>0.97993948977604473</v>
      </c>
      <c r="DB119">
        <v>0.98320082263671604</v>
      </c>
      <c r="DC119">
        <v>0.98606268395554275</v>
      </c>
      <c r="DD119">
        <v>0.98858236085293949</v>
      </c>
      <c r="DE119">
        <v>0.99080601926586886</v>
      </c>
      <c r="DF119">
        <v>0.99276730030542226</v>
      </c>
      <c r="DG119">
        <v>0.9944970533505606</v>
      </c>
      <c r="DH119">
        <v>0.99600797880229774</v>
      </c>
      <c r="DI119">
        <v>0.99730888666900475</v>
      </c>
      <c r="DJ119">
        <v>0.99838893102675019</v>
      </c>
      <c r="DK119">
        <v>0.99923083905490717</v>
      </c>
      <c r="DL119">
        <v>0.99979102592314073</v>
      </c>
      <c r="DM119">
        <v>1</v>
      </c>
      <c r="DN119">
        <v>0.99974404759718127</v>
      </c>
      <c r="DO119">
        <v>0.99884049700921673</v>
      </c>
      <c r="DP119">
        <v>0.99698678015607511</v>
      </c>
    </row>
    <row r="120" spans="1:120" x14ac:dyDescent="0.2">
      <c r="A120">
        <v>-5.3457119531751272E-2</v>
      </c>
      <c r="B120">
        <v>-5.190619842761799E-2</v>
      </c>
      <c r="C120">
        <v>-4.4084006413474063E-2</v>
      </c>
      <c r="D120">
        <v>-3.5971139245766615E-2</v>
      </c>
      <c r="E120">
        <v>-2.9258957785643448E-2</v>
      </c>
      <c r="F120">
        <v>-2.37888648549625E-2</v>
      </c>
      <c r="G120">
        <v>-1.930993640358802E-2</v>
      </c>
      <c r="H120">
        <v>-1.5341107480179047E-2</v>
      </c>
      <c r="I120">
        <v>-1.1662691284940048E-2</v>
      </c>
      <c r="J120">
        <v>-8.0256534027693931E-3</v>
      </c>
      <c r="K120">
        <v>-4.2763074752801339E-3</v>
      </c>
      <c r="L120">
        <v>-3.6473567676650843E-4</v>
      </c>
      <c r="M120">
        <v>3.7371116210382972E-3</v>
      </c>
      <c r="N120">
        <v>7.9533776953457733E-3</v>
      </c>
      <c r="O120">
        <v>1.2342617132150794E-2</v>
      </c>
      <c r="P120">
        <v>1.6679768698436771E-2</v>
      </c>
      <c r="Q120">
        <v>2.0909135904406028E-2</v>
      </c>
      <c r="R120">
        <v>2.4841778005041629E-2</v>
      </c>
      <c r="S120">
        <v>2.8357748624805289E-2</v>
      </c>
      <c r="T120">
        <v>3.1269077249893466E-2</v>
      </c>
      <c r="U120">
        <v>3.3532858738636123E-2</v>
      </c>
      <c r="V120">
        <v>3.49629769613388E-2</v>
      </c>
      <c r="W120">
        <v>3.5542694054967093E-2</v>
      </c>
      <c r="X120">
        <v>3.5119310665790014E-2</v>
      </c>
      <c r="Y120">
        <v>3.3804991971549E-2</v>
      </c>
      <c r="Z120">
        <v>3.1478173421252684E-2</v>
      </c>
      <c r="AA120">
        <v>2.8033725103141609E-2</v>
      </c>
      <c r="AB120">
        <v>2.3558391034314969E-2</v>
      </c>
      <c r="AC120">
        <v>1.7986479951685369E-2</v>
      </c>
      <c r="AD120">
        <v>1.1224060846090407E-2</v>
      </c>
      <c r="AE120">
        <v>3.2725068102017274E-3</v>
      </c>
      <c r="AF120">
        <v>-5.8791916312532387E-3</v>
      </c>
      <c r="AG120">
        <v>-1.6314409968515811E-2</v>
      </c>
      <c r="AH120">
        <v>-2.8010679002345006E-2</v>
      </c>
      <c r="AI120">
        <v>-4.0878160844866451E-2</v>
      </c>
      <c r="AJ120">
        <v>-5.5017962956520033E-2</v>
      </c>
      <c r="AK120">
        <v>-7.0224002183760514E-2</v>
      </c>
      <c r="AL120">
        <v>-8.6525072981496101E-2</v>
      </c>
      <c r="AM120">
        <v>-0.10377619108272966</v>
      </c>
      <c r="AN120">
        <v>-0.12177920333623705</v>
      </c>
      <c r="AO120">
        <v>-0.14043531079475496</v>
      </c>
      <c r="AP120">
        <v>-0.15937002239458398</v>
      </c>
      <c r="AQ120">
        <v>-0.17848883424000112</v>
      </c>
      <c r="AR120">
        <v>-0.19744511908459891</v>
      </c>
      <c r="AS120">
        <v>-0.21593117916894786</v>
      </c>
      <c r="AT120">
        <v>-0.23366419495019977</v>
      </c>
      <c r="AU120">
        <v>-0.25037452328663545</v>
      </c>
      <c r="AV120">
        <v>-0.26574076160230514</v>
      </c>
      <c r="AW120">
        <v>-0.2795454491684301</v>
      </c>
      <c r="AX120">
        <v>-0.29153328361036979</v>
      </c>
      <c r="AY120">
        <v>-0.30153122153088019</v>
      </c>
      <c r="AZ120">
        <v>-0.30947904350966027</v>
      </c>
      <c r="BA120">
        <v>-0.31518614131306866</v>
      </c>
      <c r="BB120">
        <v>-0.3186404354357259</v>
      </c>
      <c r="BC120">
        <v>-0.31982063983750897</v>
      </c>
      <c r="BD120">
        <v>-0.31876900690582477</v>
      </c>
      <c r="BE120">
        <v>-0.31554144546627771</v>
      </c>
      <c r="BF120">
        <v>-0.31017864163634834</v>
      </c>
      <c r="BG120">
        <v>-0.30273609963304982</v>
      </c>
      <c r="BH120">
        <v>-0.29326583350744251</v>
      </c>
      <c r="BI120">
        <v>-0.28180788057883827</v>
      </c>
      <c r="BJ120">
        <v>-0.26838766152300791</v>
      </c>
      <c r="BK120">
        <v>-0.25301990254886431</v>
      </c>
      <c r="BL120">
        <v>-0.23571777066677069</v>
      </c>
      <c r="BM120">
        <v>-0.21640795191629636</v>
      </c>
      <c r="BN120">
        <v>-0.19511049167070724</v>
      </c>
      <c r="BO120">
        <v>-0.17171052951329185</v>
      </c>
      <c r="BP120">
        <v>-0.14616204259926824</v>
      </c>
      <c r="BQ120">
        <v>-0.11838561311796468</v>
      </c>
      <c r="BR120">
        <v>-8.8216854927409355E-2</v>
      </c>
      <c r="BS120">
        <v>-5.5633308678931646E-2</v>
      </c>
      <c r="BT120">
        <v>-2.054379257385237E-2</v>
      </c>
      <c r="BU120">
        <v>1.7148217764617446E-2</v>
      </c>
      <c r="BV120">
        <v>5.7434791954109742E-2</v>
      </c>
      <c r="BW120">
        <v>0.10029860711751787</v>
      </c>
      <c r="BX120">
        <v>0.14564631858944796</v>
      </c>
      <c r="BY120">
        <v>0.19325248169588291</v>
      </c>
      <c r="BZ120">
        <v>0.24287256063874496</v>
      </c>
      <c r="CA120">
        <v>0.29403200927657858</v>
      </c>
      <c r="CB120">
        <v>0.34626474008738983</v>
      </c>
      <c r="CC120">
        <v>0.39890358272913079</v>
      </c>
      <c r="CD120">
        <v>0.45124620866819648</v>
      </c>
      <c r="CE120">
        <v>0.50258547912347218</v>
      </c>
      <c r="CF120">
        <v>0.55223153118827528</v>
      </c>
      <c r="CG120">
        <v>0.59958676385667908</v>
      </c>
      <c r="CH120">
        <v>0.64407563023221193</v>
      </c>
      <c r="CI120">
        <v>0.68539251664227174</v>
      </c>
      <c r="CJ120">
        <v>0.72324697587951314</v>
      </c>
      <c r="CK120">
        <v>0.75757596572865138</v>
      </c>
      <c r="CL120">
        <v>0.78836988585903589</v>
      </c>
      <c r="CM120">
        <v>0.81576983376415468</v>
      </c>
      <c r="CN120">
        <v>0.83996736576256448</v>
      </c>
      <c r="CO120">
        <v>0.8611974815870298</v>
      </c>
      <c r="CP120">
        <v>0.87974307857822831</v>
      </c>
      <c r="CQ120">
        <v>0.8958717543875977</v>
      </c>
      <c r="CR120">
        <v>0.90985243237848767</v>
      </c>
      <c r="CS120">
        <v>0.92196865772483327</v>
      </c>
      <c r="CT120">
        <v>0.93245121059723568</v>
      </c>
      <c r="CU120">
        <v>0.94152081435181589</v>
      </c>
      <c r="CV120">
        <v>0.94937375608334407</v>
      </c>
      <c r="CW120">
        <v>0.95617817024937457</v>
      </c>
      <c r="CX120">
        <v>0.96209772127546689</v>
      </c>
      <c r="CY120">
        <v>0.96726329696553914</v>
      </c>
      <c r="CZ120">
        <v>0.97178166393878518</v>
      </c>
      <c r="DA120">
        <v>0.97575794658852522</v>
      </c>
      <c r="DB120">
        <v>0.97927028802113636</v>
      </c>
      <c r="DC120">
        <v>0.98239066492872396</v>
      </c>
      <c r="DD120">
        <v>0.98517700582740808</v>
      </c>
      <c r="DE120">
        <v>0.98767752845408985</v>
      </c>
      <c r="DF120">
        <v>0.98992664738008984</v>
      </c>
      <c r="DG120">
        <v>0.99195838866154729</v>
      </c>
      <c r="DH120">
        <v>0.99378709143483834</v>
      </c>
      <c r="DI120">
        <v>0.99542538680632597</v>
      </c>
      <c r="DJ120">
        <v>0.99686465601169727</v>
      </c>
      <c r="DK120">
        <v>0.99809371961058546</v>
      </c>
      <c r="DL120">
        <v>0.99907398039245998</v>
      </c>
      <c r="DM120">
        <v>0.9997440475971815</v>
      </c>
      <c r="DN120">
        <v>1</v>
      </c>
      <c r="DO120">
        <v>0.99967316254636296</v>
      </c>
      <c r="DP120">
        <v>0.99848106006758219</v>
      </c>
    </row>
    <row r="121" spans="1:120" x14ac:dyDescent="0.2">
      <c r="A121">
        <v>-5.3606773132237738E-2</v>
      </c>
      <c r="B121">
        <v>-5.2834093435503729E-2</v>
      </c>
      <c r="C121">
        <v>-4.5511614331670745E-2</v>
      </c>
      <c r="D121">
        <v>-3.7678334826846453E-2</v>
      </c>
      <c r="E121">
        <v>-3.114463504163998E-2</v>
      </c>
      <c r="F121">
        <v>-2.5802934609489594E-2</v>
      </c>
      <c r="G121">
        <v>-2.1427715232372926E-2</v>
      </c>
      <c r="H121">
        <v>-1.7548023560113663E-2</v>
      </c>
      <c r="I121">
        <v>-1.395031738885069E-2</v>
      </c>
      <c r="J121">
        <v>-1.0385764289740512E-2</v>
      </c>
      <c r="K121">
        <v>-6.6997334734582876E-3</v>
      </c>
      <c r="L121">
        <v>-2.8451107764853917E-3</v>
      </c>
      <c r="M121">
        <v>1.2072877354377643E-3</v>
      </c>
      <c r="N121">
        <v>5.3816248792185693E-3</v>
      </c>
      <c r="O121">
        <v>9.7374245290980654E-3</v>
      </c>
      <c r="P121">
        <v>1.4051149362959994E-2</v>
      </c>
      <c r="Q121">
        <v>1.826805052712302E-2</v>
      </c>
      <c r="R121">
        <v>2.220033769413848E-2</v>
      </c>
      <c r="S121">
        <v>2.5729529155681007E-2</v>
      </c>
      <c r="T121">
        <v>2.8669617471233349E-2</v>
      </c>
      <c r="U121">
        <v>3.0973635407769731E-2</v>
      </c>
      <c r="V121">
        <v>3.2459399707413059E-2</v>
      </c>
      <c r="W121">
        <v>3.3104322879860738E-2</v>
      </c>
      <c r="X121">
        <v>3.2756155626808288E-2</v>
      </c>
      <c r="Y121">
        <v>3.1524177381953407E-2</v>
      </c>
      <c r="Z121">
        <v>2.9285453811403909E-2</v>
      </c>
      <c r="AA121">
        <v>2.5934961841470327E-2</v>
      </c>
      <c r="AB121">
        <v>2.1555825354961367E-2</v>
      </c>
      <c r="AC121">
        <v>1.6082728634453966E-2</v>
      </c>
      <c r="AD121">
        <v>9.4227977600583011E-3</v>
      </c>
      <c r="AE121">
        <v>1.5773994371090136E-3</v>
      </c>
      <c r="AF121">
        <v>-7.4682463186169952E-3</v>
      </c>
      <c r="AG121">
        <v>-1.7793215251807513E-2</v>
      </c>
      <c r="AH121">
        <v>-2.9377248528606622E-2</v>
      </c>
      <c r="AI121">
        <v>-4.2131618601358764E-2</v>
      </c>
      <c r="AJ121">
        <v>-5.6155364523057832E-2</v>
      </c>
      <c r="AK121">
        <v>-7.1246471257994687E-2</v>
      </c>
      <c r="AL121">
        <v>-8.7431494855535849E-2</v>
      </c>
      <c r="AM121">
        <v>-0.10456930442485625</v>
      </c>
      <c r="AN121">
        <v>-0.1224612511729124</v>
      </c>
      <c r="AO121">
        <v>-0.14100972155872882</v>
      </c>
      <c r="AP121">
        <v>-0.15984477321987559</v>
      </c>
      <c r="AQ121">
        <v>-0.17887113701021964</v>
      </c>
      <c r="AR121">
        <v>-0.1977436483574076</v>
      </c>
      <c r="AS121">
        <v>-0.21615926011732831</v>
      </c>
      <c r="AT121">
        <v>-0.23383378443632463</v>
      </c>
      <c r="AU121">
        <v>-0.25049988326749356</v>
      </c>
      <c r="AV121">
        <v>-0.26583883503953082</v>
      </c>
      <c r="AW121">
        <v>-0.27963076775096923</v>
      </c>
      <c r="AX121">
        <v>-0.29162336330704214</v>
      </c>
      <c r="AY121">
        <v>-0.30164376063412712</v>
      </c>
      <c r="AZ121">
        <v>-0.30962917350618246</v>
      </c>
      <c r="BA121">
        <v>-0.31539074116874699</v>
      </c>
      <c r="BB121">
        <v>-0.31891555325593812</v>
      </c>
      <c r="BC121">
        <v>-0.32018191795504475</v>
      </c>
      <c r="BD121">
        <v>-0.31923124365021599</v>
      </c>
      <c r="BE121">
        <v>-0.31611858125535014</v>
      </c>
      <c r="BF121">
        <v>-0.31088256455092605</v>
      </c>
      <c r="BG121">
        <v>-0.30358010229342153</v>
      </c>
      <c r="BH121">
        <v>-0.2942628119910044</v>
      </c>
      <c r="BI121">
        <v>-0.28296897754305195</v>
      </c>
      <c r="BJ121">
        <v>-0.26972512722769765</v>
      </c>
      <c r="BK121">
        <v>-0.25454510540633318</v>
      </c>
      <c r="BL121">
        <v>-0.23744333127495232</v>
      </c>
      <c r="BM121">
        <v>-0.21834597262473868</v>
      </c>
      <c r="BN121">
        <v>-0.1972730060897572</v>
      </c>
      <c r="BO121">
        <v>-0.17411070960763927</v>
      </c>
      <c r="BP121">
        <v>-0.14881318907652535</v>
      </c>
      <c r="BQ121">
        <v>-0.12129994393627788</v>
      </c>
      <c r="BR121">
        <v>-9.1408744981373455E-2</v>
      </c>
      <c r="BS121">
        <v>-5.9114777598559987E-2</v>
      </c>
      <c r="BT121">
        <v>-2.432856364454225E-2</v>
      </c>
      <c r="BU121">
        <v>1.3049595439411189E-2</v>
      </c>
      <c r="BV121">
        <v>5.301248954586614E-2</v>
      </c>
      <c r="BW121">
        <v>9.5544822324666726E-2</v>
      </c>
      <c r="BX121">
        <v>0.14055578225730486</v>
      </c>
      <c r="BY121">
        <v>0.18782450347706495</v>
      </c>
      <c r="BZ121">
        <v>0.23711019608916134</v>
      </c>
      <c r="CA121">
        <v>0.28794424448839662</v>
      </c>
      <c r="CB121">
        <v>0.33986600394070882</v>
      </c>
      <c r="CC121">
        <v>0.39221410296480064</v>
      </c>
      <c r="CD121">
        <v>0.44429187419414717</v>
      </c>
      <c r="CE121">
        <v>0.49539775097149807</v>
      </c>
      <c r="CF121">
        <v>0.54484647197666369</v>
      </c>
      <c r="CG121">
        <v>0.5920425765963423</v>
      </c>
      <c r="CH121">
        <v>0.63641196369399999</v>
      </c>
      <c r="CI121">
        <v>0.67764948713617457</v>
      </c>
      <c r="CJ121">
        <v>0.71546315193471555</v>
      </c>
      <c r="CK121">
        <v>0.74978793053338744</v>
      </c>
      <c r="CL121">
        <v>0.7806116220157483</v>
      </c>
      <c r="CM121">
        <v>0.80807192151995999</v>
      </c>
      <c r="CN121">
        <v>0.832356218020185</v>
      </c>
      <c r="CO121">
        <v>0.85369678774142965</v>
      </c>
      <c r="CP121">
        <v>0.87237312176236514</v>
      </c>
      <c r="CQ121">
        <v>0.88864961696643463</v>
      </c>
      <c r="CR121">
        <v>0.90279246561442217</v>
      </c>
      <c r="CS121">
        <v>0.91508465217726953</v>
      </c>
      <c r="CT121">
        <v>0.92575416263424315</v>
      </c>
      <c r="CU121">
        <v>0.93502052690207826</v>
      </c>
      <c r="CV121">
        <v>0.94307931799152744</v>
      </c>
      <c r="CW121">
        <v>0.95009755935054674</v>
      </c>
      <c r="CX121">
        <v>0.95623894552796407</v>
      </c>
      <c r="CY121">
        <v>0.96163462425817559</v>
      </c>
      <c r="CZ121">
        <v>0.96639126829111532</v>
      </c>
      <c r="DA121">
        <v>0.97061462022608569</v>
      </c>
      <c r="DB121">
        <v>0.97438313946214739</v>
      </c>
      <c r="DC121">
        <v>0.97777039102110053</v>
      </c>
      <c r="DD121">
        <v>0.98083483349173906</v>
      </c>
      <c r="DE121">
        <v>0.98362702704985283</v>
      </c>
      <c r="DF121">
        <v>0.98618209388982148</v>
      </c>
      <c r="DG121">
        <v>0.98853768234372863</v>
      </c>
      <c r="DH121">
        <v>0.99070994912404309</v>
      </c>
      <c r="DI121">
        <v>0.99271588460533766</v>
      </c>
      <c r="DJ121">
        <v>0.99454941198291336</v>
      </c>
      <c r="DK121">
        <v>0.99620640866324706</v>
      </c>
      <c r="DL121">
        <v>0.99765407116298066</v>
      </c>
      <c r="DM121">
        <v>0.99884049700921684</v>
      </c>
      <c r="DN121">
        <v>0.99967316254636307</v>
      </c>
      <c r="DO121">
        <v>1</v>
      </c>
      <c r="DP121">
        <v>0.99956219895055476</v>
      </c>
    </row>
    <row r="122" spans="1:120" x14ac:dyDescent="0.2">
      <c r="A122">
        <v>-5.3636398205845849E-2</v>
      </c>
      <c r="B122">
        <v>-5.3583565101170225E-2</v>
      </c>
      <c r="C122">
        <v>-4.6739664907708027E-2</v>
      </c>
      <c r="D122">
        <v>-3.9184849031537149E-2</v>
      </c>
      <c r="E122">
        <v>-3.2835897711413181E-2</v>
      </c>
      <c r="F122">
        <v>-2.7630815400560577E-2</v>
      </c>
      <c r="G122">
        <v>-2.3368075122463892E-2</v>
      </c>
      <c r="H122">
        <v>-1.9586832530210489E-2</v>
      </c>
      <c r="I122">
        <v>-1.6079915749338296E-2</v>
      </c>
      <c r="J122">
        <v>-1.2598677551827402E-2</v>
      </c>
      <c r="K122">
        <v>-8.9876834700980297E-3</v>
      </c>
      <c r="L122">
        <v>-5.2032004185343008E-3</v>
      </c>
      <c r="M122">
        <v>-1.2147810916898617E-3</v>
      </c>
      <c r="N122">
        <v>2.9015116176994375E-3</v>
      </c>
      <c r="O122">
        <v>7.2060889219841802E-3</v>
      </c>
      <c r="P122">
        <v>1.1477366778460752E-2</v>
      </c>
      <c r="Q122">
        <v>1.5661472759757145E-2</v>
      </c>
      <c r="R122">
        <v>1.9572213119396747E-2</v>
      </c>
      <c r="S122">
        <v>2.3093041058029434E-2</v>
      </c>
      <c r="T122">
        <v>2.6040823671080321E-2</v>
      </c>
      <c r="U122">
        <v>2.8364551461353058E-2</v>
      </c>
      <c r="V122">
        <v>2.9887361414227799E-2</v>
      </c>
      <c r="W122">
        <v>3.0580708016977196E-2</v>
      </c>
      <c r="X122">
        <v>3.0293735156084491E-2</v>
      </c>
      <c r="Y122">
        <v>2.9133015981516082E-2</v>
      </c>
      <c r="Z122">
        <v>2.6974553680142684E-2</v>
      </c>
      <c r="AA122">
        <v>2.3714068298213879E-2</v>
      </c>
      <c r="AB122">
        <v>1.9430675212274231E-2</v>
      </c>
      <c r="AC122">
        <v>1.4060054037010257E-2</v>
      </c>
      <c r="AD122">
        <v>7.5104739505900825E-3</v>
      </c>
      <c r="AE122">
        <v>-2.1633079673992979E-4</v>
      </c>
      <c r="AF122">
        <v>-9.1394163704574816E-3</v>
      </c>
      <c r="AG122">
        <v>-1.9332549795707324E-2</v>
      </c>
      <c r="AH122">
        <v>-3.0778012236502807E-2</v>
      </c>
      <c r="AI122">
        <v>-4.3388110595705708E-2</v>
      </c>
      <c r="AJ122">
        <v>-5.7259401419172733E-2</v>
      </c>
      <c r="AK122">
        <v>-7.219455656237185E-2</v>
      </c>
      <c r="AL122">
        <v>-8.8217450340245959E-2</v>
      </c>
      <c r="AM122">
        <v>-0.10519123331484928</v>
      </c>
      <c r="AN122">
        <v>-0.12291703041561097</v>
      </c>
      <c r="AO122">
        <v>-0.14129848061699973</v>
      </c>
      <c r="AP122">
        <v>-0.15997128865468244</v>
      </c>
      <c r="AQ122">
        <v>-0.17883949952874106</v>
      </c>
      <c r="AR122">
        <v>-0.19756017966332001</v>
      </c>
      <c r="AS122">
        <v>-0.21583620864615777</v>
      </c>
      <c r="AT122">
        <v>-0.23338263334972859</v>
      </c>
      <c r="AU122">
        <v>-0.24993529108253684</v>
      </c>
      <c r="AV122">
        <v>-0.26517956203516552</v>
      </c>
      <c r="AW122">
        <v>-0.27889355255063575</v>
      </c>
      <c r="AX122">
        <v>-0.29082911574025488</v>
      </c>
      <c r="AY122">
        <v>-0.30081456810162316</v>
      </c>
      <c r="AZ122">
        <v>-0.30878468187434877</v>
      </c>
      <c r="BA122">
        <v>-0.31455328266759225</v>
      </c>
      <c r="BB122">
        <v>-0.31810707033380459</v>
      </c>
      <c r="BC122">
        <v>-0.31942401688455963</v>
      </c>
      <c r="BD122">
        <v>-0.31854498766163897</v>
      </c>
      <c r="BE122">
        <v>-0.31552422878524361</v>
      </c>
      <c r="BF122">
        <v>-0.31039791681931855</v>
      </c>
      <c r="BG122">
        <v>-0.3032246437196931</v>
      </c>
      <c r="BH122">
        <v>-0.29405551332391988</v>
      </c>
      <c r="BI122">
        <v>-0.28292666256480153</v>
      </c>
      <c r="BJ122">
        <v>-0.26986576927407319</v>
      </c>
      <c r="BK122">
        <v>-0.25488564914650896</v>
      </c>
      <c r="BL122">
        <v>-0.23800182851652599</v>
      </c>
      <c r="BM122">
        <v>-0.2191399641465698</v>
      </c>
      <c r="BN122">
        <v>-0.19831977383489496</v>
      </c>
      <c r="BO122">
        <v>-0.17542888755514016</v>
      </c>
      <c r="BP122">
        <v>-0.15042154128333754</v>
      </c>
      <c r="BQ122">
        <v>-0.12321618651883307</v>
      </c>
      <c r="BR122">
        <v>-9.3653274830607008E-2</v>
      </c>
      <c r="BS122">
        <v>-6.1705371389089242E-2</v>
      </c>
      <c r="BT122">
        <v>-2.7285420015877512E-2</v>
      </c>
      <c r="BU122">
        <v>9.7096888380895398E-3</v>
      </c>
      <c r="BV122">
        <v>4.9273092550269078E-2</v>
      </c>
      <c r="BW122">
        <v>9.1391447556692151E-2</v>
      </c>
      <c r="BX122">
        <v>0.13597644991838292</v>
      </c>
      <c r="BY122">
        <v>0.18281209402839751</v>
      </c>
      <c r="BZ122">
        <v>0.23166171481730188</v>
      </c>
      <c r="CA122">
        <v>0.28206339510807871</v>
      </c>
      <c r="CB122">
        <v>0.33356275709158295</v>
      </c>
      <c r="CC122">
        <v>0.38550546603311936</v>
      </c>
      <c r="CD122">
        <v>0.43720197508798941</v>
      </c>
      <c r="CE122">
        <v>0.48795791084592988</v>
      </c>
      <c r="CF122">
        <v>0.53709427265047038</v>
      </c>
      <c r="CG122">
        <v>0.58401924052183585</v>
      </c>
      <c r="CH122">
        <v>0.62816163810005643</v>
      </c>
      <c r="CI122">
        <v>0.6692179418974693</v>
      </c>
      <c r="CJ122">
        <v>0.70689558432015753</v>
      </c>
      <c r="CK122">
        <v>0.74112818727003005</v>
      </c>
      <c r="CL122">
        <v>0.77190149486376036</v>
      </c>
      <c r="CM122">
        <v>0.79934986956901166</v>
      </c>
      <c r="CN122">
        <v>0.82365630554163805</v>
      </c>
      <c r="CO122">
        <v>0.84505035255887817</v>
      </c>
      <c r="CP122">
        <v>0.86380762653666421</v>
      </c>
      <c r="CQ122">
        <v>0.88018893396385245</v>
      </c>
      <c r="CR122">
        <v>0.89445732456091365</v>
      </c>
      <c r="CS122">
        <v>0.90689493268636712</v>
      </c>
      <c r="CT122">
        <v>0.91772641352127138</v>
      </c>
      <c r="CU122">
        <v>0.92716969076403755</v>
      </c>
      <c r="CV122">
        <v>0.93541936610001541</v>
      </c>
      <c r="CW122">
        <v>0.94264097319796136</v>
      </c>
      <c r="CX122">
        <v>0.94899795847447099</v>
      </c>
      <c r="CY122">
        <v>0.95462163149122303</v>
      </c>
      <c r="CZ122">
        <v>0.95961841115174928</v>
      </c>
      <c r="DA122">
        <v>0.96409448581379031</v>
      </c>
      <c r="DB122">
        <v>0.96812857429170363</v>
      </c>
      <c r="DC122">
        <v>0.97179598801902023</v>
      </c>
      <c r="DD122">
        <v>0.97515557438246381</v>
      </c>
      <c r="DE122">
        <v>0.9782606412529995</v>
      </c>
      <c r="DF122">
        <v>0.98114692588621211</v>
      </c>
      <c r="DG122">
        <v>0.98385630907933752</v>
      </c>
      <c r="DH122">
        <v>0.98640699866353554</v>
      </c>
      <c r="DI122">
        <v>0.98882106263468439</v>
      </c>
      <c r="DJ122">
        <v>0.99109538792590934</v>
      </c>
      <c r="DK122">
        <v>0.99323418482666981</v>
      </c>
      <c r="DL122">
        <v>0.99521150892372079</v>
      </c>
      <c r="DM122">
        <v>0.99698678015607534</v>
      </c>
      <c r="DN122">
        <v>0.9984810600675823</v>
      </c>
      <c r="DO122">
        <v>0.99956219895055476</v>
      </c>
      <c r="DP122">
        <v>1</v>
      </c>
    </row>
  </sheetData>
  <phoneticPr fontId="1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B2:R48"/>
  <sheetViews>
    <sheetView workbookViewId="0">
      <selection activeCell="J5" sqref="J5"/>
    </sheetView>
  </sheetViews>
  <sheetFormatPr defaultRowHeight="12.75" x14ac:dyDescent="0.2"/>
  <cols>
    <col min="2" max="2" width="12.140625" customWidth="1"/>
    <col min="4" max="4" width="14.5703125" bestFit="1" customWidth="1"/>
  </cols>
  <sheetData>
    <row r="2" spans="2:7" x14ac:dyDescent="0.2">
      <c r="B2" t="s">
        <v>0</v>
      </c>
      <c r="C2">
        <v>3</v>
      </c>
      <c r="D2" t="s">
        <v>2</v>
      </c>
      <c r="E2" t="b">
        <v>1</v>
      </c>
    </row>
    <row r="3" spans="2:7" x14ac:dyDescent="0.2">
      <c r="B3" t="s">
        <v>1</v>
      </c>
      <c r="C3">
        <v>0</v>
      </c>
      <c r="D3" t="s">
        <v>6</v>
      </c>
      <c r="E3">
        <v>100</v>
      </c>
    </row>
    <row r="4" spans="2:7" x14ac:dyDescent="0.2">
      <c r="B4" t="s">
        <v>4</v>
      </c>
      <c r="C4">
        <v>60</v>
      </c>
      <c r="D4" s="1" t="s">
        <v>72</v>
      </c>
      <c r="E4">
        <v>1.2</v>
      </c>
    </row>
    <row r="5" spans="2:7" x14ac:dyDescent="0.2">
      <c r="B5" t="s">
        <v>5</v>
      </c>
      <c r="C5">
        <v>60</v>
      </c>
      <c r="D5" s="1" t="s">
        <v>73</v>
      </c>
      <c r="E5">
        <v>1.1000000000000001</v>
      </c>
    </row>
    <row r="6" spans="2:7" x14ac:dyDescent="0.2">
      <c r="B6" t="s">
        <v>44</v>
      </c>
      <c r="C6">
        <v>2</v>
      </c>
      <c r="D6" t="s">
        <v>43</v>
      </c>
      <c r="E6" t="b">
        <v>1</v>
      </c>
    </row>
    <row r="7" spans="2:7" x14ac:dyDescent="0.2">
      <c r="B7" t="s">
        <v>45</v>
      </c>
      <c r="C7" t="s">
        <v>46</v>
      </c>
    </row>
    <row r="9" spans="2:7" x14ac:dyDescent="0.2">
      <c r="B9" s="6" t="s">
        <v>53</v>
      </c>
      <c r="C9" s="6" t="s">
        <v>67</v>
      </c>
    </row>
    <row r="10" spans="2:7" x14ac:dyDescent="0.2">
      <c r="B10" s="7" t="s">
        <v>54</v>
      </c>
      <c r="C10" s="7" t="s">
        <v>55</v>
      </c>
    </row>
    <row r="12" spans="2:7" x14ac:dyDescent="0.2">
      <c r="B12" s="10" t="s">
        <v>71</v>
      </c>
      <c r="G12" t="s">
        <v>74</v>
      </c>
    </row>
    <row r="13" spans="2:7" x14ac:dyDescent="0.2">
      <c r="B13" s="10" t="s">
        <v>71</v>
      </c>
      <c r="G13" t="s">
        <v>75</v>
      </c>
    </row>
    <row r="15" spans="2:7" x14ac:dyDescent="0.2">
      <c r="B15" t="str">
        <f t="array" ref="B15:B25">_xll.HLV5r3.Financial.Cache.PedersenCalSummary()</f>
        <v>Pedersen Calibration:</v>
      </c>
    </row>
    <row r="16" spans="2:7" x14ac:dyDescent="0.2">
      <c r="B16" t="str">
        <v/>
      </c>
    </row>
    <row r="17" spans="2:18" x14ac:dyDescent="0.2">
      <c r="B17" t="e">
        <v>#N/A</v>
      </c>
    </row>
    <row r="18" spans="2:18" x14ac:dyDescent="0.2">
      <c r="B18" t="e">
        <v>#N/A</v>
      </c>
    </row>
    <row r="19" spans="2:18" x14ac:dyDescent="0.2">
      <c r="B19" t="e">
        <v>#N/A</v>
      </c>
    </row>
    <row r="20" spans="2:18" x14ac:dyDescent="0.2">
      <c r="B20" t="e">
        <v>#N/A</v>
      </c>
    </row>
    <row r="21" spans="2:18" x14ac:dyDescent="0.2">
      <c r="B21" t="e">
        <v>#N/A</v>
      </c>
    </row>
    <row r="22" spans="2:18" x14ac:dyDescent="0.2">
      <c r="B22" t="e">
        <v>#N/A</v>
      </c>
    </row>
    <row r="23" spans="2:18" x14ac:dyDescent="0.2">
      <c r="B23" t="e">
        <v>#N/A</v>
      </c>
    </row>
    <row r="24" spans="2:18" x14ac:dyDescent="0.2">
      <c r="B24" t="e">
        <v>#N/A</v>
      </c>
    </row>
    <row r="25" spans="2:18" x14ac:dyDescent="0.2">
      <c r="B25" t="e">
        <v>#N/A</v>
      </c>
    </row>
    <row r="32" spans="2:18" x14ac:dyDescent="0.2">
      <c r="B32" t="str">
        <f t="array" ref="B32:R48">_xll.HLV5r3.Financial.Cache.PedersenShowCorrelation()</f>
        <v>Correlation</v>
      </c>
      <c r="C32">
        <v>1</v>
      </c>
      <c r="D32">
        <v>2</v>
      </c>
      <c r="E32">
        <v>3</v>
      </c>
      <c r="F32">
        <v>4</v>
      </c>
      <c r="G32">
        <v>6</v>
      </c>
      <c r="H32">
        <v>8</v>
      </c>
      <c r="I32">
        <v>10</v>
      </c>
      <c r="J32">
        <v>12</v>
      </c>
      <c r="K32">
        <v>16</v>
      </c>
      <c r="L32">
        <v>20</v>
      </c>
      <c r="M32">
        <v>24</v>
      </c>
      <c r="N32">
        <v>28</v>
      </c>
      <c r="O32">
        <v>34</v>
      </c>
      <c r="P32">
        <v>40</v>
      </c>
      <c r="Q32">
        <v>50</v>
      </c>
      <c r="R32">
        <v>60</v>
      </c>
    </row>
    <row r="33" spans="2:18" x14ac:dyDescent="0.2">
      <c r="B33">
        <v>1</v>
      </c>
      <c r="C33">
        <v>1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</row>
    <row r="34" spans="2:18" x14ac:dyDescent="0.2">
      <c r="B34">
        <v>2</v>
      </c>
      <c r="C34">
        <v>0.90916542210432705</v>
      </c>
      <c r="D34">
        <v>1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</row>
    <row r="35" spans="2:18" x14ac:dyDescent="0.2">
      <c r="B35">
        <v>3</v>
      </c>
      <c r="C35">
        <v>0.73645678589223795</v>
      </c>
      <c r="D35">
        <v>0.951150676884149</v>
      </c>
      <c r="E35">
        <v>1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</row>
    <row r="36" spans="2:18" x14ac:dyDescent="0.2">
      <c r="B36">
        <v>4</v>
      </c>
      <c r="C36">
        <v>0.591062667113044</v>
      </c>
      <c r="D36">
        <v>0.87257489958026302</v>
      </c>
      <c r="E36">
        <v>0.98060259029722496</v>
      </c>
      <c r="F36">
        <v>1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</row>
    <row r="37" spans="2:18" x14ac:dyDescent="0.2">
      <c r="B37">
        <v>6</v>
      </c>
      <c r="C37">
        <v>0.418391476781032</v>
      </c>
      <c r="D37">
        <v>0.75460879277775506</v>
      </c>
      <c r="E37">
        <v>0.91823546164027003</v>
      </c>
      <c r="F37">
        <v>0.97740852627767305</v>
      </c>
      <c r="G37">
        <v>1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</row>
    <row r="38" spans="2:18" x14ac:dyDescent="0.2">
      <c r="B38">
        <v>8</v>
      </c>
      <c r="C38">
        <v>0.33441040813831202</v>
      </c>
      <c r="D38">
        <v>0.68661586905239003</v>
      </c>
      <c r="E38">
        <v>0.87123688621359896</v>
      </c>
      <c r="F38">
        <v>0.94761593993804305</v>
      </c>
      <c r="G38">
        <v>0.992966539616852</v>
      </c>
      <c r="H38">
        <v>1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</row>
    <row r="39" spans="2:18" x14ac:dyDescent="0.2">
      <c r="B39">
        <v>10</v>
      </c>
      <c r="C39">
        <v>0.29224883673966801</v>
      </c>
      <c r="D39">
        <v>0.64590236125511302</v>
      </c>
      <c r="E39">
        <v>0.83736968075384399</v>
      </c>
      <c r="F39">
        <v>0.92120296869590601</v>
      </c>
      <c r="G39">
        <v>0.97900824396211406</v>
      </c>
      <c r="H39">
        <v>0.99581877462989199</v>
      </c>
      <c r="I39">
        <v>1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</row>
    <row r="40" spans="2:18" x14ac:dyDescent="0.2">
      <c r="B40">
        <v>12</v>
      </c>
      <c r="C40">
        <v>0.27136135434895198</v>
      </c>
      <c r="D40">
        <v>0.61887699104654503</v>
      </c>
      <c r="E40">
        <v>0.80977535557432601</v>
      </c>
      <c r="F40">
        <v>0.89586458672767</v>
      </c>
      <c r="G40">
        <v>0.96041525940801997</v>
      </c>
      <c r="H40">
        <v>0.98447831967611199</v>
      </c>
      <c r="I40">
        <v>0.99614707338006103</v>
      </c>
      <c r="J40">
        <v>1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</row>
    <row r="41" spans="2:18" x14ac:dyDescent="0.2">
      <c r="B41">
        <v>16</v>
      </c>
      <c r="C41">
        <v>0.258208468897342</v>
      </c>
      <c r="D41">
        <v>0.57834583008153895</v>
      </c>
      <c r="E41">
        <v>0.754737922209751</v>
      </c>
      <c r="F41">
        <v>0.83618395919327204</v>
      </c>
      <c r="G41">
        <v>0.903772538033493</v>
      </c>
      <c r="H41">
        <v>0.937142247396901</v>
      </c>
      <c r="I41">
        <v>0.96155118961625197</v>
      </c>
      <c r="J41">
        <v>0.98095432792639903</v>
      </c>
      <c r="K41">
        <v>1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</row>
    <row r="42" spans="2:18" x14ac:dyDescent="0.2">
      <c r="B42">
        <v>20</v>
      </c>
      <c r="C42">
        <v>0.253086818014649</v>
      </c>
      <c r="D42">
        <v>0.53012012318224</v>
      </c>
      <c r="E42">
        <v>0.680406283586661</v>
      </c>
      <c r="F42">
        <v>0.74974309907293402</v>
      </c>
      <c r="G42">
        <v>0.81118965980880497</v>
      </c>
      <c r="H42">
        <v>0.84799711267140798</v>
      </c>
      <c r="I42">
        <v>0.88114485098495998</v>
      </c>
      <c r="J42">
        <v>0.91394009735410198</v>
      </c>
      <c r="K42">
        <v>0.97362752667270203</v>
      </c>
      <c r="L42">
        <v>1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</row>
    <row r="43" spans="2:18" x14ac:dyDescent="0.2">
      <c r="B43">
        <v>24</v>
      </c>
      <c r="C43">
        <v>0.24135180418785199</v>
      </c>
      <c r="D43">
        <v>0.471090684059077</v>
      </c>
      <c r="E43">
        <v>0.59276357936625601</v>
      </c>
      <c r="F43">
        <v>0.64810661290748195</v>
      </c>
      <c r="G43">
        <v>0.69946867185964601</v>
      </c>
      <c r="H43">
        <v>0.73522135690827894</v>
      </c>
      <c r="I43">
        <v>0.77211079265012195</v>
      </c>
      <c r="J43">
        <v>0.81302446226696801</v>
      </c>
      <c r="K43">
        <v>0.90336136810276302</v>
      </c>
      <c r="L43">
        <v>0.97649716555698196</v>
      </c>
      <c r="M43">
        <v>1</v>
      </c>
      <c r="N43">
        <v>0</v>
      </c>
      <c r="O43">
        <v>0</v>
      </c>
      <c r="P43">
        <v>0</v>
      </c>
      <c r="Q43">
        <v>0</v>
      </c>
      <c r="R43">
        <v>0</v>
      </c>
    </row>
    <row r="44" spans="2:18" x14ac:dyDescent="0.2">
      <c r="B44">
        <v>28</v>
      </c>
      <c r="C44">
        <v>0.227210419680242</v>
      </c>
      <c r="D44">
        <v>0.42252205075455401</v>
      </c>
      <c r="E44">
        <v>0.52372646145095103</v>
      </c>
      <c r="F44">
        <v>0.56892206002175005</v>
      </c>
      <c r="G44">
        <v>0.61190386974275601</v>
      </c>
      <c r="H44">
        <v>0.64489991390160195</v>
      </c>
      <c r="I44">
        <v>0.68182612677680599</v>
      </c>
      <c r="J44">
        <v>0.72539276385818197</v>
      </c>
      <c r="K44">
        <v>0.83051755347426004</v>
      </c>
      <c r="L44">
        <v>0.93133608580066096</v>
      </c>
      <c r="M44">
        <v>0.98701970906863801</v>
      </c>
      <c r="N44">
        <v>1</v>
      </c>
      <c r="O44">
        <v>0</v>
      </c>
      <c r="P44">
        <v>0</v>
      </c>
      <c r="Q44">
        <v>0</v>
      </c>
      <c r="R44">
        <v>0</v>
      </c>
    </row>
    <row r="45" spans="2:18" x14ac:dyDescent="0.2">
      <c r="B45">
        <v>34</v>
      </c>
      <c r="C45">
        <v>0.21481997263751401</v>
      </c>
      <c r="D45">
        <v>0.39297332116377198</v>
      </c>
      <c r="E45">
        <v>0.484239016042948</v>
      </c>
      <c r="F45">
        <v>0.52424721545652297</v>
      </c>
      <c r="G45">
        <v>0.56158388976674101</v>
      </c>
      <c r="H45">
        <v>0.590735348539007</v>
      </c>
      <c r="I45">
        <v>0.62443501959938696</v>
      </c>
      <c r="J45">
        <v>0.665436796393027</v>
      </c>
      <c r="K45">
        <v>0.76927951558964902</v>
      </c>
      <c r="L45">
        <v>0.87779264831426396</v>
      </c>
      <c r="M45">
        <v>0.95034466250581895</v>
      </c>
      <c r="N45">
        <v>0.98432777249305903</v>
      </c>
      <c r="O45">
        <v>1</v>
      </c>
      <c r="P45">
        <v>0</v>
      </c>
      <c r="Q45">
        <v>0</v>
      </c>
      <c r="R45">
        <v>0</v>
      </c>
    </row>
    <row r="46" spans="2:18" x14ac:dyDescent="0.2">
      <c r="B46">
        <v>40</v>
      </c>
      <c r="C46">
        <v>0.21511098250206701</v>
      </c>
      <c r="D46">
        <v>0.40370138908126002</v>
      </c>
      <c r="E46">
        <v>0.50108151797775802</v>
      </c>
      <c r="F46">
        <v>0.54346961497541102</v>
      </c>
      <c r="G46">
        <v>0.58043236567898904</v>
      </c>
      <c r="H46">
        <v>0.60620738910553995</v>
      </c>
      <c r="I46">
        <v>0.63448991908174301</v>
      </c>
      <c r="J46">
        <v>0.66811387862724803</v>
      </c>
      <c r="K46">
        <v>0.75203405884075303</v>
      </c>
      <c r="L46">
        <v>0.83925109680939203</v>
      </c>
      <c r="M46">
        <v>0.89936458365537797</v>
      </c>
      <c r="N46">
        <v>0.93493578180876502</v>
      </c>
      <c r="O46">
        <v>0.97657508317927699</v>
      </c>
      <c r="P46">
        <v>1</v>
      </c>
      <c r="Q46">
        <v>0</v>
      </c>
      <c r="R46">
        <v>0</v>
      </c>
    </row>
    <row r="47" spans="2:18" x14ac:dyDescent="0.2">
      <c r="B47">
        <v>50</v>
      </c>
      <c r="C47">
        <v>0.21161515111470899</v>
      </c>
      <c r="D47">
        <v>0.41834988076367802</v>
      </c>
      <c r="E47">
        <v>0.52679469440874105</v>
      </c>
      <c r="F47">
        <v>0.57369212687542004</v>
      </c>
      <c r="G47">
        <v>0.60992098811992901</v>
      </c>
      <c r="H47">
        <v>0.62845447652201702</v>
      </c>
      <c r="I47">
        <v>0.64426050881890795</v>
      </c>
      <c r="J47">
        <v>0.65965667903094305</v>
      </c>
      <c r="K47">
        <v>0.68883934499912403</v>
      </c>
      <c r="L47">
        <v>0.70648453461470995</v>
      </c>
      <c r="M47">
        <v>0.70831009686078406</v>
      </c>
      <c r="N47">
        <v>0.71498724718154105</v>
      </c>
      <c r="O47">
        <v>0.77192572243964197</v>
      </c>
      <c r="P47">
        <v>0.87872906809524898</v>
      </c>
      <c r="Q47">
        <v>1</v>
      </c>
      <c r="R47">
        <v>0</v>
      </c>
    </row>
    <row r="48" spans="2:18" x14ac:dyDescent="0.2">
      <c r="B48">
        <v>60</v>
      </c>
      <c r="C48">
        <v>0.17387458594497099</v>
      </c>
      <c r="D48">
        <v>0.35409976287797301</v>
      </c>
      <c r="E48">
        <v>0.449395979375178</v>
      </c>
      <c r="F48">
        <v>0.49046009455477202</v>
      </c>
      <c r="G48">
        <v>0.51990999040818398</v>
      </c>
      <c r="H48">
        <v>0.53114757660998302</v>
      </c>
      <c r="I48">
        <v>0.53696760781959596</v>
      </c>
      <c r="J48">
        <v>0.53868476333998305</v>
      </c>
      <c r="K48">
        <v>0.52795877149202097</v>
      </c>
      <c r="L48">
        <v>0.49429333701628497</v>
      </c>
      <c r="M48">
        <v>0.44925195337301799</v>
      </c>
      <c r="N48">
        <v>0.42292917017100701</v>
      </c>
      <c r="O48">
        <v>0.45812768799923398</v>
      </c>
      <c r="P48">
        <v>0.58780624161129302</v>
      </c>
      <c r="Q48">
        <v>0.88558152389969302</v>
      </c>
      <c r="R48">
        <v>1</v>
      </c>
    </row>
  </sheetData>
  <phoneticPr fontId="1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3.Calibration">
                <anchor moveWithCells="1" sizeWithCells="1">
                  <from>
                    <xdr:col>6</xdr:col>
                    <xdr:colOff>190500</xdr:colOff>
                    <xdr:row>1</xdr:row>
                    <xdr:rowOff>76200</xdr:rowOff>
                  </from>
                  <to>
                    <xdr:col>8</xdr:col>
                    <xdr:colOff>400050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BI6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RowHeight="12.75" x14ac:dyDescent="0.2"/>
  <sheetData>
    <row r="1" spans="1:61" x14ac:dyDescent="0.2">
      <c r="A1" t="str">
        <f t="array" ref="A1:BI61">_xll.HLV5r3.Financial.Cache.PedersenCalVolNorm()</f>
        <v>Volatility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  <c r="AC1">
        <v>28</v>
      </c>
      <c r="AD1">
        <v>29</v>
      </c>
      <c r="AE1">
        <v>30</v>
      </c>
      <c r="AF1">
        <v>31</v>
      </c>
      <c r="AG1">
        <v>32</v>
      </c>
      <c r="AH1">
        <v>33</v>
      </c>
      <c r="AI1">
        <v>34</v>
      </c>
      <c r="AJ1">
        <v>35</v>
      </c>
      <c r="AK1">
        <v>36</v>
      </c>
      <c r="AL1">
        <v>37</v>
      </c>
      <c r="AM1">
        <v>38</v>
      </c>
      <c r="AN1">
        <v>39</v>
      </c>
      <c r="AO1">
        <v>40</v>
      </c>
      <c r="AP1">
        <v>41</v>
      </c>
      <c r="AQ1">
        <v>42</v>
      </c>
      <c r="AR1">
        <v>43</v>
      </c>
      <c r="AS1">
        <v>44</v>
      </c>
      <c r="AT1">
        <v>45</v>
      </c>
      <c r="AU1">
        <v>46</v>
      </c>
      <c r="AV1">
        <v>47</v>
      </c>
      <c r="AW1">
        <v>48</v>
      </c>
      <c r="AX1">
        <v>49</v>
      </c>
      <c r="AY1">
        <v>50</v>
      </c>
      <c r="AZ1">
        <v>51</v>
      </c>
      <c r="BA1">
        <v>52</v>
      </c>
      <c r="BB1">
        <v>53</v>
      </c>
      <c r="BC1">
        <v>54</v>
      </c>
      <c r="BD1">
        <v>55</v>
      </c>
      <c r="BE1">
        <v>56</v>
      </c>
      <c r="BF1">
        <v>57</v>
      </c>
      <c r="BG1">
        <v>58</v>
      </c>
      <c r="BH1">
        <v>59</v>
      </c>
      <c r="BI1">
        <v>60</v>
      </c>
    </row>
    <row r="2" spans="1:61" x14ac:dyDescent="0.2">
      <c r="A2">
        <v>1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</row>
    <row r="3" spans="1:61" x14ac:dyDescent="0.2">
      <c r="A3">
        <v>2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</row>
    <row r="4" spans="1:61" x14ac:dyDescent="0.2">
      <c r="A4">
        <v>3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</row>
    <row r="5" spans="1:61" x14ac:dyDescent="0.2">
      <c r="A5">
        <v>4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</row>
    <row r="6" spans="1:61" x14ac:dyDescent="0.2">
      <c r="A6">
        <v>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</row>
    <row r="7" spans="1:61" x14ac:dyDescent="0.2">
      <c r="A7">
        <v>6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</row>
    <row r="8" spans="1:61" x14ac:dyDescent="0.2">
      <c r="A8">
        <v>7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</row>
    <row r="9" spans="1:61" x14ac:dyDescent="0.2">
      <c r="A9">
        <v>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</row>
    <row r="10" spans="1:61" x14ac:dyDescent="0.2">
      <c r="A10">
        <v>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</row>
    <row r="11" spans="1:61" x14ac:dyDescent="0.2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</row>
    <row r="12" spans="1:61" x14ac:dyDescent="0.2">
      <c r="A12">
        <v>11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</row>
    <row r="13" spans="1:61" x14ac:dyDescent="0.2">
      <c r="A13">
        <v>12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</row>
    <row r="14" spans="1:61" x14ac:dyDescent="0.2">
      <c r="A14">
        <v>13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</row>
    <row r="15" spans="1:61" x14ac:dyDescent="0.2">
      <c r="A15">
        <v>14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</row>
    <row r="16" spans="1:61" x14ac:dyDescent="0.2">
      <c r="A16">
        <v>15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</row>
    <row r="17" spans="1:61" x14ac:dyDescent="0.2">
      <c r="A17">
        <v>16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</row>
    <row r="18" spans="1:61" x14ac:dyDescent="0.2">
      <c r="A18">
        <v>17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</row>
    <row r="19" spans="1:61" x14ac:dyDescent="0.2">
      <c r="A19">
        <v>18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</row>
    <row r="20" spans="1:61" x14ac:dyDescent="0.2">
      <c r="A20">
        <v>19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</row>
    <row r="21" spans="1:61" x14ac:dyDescent="0.2">
      <c r="A21">
        <v>20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</row>
    <row r="22" spans="1:61" x14ac:dyDescent="0.2">
      <c r="A22">
        <v>21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</row>
    <row r="23" spans="1:61" x14ac:dyDescent="0.2">
      <c r="A23">
        <v>22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</row>
    <row r="24" spans="1:61" x14ac:dyDescent="0.2">
      <c r="A24">
        <v>23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</row>
    <row r="25" spans="1:61" x14ac:dyDescent="0.2">
      <c r="A25">
        <v>24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</row>
    <row r="26" spans="1:61" x14ac:dyDescent="0.2">
      <c r="A26">
        <v>25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</row>
    <row r="27" spans="1:61" x14ac:dyDescent="0.2">
      <c r="A27">
        <v>26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</row>
    <row r="28" spans="1:61" x14ac:dyDescent="0.2">
      <c r="A28">
        <v>27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</row>
    <row r="29" spans="1:61" x14ac:dyDescent="0.2">
      <c r="A29">
        <v>28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</row>
    <row r="30" spans="1:61" x14ac:dyDescent="0.2">
      <c r="A30">
        <v>29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</row>
    <row r="31" spans="1:61" x14ac:dyDescent="0.2">
      <c r="A31">
        <v>30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</row>
    <row r="32" spans="1:61" x14ac:dyDescent="0.2">
      <c r="A32">
        <v>31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</row>
    <row r="33" spans="1:61" x14ac:dyDescent="0.2">
      <c r="A33">
        <v>32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</row>
    <row r="34" spans="1:61" x14ac:dyDescent="0.2">
      <c r="A34">
        <v>33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</row>
    <row r="35" spans="1:61" x14ac:dyDescent="0.2">
      <c r="A35">
        <v>34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</row>
    <row r="36" spans="1:61" x14ac:dyDescent="0.2">
      <c r="A36">
        <v>35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</row>
    <row r="37" spans="1:61" x14ac:dyDescent="0.2">
      <c r="A37">
        <v>36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</row>
    <row r="38" spans="1:61" x14ac:dyDescent="0.2">
      <c r="A38">
        <v>37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</row>
    <row r="39" spans="1:61" x14ac:dyDescent="0.2">
      <c r="A39">
        <v>38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</row>
    <row r="40" spans="1:61" x14ac:dyDescent="0.2">
      <c r="A40">
        <v>39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</row>
    <row r="41" spans="1:61" x14ac:dyDescent="0.2">
      <c r="A41">
        <v>40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</row>
    <row r="42" spans="1:61" x14ac:dyDescent="0.2">
      <c r="A42">
        <v>41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</row>
    <row r="43" spans="1:61" x14ac:dyDescent="0.2">
      <c r="A43">
        <v>42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</row>
    <row r="44" spans="1:61" x14ac:dyDescent="0.2">
      <c r="A44">
        <v>43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</row>
    <row r="45" spans="1:61" x14ac:dyDescent="0.2">
      <c r="A45">
        <v>44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</row>
    <row r="46" spans="1:61" x14ac:dyDescent="0.2">
      <c r="A46">
        <v>45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</row>
    <row r="47" spans="1:61" x14ac:dyDescent="0.2">
      <c r="A47">
        <v>46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</row>
    <row r="48" spans="1:61" x14ac:dyDescent="0.2">
      <c r="A48">
        <v>47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</row>
    <row r="49" spans="1:61" x14ac:dyDescent="0.2">
      <c r="A49">
        <v>48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</row>
    <row r="50" spans="1:61" x14ac:dyDescent="0.2">
      <c r="A50">
        <v>49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</row>
    <row r="51" spans="1:61" x14ac:dyDescent="0.2">
      <c r="A51">
        <v>50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</row>
    <row r="52" spans="1:61" x14ac:dyDescent="0.2">
      <c r="A52">
        <v>51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</row>
    <row r="53" spans="1:61" x14ac:dyDescent="0.2">
      <c r="A53">
        <v>52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</row>
    <row r="54" spans="1:61" x14ac:dyDescent="0.2">
      <c r="A54">
        <v>53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</row>
    <row r="55" spans="1:61" x14ac:dyDescent="0.2">
      <c r="A55">
        <v>54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</row>
    <row r="56" spans="1:61" x14ac:dyDescent="0.2">
      <c r="A56">
        <v>55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</row>
    <row r="57" spans="1:61" x14ac:dyDescent="0.2">
      <c r="A57">
        <v>56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</row>
    <row r="58" spans="1:61" x14ac:dyDescent="0.2">
      <c r="A58">
        <v>57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</row>
    <row r="59" spans="1:61" x14ac:dyDescent="0.2">
      <c r="A59">
        <v>58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</row>
    <row r="60" spans="1:61" x14ac:dyDescent="0.2">
      <c r="A60">
        <v>59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</row>
    <row r="61" spans="1:61" x14ac:dyDescent="0.2">
      <c r="A61">
        <v>60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</row>
  </sheetData>
  <phoneticPr fontId="1" type="noConversion"/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BI185"/>
  <sheetViews>
    <sheetView workbookViewId="0">
      <pane xSplit="1" ySplit="1" topLeftCell="S14" activePane="bottomRight" state="frozen"/>
      <selection pane="topRight" activeCell="B1" sqref="B1"/>
      <selection pane="bottomLeft" activeCell="A2" sqref="A2"/>
      <selection pane="bottomRight" activeCell="AC54" sqref="AC54"/>
    </sheetView>
  </sheetViews>
  <sheetFormatPr defaultRowHeight="12.75" x14ac:dyDescent="0.2"/>
  <sheetData>
    <row r="1" spans="1:61" x14ac:dyDescent="0.2">
      <c r="A1" t="str">
        <f t="array" ref="A1:BI185">_xll.HLV5r3.Financial.Cache.PedersenCalVol()</f>
        <v>Vol Fac 1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  <c r="AC1">
        <v>28</v>
      </c>
      <c r="AD1">
        <v>29</v>
      </c>
      <c r="AE1">
        <v>30</v>
      </c>
      <c r="AF1">
        <v>31</v>
      </c>
      <c r="AG1">
        <v>32</v>
      </c>
      <c r="AH1">
        <v>33</v>
      </c>
      <c r="AI1">
        <v>34</v>
      </c>
      <c r="AJ1">
        <v>35</v>
      </c>
      <c r="AK1">
        <v>36</v>
      </c>
      <c r="AL1">
        <v>37</v>
      </c>
      <c r="AM1">
        <v>38</v>
      </c>
      <c r="AN1">
        <v>39</v>
      </c>
      <c r="AO1">
        <v>40</v>
      </c>
      <c r="AP1">
        <v>41</v>
      </c>
      <c r="AQ1">
        <v>42</v>
      </c>
      <c r="AR1">
        <v>43</v>
      </c>
      <c r="AS1">
        <v>44</v>
      </c>
      <c r="AT1">
        <v>45</v>
      </c>
      <c r="AU1">
        <v>46</v>
      </c>
      <c r="AV1">
        <v>47</v>
      </c>
      <c r="AW1">
        <v>48</v>
      </c>
      <c r="AX1">
        <v>49</v>
      </c>
      <c r="AY1">
        <v>50</v>
      </c>
      <c r="AZ1">
        <v>51</v>
      </c>
      <c r="BA1">
        <v>52</v>
      </c>
      <c r="BB1">
        <v>53</v>
      </c>
      <c r="BC1">
        <v>54</v>
      </c>
      <c r="BD1">
        <v>55</v>
      </c>
      <c r="BE1">
        <v>56</v>
      </c>
      <c r="BF1">
        <v>57</v>
      </c>
      <c r="BG1">
        <v>58</v>
      </c>
      <c r="BH1">
        <v>59</v>
      </c>
      <c r="BI1">
        <v>60</v>
      </c>
    </row>
    <row r="2" spans="1:61" x14ac:dyDescent="0.2">
      <c r="A2">
        <v>1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</row>
    <row r="3" spans="1:61" x14ac:dyDescent="0.2">
      <c r="A3">
        <v>2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</row>
    <row r="4" spans="1:61" x14ac:dyDescent="0.2">
      <c r="A4">
        <v>3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</row>
    <row r="5" spans="1:61" x14ac:dyDescent="0.2">
      <c r="A5">
        <v>4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</row>
    <row r="6" spans="1:61" x14ac:dyDescent="0.2">
      <c r="A6">
        <v>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</row>
    <row r="7" spans="1:61" x14ac:dyDescent="0.2">
      <c r="A7">
        <v>6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</row>
    <row r="8" spans="1:61" x14ac:dyDescent="0.2">
      <c r="A8">
        <v>7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</row>
    <row r="9" spans="1:61" x14ac:dyDescent="0.2">
      <c r="A9">
        <v>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</row>
    <row r="10" spans="1:61" x14ac:dyDescent="0.2">
      <c r="A10">
        <v>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</row>
    <row r="11" spans="1:61" x14ac:dyDescent="0.2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</row>
    <row r="12" spans="1:61" x14ac:dyDescent="0.2">
      <c r="A12">
        <v>11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</row>
    <row r="13" spans="1:61" x14ac:dyDescent="0.2">
      <c r="A13">
        <v>12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</row>
    <row r="14" spans="1:61" x14ac:dyDescent="0.2">
      <c r="A14">
        <v>13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</row>
    <row r="15" spans="1:61" x14ac:dyDescent="0.2">
      <c r="A15">
        <v>14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</row>
    <row r="16" spans="1:61" x14ac:dyDescent="0.2">
      <c r="A16">
        <v>15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</row>
    <row r="17" spans="1:61" x14ac:dyDescent="0.2">
      <c r="A17">
        <v>16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</row>
    <row r="18" spans="1:61" x14ac:dyDescent="0.2">
      <c r="A18">
        <v>17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</row>
    <row r="19" spans="1:61" x14ac:dyDescent="0.2">
      <c r="A19">
        <v>18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</row>
    <row r="20" spans="1:61" x14ac:dyDescent="0.2">
      <c r="A20">
        <v>19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</row>
    <row r="21" spans="1:61" x14ac:dyDescent="0.2">
      <c r="A21">
        <v>20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</row>
    <row r="22" spans="1:61" x14ac:dyDescent="0.2">
      <c r="A22">
        <v>21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</row>
    <row r="23" spans="1:61" x14ac:dyDescent="0.2">
      <c r="A23">
        <v>22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</row>
    <row r="24" spans="1:61" x14ac:dyDescent="0.2">
      <c r="A24">
        <v>23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</row>
    <row r="25" spans="1:61" x14ac:dyDescent="0.2">
      <c r="A25">
        <v>24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</row>
    <row r="26" spans="1:61" x14ac:dyDescent="0.2">
      <c r="A26">
        <v>25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</row>
    <row r="27" spans="1:61" x14ac:dyDescent="0.2">
      <c r="A27">
        <v>26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</row>
    <row r="28" spans="1:61" x14ac:dyDescent="0.2">
      <c r="A28">
        <v>27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</row>
    <row r="29" spans="1:61" x14ac:dyDescent="0.2">
      <c r="A29">
        <v>28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</row>
    <row r="30" spans="1:61" x14ac:dyDescent="0.2">
      <c r="A30">
        <v>29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</row>
    <row r="31" spans="1:61" x14ac:dyDescent="0.2">
      <c r="A31">
        <v>30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</row>
    <row r="32" spans="1:61" x14ac:dyDescent="0.2">
      <c r="A32">
        <v>31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</row>
    <row r="33" spans="1:61" x14ac:dyDescent="0.2">
      <c r="A33">
        <v>32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</row>
    <row r="34" spans="1:61" x14ac:dyDescent="0.2">
      <c r="A34">
        <v>33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</row>
    <row r="35" spans="1:61" x14ac:dyDescent="0.2">
      <c r="A35">
        <v>34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</row>
    <row r="36" spans="1:61" x14ac:dyDescent="0.2">
      <c r="A36">
        <v>35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</row>
    <row r="37" spans="1:61" x14ac:dyDescent="0.2">
      <c r="A37">
        <v>36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</row>
    <row r="38" spans="1:61" x14ac:dyDescent="0.2">
      <c r="A38">
        <v>37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</row>
    <row r="39" spans="1:61" x14ac:dyDescent="0.2">
      <c r="A39">
        <v>38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</row>
    <row r="40" spans="1:61" x14ac:dyDescent="0.2">
      <c r="A40">
        <v>39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</row>
    <row r="41" spans="1:61" x14ac:dyDescent="0.2">
      <c r="A41">
        <v>40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</row>
    <row r="42" spans="1:61" x14ac:dyDescent="0.2">
      <c r="A42">
        <v>41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</row>
    <row r="43" spans="1:61" x14ac:dyDescent="0.2">
      <c r="A43">
        <v>42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</row>
    <row r="44" spans="1:61" x14ac:dyDescent="0.2">
      <c r="A44">
        <v>43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</row>
    <row r="45" spans="1:61" x14ac:dyDescent="0.2">
      <c r="A45">
        <v>44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</row>
    <row r="46" spans="1:61" x14ac:dyDescent="0.2">
      <c r="A46">
        <v>45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</row>
    <row r="47" spans="1:61" x14ac:dyDescent="0.2">
      <c r="A47">
        <v>46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</row>
    <row r="48" spans="1:61" x14ac:dyDescent="0.2">
      <c r="A48">
        <v>47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</row>
    <row r="49" spans="1:61" x14ac:dyDescent="0.2">
      <c r="A49">
        <v>48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</row>
    <row r="50" spans="1:61" x14ac:dyDescent="0.2">
      <c r="A50">
        <v>49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</row>
    <row r="51" spans="1:61" x14ac:dyDescent="0.2">
      <c r="A51">
        <v>50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</row>
    <row r="52" spans="1:61" x14ac:dyDescent="0.2">
      <c r="A52">
        <v>51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</row>
    <row r="53" spans="1:61" x14ac:dyDescent="0.2">
      <c r="A53">
        <v>52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</row>
    <row r="54" spans="1:61" x14ac:dyDescent="0.2">
      <c r="A54">
        <v>53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</row>
    <row r="55" spans="1:61" x14ac:dyDescent="0.2">
      <c r="A55">
        <v>54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</row>
    <row r="56" spans="1:61" x14ac:dyDescent="0.2">
      <c r="A56">
        <v>55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</row>
    <row r="57" spans="1:61" x14ac:dyDescent="0.2">
      <c r="A57">
        <v>56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</row>
    <row r="58" spans="1:61" x14ac:dyDescent="0.2">
      <c r="A58">
        <v>57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</row>
    <row r="59" spans="1:61" x14ac:dyDescent="0.2">
      <c r="A59">
        <v>58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</row>
    <row r="60" spans="1:61" x14ac:dyDescent="0.2">
      <c r="A60">
        <v>59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</row>
    <row r="61" spans="1:61" x14ac:dyDescent="0.2">
      <c r="A61">
        <v>60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</row>
    <row r="62" spans="1:61" x14ac:dyDescent="0.2">
      <c r="A62" t="str">
        <v/>
      </c>
      <c r="B62" t="str">
        <v/>
      </c>
      <c r="C62" t="str">
        <v/>
      </c>
      <c r="D62" t="str">
        <v/>
      </c>
      <c r="E62" t="str">
        <v/>
      </c>
      <c r="F62" t="str">
        <v/>
      </c>
      <c r="G62" t="str">
        <v/>
      </c>
      <c r="H62" t="str">
        <v/>
      </c>
      <c r="I62" t="str">
        <v/>
      </c>
      <c r="J62" t="str">
        <v/>
      </c>
      <c r="K62" t="str">
        <v/>
      </c>
      <c r="L62" t="str">
        <v/>
      </c>
      <c r="M62" t="str">
        <v/>
      </c>
      <c r="N62" t="str">
        <v/>
      </c>
      <c r="O62" t="str">
        <v/>
      </c>
      <c r="P62" t="str">
        <v/>
      </c>
      <c r="Q62" t="str">
        <v/>
      </c>
      <c r="R62" t="str">
        <v/>
      </c>
      <c r="S62" t="str">
        <v/>
      </c>
      <c r="T62" t="str">
        <v/>
      </c>
      <c r="U62" t="str">
        <v/>
      </c>
      <c r="V62" t="str">
        <v/>
      </c>
      <c r="W62" t="str">
        <v/>
      </c>
      <c r="X62" t="str">
        <v/>
      </c>
      <c r="Y62" t="str">
        <v/>
      </c>
      <c r="Z62" t="str">
        <v/>
      </c>
      <c r="AA62" t="str">
        <v/>
      </c>
      <c r="AB62" t="str">
        <v/>
      </c>
      <c r="AC62" t="str">
        <v/>
      </c>
      <c r="AD62" t="str">
        <v/>
      </c>
      <c r="AE62" t="str">
        <v/>
      </c>
      <c r="AF62" t="str">
        <v/>
      </c>
      <c r="AG62" t="str">
        <v/>
      </c>
      <c r="AH62" t="str">
        <v/>
      </c>
      <c r="AI62" t="str">
        <v/>
      </c>
      <c r="AJ62" t="str">
        <v/>
      </c>
      <c r="AK62" t="str">
        <v/>
      </c>
      <c r="AL62" t="str">
        <v/>
      </c>
      <c r="AM62" t="str">
        <v/>
      </c>
      <c r="AN62" t="str">
        <v/>
      </c>
      <c r="AO62" t="str">
        <v/>
      </c>
      <c r="AP62" t="str">
        <v/>
      </c>
      <c r="AQ62" t="str">
        <v/>
      </c>
      <c r="AR62" t="str">
        <v/>
      </c>
      <c r="AS62" t="str">
        <v/>
      </c>
      <c r="AT62" t="str">
        <v/>
      </c>
      <c r="AU62" t="str">
        <v/>
      </c>
      <c r="AV62" t="str">
        <v/>
      </c>
      <c r="AW62" t="str">
        <v/>
      </c>
      <c r="AX62" t="str">
        <v/>
      </c>
      <c r="AY62" t="str">
        <v/>
      </c>
      <c r="AZ62" t="str">
        <v/>
      </c>
      <c r="BA62" t="str">
        <v/>
      </c>
      <c r="BB62" t="str">
        <v/>
      </c>
      <c r="BC62" t="str">
        <v/>
      </c>
      <c r="BD62" t="str">
        <v/>
      </c>
      <c r="BE62" t="str">
        <v/>
      </c>
      <c r="BF62" t="str">
        <v/>
      </c>
      <c r="BG62" t="str">
        <v/>
      </c>
      <c r="BH62" t="str">
        <v/>
      </c>
      <c r="BI62">
        <v>0</v>
      </c>
    </row>
    <row r="63" spans="1:61" x14ac:dyDescent="0.2">
      <c r="A63" t="str">
        <v>Vol Fac 2</v>
      </c>
      <c r="B63">
        <v>1</v>
      </c>
      <c r="C63">
        <v>2</v>
      </c>
      <c r="D63">
        <v>3</v>
      </c>
      <c r="E63">
        <v>4</v>
      </c>
      <c r="F63">
        <v>5</v>
      </c>
      <c r="G63">
        <v>6</v>
      </c>
      <c r="H63">
        <v>7</v>
      </c>
      <c r="I63">
        <v>8</v>
      </c>
      <c r="J63">
        <v>9</v>
      </c>
      <c r="K63">
        <v>10</v>
      </c>
      <c r="L63">
        <v>11</v>
      </c>
      <c r="M63">
        <v>12</v>
      </c>
      <c r="N63">
        <v>13</v>
      </c>
      <c r="O63">
        <v>14</v>
      </c>
      <c r="P63">
        <v>15</v>
      </c>
      <c r="Q63">
        <v>16</v>
      </c>
      <c r="R63">
        <v>17</v>
      </c>
      <c r="S63">
        <v>18</v>
      </c>
      <c r="T63">
        <v>19</v>
      </c>
      <c r="U63">
        <v>20</v>
      </c>
      <c r="V63">
        <v>21</v>
      </c>
      <c r="W63">
        <v>22</v>
      </c>
      <c r="X63">
        <v>23</v>
      </c>
      <c r="Y63">
        <v>24</v>
      </c>
      <c r="Z63">
        <v>25</v>
      </c>
      <c r="AA63">
        <v>26</v>
      </c>
      <c r="AB63">
        <v>27</v>
      </c>
      <c r="AC63">
        <v>28</v>
      </c>
      <c r="AD63">
        <v>29</v>
      </c>
      <c r="AE63">
        <v>30</v>
      </c>
      <c r="AF63">
        <v>31</v>
      </c>
      <c r="AG63">
        <v>32</v>
      </c>
      <c r="AH63">
        <v>33</v>
      </c>
      <c r="AI63">
        <v>34</v>
      </c>
      <c r="AJ63">
        <v>35</v>
      </c>
      <c r="AK63">
        <v>36</v>
      </c>
      <c r="AL63">
        <v>37</v>
      </c>
      <c r="AM63">
        <v>38</v>
      </c>
      <c r="AN63">
        <v>39</v>
      </c>
      <c r="AO63">
        <v>40</v>
      </c>
      <c r="AP63">
        <v>41</v>
      </c>
      <c r="AQ63">
        <v>42</v>
      </c>
      <c r="AR63">
        <v>43</v>
      </c>
      <c r="AS63">
        <v>44</v>
      </c>
      <c r="AT63">
        <v>45</v>
      </c>
      <c r="AU63">
        <v>46</v>
      </c>
      <c r="AV63">
        <v>47</v>
      </c>
      <c r="AW63">
        <v>48</v>
      </c>
      <c r="AX63">
        <v>49</v>
      </c>
      <c r="AY63">
        <v>50</v>
      </c>
      <c r="AZ63">
        <v>51</v>
      </c>
      <c r="BA63">
        <v>52</v>
      </c>
      <c r="BB63">
        <v>53</v>
      </c>
      <c r="BC63">
        <v>54</v>
      </c>
      <c r="BD63">
        <v>55</v>
      </c>
      <c r="BE63">
        <v>56</v>
      </c>
      <c r="BF63">
        <v>57</v>
      </c>
      <c r="BG63">
        <v>58</v>
      </c>
      <c r="BH63">
        <v>59</v>
      </c>
      <c r="BI63">
        <v>60</v>
      </c>
    </row>
    <row r="64" spans="1:61" x14ac:dyDescent="0.2">
      <c r="A64">
        <v>1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</row>
    <row r="65" spans="1:61" x14ac:dyDescent="0.2">
      <c r="A65">
        <v>2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</row>
    <row r="66" spans="1:61" x14ac:dyDescent="0.2">
      <c r="A66">
        <v>3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</row>
    <row r="67" spans="1:61" x14ac:dyDescent="0.2">
      <c r="A67">
        <v>4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</row>
    <row r="68" spans="1:61" x14ac:dyDescent="0.2">
      <c r="A68">
        <v>5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</row>
    <row r="69" spans="1:61" x14ac:dyDescent="0.2">
      <c r="A69">
        <v>6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</row>
    <row r="70" spans="1:61" x14ac:dyDescent="0.2">
      <c r="A70">
        <v>7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</row>
    <row r="71" spans="1:61" x14ac:dyDescent="0.2">
      <c r="A71">
        <v>8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</row>
    <row r="72" spans="1:61" x14ac:dyDescent="0.2">
      <c r="A72">
        <v>9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</row>
    <row r="73" spans="1:61" x14ac:dyDescent="0.2">
      <c r="A73">
        <v>10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</row>
    <row r="74" spans="1:61" x14ac:dyDescent="0.2">
      <c r="A74">
        <v>11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</row>
    <row r="75" spans="1:61" x14ac:dyDescent="0.2">
      <c r="A75">
        <v>12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</row>
    <row r="76" spans="1:61" x14ac:dyDescent="0.2">
      <c r="A76">
        <v>13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</row>
    <row r="77" spans="1:61" x14ac:dyDescent="0.2">
      <c r="A77">
        <v>14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</row>
    <row r="78" spans="1:61" x14ac:dyDescent="0.2">
      <c r="A78">
        <v>15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</row>
    <row r="79" spans="1:61" x14ac:dyDescent="0.2">
      <c r="A79">
        <v>16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</row>
    <row r="80" spans="1:61" x14ac:dyDescent="0.2">
      <c r="A80">
        <v>17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</row>
    <row r="81" spans="1:61" x14ac:dyDescent="0.2">
      <c r="A81">
        <v>18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</row>
    <row r="82" spans="1:61" x14ac:dyDescent="0.2">
      <c r="A82">
        <v>19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</row>
    <row r="83" spans="1:61" x14ac:dyDescent="0.2">
      <c r="A83">
        <v>20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</row>
    <row r="84" spans="1:61" x14ac:dyDescent="0.2">
      <c r="A84">
        <v>21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</row>
    <row r="85" spans="1:61" x14ac:dyDescent="0.2">
      <c r="A85">
        <v>22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</row>
    <row r="86" spans="1:61" x14ac:dyDescent="0.2">
      <c r="A86">
        <v>23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</row>
    <row r="87" spans="1:61" x14ac:dyDescent="0.2">
      <c r="A87">
        <v>24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</row>
    <row r="88" spans="1:61" x14ac:dyDescent="0.2">
      <c r="A88">
        <v>25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</row>
    <row r="89" spans="1:61" x14ac:dyDescent="0.2">
      <c r="A89">
        <v>26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</row>
    <row r="90" spans="1:61" x14ac:dyDescent="0.2">
      <c r="A90">
        <v>27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</row>
    <row r="91" spans="1:61" x14ac:dyDescent="0.2">
      <c r="A91">
        <v>28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</row>
    <row r="92" spans="1:61" x14ac:dyDescent="0.2">
      <c r="A92">
        <v>29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</row>
    <row r="93" spans="1:61" x14ac:dyDescent="0.2">
      <c r="A93">
        <v>30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</row>
    <row r="94" spans="1:61" x14ac:dyDescent="0.2">
      <c r="A94">
        <v>31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</row>
    <row r="95" spans="1:61" x14ac:dyDescent="0.2">
      <c r="A95">
        <v>32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</row>
    <row r="96" spans="1:61" x14ac:dyDescent="0.2">
      <c r="A96">
        <v>33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</row>
    <row r="97" spans="1:61" x14ac:dyDescent="0.2">
      <c r="A97">
        <v>34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</row>
    <row r="98" spans="1:61" x14ac:dyDescent="0.2">
      <c r="A98">
        <v>35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</row>
    <row r="99" spans="1:61" x14ac:dyDescent="0.2">
      <c r="A99">
        <v>36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</row>
    <row r="100" spans="1:61" x14ac:dyDescent="0.2">
      <c r="A100">
        <v>37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</row>
    <row r="101" spans="1:61" x14ac:dyDescent="0.2">
      <c r="A101">
        <v>38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</row>
    <row r="102" spans="1:61" x14ac:dyDescent="0.2">
      <c r="A102">
        <v>39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</row>
    <row r="103" spans="1:61" x14ac:dyDescent="0.2">
      <c r="A103">
        <v>40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</row>
    <row r="104" spans="1:61" x14ac:dyDescent="0.2">
      <c r="A104">
        <v>41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</row>
    <row r="105" spans="1:61" x14ac:dyDescent="0.2">
      <c r="A105">
        <v>42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</row>
    <row r="106" spans="1:61" x14ac:dyDescent="0.2">
      <c r="A106">
        <v>43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</row>
    <row r="107" spans="1:61" x14ac:dyDescent="0.2">
      <c r="A107">
        <v>44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</row>
    <row r="108" spans="1:61" x14ac:dyDescent="0.2">
      <c r="A108">
        <v>45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 x14ac:dyDescent="0.2">
      <c r="A109">
        <v>46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</row>
    <row r="110" spans="1:61" x14ac:dyDescent="0.2">
      <c r="A110">
        <v>47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</row>
    <row r="111" spans="1:61" x14ac:dyDescent="0.2">
      <c r="A111">
        <v>48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</row>
    <row r="112" spans="1:61" x14ac:dyDescent="0.2">
      <c r="A112">
        <v>49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</row>
    <row r="113" spans="1:61" x14ac:dyDescent="0.2">
      <c r="A113">
        <v>50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</row>
    <row r="114" spans="1:61" x14ac:dyDescent="0.2">
      <c r="A114">
        <v>51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</row>
    <row r="115" spans="1:61" x14ac:dyDescent="0.2">
      <c r="A115">
        <v>52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</row>
    <row r="116" spans="1:61" x14ac:dyDescent="0.2">
      <c r="A116">
        <v>53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</row>
    <row r="117" spans="1:61" x14ac:dyDescent="0.2">
      <c r="A117">
        <v>54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</row>
    <row r="118" spans="1:61" x14ac:dyDescent="0.2">
      <c r="A118">
        <v>55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</row>
    <row r="119" spans="1:61" x14ac:dyDescent="0.2">
      <c r="A119">
        <v>56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</row>
    <row r="120" spans="1:61" x14ac:dyDescent="0.2">
      <c r="A120">
        <v>57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</row>
    <row r="121" spans="1:61" x14ac:dyDescent="0.2">
      <c r="A121">
        <v>58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</row>
    <row r="122" spans="1:61" x14ac:dyDescent="0.2">
      <c r="A122">
        <v>59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</row>
    <row r="123" spans="1:61" x14ac:dyDescent="0.2">
      <c r="A123">
        <v>60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</row>
    <row r="124" spans="1:61" x14ac:dyDescent="0.2">
      <c r="A124" t="str">
        <v/>
      </c>
      <c r="B124" t="str">
        <v/>
      </c>
      <c r="C124" t="str">
        <v/>
      </c>
      <c r="D124" t="str">
        <v/>
      </c>
      <c r="E124" t="str">
        <v/>
      </c>
      <c r="F124" t="str">
        <v/>
      </c>
      <c r="G124" t="str">
        <v/>
      </c>
      <c r="H124" t="str">
        <v/>
      </c>
      <c r="I124" t="str">
        <v/>
      </c>
      <c r="J124" t="str">
        <v/>
      </c>
      <c r="K124" t="str">
        <v/>
      </c>
      <c r="L124" t="str">
        <v/>
      </c>
      <c r="M124" t="str">
        <v/>
      </c>
      <c r="N124" t="str">
        <v/>
      </c>
      <c r="O124" t="str">
        <v/>
      </c>
      <c r="P124" t="str">
        <v/>
      </c>
      <c r="Q124" t="str">
        <v/>
      </c>
      <c r="R124" t="str">
        <v/>
      </c>
      <c r="S124" t="str">
        <v/>
      </c>
      <c r="T124" t="str">
        <v/>
      </c>
      <c r="U124" t="str">
        <v/>
      </c>
      <c r="V124" t="str">
        <v/>
      </c>
      <c r="W124" t="str">
        <v/>
      </c>
      <c r="X124" t="str">
        <v/>
      </c>
      <c r="Y124" t="str">
        <v/>
      </c>
      <c r="Z124" t="str">
        <v/>
      </c>
      <c r="AA124" t="str">
        <v/>
      </c>
      <c r="AB124" t="str">
        <v/>
      </c>
      <c r="AC124" t="str">
        <v/>
      </c>
      <c r="AD124" t="str">
        <v/>
      </c>
      <c r="AE124" t="str">
        <v/>
      </c>
      <c r="AF124" t="str">
        <v/>
      </c>
      <c r="AG124" t="str">
        <v/>
      </c>
      <c r="AH124" t="str">
        <v/>
      </c>
      <c r="AI124" t="str">
        <v/>
      </c>
      <c r="AJ124" t="str">
        <v/>
      </c>
      <c r="AK124" t="str">
        <v/>
      </c>
      <c r="AL124" t="str">
        <v/>
      </c>
      <c r="AM124" t="str">
        <v/>
      </c>
      <c r="AN124" t="str">
        <v/>
      </c>
      <c r="AO124" t="str">
        <v/>
      </c>
      <c r="AP124" t="str">
        <v/>
      </c>
      <c r="AQ124" t="str">
        <v/>
      </c>
      <c r="AR124" t="str">
        <v/>
      </c>
      <c r="AS124" t="str">
        <v/>
      </c>
      <c r="AT124" t="str">
        <v/>
      </c>
      <c r="AU124" t="str">
        <v/>
      </c>
      <c r="AV124" t="str">
        <v/>
      </c>
      <c r="AW124" t="str">
        <v/>
      </c>
      <c r="AX124" t="str">
        <v/>
      </c>
      <c r="AY124" t="str">
        <v/>
      </c>
      <c r="AZ124" t="str">
        <v/>
      </c>
      <c r="BA124" t="str">
        <v/>
      </c>
      <c r="BB124" t="str">
        <v/>
      </c>
      <c r="BC124" t="str">
        <v/>
      </c>
      <c r="BD124" t="str">
        <v/>
      </c>
      <c r="BE124" t="str">
        <v/>
      </c>
      <c r="BF124" t="str">
        <v/>
      </c>
      <c r="BG124" t="str">
        <v/>
      </c>
      <c r="BH124" t="str">
        <v/>
      </c>
      <c r="BI124">
        <v>0</v>
      </c>
    </row>
    <row r="125" spans="1:61" x14ac:dyDescent="0.2">
      <c r="A125" t="str">
        <v>Vol Fac 3</v>
      </c>
      <c r="B125">
        <v>1</v>
      </c>
      <c r="C125">
        <v>2</v>
      </c>
      <c r="D125">
        <v>3</v>
      </c>
      <c r="E125">
        <v>4</v>
      </c>
      <c r="F125">
        <v>5</v>
      </c>
      <c r="G125">
        <v>6</v>
      </c>
      <c r="H125">
        <v>7</v>
      </c>
      <c r="I125">
        <v>8</v>
      </c>
      <c r="J125">
        <v>9</v>
      </c>
      <c r="K125">
        <v>10</v>
      </c>
      <c r="L125">
        <v>11</v>
      </c>
      <c r="M125">
        <v>12</v>
      </c>
      <c r="N125">
        <v>13</v>
      </c>
      <c r="O125">
        <v>14</v>
      </c>
      <c r="P125">
        <v>15</v>
      </c>
      <c r="Q125">
        <v>16</v>
      </c>
      <c r="R125">
        <v>17</v>
      </c>
      <c r="S125">
        <v>18</v>
      </c>
      <c r="T125">
        <v>19</v>
      </c>
      <c r="U125">
        <v>20</v>
      </c>
      <c r="V125">
        <v>21</v>
      </c>
      <c r="W125">
        <v>22</v>
      </c>
      <c r="X125">
        <v>23</v>
      </c>
      <c r="Y125">
        <v>24</v>
      </c>
      <c r="Z125">
        <v>25</v>
      </c>
      <c r="AA125">
        <v>26</v>
      </c>
      <c r="AB125">
        <v>27</v>
      </c>
      <c r="AC125">
        <v>28</v>
      </c>
      <c r="AD125">
        <v>29</v>
      </c>
      <c r="AE125">
        <v>30</v>
      </c>
      <c r="AF125">
        <v>31</v>
      </c>
      <c r="AG125">
        <v>32</v>
      </c>
      <c r="AH125">
        <v>33</v>
      </c>
      <c r="AI125">
        <v>34</v>
      </c>
      <c r="AJ125">
        <v>35</v>
      </c>
      <c r="AK125">
        <v>36</v>
      </c>
      <c r="AL125">
        <v>37</v>
      </c>
      <c r="AM125">
        <v>38</v>
      </c>
      <c r="AN125">
        <v>39</v>
      </c>
      <c r="AO125">
        <v>40</v>
      </c>
      <c r="AP125">
        <v>41</v>
      </c>
      <c r="AQ125">
        <v>42</v>
      </c>
      <c r="AR125">
        <v>43</v>
      </c>
      <c r="AS125">
        <v>44</v>
      </c>
      <c r="AT125">
        <v>45</v>
      </c>
      <c r="AU125">
        <v>46</v>
      </c>
      <c r="AV125">
        <v>47</v>
      </c>
      <c r="AW125">
        <v>48</v>
      </c>
      <c r="AX125">
        <v>49</v>
      </c>
      <c r="AY125">
        <v>50</v>
      </c>
      <c r="AZ125">
        <v>51</v>
      </c>
      <c r="BA125">
        <v>52</v>
      </c>
      <c r="BB125">
        <v>53</v>
      </c>
      <c r="BC125">
        <v>54</v>
      </c>
      <c r="BD125">
        <v>55</v>
      </c>
      <c r="BE125">
        <v>56</v>
      </c>
      <c r="BF125">
        <v>57</v>
      </c>
      <c r="BG125">
        <v>58</v>
      </c>
      <c r="BH125">
        <v>59</v>
      </c>
      <c r="BI125">
        <v>60</v>
      </c>
    </row>
    <row r="126" spans="1:61" x14ac:dyDescent="0.2">
      <c r="A126">
        <v>1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</row>
    <row r="127" spans="1:61" x14ac:dyDescent="0.2">
      <c r="A127">
        <v>2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</row>
    <row r="128" spans="1:61" x14ac:dyDescent="0.2">
      <c r="A128">
        <v>3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</row>
    <row r="129" spans="1:61" x14ac:dyDescent="0.2">
      <c r="A129">
        <v>4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</row>
    <row r="130" spans="1:61" x14ac:dyDescent="0.2">
      <c r="A130">
        <v>5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</row>
    <row r="131" spans="1:61" x14ac:dyDescent="0.2">
      <c r="A131">
        <v>6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</row>
    <row r="132" spans="1:61" x14ac:dyDescent="0.2">
      <c r="A132">
        <v>7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</row>
    <row r="133" spans="1:61" x14ac:dyDescent="0.2">
      <c r="A133">
        <v>8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</row>
    <row r="134" spans="1:61" x14ac:dyDescent="0.2">
      <c r="A134">
        <v>9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</row>
    <row r="135" spans="1:61" x14ac:dyDescent="0.2">
      <c r="A135">
        <v>10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</row>
    <row r="136" spans="1:61" x14ac:dyDescent="0.2">
      <c r="A136">
        <v>11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</row>
    <row r="137" spans="1:61" x14ac:dyDescent="0.2">
      <c r="A137">
        <v>12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</row>
    <row r="138" spans="1:61" x14ac:dyDescent="0.2">
      <c r="A138">
        <v>13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</row>
    <row r="139" spans="1:61" x14ac:dyDescent="0.2">
      <c r="A139">
        <v>14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</row>
    <row r="140" spans="1:61" x14ac:dyDescent="0.2">
      <c r="A140">
        <v>15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</row>
    <row r="141" spans="1:61" x14ac:dyDescent="0.2">
      <c r="A141">
        <v>16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</row>
    <row r="142" spans="1:61" x14ac:dyDescent="0.2">
      <c r="A142">
        <v>17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</row>
    <row r="143" spans="1:61" x14ac:dyDescent="0.2">
      <c r="A143">
        <v>18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</row>
    <row r="144" spans="1:61" x14ac:dyDescent="0.2">
      <c r="A144">
        <v>19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</row>
    <row r="145" spans="1:61" x14ac:dyDescent="0.2">
      <c r="A145">
        <v>20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</row>
    <row r="146" spans="1:61" x14ac:dyDescent="0.2">
      <c r="A146">
        <v>21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</row>
    <row r="147" spans="1:61" x14ac:dyDescent="0.2">
      <c r="A147">
        <v>22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</row>
    <row r="148" spans="1:61" x14ac:dyDescent="0.2">
      <c r="A148">
        <v>23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</row>
    <row r="149" spans="1:61" x14ac:dyDescent="0.2">
      <c r="A149">
        <v>24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</row>
    <row r="150" spans="1:61" x14ac:dyDescent="0.2">
      <c r="A150">
        <v>25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</row>
    <row r="151" spans="1:61" x14ac:dyDescent="0.2">
      <c r="A151">
        <v>26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</row>
    <row r="152" spans="1:61" x14ac:dyDescent="0.2">
      <c r="A152">
        <v>27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</row>
    <row r="153" spans="1:61" x14ac:dyDescent="0.2">
      <c r="A153">
        <v>28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</row>
    <row r="154" spans="1:61" x14ac:dyDescent="0.2">
      <c r="A154">
        <v>29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</row>
    <row r="155" spans="1:61" x14ac:dyDescent="0.2">
      <c r="A155">
        <v>30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</row>
    <row r="156" spans="1:61" x14ac:dyDescent="0.2">
      <c r="A156">
        <v>31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</row>
    <row r="157" spans="1:61" x14ac:dyDescent="0.2">
      <c r="A157">
        <v>32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</row>
    <row r="158" spans="1:61" x14ac:dyDescent="0.2">
      <c r="A158">
        <v>33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</row>
    <row r="159" spans="1:61" x14ac:dyDescent="0.2">
      <c r="A159">
        <v>34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</row>
    <row r="160" spans="1:61" x14ac:dyDescent="0.2">
      <c r="A160">
        <v>35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</row>
    <row r="161" spans="1:61" x14ac:dyDescent="0.2">
      <c r="A161">
        <v>36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</row>
    <row r="162" spans="1:61" x14ac:dyDescent="0.2">
      <c r="A162">
        <v>37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</row>
    <row r="163" spans="1:61" x14ac:dyDescent="0.2">
      <c r="A163">
        <v>38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</row>
    <row r="164" spans="1:61" x14ac:dyDescent="0.2">
      <c r="A164">
        <v>39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</row>
    <row r="165" spans="1:61" x14ac:dyDescent="0.2">
      <c r="A165">
        <v>40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0</v>
      </c>
      <c r="BH165">
        <v>0</v>
      </c>
      <c r="BI165">
        <v>0</v>
      </c>
    </row>
    <row r="166" spans="1:61" x14ac:dyDescent="0.2">
      <c r="A166">
        <v>41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</row>
    <row r="167" spans="1:61" x14ac:dyDescent="0.2">
      <c r="A167">
        <v>42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</row>
    <row r="168" spans="1:61" x14ac:dyDescent="0.2">
      <c r="A168">
        <v>43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</row>
    <row r="169" spans="1:61" x14ac:dyDescent="0.2">
      <c r="A169">
        <v>44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</row>
    <row r="170" spans="1:61" x14ac:dyDescent="0.2">
      <c r="A170">
        <v>45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</row>
    <row r="171" spans="1:61" x14ac:dyDescent="0.2">
      <c r="A171">
        <v>46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</row>
    <row r="172" spans="1:61" x14ac:dyDescent="0.2">
      <c r="A172">
        <v>47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</row>
    <row r="173" spans="1:61" x14ac:dyDescent="0.2">
      <c r="A173">
        <v>48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</row>
    <row r="174" spans="1:61" x14ac:dyDescent="0.2">
      <c r="A174">
        <v>49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</row>
    <row r="175" spans="1:61" x14ac:dyDescent="0.2">
      <c r="A175">
        <v>50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</row>
    <row r="176" spans="1:61" x14ac:dyDescent="0.2">
      <c r="A176">
        <v>51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</row>
    <row r="177" spans="1:61" x14ac:dyDescent="0.2">
      <c r="A177">
        <v>52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</row>
    <row r="178" spans="1:61" x14ac:dyDescent="0.2">
      <c r="A178">
        <v>53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</row>
    <row r="179" spans="1:61" x14ac:dyDescent="0.2">
      <c r="A179">
        <v>54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</row>
    <row r="180" spans="1:61" x14ac:dyDescent="0.2">
      <c r="A180">
        <v>55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  <c r="BG180">
        <v>0</v>
      </c>
      <c r="BH180">
        <v>0</v>
      </c>
      <c r="BI180">
        <v>0</v>
      </c>
    </row>
    <row r="181" spans="1:61" x14ac:dyDescent="0.2">
      <c r="A181">
        <v>56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</row>
    <row r="182" spans="1:61" x14ac:dyDescent="0.2">
      <c r="A182">
        <v>57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</row>
    <row r="183" spans="1:61" x14ac:dyDescent="0.2">
      <c r="A183">
        <v>58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</row>
    <row r="184" spans="1:61" x14ac:dyDescent="0.2">
      <c r="A184">
        <v>59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  <c r="BF184">
        <v>0</v>
      </c>
      <c r="BG184">
        <v>0</v>
      </c>
      <c r="BH184">
        <v>0</v>
      </c>
      <c r="BI184">
        <v>0</v>
      </c>
    </row>
    <row r="185" spans="1:61" x14ac:dyDescent="0.2">
      <c r="A185">
        <v>60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G185">
        <v>0</v>
      </c>
      <c r="BH185">
        <v>0</v>
      </c>
      <c r="BI185">
        <v>0</v>
      </c>
    </row>
  </sheetData>
  <phoneticPr fontId="1" type="noConversion"/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B2:L29"/>
  <sheetViews>
    <sheetView workbookViewId="0">
      <selection activeCell="E15" sqref="E15"/>
    </sheetView>
  </sheetViews>
  <sheetFormatPr defaultRowHeight="12.75" x14ac:dyDescent="0.2"/>
  <sheetData>
    <row r="2" spans="2:12" x14ac:dyDescent="0.2">
      <c r="B2" t="s">
        <v>3</v>
      </c>
      <c r="C2" t="s">
        <v>49</v>
      </c>
      <c r="D2" t="s">
        <v>48</v>
      </c>
      <c r="E2" t="s">
        <v>52</v>
      </c>
      <c r="L2" t="s">
        <v>50</v>
      </c>
    </row>
    <row r="3" spans="2:12" x14ac:dyDescent="0.2">
      <c r="B3" t="s">
        <v>4</v>
      </c>
      <c r="C3">
        <v>36</v>
      </c>
      <c r="D3" t="s">
        <v>6</v>
      </c>
      <c r="E3">
        <v>1000</v>
      </c>
      <c r="L3" t="s">
        <v>52</v>
      </c>
    </row>
    <row r="4" spans="2:12" x14ac:dyDescent="0.2">
      <c r="B4" t="s">
        <v>5</v>
      </c>
      <c r="C4">
        <v>24</v>
      </c>
      <c r="D4" t="s">
        <v>47</v>
      </c>
      <c r="E4">
        <v>1</v>
      </c>
    </row>
    <row r="6" spans="2:12" x14ac:dyDescent="0.2">
      <c r="B6" s="6" t="s">
        <v>53</v>
      </c>
      <c r="C6" s="6" t="s">
        <v>56</v>
      </c>
    </row>
    <row r="7" spans="2:12" x14ac:dyDescent="0.2">
      <c r="B7" s="7" t="s">
        <v>54</v>
      </c>
      <c r="C7" s="7" t="s">
        <v>57</v>
      </c>
    </row>
    <row r="9" spans="2:12" x14ac:dyDescent="0.2">
      <c r="B9" t="e">
        <f t="array" aca="1" ref="B9" ca="1">simulation($B$2:$E$4)</f>
        <v>#NAME?</v>
      </c>
    </row>
    <row r="11" spans="2:12" x14ac:dyDescent="0.2">
      <c r="B11" t="str">
        <f t="array" ref="B11:B15">_xll.HLV5r3.Financial.Cache.PedersenSimSummary()</f>
        <v/>
      </c>
    </row>
    <row r="12" spans="2:12" x14ac:dyDescent="0.2">
      <c r="B12" t="str">
        <v/>
      </c>
    </row>
    <row r="13" spans="2:12" x14ac:dyDescent="0.2">
      <c r="B13" t="str">
        <v/>
      </c>
    </row>
    <row r="14" spans="2:12" x14ac:dyDescent="0.2">
      <c r="B14" t="str">
        <v/>
      </c>
    </row>
    <row r="15" spans="2:12" x14ac:dyDescent="0.2">
      <c r="B15" t="str">
        <v/>
      </c>
    </row>
    <row r="29" spans="12:12" x14ac:dyDescent="0.2">
      <c r="L29" t="s">
        <v>51</v>
      </c>
    </row>
  </sheetData>
  <phoneticPr fontId="1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6.Simulation">
                <anchor moveWithCells="1" sizeWithCells="1">
                  <from>
                    <xdr:col>6</xdr:col>
                    <xdr:colOff>66675</xdr:colOff>
                    <xdr:row>2</xdr:row>
                    <xdr:rowOff>85725</xdr:rowOff>
                  </from>
                  <to>
                    <xdr:col>8</xdr:col>
                    <xdr:colOff>276225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Data (Live - YieldCurve)</vt:lpstr>
      <vt:lpstr>Data (Live - Vols)</vt:lpstr>
      <vt:lpstr>Data (Custom)</vt:lpstr>
      <vt:lpstr>Data (Correlation)</vt:lpstr>
      <vt:lpstr>Calibration</vt:lpstr>
      <vt:lpstr>Vol Surface</vt:lpstr>
      <vt:lpstr>Vol Factors</vt:lpstr>
      <vt:lpstr>Simulation</vt:lpstr>
      <vt:lpstr>cal</vt:lpstr>
      <vt:lpstr>CurveList</vt:lpstr>
      <vt:lpstr>sim</vt:lpstr>
      <vt:lpstr>VolList</vt:lpstr>
    </vt:vector>
  </TitlesOfParts>
  <Company>National Australia Bank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iguo</dc:creator>
  <cp:lastModifiedBy>Alex</cp:lastModifiedBy>
  <dcterms:created xsi:type="dcterms:W3CDTF">2008-01-30T04:05:55Z</dcterms:created>
  <dcterms:modified xsi:type="dcterms:W3CDTF">2019-07-04T23:04:46Z</dcterms:modified>
</cp:coreProperties>
</file>