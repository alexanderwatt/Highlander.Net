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Convexity\"/>
    </mc:Choice>
  </mc:AlternateContent>
  <xr:revisionPtr revIDLastSave="0" documentId="8_{BB028C21-BAE3-4A3B-A2DE-1C737FB9ECCB}" xr6:coauthVersionLast="31" xr6:coauthVersionMax="31" xr10:uidLastSave="{00000000-0000-0000-0000-000000000000}"/>
  <bookViews>
    <workbookView xWindow="120" yWindow="30" windowWidth="12315" windowHeight="8190"/>
  </bookViews>
  <sheets>
    <sheet name="Sheet1" sheetId="1" r:id="rId1"/>
    <sheet name="Sheet2" sheetId="4" r:id="rId2"/>
    <sheet name="Sheet3" sheetId="3" r:id="rId3"/>
  </sheets>
  <functionGroups builtInGroupCount="19"/>
  <calcPr calcId="179017" refMode="R1C1"/>
</workbook>
</file>

<file path=xl/calcChain.xml><?xml version="1.0" encoding="utf-8"?>
<calcChain xmlns="http://schemas.openxmlformats.org/spreadsheetml/2006/main">
  <c r="L7" i="1" l="1"/>
  <c r="M7" i="1" s="1"/>
  <c r="D7" i="1" s="1"/>
  <c r="E7" i="1" s="1"/>
  <c r="C14" i="1"/>
  <c r="C13" i="1"/>
  <c r="C12" i="1"/>
  <c r="C11" i="1"/>
  <c r="C10" i="1"/>
  <c r="C9" i="1"/>
  <c r="C8" i="1"/>
  <c r="C7" i="1"/>
  <c r="C6" i="1"/>
  <c r="C5" i="1"/>
  <c r="L5" i="1"/>
  <c r="M5" i="1"/>
  <c r="D5" i="1" s="1"/>
  <c r="E5" i="1" s="1"/>
  <c r="L6" i="1"/>
  <c r="M6" i="1"/>
  <c r="D6" i="1"/>
  <c r="E6" i="1" s="1"/>
  <c r="L10" i="1"/>
  <c r="M10" i="1"/>
  <c r="D10" i="1" s="1"/>
  <c r="E10" i="1" s="1"/>
  <c r="L14" i="1"/>
  <c r="M14" i="1"/>
  <c r="D14" i="1"/>
  <c r="E14" i="1" s="1"/>
  <c r="L13" i="1"/>
  <c r="M13" i="1"/>
  <c r="D13" i="1" s="1"/>
  <c r="E13" i="1" s="1"/>
  <c r="L12" i="1"/>
  <c r="M12" i="1"/>
  <c r="D12" i="1"/>
  <c r="E12" i="1" s="1"/>
  <c r="L11" i="1"/>
  <c r="M11" i="1"/>
  <c r="D11" i="1" s="1"/>
  <c r="E11" i="1" s="1"/>
  <c r="L9" i="1"/>
  <c r="M9" i="1"/>
  <c r="D9" i="1"/>
  <c r="E9" i="1" s="1"/>
  <c r="L8" i="1"/>
  <c r="M8" i="1"/>
  <c r="D8" i="1" s="1"/>
  <c r="E8" i="1" s="1"/>
</calcChain>
</file>

<file path=xl/sharedStrings.xml><?xml version="1.0" encoding="utf-8"?>
<sst xmlns="http://schemas.openxmlformats.org/spreadsheetml/2006/main" count="20" uniqueCount="20">
  <si>
    <t>Eurodollar Futures</t>
  </si>
  <si>
    <t>Maturity</t>
  </si>
  <si>
    <t>Quoted Index X()</t>
  </si>
  <si>
    <t>Days</t>
  </si>
  <si>
    <t>MeanReversion</t>
  </si>
  <si>
    <t>Delta</t>
  </si>
  <si>
    <t>Volatility (%)</t>
  </si>
  <si>
    <t>T (Actual/360)</t>
  </si>
  <si>
    <t>(BGM vs Vasicek)</t>
  </si>
  <si>
    <t>BGM 5%</t>
  </si>
  <si>
    <t>BGM 10%</t>
  </si>
  <si>
    <t>BGM 15%</t>
  </si>
  <si>
    <t>BGM 20%</t>
  </si>
  <si>
    <t>BGM 25%</t>
  </si>
  <si>
    <t>BGM 30%</t>
  </si>
  <si>
    <t>Convexity (Vasicek)</t>
  </si>
  <si>
    <t>Libor (Vasicek)</t>
  </si>
  <si>
    <t>Future Rate</t>
  </si>
  <si>
    <t>Date</t>
  </si>
  <si>
    <t>Futures Convexity Modelling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</si>
</sst>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5" formatCode="[$-C09]dd\-mmm\-yy;@"/>
    <numFmt numFmtId="166" formatCode="0.000"/>
    <numFmt numFmtId="167" formatCode="0.0000"/>
    <numFmt numFmtId="169" formatCode="0.0000000"/>
  </numFmts>
  <fonts count="6" x14ac:knownFonts="1">
    <font>
      <sz val="10"/>
      <name val="Arial"/>
    </font>
    <font>
      <b/>
      <sz val="10"/>
      <name val="Arial"/>
      <family val="2"/>
    </font>
    <font>
      <sz val="11"/>
      <name val="Arial"/>
      <family val="2"/>
    </font>
    <font>
      <sz val="10"/>
      <name val="Arial"/>
      <family val="2"/>
    </font>
    <font>
      <sz val="8"/>
      <name val="Arial"/>
    </font>
    <font>
      <sz val="2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6">
    <xf numFmtId="0" fontId="0" fillId="0" borderId="0" xfId="0"/>
    <xf numFmtId="166" fontId="2" fillId="0" borderId="0" xfId="1" applyNumberFormat="1" applyFill="1" applyAlignment="1">
      <alignment horizontal="center"/>
    </xf>
    <xf numFmtId="165" fontId="3" fillId="0" borderId="1" xfId="1" applyNumberFormat="1" applyFont="1" applyBorder="1" applyAlignment="1">
      <alignment horizontal="center"/>
    </xf>
    <xf numFmtId="166" fontId="2" fillId="0" borderId="0" xfId="1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5" fontId="3" fillId="0" borderId="2" xfId="1" applyNumberFormat="1" applyFont="1" applyBorder="1" applyAlignment="1">
      <alignment horizontal="center"/>
    </xf>
    <xf numFmtId="166" fontId="2" fillId="0" borderId="3" xfId="1" applyNumberForma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166" fontId="1" fillId="2" borderId="2" xfId="1" applyNumberFormat="1" applyFont="1" applyFill="1" applyBorder="1" applyAlignment="1">
      <alignment horizontal="center"/>
    </xf>
    <xf numFmtId="165" fontId="1" fillId="0" borderId="4" xfId="1" applyNumberFormat="1" applyFont="1" applyFill="1" applyBorder="1" applyAlignment="1">
      <alignment horizontal="center"/>
    </xf>
    <xf numFmtId="167" fontId="1" fillId="3" borderId="5" xfId="1" applyNumberFormat="1" applyFont="1" applyFill="1" applyBorder="1" applyAlignment="1">
      <alignment horizontal="center"/>
    </xf>
    <xf numFmtId="16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167" fontId="0" fillId="4" borderId="6" xfId="0" applyNumberFormat="1" applyFill="1" applyBorder="1" applyAlignment="1">
      <alignment horizontal="center"/>
    </xf>
    <xf numFmtId="169" fontId="0" fillId="0" borderId="3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67" fontId="0" fillId="4" borderId="4" xfId="0" applyNumberForma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9" fontId="0" fillId="0" borderId="8" xfId="0" applyNumberForma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67" fontId="0" fillId="4" borderId="9" xfId="0" applyNumberForma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167" fontId="1" fillId="5" borderId="5" xfId="1" applyNumberFormat="1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169" fontId="1" fillId="5" borderId="11" xfId="0" applyNumberFormat="1" applyFont="1" applyFill="1" applyBorder="1" applyAlignment="1">
      <alignment horizontal="center"/>
    </xf>
    <xf numFmtId="167" fontId="1" fillId="3" borderId="11" xfId="0" applyNumberFormat="1" applyFont="1" applyFill="1" applyBorder="1" applyAlignment="1">
      <alignment horizontal="center"/>
    </xf>
    <xf numFmtId="0" fontId="1" fillId="0" borderId="12" xfId="0" applyFont="1" applyFill="1" applyBorder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169" fontId="0" fillId="0" borderId="0" xfId="0" applyNumberFormat="1" applyFill="1" applyAlignment="1">
      <alignment horizontal="center"/>
    </xf>
    <xf numFmtId="167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" fontId="0" fillId="0" borderId="0" xfId="0" applyNumberFormat="1" applyFill="1" applyAlignment="1">
      <alignment horizontal="center"/>
    </xf>
    <xf numFmtId="0" fontId="1" fillId="0" borderId="10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5" fillId="6" borderId="10" xfId="0" applyFont="1" applyFill="1" applyBorder="1" applyAlignment="1">
      <alignment horizontal="center"/>
    </xf>
    <xf numFmtId="0" fontId="5" fillId="6" borderId="13" xfId="0" applyFont="1" applyFill="1" applyBorder="1" applyAlignment="1">
      <alignment horizontal="center"/>
    </xf>
    <xf numFmtId="0" fontId="5" fillId="6" borderId="1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5"/>
  <sheetViews>
    <sheetView tabSelected="1" workbookViewId="0">
      <selection sqref="A1:M14"/>
    </sheetView>
  </sheetViews>
  <sheetFormatPr defaultRowHeight="12.75" x14ac:dyDescent="0.2"/>
  <cols>
    <col min="1" max="1" width="16.42578125" style="30" customWidth="1"/>
    <col min="2" max="2" width="15.140625" style="30" bestFit="1" customWidth="1"/>
    <col min="3" max="3" width="12.85546875" style="32" customWidth="1"/>
    <col min="4" max="4" width="17.7109375" style="24" bestFit="1" customWidth="1"/>
    <col min="5" max="5" width="13.5703125" style="30" bestFit="1" customWidth="1"/>
    <col min="6" max="6" width="8.5703125" style="30" bestFit="1" customWidth="1"/>
    <col min="7" max="8" width="9.5703125" style="30" bestFit="1" customWidth="1"/>
    <col min="9" max="9" width="9.5703125" style="31" bestFit="1" customWidth="1"/>
    <col min="10" max="10" width="9.5703125" style="24" bestFit="1" customWidth="1"/>
    <col min="11" max="11" width="10" style="30" customWidth="1"/>
    <col min="12" max="12" width="9.28515625" style="30" customWidth="1"/>
    <col min="13" max="13" width="12.5703125" style="30" bestFit="1" customWidth="1"/>
    <col min="14" max="16384" width="9.140625" style="30"/>
  </cols>
  <sheetData>
    <row r="1" spans="1:13" x14ac:dyDescent="0.2">
      <c r="A1" s="38" t="s">
        <v>0</v>
      </c>
      <c r="B1" s="26" t="s">
        <v>4</v>
      </c>
      <c r="C1" s="27" t="s">
        <v>6</v>
      </c>
      <c r="D1" s="28" t="s">
        <v>5</v>
      </c>
      <c r="E1" s="29" t="s">
        <v>18</v>
      </c>
      <c r="F1" s="40" t="s">
        <v>19</v>
      </c>
      <c r="G1" s="41"/>
      <c r="H1" s="41"/>
      <c r="I1" s="41"/>
      <c r="J1" s="41"/>
      <c r="K1" s="41"/>
      <c r="L1" s="41"/>
      <c r="M1" s="42"/>
    </row>
    <row r="2" spans="1:13" ht="13.5" thickBot="1" x14ac:dyDescent="0.25">
      <c r="A2" s="39" t="s">
        <v>8</v>
      </c>
      <c r="B2" s="8">
        <v>0.03</v>
      </c>
      <c r="C2" s="25">
        <v>1.0549999999999999</v>
      </c>
      <c r="D2" s="10">
        <v>0.25</v>
      </c>
      <c r="E2" s="9">
        <v>39651</v>
      </c>
      <c r="F2" s="43"/>
      <c r="G2" s="44"/>
      <c r="H2" s="44"/>
      <c r="I2" s="44"/>
      <c r="J2" s="44"/>
      <c r="K2" s="44"/>
      <c r="L2" s="44"/>
      <c r="M2" s="45"/>
    </row>
    <row r="3" spans="1:13" ht="13.5" thickBot="1" x14ac:dyDescent="0.25">
      <c r="A3" s="18" t="s">
        <v>1</v>
      </c>
      <c r="B3" s="19" t="s">
        <v>2</v>
      </c>
      <c r="C3" s="20" t="s">
        <v>17</v>
      </c>
      <c r="D3" s="20" t="s">
        <v>15</v>
      </c>
      <c r="E3" s="21" t="s">
        <v>16</v>
      </c>
      <c r="F3" s="19" t="s">
        <v>9</v>
      </c>
      <c r="G3" s="19" t="s">
        <v>10</v>
      </c>
      <c r="H3" s="19" t="s">
        <v>11</v>
      </c>
      <c r="I3" s="19" t="s">
        <v>12</v>
      </c>
      <c r="J3" s="22" t="s">
        <v>13</v>
      </c>
      <c r="K3" s="21" t="s">
        <v>14</v>
      </c>
      <c r="L3" s="22" t="s">
        <v>3</v>
      </c>
      <c r="M3" s="23" t="s">
        <v>7</v>
      </c>
    </row>
    <row r="4" spans="1:13" x14ac:dyDescent="0.2">
      <c r="A4" s="33"/>
      <c r="B4" s="12"/>
      <c r="C4" s="11"/>
      <c r="D4" s="11"/>
      <c r="E4" s="4"/>
      <c r="F4" s="12"/>
      <c r="G4" s="12"/>
      <c r="H4" s="12"/>
      <c r="I4" s="12"/>
      <c r="J4" s="13"/>
      <c r="K4" s="4"/>
      <c r="L4" s="13"/>
      <c r="M4" s="14"/>
    </row>
    <row r="5" spans="1:13" ht="14.25" x14ac:dyDescent="0.2">
      <c r="A5" s="2">
        <v>39703</v>
      </c>
      <c r="B5" s="3">
        <v>92.22</v>
      </c>
      <c r="C5" s="11">
        <f>100-B5</f>
        <v>7.7800000000000011</v>
      </c>
      <c r="D5" s="11">
        <f t="shared" ref="D5:D14" si="0">EXP(-(($C$2/100)^2)/(2*$B$2^3)*(1-EXP(-$B$2*$D$2))*(1 - EXP(-$B$2*M5))*((1-EXP(-$B$2*$D$2))+(1-EXP(-$B$2*(M5+$D$2)))))</f>
        <v>0.99999871905522508</v>
      </c>
      <c r="E5" s="4">
        <f t="shared" ref="E5:E14" si="1">100*(D5*(1-B5/100) + 1/$D$2*(D5 - 1))</f>
        <v>7.7794776563396821</v>
      </c>
      <c r="F5" s="4">
        <v>7.7798999999999996</v>
      </c>
      <c r="G5" s="4">
        <v>7.7797999999999998</v>
      </c>
      <c r="H5" s="4">
        <v>7.7794999999999996</v>
      </c>
      <c r="I5" s="4">
        <v>7.7790999999999997</v>
      </c>
      <c r="J5" s="4">
        <v>7.7786</v>
      </c>
      <c r="K5" s="4">
        <v>7.7779999999999996</v>
      </c>
      <c r="L5" s="13">
        <f t="shared" ref="L5:L14" si="2">A5-$E$2</f>
        <v>52</v>
      </c>
      <c r="M5" s="14">
        <f>L5/360</f>
        <v>0.14444444444444443</v>
      </c>
    </row>
    <row r="6" spans="1:13" ht="14.25" x14ac:dyDescent="0.2">
      <c r="A6" s="2">
        <v>39794</v>
      </c>
      <c r="B6" s="3">
        <v>92.21</v>
      </c>
      <c r="C6" s="11">
        <f t="shared" ref="C6:C14" si="3">100-B6</f>
        <v>7.7900000000000063</v>
      </c>
      <c r="D6" s="11">
        <f t="shared" si="0"/>
        <v>0.99999512868469642</v>
      </c>
      <c r="E6" s="4">
        <f t="shared" si="1"/>
        <v>7.788013526332362</v>
      </c>
      <c r="F6" s="4">
        <v>7.7897999999999996</v>
      </c>
      <c r="G6" s="4">
        <v>7.7892000000000001</v>
      </c>
      <c r="H6" s="4">
        <v>7.7881999999999998</v>
      </c>
      <c r="I6" s="4">
        <v>7.7866999999999997</v>
      </c>
      <c r="J6" s="4">
        <v>7.7849000000000004</v>
      </c>
      <c r="K6" s="4">
        <v>7.7826000000000004</v>
      </c>
      <c r="L6" s="13">
        <f t="shared" si="2"/>
        <v>143</v>
      </c>
      <c r="M6" s="14">
        <f t="shared" ref="M6:M14" si="4">L6/360</f>
        <v>0.3972222222222222</v>
      </c>
    </row>
    <row r="7" spans="1:13" ht="14.25" x14ac:dyDescent="0.2">
      <c r="A7" s="2">
        <v>39885</v>
      </c>
      <c r="B7" s="3">
        <v>92.26</v>
      </c>
      <c r="C7" s="11">
        <f t="shared" si="3"/>
        <v>7.7399999999999949</v>
      </c>
      <c r="D7" s="11">
        <f t="shared" si="0"/>
        <v>0.99998985527140094</v>
      </c>
      <c r="E7" s="4">
        <f t="shared" si="1"/>
        <v>7.7358635883610107</v>
      </c>
      <c r="F7" s="4">
        <v>7.7396000000000003</v>
      </c>
      <c r="G7" s="4">
        <v>7.7382</v>
      </c>
      <c r="H7" s="4">
        <v>7.7359999999999998</v>
      </c>
      <c r="I7" s="4">
        <v>7.7328000000000001</v>
      </c>
      <c r="J7" s="4">
        <v>7.7286999999999999</v>
      </c>
      <c r="K7" s="4">
        <v>7.7237</v>
      </c>
      <c r="L7" s="13">
        <f t="shared" si="2"/>
        <v>234</v>
      </c>
      <c r="M7" s="14">
        <f t="shared" si="4"/>
        <v>0.65</v>
      </c>
    </row>
    <row r="8" spans="1:13" ht="14.25" x14ac:dyDescent="0.2">
      <c r="A8" s="2">
        <v>39976</v>
      </c>
      <c r="B8" s="3">
        <v>92.31</v>
      </c>
      <c r="C8" s="11">
        <f t="shared" si="3"/>
        <v>7.6899999999999977</v>
      </c>
      <c r="D8" s="11">
        <f t="shared" si="0"/>
        <v>0.9999829372985849</v>
      </c>
      <c r="E8" s="4">
        <f t="shared" si="1"/>
        <v>7.6830437072600732</v>
      </c>
      <c r="F8" s="4">
        <v>7.6891999999999996</v>
      </c>
      <c r="G8" s="4">
        <v>7.6868999999999996</v>
      </c>
      <c r="H8" s="4">
        <v>7.6829999999999998</v>
      </c>
      <c r="I8" s="4">
        <v>7.6775000000000002</v>
      </c>
      <c r="J8" s="4">
        <v>7.6703000000000001</v>
      </c>
      <c r="K8" s="4">
        <v>7.6614000000000004</v>
      </c>
      <c r="L8" s="13">
        <f t="shared" si="2"/>
        <v>325</v>
      </c>
      <c r="M8" s="14">
        <f t="shared" si="4"/>
        <v>0.90277777777777779</v>
      </c>
    </row>
    <row r="9" spans="1:13" ht="14.25" x14ac:dyDescent="0.2">
      <c r="A9" s="2">
        <v>40067</v>
      </c>
      <c r="B9" s="3">
        <v>92.36</v>
      </c>
      <c r="C9" s="11">
        <f t="shared" si="3"/>
        <v>7.6400000000000006</v>
      </c>
      <c r="D9" s="11">
        <f t="shared" si="0"/>
        <v>0.99997441257867969</v>
      </c>
      <c r="E9" s="4">
        <f t="shared" si="1"/>
        <v>7.6295695435729938</v>
      </c>
      <c r="F9" s="4">
        <v>7.6387999999999998</v>
      </c>
      <c r="G9" s="4">
        <v>7.6352000000000002</v>
      </c>
      <c r="H9" s="4">
        <v>7.6292</v>
      </c>
      <c r="I9" s="4">
        <v>7.6207000000000003</v>
      </c>
      <c r="J9" s="4">
        <v>7.6096000000000004</v>
      </c>
      <c r="K9" s="4">
        <v>7.5957999999999997</v>
      </c>
      <c r="L9" s="13">
        <f t="shared" si="2"/>
        <v>416</v>
      </c>
      <c r="M9" s="14">
        <f t="shared" si="4"/>
        <v>1.1555555555555554</v>
      </c>
    </row>
    <row r="10" spans="1:13" ht="14.25" x14ac:dyDescent="0.2">
      <c r="A10" s="2">
        <v>40158</v>
      </c>
      <c r="B10" s="3">
        <v>92.42</v>
      </c>
      <c r="C10" s="11">
        <f t="shared" si="3"/>
        <v>7.5799999999999983</v>
      </c>
      <c r="D10" s="11">
        <f t="shared" si="0"/>
        <v>0.99996431826366483</v>
      </c>
      <c r="E10" s="4">
        <f t="shared" si="1"/>
        <v>7.5654568379045095</v>
      </c>
      <c r="F10" s="4">
        <v>7.5782999999999996</v>
      </c>
      <c r="G10" s="4">
        <v>7.5732999999999997</v>
      </c>
      <c r="H10" s="4">
        <v>7.5647000000000002</v>
      </c>
      <c r="I10" s="4">
        <v>7.5526999999999997</v>
      </c>
      <c r="J10" s="4">
        <v>7.5368000000000004</v>
      </c>
      <c r="K10" s="4">
        <v>7.5170000000000003</v>
      </c>
      <c r="L10" s="13">
        <f t="shared" si="2"/>
        <v>507</v>
      </c>
      <c r="M10" s="14">
        <f t="shared" si="4"/>
        <v>1.4083333333333334</v>
      </c>
    </row>
    <row r="11" spans="1:13" ht="14.25" x14ac:dyDescent="0.2">
      <c r="A11" s="2">
        <v>40249</v>
      </c>
      <c r="B11" s="3">
        <v>92.47</v>
      </c>
      <c r="C11" s="11">
        <f t="shared" si="3"/>
        <v>7.5300000000000011</v>
      </c>
      <c r="D11" s="11">
        <f t="shared" si="0"/>
        <v>0.99995269085529026</v>
      </c>
      <c r="E11" s="4">
        <f t="shared" si="1"/>
        <v>7.5107201042564435</v>
      </c>
      <c r="F11" s="4">
        <v>7.5277000000000003</v>
      </c>
      <c r="G11" s="4">
        <v>7.5209999999999999</v>
      </c>
      <c r="H11" s="4">
        <v>7.5095000000000001</v>
      </c>
      <c r="I11" s="4">
        <v>7.4931999999999999</v>
      </c>
      <c r="J11" s="4">
        <v>7.4718</v>
      </c>
      <c r="K11" s="4">
        <v>7.4450000000000003</v>
      </c>
      <c r="L11" s="13">
        <f t="shared" si="2"/>
        <v>598</v>
      </c>
      <c r="M11" s="14">
        <f t="shared" si="4"/>
        <v>1.6611111111111112</v>
      </c>
    </row>
    <row r="12" spans="1:13" ht="14.25" x14ac:dyDescent="0.2">
      <c r="A12" s="2">
        <v>40340</v>
      </c>
      <c r="B12" s="3">
        <v>92.51</v>
      </c>
      <c r="C12" s="11">
        <f t="shared" si="3"/>
        <v>7.4899999999999949</v>
      </c>
      <c r="D12" s="11">
        <f t="shared" si="0"/>
        <v>0.99993956621515845</v>
      </c>
      <c r="E12" s="4">
        <f t="shared" si="1"/>
        <v>7.465373837014913</v>
      </c>
      <c r="F12" s="4">
        <v>7.4870999999999999</v>
      </c>
      <c r="G12" s="4">
        <v>7.4782999999999999</v>
      </c>
      <c r="H12" s="4">
        <v>7.4634999999999998</v>
      </c>
      <c r="I12" s="4">
        <v>7.4424000000000001</v>
      </c>
      <c r="J12" s="4">
        <v>7.4146000000000001</v>
      </c>
      <c r="K12" s="4">
        <v>7.3795999999999999</v>
      </c>
      <c r="L12" s="13">
        <f t="shared" si="2"/>
        <v>689</v>
      </c>
      <c r="M12" s="14">
        <f t="shared" si="4"/>
        <v>1.913888888888889</v>
      </c>
    </row>
    <row r="13" spans="1:13" ht="14.25" x14ac:dyDescent="0.2">
      <c r="A13" s="2">
        <v>40431</v>
      </c>
      <c r="B13" s="3">
        <v>92.52</v>
      </c>
      <c r="C13" s="11">
        <f t="shared" si="3"/>
        <v>7.480000000000004</v>
      </c>
      <c r="D13" s="11">
        <f t="shared" si="0"/>
        <v>0.99992497957466919</v>
      </c>
      <c r="E13" s="4">
        <f t="shared" si="1"/>
        <v>7.4494306770862124</v>
      </c>
      <c r="F13" s="4">
        <v>7.4763000000000002</v>
      </c>
      <c r="G13" s="4">
        <v>7.4653</v>
      </c>
      <c r="H13" s="4">
        <v>7.4466000000000001</v>
      </c>
      <c r="I13" s="4">
        <v>7.42</v>
      </c>
      <c r="J13" s="4">
        <v>7.3848000000000003</v>
      </c>
      <c r="K13" s="4">
        <v>7.3403999999999998</v>
      </c>
      <c r="L13" s="13">
        <f t="shared" si="2"/>
        <v>780</v>
      </c>
      <c r="M13" s="14">
        <f t="shared" si="4"/>
        <v>2.1666666666666665</v>
      </c>
    </row>
    <row r="14" spans="1:13" ht="15" thickBot="1" x14ac:dyDescent="0.25">
      <c r="A14" s="5">
        <v>40522</v>
      </c>
      <c r="B14" s="6">
        <v>92.52</v>
      </c>
      <c r="C14" s="15">
        <f t="shared" si="3"/>
        <v>7.480000000000004</v>
      </c>
      <c r="D14" s="15">
        <f t="shared" si="0"/>
        <v>0.99990896554482689</v>
      </c>
      <c r="E14" s="7">
        <f t="shared" si="1"/>
        <v>7.4429052802060696</v>
      </c>
      <c r="F14" s="7">
        <v>7.4755000000000003</v>
      </c>
      <c r="G14" s="7">
        <v>7.4619</v>
      </c>
      <c r="H14" s="7">
        <v>7.4389000000000003</v>
      </c>
      <c r="I14" s="7">
        <v>7.4059999999999997</v>
      </c>
      <c r="J14" s="7">
        <v>7.3624000000000001</v>
      </c>
      <c r="K14" s="7">
        <v>7.3072999999999997</v>
      </c>
      <c r="L14" s="16">
        <f t="shared" si="2"/>
        <v>871</v>
      </c>
      <c r="M14" s="17">
        <f t="shared" si="4"/>
        <v>2.4194444444444443</v>
      </c>
    </row>
    <row r="15" spans="1:13" ht="14.25" x14ac:dyDescent="0.2">
      <c r="B15" s="1"/>
      <c r="C15" s="34"/>
      <c r="D15" s="35"/>
      <c r="E15" s="36"/>
      <c r="F15" s="36"/>
      <c r="G15" s="36"/>
      <c r="H15" s="36"/>
      <c r="I15" s="37"/>
      <c r="J15" s="35"/>
    </row>
  </sheetData>
  <mergeCells count="1">
    <mergeCell ref="F1:M2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honeticPr fontId="4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6" sqref="C6"/>
    </sheetView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D5A8AE13-195D-41B1-8B0D-00B9FC293471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041FCFD2-0E39-48B3-B938-670DE086C6C7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Glass</dc:creator>
  <cp:lastModifiedBy>Alex</cp:lastModifiedBy>
  <dcterms:created xsi:type="dcterms:W3CDTF">2008-07-16T01:27:20Z</dcterms:created>
  <dcterms:modified xsi:type="dcterms:W3CDTF">2018-04-25T01:21:01Z</dcterms:modified>
</cp:coreProperties>
</file>