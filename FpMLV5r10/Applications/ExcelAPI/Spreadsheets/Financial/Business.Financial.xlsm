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Financial\"/>
    </mc:Choice>
  </mc:AlternateContent>
  <bookViews>
    <workbookView xWindow="120" yWindow="120" windowWidth="18150" windowHeight="6945" tabRatio="706" activeTab="2" xr2:uid="{00000000-000D-0000-FFFF-FFFF00000000}"/>
  </bookViews>
  <sheets>
    <sheet name="Table of Contents" sheetId="2" r:id="rId1"/>
    <sheet name="Calendar Rule Data" sheetId="3" r:id="rId2"/>
    <sheet name="Business Calendar" sheetId="1" r:id="rId3"/>
    <sheet name="Business Financial Dates" sheetId="8" r:id="rId4"/>
    <sheet name="Business Schedulers" sheetId="9" r:id="rId5"/>
    <sheet name="Reference Data" sheetId="12" r:id="rId6"/>
  </sheets>
  <definedNames>
    <definedName name="AUD_3Y_Expiry_Swaption_Vols">'Calendar Rule Data'!$D$8:$M$9</definedName>
    <definedName name="AUD_5Y_Expiry_Swaption_Vols">'Calendar Rule Data'!$D$63:$M$70</definedName>
    <definedName name="AUD_Asset_Grid" localSheetId="4">'Calendar Rule Data'!#REF!</definedName>
    <definedName name="AUD_Asset_Grid">'Calendar Rule Data'!#REF!</definedName>
    <definedName name="AUD_Asset_Grid2">'Calendar Rule Data'!#REF!</definedName>
    <definedName name="DDD">'Calendar Rule Data'!$D$4:$E$4</definedName>
    <definedName name="xxxx">'Calendar Rule Data'!$E$4</definedName>
  </definedNames>
  <calcPr calcId="171027" calcOnSave="0"/>
</workbook>
</file>

<file path=xl/calcChain.xml><?xml version="1.0" encoding="utf-8"?>
<calcChain xmlns="http://schemas.openxmlformats.org/spreadsheetml/2006/main">
  <c r="E7" i="3" l="1"/>
  <c r="F7" i="3" s="1"/>
  <c r="E139" i="9"/>
  <c r="E140" i="9" s="1"/>
  <c r="E100" i="9"/>
  <c r="E101" i="9" s="1"/>
  <c r="E34" i="8"/>
  <c r="E69" i="8"/>
  <c r="E67" i="8"/>
  <c r="E66" i="8"/>
  <c r="E31" i="8"/>
  <c r="E17" i="8"/>
  <c r="E16" i="8"/>
  <c r="E13" i="8"/>
  <c r="E12" i="8"/>
  <c r="E15" i="8"/>
  <c r="E14" i="8"/>
  <c r="I39" i="1"/>
  <c r="I29" i="1"/>
  <c r="I28" i="1"/>
  <c r="I27" i="1"/>
  <c r="B31" i="2"/>
  <c r="H22" i="8"/>
  <c r="D9" i="3" a="1"/>
  <c r="E8" i="3" a="1"/>
  <c r="Q8" i="8" a="1"/>
  <c r="E54" i="1"/>
  <c r="E58" i="1"/>
  <c r="E62" i="1"/>
  <c r="E66" i="1"/>
  <c r="E60" i="1"/>
  <c r="E57" i="1"/>
  <c r="E65" i="1"/>
  <c r="E55" i="1"/>
  <c r="E59" i="1"/>
  <c r="E63" i="1"/>
  <c r="E56" i="1"/>
  <c r="E64" i="1"/>
  <c r="E61" i="1"/>
  <c r="E53" i="1"/>
  <c r="I53" i="1" a="1"/>
  <c r="I43" i="1"/>
  <c r="E43" i="1"/>
  <c r="M16" i="1" a="1"/>
  <c r="I31" i="1"/>
  <c r="E31" i="1"/>
  <c r="I72" i="8" a="1"/>
  <c r="E72" i="8" a="1"/>
  <c r="I36" i="8" a="1"/>
  <c r="E37" i="8" a="1"/>
  <c r="I22" i="8" a="1"/>
  <c r="P8" i="8" a="1"/>
  <c r="E22" i="8" a="1"/>
  <c r="I71" i="9" a="1"/>
  <c r="I46" i="9" a="1"/>
  <c r="E46" i="9" a="1"/>
  <c r="I16" i="9" a="1"/>
  <c r="E16" i="9" a="1"/>
  <c r="A4" i="12" a="1"/>
  <c r="B4" i="12" a="1"/>
  <c r="C4" i="12" a="1"/>
  <c r="D4" i="12" a="1"/>
  <c r="E4" i="12" a="1"/>
  <c r="AK9" i="3" a="1"/>
  <c r="AA9" i="3" a="1"/>
  <c r="T9" i="3" a="1"/>
  <c r="AP9" i="3" a="1"/>
  <c r="AH9" i="3" a="1"/>
  <c r="F9" i="3" a="1"/>
  <c r="H5" i="8"/>
  <c r="I139" i="9" a="1"/>
  <c r="AQ9" i="3" a="1"/>
  <c r="AI9" i="3" a="1"/>
  <c r="M9" i="3" a="1"/>
  <c r="X9" i="3" a="1"/>
  <c r="I9" i="3" a="1"/>
  <c r="AM9" i="3" a="1"/>
  <c r="AD9" i="3" a="1"/>
  <c r="V9" i="3" a="1"/>
  <c r="P9" i="3" a="1"/>
  <c r="I100" i="9" a="1"/>
  <c r="AJ9" i="3" a="1"/>
  <c r="Y9" i="3" a="1"/>
  <c r="R9" i="3" a="1"/>
  <c r="J9" i="3" a="1"/>
  <c r="E9" i="3" a="1"/>
  <c r="U9" i="3" a="1"/>
  <c r="H9" i="3" a="1"/>
  <c r="Q9" i="3" a="1"/>
  <c r="AE9" i="3" a="1"/>
  <c r="AF9" i="3" a="1"/>
  <c r="AB9" i="3" a="1"/>
  <c r="N9" i="3" a="1"/>
  <c r="G9" i="3" a="1"/>
  <c r="AO9" i="3" a="1"/>
  <c r="AG9" i="3" a="1"/>
  <c r="Z9" i="3" a="1"/>
  <c r="S9" i="3" a="1"/>
  <c r="W9" i="3" a="1"/>
  <c r="AC9" i="3" a="1"/>
  <c r="O9" i="3" a="1"/>
  <c r="AN9" i="3" a="1"/>
  <c r="K9" i="3" a="1"/>
  <c r="AL9" i="3" a="1"/>
  <c r="L9" i="3" a="1"/>
  <c r="I53" i="1" l="1"/>
  <c r="I57" i="1"/>
  <c r="I61" i="1"/>
  <c r="I65" i="1"/>
  <c r="I54" i="1"/>
  <c r="I58" i="1"/>
  <c r="I62" i="1"/>
  <c r="I66" i="1"/>
  <c r="I56" i="1"/>
  <c r="I60" i="1"/>
  <c r="I64" i="1"/>
  <c r="I55" i="1"/>
  <c r="I59" i="1"/>
  <c r="I63" i="1"/>
  <c r="M16" i="1"/>
  <c r="M20" i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M136" i="1"/>
  <c r="M140" i="1"/>
  <c r="M144" i="1"/>
  <c r="M148" i="1"/>
  <c r="M41" i="1"/>
  <c r="M61" i="1"/>
  <c r="M69" i="1"/>
  <c r="M73" i="1"/>
  <c r="M81" i="1"/>
  <c r="M89" i="1"/>
  <c r="M97" i="1"/>
  <c r="M101" i="1"/>
  <c r="M109" i="1"/>
  <c r="M113" i="1"/>
  <c r="M121" i="1"/>
  <c r="M129" i="1"/>
  <c r="M137" i="1"/>
  <c r="M141" i="1"/>
  <c r="M149" i="1"/>
  <c r="M127" i="1"/>
  <c r="M135" i="1"/>
  <c r="M147" i="1"/>
  <c r="M17" i="1"/>
  <c r="M21" i="1"/>
  <c r="M25" i="1"/>
  <c r="M29" i="1"/>
  <c r="M33" i="1"/>
  <c r="M37" i="1"/>
  <c r="M45" i="1"/>
  <c r="M49" i="1"/>
  <c r="M53" i="1"/>
  <c r="M57" i="1"/>
  <c r="M65" i="1"/>
  <c r="M77" i="1"/>
  <c r="M85" i="1"/>
  <c r="M93" i="1"/>
  <c r="M105" i="1"/>
  <c r="M117" i="1"/>
  <c r="M125" i="1"/>
  <c r="M133" i="1"/>
  <c r="M145" i="1"/>
  <c r="M143" i="1"/>
  <c r="M18" i="1"/>
  <c r="M22" i="1"/>
  <c r="M26" i="1"/>
  <c r="M30" i="1"/>
  <c r="M34" i="1"/>
  <c r="M38" i="1"/>
  <c r="M42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122" i="1"/>
  <c r="M126" i="1"/>
  <c r="M130" i="1"/>
  <c r="M134" i="1"/>
  <c r="M138" i="1"/>
  <c r="M142" i="1"/>
  <c r="M146" i="1"/>
  <c r="M19" i="1"/>
  <c r="M23" i="1"/>
  <c r="M27" i="1"/>
  <c r="M31" i="1"/>
  <c r="M35" i="1"/>
  <c r="M39" i="1"/>
  <c r="M43" i="1"/>
  <c r="M47" i="1"/>
  <c r="M51" i="1"/>
  <c r="M55" i="1"/>
  <c r="M59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19" i="1"/>
  <c r="M123" i="1"/>
  <c r="M131" i="1"/>
  <c r="M139" i="1"/>
  <c r="I72" i="8"/>
  <c r="I76" i="8"/>
  <c r="I80" i="8"/>
  <c r="I84" i="8"/>
  <c r="I88" i="8"/>
  <c r="I92" i="8"/>
  <c r="I73" i="8"/>
  <c r="I77" i="8"/>
  <c r="I81" i="8"/>
  <c r="I85" i="8"/>
  <c r="I89" i="8"/>
  <c r="I93" i="8"/>
  <c r="I75" i="8"/>
  <c r="I79" i="8"/>
  <c r="I83" i="8"/>
  <c r="I87" i="8"/>
  <c r="I91" i="8"/>
  <c r="I74" i="8"/>
  <c r="I78" i="8"/>
  <c r="I82" i="8"/>
  <c r="I86" i="8"/>
  <c r="I90" i="8"/>
  <c r="I94" i="8"/>
  <c r="E72" i="8"/>
  <c r="E76" i="8"/>
  <c r="E80" i="8"/>
  <c r="E84" i="8"/>
  <c r="E88" i="8"/>
  <c r="E92" i="8"/>
  <c r="E73" i="8"/>
  <c r="E77" i="8"/>
  <c r="E81" i="8"/>
  <c r="E85" i="8"/>
  <c r="E89" i="8"/>
  <c r="E93" i="8"/>
  <c r="E75" i="8"/>
  <c r="E79" i="8"/>
  <c r="E83" i="8"/>
  <c r="E87" i="8"/>
  <c r="E91" i="8"/>
  <c r="E74" i="8"/>
  <c r="E78" i="8"/>
  <c r="E82" i="8"/>
  <c r="E86" i="8"/>
  <c r="E90" i="8"/>
  <c r="E94" i="8"/>
  <c r="I36" i="8"/>
  <c r="I40" i="8"/>
  <c r="I44" i="8"/>
  <c r="I48" i="8"/>
  <c r="I52" i="8"/>
  <c r="I56" i="8"/>
  <c r="I37" i="8"/>
  <c r="I41" i="8"/>
  <c r="I45" i="8"/>
  <c r="I49" i="8"/>
  <c r="I53" i="8"/>
  <c r="I57" i="8"/>
  <c r="I38" i="8"/>
  <c r="I42" i="8"/>
  <c r="I46" i="8"/>
  <c r="I50" i="8"/>
  <c r="I54" i="8"/>
  <c r="I39" i="8"/>
  <c r="I43" i="8"/>
  <c r="I47" i="8"/>
  <c r="I51" i="8"/>
  <c r="I55" i="8"/>
  <c r="I59" i="8"/>
  <c r="I58" i="8"/>
  <c r="E37" i="8"/>
  <c r="E41" i="8"/>
  <c r="E45" i="8"/>
  <c r="E49" i="8"/>
  <c r="E53" i="8"/>
  <c r="E57" i="8"/>
  <c r="E38" i="8"/>
  <c r="E42" i="8"/>
  <c r="E46" i="8"/>
  <c r="E50" i="8"/>
  <c r="E54" i="8"/>
  <c r="E58" i="8"/>
  <c r="E40" i="8"/>
  <c r="E44" i="8"/>
  <c r="E48" i="8"/>
  <c r="E52" i="8"/>
  <c r="E56" i="8"/>
  <c r="E39" i="8"/>
  <c r="E43" i="8"/>
  <c r="E47" i="8"/>
  <c r="E51" i="8"/>
  <c r="E55" i="8"/>
  <c r="E59" i="8"/>
  <c r="I22" i="8"/>
  <c r="I23" i="8"/>
  <c r="I24" i="8"/>
  <c r="P8" i="8"/>
  <c r="P12" i="8"/>
  <c r="P16" i="8"/>
  <c r="P20" i="8"/>
  <c r="P24" i="8"/>
  <c r="P28" i="8"/>
  <c r="P32" i="8"/>
  <c r="P36" i="8"/>
  <c r="P40" i="8"/>
  <c r="P44" i="8"/>
  <c r="P48" i="8"/>
  <c r="P52" i="8"/>
  <c r="P56" i="8"/>
  <c r="P60" i="8"/>
  <c r="P64" i="8"/>
  <c r="P68" i="8"/>
  <c r="P72" i="8"/>
  <c r="P76" i="8"/>
  <c r="P80" i="8"/>
  <c r="P84" i="8"/>
  <c r="P88" i="8"/>
  <c r="P92" i="8"/>
  <c r="P17" i="8"/>
  <c r="P33" i="8"/>
  <c r="P41" i="8"/>
  <c r="P49" i="8"/>
  <c r="P57" i="8"/>
  <c r="P65" i="8"/>
  <c r="P69" i="8"/>
  <c r="P77" i="8"/>
  <c r="P85" i="8"/>
  <c r="P93" i="8"/>
  <c r="P87" i="8"/>
  <c r="P9" i="8"/>
  <c r="P13" i="8"/>
  <c r="P21" i="8"/>
  <c r="P25" i="8"/>
  <c r="P29" i="8"/>
  <c r="P37" i="8"/>
  <c r="P45" i="8"/>
  <c r="P53" i="8"/>
  <c r="P61" i="8"/>
  <c r="P73" i="8"/>
  <c r="P81" i="8"/>
  <c r="P89" i="8"/>
  <c r="P10" i="8"/>
  <c r="P14" i="8"/>
  <c r="P18" i="8"/>
  <c r="P22" i="8"/>
  <c r="P26" i="8"/>
  <c r="P30" i="8"/>
  <c r="P34" i="8"/>
  <c r="P38" i="8"/>
  <c r="P42" i="8"/>
  <c r="P46" i="8"/>
  <c r="P50" i="8"/>
  <c r="P54" i="8"/>
  <c r="P58" i="8"/>
  <c r="P62" i="8"/>
  <c r="P66" i="8"/>
  <c r="P70" i="8"/>
  <c r="P74" i="8"/>
  <c r="P78" i="8"/>
  <c r="P82" i="8"/>
  <c r="P86" i="8"/>
  <c r="P90" i="8"/>
  <c r="P94" i="8"/>
  <c r="P11" i="8"/>
  <c r="P15" i="8"/>
  <c r="P19" i="8"/>
  <c r="P23" i="8"/>
  <c r="P27" i="8"/>
  <c r="P31" i="8"/>
  <c r="P35" i="8"/>
  <c r="P39" i="8"/>
  <c r="P43" i="8"/>
  <c r="P47" i="8"/>
  <c r="P51" i="8"/>
  <c r="P55" i="8"/>
  <c r="P59" i="8"/>
  <c r="P63" i="8"/>
  <c r="P67" i="8"/>
  <c r="P71" i="8"/>
  <c r="P75" i="8"/>
  <c r="P79" i="8"/>
  <c r="P83" i="8"/>
  <c r="P91" i="8"/>
  <c r="E22" i="8"/>
  <c r="E23" i="8"/>
  <c r="I139" i="9"/>
  <c r="I143" i="9"/>
  <c r="I147" i="9"/>
  <c r="I151" i="9"/>
  <c r="I155" i="9"/>
  <c r="I159" i="9"/>
  <c r="I163" i="9"/>
  <c r="I167" i="9"/>
  <c r="I171" i="9"/>
  <c r="I145" i="9"/>
  <c r="I153" i="9"/>
  <c r="I165" i="9"/>
  <c r="I173" i="9"/>
  <c r="I146" i="9"/>
  <c r="I154" i="9"/>
  <c r="I162" i="9"/>
  <c r="I170" i="9"/>
  <c r="I140" i="9"/>
  <c r="I144" i="9"/>
  <c r="I148" i="9"/>
  <c r="I152" i="9"/>
  <c r="I156" i="9"/>
  <c r="I160" i="9"/>
  <c r="I164" i="9"/>
  <c r="I168" i="9"/>
  <c r="I172" i="9"/>
  <c r="I149" i="9"/>
  <c r="I157" i="9"/>
  <c r="I161" i="9"/>
  <c r="I169" i="9"/>
  <c r="I142" i="9"/>
  <c r="I150" i="9"/>
  <c r="I158" i="9"/>
  <c r="I166" i="9"/>
  <c r="I141" i="9"/>
  <c r="I100" i="9"/>
  <c r="I104" i="9"/>
  <c r="I108" i="9"/>
  <c r="I112" i="9"/>
  <c r="I116" i="9"/>
  <c r="I120" i="9"/>
  <c r="I124" i="9"/>
  <c r="I128" i="9"/>
  <c r="I132" i="9"/>
  <c r="I101" i="9"/>
  <c r="I105" i="9"/>
  <c r="I109" i="9"/>
  <c r="I113" i="9"/>
  <c r="I117" i="9"/>
  <c r="I121" i="9"/>
  <c r="I125" i="9"/>
  <c r="I129" i="9"/>
  <c r="I133" i="9"/>
  <c r="I103" i="9"/>
  <c r="I107" i="9"/>
  <c r="I111" i="9"/>
  <c r="I115" i="9"/>
  <c r="I119" i="9"/>
  <c r="I123" i="9"/>
  <c r="I127" i="9"/>
  <c r="I131" i="9"/>
  <c r="I102" i="9"/>
  <c r="I106" i="9"/>
  <c r="I110" i="9"/>
  <c r="I114" i="9"/>
  <c r="I118" i="9"/>
  <c r="I122" i="9"/>
  <c r="I126" i="9"/>
  <c r="I130" i="9"/>
  <c r="I134" i="9"/>
  <c r="I71" i="9"/>
  <c r="I75" i="9"/>
  <c r="I79" i="9"/>
  <c r="I83" i="9"/>
  <c r="I87" i="9"/>
  <c r="I91" i="9"/>
  <c r="I72" i="9"/>
  <c r="I76" i="9"/>
  <c r="I80" i="9"/>
  <c r="I84" i="9"/>
  <c r="I88" i="9"/>
  <c r="I92" i="9"/>
  <c r="I74" i="9"/>
  <c r="I78" i="9"/>
  <c r="I82" i="9"/>
  <c r="I86" i="9"/>
  <c r="I90" i="9"/>
  <c r="I73" i="9"/>
  <c r="I77" i="9"/>
  <c r="I81" i="9"/>
  <c r="I85" i="9"/>
  <c r="I89" i="9"/>
  <c r="I93" i="9"/>
  <c r="I53" i="9"/>
  <c r="I46" i="9"/>
  <c r="I50" i="9"/>
  <c r="I54" i="9"/>
  <c r="I58" i="9"/>
  <c r="I62" i="9"/>
  <c r="I47" i="9"/>
  <c r="I51" i="9"/>
  <c r="I55" i="9"/>
  <c r="I59" i="9"/>
  <c r="I63" i="9"/>
  <c r="I49" i="9"/>
  <c r="I57" i="9"/>
  <c r="I61" i="9"/>
  <c r="I48" i="9"/>
  <c r="I52" i="9"/>
  <c r="I56" i="9"/>
  <c r="I60" i="9"/>
  <c r="I64" i="9"/>
  <c r="E57" i="9"/>
  <c r="E46" i="9"/>
  <c r="E50" i="9"/>
  <c r="E54" i="9"/>
  <c r="E58" i="9"/>
  <c r="E62" i="9"/>
  <c r="E47" i="9"/>
  <c r="E51" i="9"/>
  <c r="E55" i="9"/>
  <c r="E59" i="9"/>
  <c r="E63" i="9"/>
  <c r="E52" i="9"/>
  <c r="E60" i="9"/>
  <c r="E48" i="9"/>
  <c r="E56" i="9"/>
  <c r="E64" i="9"/>
  <c r="E49" i="9"/>
  <c r="E53" i="9"/>
  <c r="E61" i="9"/>
  <c r="I16" i="9"/>
  <c r="I20" i="9"/>
  <c r="I24" i="9"/>
  <c r="I28" i="9"/>
  <c r="I32" i="9"/>
  <c r="I17" i="9"/>
  <c r="I21" i="9"/>
  <c r="I25" i="9"/>
  <c r="I29" i="9"/>
  <c r="I33" i="9"/>
  <c r="I18" i="9"/>
  <c r="I22" i="9"/>
  <c r="I26" i="9"/>
  <c r="I30" i="9"/>
  <c r="I34" i="9"/>
  <c r="I19" i="9"/>
  <c r="I23" i="9"/>
  <c r="I27" i="9"/>
  <c r="I31" i="9"/>
  <c r="E16" i="9"/>
  <c r="E20" i="9"/>
  <c r="E24" i="9"/>
  <c r="E28" i="9"/>
  <c r="E32" i="9"/>
  <c r="E17" i="9"/>
  <c r="E25" i="9"/>
  <c r="E29" i="9"/>
  <c r="E33" i="9"/>
  <c r="E27" i="9"/>
  <c r="E21" i="9"/>
  <c r="E18" i="9"/>
  <c r="E22" i="9"/>
  <c r="E26" i="9"/>
  <c r="E30" i="9"/>
  <c r="E34" i="9"/>
  <c r="E19" i="9"/>
  <c r="E23" i="9"/>
  <c r="E31" i="9"/>
  <c r="A4" i="12"/>
  <c r="A8" i="12"/>
  <c r="A12" i="12"/>
  <c r="A16" i="12"/>
  <c r="A20" i="12"/>
  <c r="A24" i="12"/>
  <c r="A28" i="12"/>
  <c r="A32" i="12"/>
  <c r="A5" i="12"/>
  <c r="A9" i="12"/>
  <c r="A13" i="12"/>
  <c r="A17" i="12"/>
  <c r="A21" i="12"/>
  <c r="A25" i="12"/>
  <c r="A29" i="12"/>
  <c r="A6" i="12"/>
  <c r="A10" i="12"/>
  <c r="A14" i="12"/>
  <c r="A18" i="12"/>
  <c r="A22" i="12"/>
  <c r="A26" i="12"/>
  <c r="A30" i="12"/>
  <c r="A7" i="12"/>
  <c r="A11" i="12"/>
  <c r="A15" i="12"/>
  <c r="A19" i="12"/>
  <c r="A23" i="12"/>
  <c r="A31" i="12"/>
  <c r="A27" i="12"/>
  <c r="B71" i="12"/>
  <c r="B4" i="12"/>
  <c r="B8" i="12"/>
  <c r="B12" i="12"/>
  <c r="B16" i="12"/>
  <c r="B20" i="12"/>
  <c r="B24" i="12"/>
  <c r="B28" i="12"/>
  <c r="B32" i="12"/>
  <c r="B36" i="12"/>
  <c r="B40" i="12"/>
  <c r="B44" i="12"/>
  <c r="B48" i="12"/>
  <c r="B52" i="12"/>
  <c r="B56" i="12"/>
  <c r="B60" i="12"/>
  <c r="B64" i="12"/>
  <c r="B68" i="12"/>
  <c r="B72" i="12"/>
  <c r="B76" i="12"/>
  <c r="B80" i="12"/>
  <c r="B84" i="12"/>
  <c r="B88" i="12"/>
  <c r="B92" i="12"/>
  <c r="B96" i="12"/>
  <c r="B100" i="12"/>
  <c r="B104" i="12"/>
  <c r="B108" i="12"/>
  <c r="B112" i="12"/>
  <c r="B116" i="12"/>
  <c r="B120" i="12"/>
  <c r="B46" i="12"/>
  <c r="B66" i="12"/>
  <c r="B78" i="12"/>
  <c r="B90" i="12"/>
  <c r="B102" i="12"/>
  <c r="B110" i="12"/>
  <c r="B15" i="12"/>
  <c r="B27" i="12"/>
  <c r="B43" i="12"/>
  <c r="B55" i="12"/>
  <c r="B67" i="12"/>
  <c r="B83" i="12"/>
  <c r="B91" i="12"/>
  <c r="B103" i="12"/>
  <c r="B111" i="12"/>
  <c r="B5" i="12"/>
  <c r="B9" i="12"/>
  <c r="B13" i="12"/>
  <c r="B17" i="12"/>
  <c r="B21" i="12"/>
  <c r="B25" i="12"/>
  <c r="B29" i="12"/>
  <c r="B33" i="12"/>
  <c r="B37" i="12"/>
  <c r="B41" i="12"/>
  <c r="B45" i="12"/>
  <c r="B49" i="12"/>
  <c r="B53" i="12"/>
  <c r="B57" i="12"/>
  <c r="B61" i="12"/>
  <c r="B65" i="12"/>
  <c r="B69" i="12"/>
  <c r="B73" i="12"/>
  <c r="B77" i="12"/>
  <c r="B81" i="12"/>
  <c r="B85" i="12"/>
  <c r="B89" i="12"/>
  <c r="B93" i="12"/>
  <c r="B97" i="12"/>
  <c r="B101" i="12"/>
  <c r="B105" i="12"/>
  <c r="B109" i="12"/>
  <c r="B113" i="12"/>
  <c r="B117" i="12"/>
  <c r="B50" i="12"/>
  <c r="B62" i="12"/>
  <c r="B74" i="12"/>
  <c r="B86" i="12"/>
  <c r="B94" i="12"/>
  <c r="B106" i="12"/>
  <c r="B118" i="12"/>
  <c r="B7" i="12"/>
  <c r="B19" i="12"/>
  <c r="B31" i="12"/>
  <c r="B35" i="12"/>
  <c r="B47" i="12"/>
  <c r="B59" i="12"/>
  <c r="B75" i="12"/>
  <c r="B87" i="12"/>
  <c r="B99" i="12"/>
  <c r="B115" i="12"/>
  <c r="B6" i="12"/>
  <c r="B10" i="12"/>
  <c r="B14" i="12"/>
  <c r="B18" i="12"/>
  <c r="B22" i="12"/>
  <c r="B26" i="12"/>
  <c r="B30" i="12"/>
  <c r="B34" i="12"/>
  <c r="B38" i="12"/>
  <c r="B42" i="12"/>
  <c r="B54" i="12"/>
  <c r="B58" i="12"/>
  <c r="B70" i="12"/>
  <c r="B82" i="12"/>
  <c r="B98" i="12"/>
  <c r="B114" i="12"/>
  <c r="B11" i="12"/>
  <c r="B23" i="12"/>
  <c r="B39" i="12"/>
  <c r="B51" i="12"/>
  <c r="B63" i="12"/>
  <c r="B79" i="12"/>
  <c r="B95" i="12"/>
  <c r="B107" i="12"/>
  <c r="B119" i="12"/>
  <c r="C4" i="12"/>
  <c r="C8" i="12"/>
  <c r="C12" i="12"/>
  <c r="C16" i="12"/>
  <c r="C20" i="12"/>
  <c r="C24" i="12"/>
  <c r="C28" i="12"/>
  <c r="C32" i="12"/>
  <c r="C18" i="12"/>
  <c r="C11" i="12"/>
  <c r="C19" i="12"/>
  <c r="C5" i="12"/>
  <c r="C9" i="12"/>
  <c r="C13" i="12"/>
  <c r="C17" i="12"/>
  <c r="C21" i="12"/>
  <c r="C25" i="12"/>
  <c r="C29" i="12"/>
  <c r="C10" i="12"/>
  <c r="C22" i="12"/>
  <c r="C30" i="12"/>
  <c r="C15" i="12"/>
  <c r="C27" i="12"/>
  <c r="C6" i="12"/>
  <c r="C14" i="12"/>
  <c r="C26" i="12"/>
  <c r="C7" i="12"/>
  <c r="C23" i="12"/>
  <c r="C31" i="12"/>
  <c r="D7" i="12"/>
  <c r="D11" i="12"/>
  <c r="D15" i="12"/>
  <c r="D19" i="12"/>
  <c r="D23" i="12"/>
  <c r="D27" i="12"/>
  <c r="D31" i="12"/>
  <c r="D35" i="12"/>
  <c r="D39" i="12"/>
  <c r="D43" i="12"/>
  <c r="D47" i="12"/>
  <c r="D51" i="12"/>
  <c r="D55" i="12"/>
  <c r="D59" i="12"/>
  <c r="D63" i="12"/>
  <c r="D67" i="12"/>
  <c r="D71" i="12"/>
  <c r="D75" i="12"/>
  <c r="D79" i="12"/>
  <c r="D83" i="12"/>
  <c r="D87" i="12"/>
  <c r="D91" i="12"/>
  <c r="D95" i="12"/>
  <c r="D99" i="12"/>
  <c r="D103" i="12"/>
  <c r="D107" i="12"/>
  <c r="D111" i="12"/>
  <c r="D115" i="12"/>
  <c r="D119" i="12"/>
  <c r="D123" i="12"/>
  <c r="D127" i="12"/>
  <c r="D131" i="12"/>
  <c r="D135" i="12"/>
  <c r="D139" i="12"/>
  <c r="D143" i="12"/>
  <c r="D147" i="12"/>
  <c r="D151" i="12"/>
  <c r="D4" i="12"/>
  <c r="D8" i="12"/>
  <c r="D12" i="12"/>
  <c r="D16" i="12"/>
  <c r="D20" i="12"/>
  <c r="D24" i="12"/>
  <c r="D28" i="12"/>
  <c r="D32" i="12"/>
  <c r="D36" i="12"/>
  <c r="D40" i="12"/>
  <c r="D44" i="12"/>
  <c r="D48" i="12"/>
  <c r="D52" i="12"/>
  <c r="D56" i="12"/>
  <c r="D60" i="12"/>
  <c r="D64" i="12"/>
  <c r="D68" i="12"/>
  <c r="D72" i="12"/>
  <c r="D76" i="12"/>
  <c r="D80" i="12"/>
  <c r="D84" i="12"/>
  <c r="D88" i="12"/>
  <c r="D92" i="12"/>
  <c r="D96" i="12"/>
  <c r="D100" i="12"/>
  <c r="D104" i="12"/>
  <c r="D108" i="12"/>
  <c r="D112" i="12"/>
  <c r="D116" i="12"/>
  <c r="D120" i="12"/>
  <c r="D124" i="12"/>
  <c r="D128" i="12"/>
  <c r="D132" i="12"/>
  <c r="D136" i="12"/>
  <c r="D140" i="12"/>
  <c r="D144" i="12"/>
  <c r="D148" i="12"/>
  <c r="D152" i="12"/>
  <c r="D156" i="12"/>
  <c r="D160" i="12"/>
  <c r="D164" i="12"/>
  <c r="D168" i="12"/>
  <c r="D172" i="12"/>
  <c r="D176" i="12"/>
  <c r="D180" i="12"/>
  <c r="D184" i="12"/>
  <c r="D188" i="12"/>
  <c r="D192" i="12"/>
  <c r="D196" i="12"/>
  <c r="D200" i="12"/>
  <c r="D204" i="12"/>
  <c r="D208" i="12"/>
  <c r="D212" i="12"/>
  <c r="D216" i="12"/>
  <c r="D220" i="12"/>
  <c r="D224" i="12"/>
  <c r="D228" i="12"/>
  <c r="D232" i="12"/>
  <c r="D236" i="12"/>
  <c r="D240" i="12"/>
  <c r="D244" i="12"/>
  <c r="D248" i="12"/>
  <c r="D252" i="12"/>
  <c r="D256" i="12"/>
  <c r="D260" i="12"/>
  <c r="D264" i="12"/>
  <c r="D268" i="12"/>
  <c r="D272" i="12"/>
  <c r="D276" i="12"/>
  <c r="D280" i="12"/>
  <c r="D284" i="12"/>
  <c r="D288" i="12"/>
  <c r="D169" i="12"/>
  <c r="D189" i="12"/>
  <c r="D197" i="12"/>
  <c r="D205" i="12"/>
  <c r="D213" i="12"/>
  <c r="D217" i="12"/>
  <c r="D225" i="12"/>
  <c r="D233" i="12"/>
  <c r="D237" i="12"/>
  <c r="D245" i="12"/>
  <c r="D253" i="12"/>
  <c r="D257" i="12"/>
  <c r="D265" i="12"/>
  <c r="D5" i="12"/>
  <c r="D9" i="12"/>
  <c r="D13" i="12"/>
  <c r="D17" i="12"/>
  <c r="D21" i="12"/>
  <c r="D25" i="12"/>
  <c r="D29" i="12"/>
  <c r="D33" i="12"/>
  <c r="D37" i="12"/>
  <c r="D41" i="12"/>
  <c r="D45" i="12"/>
  <c r="D49" i="12"/>
  <c r="D53" i="12"/>
  <c r="D57" i="12"/>
  <c r="D61" i="12"/>
  <c r="D65" i="12"/>
  <c r="D69" i="12"/>
  <c r="D73" i="12"/>
  <c r="D77" i="12"/>
  <c r="D81" i="12"/>
  <c r="D85" i="12"/>
  <c r="D89" i="12"/>
  <c r="D93" i="12"/>
  <c r="D97" i="12"/>
  <c r="D101" i="12"/>
  <c r="D105" i="12"/>
  <c r="D109" i="12"/>
  <c r="D113" i="12"/>
  <c r="D117" i="12"/>
  <c r="D121" i="12"/>
  <c r="D125" i="12"/>
  <c r="D129" i="12"/>
  <c r="D133" i="12"/>
  <c r="D137" i="12"/>
  <c r="D141" i="12"/>
  <c r="D145" i="12"/>
  <c r="D149" i="12"/>
  <c r="D153" i="12"/>
  <c r="D157" i="12"/>
  <c r="D161" i="12"/>
  <c r="D165" i="12"/>
  <c r="D173" i="12"/>
  <c r="D177" i="12"/>
  <c r="D181" i="12"/>
  <c r="D185" i="12"/>
  <c r="D193" i="12"/>
  <c r="D201" i="12"/>
  <c r="D209" i="12"/>
  <c r="D221" i="12"/>
  <c r="D229" i="12"/>
  <c r="D241" i="12"/>
  <c r="D249" i="12"/>
  <c r="D261" i="12"/>
  <c r="D269" i="12"/>
  <c r="D6" i="12"/>
  <c r="D10" i="12"/>
  <c r="D14" i="12"/>
  <c r="D18" i="12"/>
  <c r="D22" i="12"/>
  <c r="D26" i="12"/>
  <c r="D30" i="12"/>
  <c r="D34" i="12"/>
  <c r="D38" i="12"/>
  <c r="D42" i="12"/>
  <c r="D46" i="12"/>
  <c r="D50" i="12"/>
  <c r="D54" i="12"/>
  <c r="D58" i="12"/>
  <c r="D62" i="12"/>
  <c r="D66" i="12"/>
  <c r="D70" i="12"/>
  <c r="D74" i="12"/>
  <c r="D78" i="12"/>
  <c r="D82" i="12"/>
  <c r="D86" i="12"/>
  <c r="D90" i="12"/>
  <c r="D94" i="12"/>
  <c r="D98" i="12"/>
  <c r="D102" i="12"/>
  <c r="D106" i="12"/>
  <c r="D110" i="12"/>
  <c r="D114" i="12"/>
  <c r="D118" i="12"/>
  <c r="D122" i="12"/>
  <c r="D126" i="12"/>
  <c r="D130" i="12"/>
  <c r="D134" i="12"/>
  <c r="D138" i="12"/>
  <c r="D142" i="12"/>
  <c r="D146" i="12"/>
  <c r="D150" i="12"/>
  <c r="D154" i="12"/>
  <c r="D158" i="12"/>
  <c r="D162" i="12"/>
  <c r="D166" i="12"/>
  <c r="D170" i="12"/>
  <c r="D174" i="12"/>
  <c r="D178" i="12"/>
  <c r="D182" i="12"/>
  <c r="D186" i="12"/>
  <c r="D190" i="12"/>
  <c r="D194" i="12"/>
  <c r="D198" i="12"/>
  <c r="D202" i="12"/>
  <c r="D206" i="12"/>
  <c r="D210" i="12"/>
  <c r="D214" i="12"/>
  <c r="D218" i="12"/>
  <c r="D222" i="12"/>
  <c r="D226" i="12"/>
  <c r="D230" i="12"/>
  <c r="D234" i="12"/>
  <c r="D238" i="12"/>
  <c r="D242" i="12"/>
  <c r="D246" i="12"/>
  <c r="D250" i="12"/>
  <c r="D254" i="12"/>
  <c r="D258" i="12"/>
  <c r="D262" i="12"/>
  <c r="D266" i="12"/>
  <c r="D270" i="12"/>
  <c r="D274" i="12"/>
  <c r="D278" i="12"/>
  <c r="D155" i="12"/>
  <c r="D171" i="12"/>
  <c r="D187" i="12"/>
  <c r="D203" i="12"/>
  <c r="D219" i="12"/>
  <c r="D235" i="12"/>
  <c r="D251" i="12"/>
  <c r="D267" i="12"/>
  <c r="D277" i="12"/>
  <c r="D283" i="12"/>
  <c r="D289" i="12"/>
  <c r="D159" i="12"/>
  <c r="D191" i="12"/>
  <c r="D207" i="12"/>
  <c r="D223" i="12"/>
  <c r="D239" i="12"/>
  <c r="D255" i="12"/>
  <c r="D271" i="12"/>
  <c r="D279" i="12"/>
  <c r="D285" i="12"/>
  <c r="D281" i="12"/>
  <c r="D167" i="12"/>
  <c r="D199" i="12"/>
  <c r="D215" i="12"/>
  <c r="D247" i="12"/>
  <c r="D275" i="12"/>
  <c r="D287" i="12"/>
  <c r="D175" i="12"/>
  <c r="D163" i="12"/>
  <c r="D179" i="12"/>
  <c r="D195" i="12"/>
  <c r="D211" i="12"/>
  <c r="D227" i="12"/>
  <c r="D243" i="12"/>
  <c r="D259" i="12"/>
  <c r="D273" i="12"/>
  <c r="D286" i="12"/>
  <c r="D183" i="12"/>
  <c r="D231" i="12"/>
  <c r="D263" i="12"/>
  <c r="D282" i="12"/>
  <c r="E7" i="12"/>
  <c r="E11" i="12"/>
  <c r="E15" i="12"/>
  <c r="E19" i="12"/>
  <c r="E23" i="12"/>
  <c r="E27" i="12"/>
  <c r="E31" i="12"/>
  <c r="E35" i="12"/>
  <c r="E4" i="12"/>
  <c r="E8" i="12"/>
  <c r="E12" i="12"/>
  <c r="E16" i="12"/>
  <c r="E20" i="12"/>
  <c r="E24" i="12"/>
  <c r="E28" i="12"/>
  <c r="E32" i="12"/>
  <c r="E36" i="12"/>
  <c r="E40" i="12"/>
  <c r="E44" i="12"/>
  <c r="E48" i="12"/>
  <c r="E52" i="12"/>
  <c r="E56" i="12"/>
  <c r="E60" i="12"/>
  <c r="E64" i="12"/>
  <c r="E68" i="12"/>
  <c r="E72" i="12"/>
  <c r="E76" i="12"/>
  <c r="E80" i="12"/>
  <c r="E84" i="12"/>
  <c r="E88" i="12"/>
  <c r="E92" i="12"/>
  <c r="E96" i="12"/>
  <c r="E100" i="12"/>
  <c r="E104" i="12"/>
  <c r="E108" i="12"/>
  <c r="E112" i="12"/>
  <c r="E116" i="12"/>
  <c r="E120" i="12"/>
  <c r="E124" i="12"/>
  <c r="E128" i="12"/>
  <c r="E132" i="12"/>
  <c r="E136" i="12"/>
  <c r="E140" i="12"/>
  <c r="E144" i="12"/>
  <c r="E148" i="12"/>
  <c r="E152" i="12"/>
  <c r="E156" i="12"/>
  <c r="E160" i="12"/>
  <c r="E164" i="12"/>
  <c r="E168" i="12"/>
  <c r="E172" i="12"/>
  <c r="E176" i="12"/>
  <c r="E180" i="12"/>
  <c r="E184" i="12"/>
  <c r="E188" i="12"/>
  <c r="E192" i="12"/>
  <c r="E196" i="12"/>
  <c r="E200" i="12"/>
  <c r="E204" i="12"/>
  <c r="E208" i="12"/>
  <c r="E212" i="12"/>
  <c r="E216" i="12"/>
  <c r="E220" i="12"/>
  <c r="E224" i="12"/>
  <c r="E228" i="12"/>
  <c r="E232" i="12"/>
  <c r="E236" i="12"/>
  <c r="E240" i="12"/>
  <c r="E244" i="12"/>
  <c r="E248" i="12"/>
  <c r="E252" i="12"/>
  <c r="E256" i="12"/>
  <c r="E260" i="12"/>
  <c r="E264" i="12"/>
  <c r="E268" i="12"/>
  <c r="E272" i="12"/>
  <c r="E276" i="12"/>
  <c r="E280" i="12"/>
  <c r="E284" i="12"/>
  <c r="E288" i="12"/>
  <c r="E292" i="12"/>
  <c r="E296" i="12"/>
  <c r="E300" i="12"/>
  <c r="E304" i="12"/>
  <c r="E308" i="12"/>
  <c r="E312" i="12"/>
  <c r="E316" i="12"/>
  <c r="E320" i="12"/>
  <c r="E324" i="12"/>
  <c r="E328" i="12"/>
  <c r="E332" i="12"/>
  <c r="E336" i="12"/>
  <c r="E340" i="12"/>
  <c r="E5" i="12"/>
  <c r="E9" i="12"/>
  <c r="E13" i="12"/>
  <c r="E17" i="12"/>
  <c r="E21" i="12"/>
  <c r="E25" i="12"/>
  <c r="E29" i="12"/>
  <c r="E33" i="12"/>
  <c r="E37" i="12"/>
  <c r="E41" i="12"/>
  <c r="E45" i="12"/>
  <c r="E49" i="12"/>
  <c r="E53" i="12"/>
  <c r="E57" i="12"/>
  <c r="E61" i="12"/>
  <c r="E65" i="12"/>
  <c r="E69" i="12"/>
  <c r="E73" i="12"/>
  <c r="E77" i="12"/>
  <c r="E81" i="12"/>
  <c r="E85" i="12"/>
  <c r="E89" i="12"/>
  <c r="E93" i="12"/>
  <c r="E97" i="12"/>
  <c r="E101" i="12"/>
  <c r="E105" i="12"/>
  <c r="E109" i="12"/>
  <c r="E113" i="12"/>
  <c r="E117" i="12"/>
  <c r="E121" i="12"/>
  <c r="E125" i="12"/>
  <c r="E129" i="12"/>
  <c r="E133" i="12"/>
  <c r="E137" i="12"/>
  <c r="E141" i="12"/>
  <c r="E145" i="12"/>
  <c r="E149" i="12"/>
  <c r="E153" i="12"/>
  <c r="E157" i="12"/>
  <c r="E161" i="12"/>
  <c r="E165" i="12"/>
  <c r="E169" i="12"/>
  <c r="E173" i="12"/>
  <c r="E177" i="12"/>
  <c r="E181" i="12"/>
  <c r="E185" i="12"/>
  <c r="E189" i="12"/>
  <c r="E193" i="12"/>
  <c r="E197" i="12"/>
  <c r="E201" i="12"/>
  <c r="E205" i="12"/>
  <c r="E209" i="12"/>
  <c r="E213" i="12"/>
  <c r="E217" i="12"/>
  <c r="E221" i="12"/>
  <c r="E225" i="12"/>
  <c r="E229" i="12"/>
  <c r="E233" i="12"/>
  <c r="E237" i="12"/>
  <c r="E241" i="12"/>
  <c r="E245" i="12"/>
  <c r="E249" i="12"/>
  <c r="E253" i="12"/>
  <c r="E257" i="12"/>
  <c r="E261" i="12"/>
  <c r="E265" i="12"/>
  <c r="E269" i="12"/>
  <c r="E273" i="12"/>
  <c r="E277" i="12"/>
  <c r="E281" i="12"/>
  <c r="E285" i="12"/>
  <c r="E289" i="12"/>
  <c r="E293" i="12"/>
  <c r="E297" i="12"/>
  <c r="E301" i="12"/>
  <c r="E305" i="12"/>
  <c r="E309" i="12"/>
  <c r="E313" i="12"/>
  <c r="E317" i="12"/>
  <c r="E321" i="12"/>
  <c r="E325" i="12"/>
  <c r="E329" i="12"/>
  <c r="E333" i="12"/>
  <c r="E337" i="12"/>
  <c r="E341" i="12"/>
  <c r="E6" i="12"/>
  <c r="E10" i="12"/>
  <c r="E14" i="12"/>
  <c r="E18" i="12"/>
  <c r="E22" i="12"/>
  <c r="E26" i="12"/>
  <c r="E30" i="12"/>
  <c r="E34" i="12"/>
  <c r="E38" i="12"/>
  <c r="E42" i="12"/>
  <c r="E46" i="12"/>
  <c r="E50" i="12"/>
  <c r="E54" i="12"/>
  <c r="E58" i="12"/>
  <c r="E62" i="12"/>
  <c r="E66" i="12"/>
  <c r="E70" i="12"/>
  <c r="E74" i="12"/>
  <c r="E78" i="12"/>
  <c r="E82" i="12"/>
  <c r="E86" i="12"/>
  <c r="E90" i="12"/>
  <c r="E94" i="12"/>
  <c r="E98" i="12"/>
  <c r="E102" i="12"/>
  <c r="E106" i="12"/>
  <c r="E110" i="12"/>
  <c r="E114" i="12"/>
  <c r="E118" i="12"/>
  <c r="E122" i="12"/>
  <c r="E126" i="12"/>
  <c r="E130" i="12"/>
  <c r="E134" i="12"/>
  <c r="E138" i="12"/>
  <c r="E142" i="12"/>
  <c r="E146" i="12"/>
  <c r="E150" i="12"/>
  <c r="E154" i="12"/>
  <c r="E158" i="12"/>
  <c r="E162" i="12"/>
  <c r="E166" i="12"/>
  <c r="E170" i="12"/>
  <c r="E174" i="12"/>
  <c r="E178" i="12"/>
  <c r="E182" i="12"/>
  <c r="E186" i="12"/>
  <c r="E190" i="12"/>
  <c r="E194" i="12"/>
  <c r="E198" i="12"/>
  <c r="E202" i="12"/>
  <c r="E206" i="12"/>
  <c r="E210" i="12"/>
  <c r="E214" i="12"/>
  <c r="E218" i="12"/>
  <c r="E222" i="12"/>
  <c r="E226" i="12"/>
  <c r="E230" i="12"/>
  <c r="E234" i="12"/>
  <c r="E238" i="12"/>
  <c r="E242" i="12"/>
  <c r="E246" i="12"/>
  <c r="E250" i="12"/>
  <c r="E254" i="12"/>
  <c r="E258" i="12"/>
  <c r="E262" i="12"/>
  <c r="E266" i="12"/>
  <c r="E270" i="12"/>
  <c r="E274" i="12"/>
  <c r="E278" i="12"/>
  <c r="E282" i="12"/>
  <c r="E286" i="12"/>
  <c r="E290" i="12"/>
  <c r="E294" i="12"/>
  <c r="E298" i="12"/>
  <c r="E302" i="12"/>
  <c r="E306" i="12"/>
  <c r="E310" i="12"/>
  <c r="E314" i="12"/>
  <c r="E318" i="12"/>
  <c r="E322" i="12"/>
  <c r="E326" i="12"/>
  <c r="E330" i="12"/>
  <c r="E334" i="12"/>
  <c r="E338" i="12"/>
  <c r="E342" i="12"/>
  <c r="E39" i="12"/>
  <c r="E55" i="12"/>
  <c r="E71" i="12"/>
  <c r="E87" i="12"/>
  <c r="E103" i="12"/>
  <c r="E119" i="12"/>
  <c r="E135" i="12"/>
  <c r="E151" i="12"/>
  <c r="E167" i="12"/>
  <c r="E183" i="12"/>
  <c r="E199" i="12"/>
  <c r="E215" i="12"/>
  <c r="E231" i="12"/>
  <c r="E247" i="12"/>
  <c r="E263" i="12"/>
  <c r="E279" i="12"/>
  <c r="E295" i="12"/>
  <c r="E311" i="12"/>
  <c r="E327" i="12"/>
  <c r="E343" i="12"/>
  <c r="E347" i="12"/>
  <c r="E351" i="12"/>
  <c r="E355" i="12"/>
  <c r="E359" i="12"/>
  <c r="E363" i="12"/>
  <c r="E367" i="12"/>
  <c r="E371" i="12"/>
  <c r="E375" i="12"/>
  <c r="E283" i="12"/>
  <c r="E315" i="12"/>
  <c r="E331" i="12"/>
  <c r="E348" i="12"/>
  <c r="E352" i="12"/>
  <c r="E356" i="12"/>
  <c r="E360" i="12"/>
  <c r="E368" i="12"/>
  <c r="E376" i="12"/>
  <c r="E361" i="12"/>
  <c r="E369" i="12"/>
  <c r="E51" i="12"/>
  <c r="E99" i="12"/>
  <c r="E131" i="12"/>
  <c r="E179" i="12"/>
  <c r="E211" i="12"/>
  <c r="E259" i="12"/>
  <c r="E291" i="12"/>
  <c r="E339" i="12"/>
  <c r="E354" i="12"/>
  <c r="E362" i="12"/>
  <c r="E374" i="12"/>
  <c r="E43" i="12"/>
  <c r="E59" i="12"/>
  <c r="E75" i="12"/>
  <c r="E91" i="12"/>
  <c r="E107" i="12"/>
  <c r="E123" i="12"/>
  <c r="E139" i="12"/>
  <c r="E155" i="12"/>
  <c r="E171" i="12"/>
  <c r="E187" i="12"/>
  <c r="E203" i="12"/>
  <c r="E219" i="12"/>
  <c r="E235" i="12"/>
  <c r="E251" i="12"/>
  <c r="E267" i="12"/>
  <c r="E299" i="12"/>
  <c r="E344" i="12"/>
  <c r="E364" i="12"/>
  <c r="E372" i="12"/>
  <c r="E373" i="12"/>
  <c r="E83" i="12"/>
  <c r="E163" i="12"/>
  <c r="E227" i="12"/>
  <c r="E275" i="12"/>
  <c r="E323" i="12"/>
  <c r="E346" i="12"/>
  <c r="E358" i="12"/>
  <c r="E370" i="12"/>
  <c r="E47" i="12"/>
  <c r="E63" i="12"/>
  <c r="E79" i="12"/>
  <c r="E95" i="12"/>
  <c r="E111" i="12"/>
  <c r="E127" i="12"/>
  <c r="E143" i="12"/>
  <c r="E159" i="12"/>
  <c r="E175" i="12"/>
  <c r="E191" i="12"/>
  <c r="E207" i="12"/>
  <c r="E223" i="12"/>
  <c r="E239" i="12"/>
  <c r="E255" i="12"/>
  <c r="E271" i="12"/>
  <c r="E287" i="12"/>
  <c r="E303" i="12"/>
  <c r="E319" i="12"/>
  <c r="E335" i="12"/>
  <c r="E345" i="12"/>
  <c r="E349" i="12"/>
  <c r="E353" i="12"/>
  <c r="E357" i="12"/>
  <c r="E365" i="12"/>
  <c r="E67" i="12"/>
  <c r="E115" i="12"/>
  <c r="E147" i="12"/>
  <c r="E195" i="12"/>
  <c r="E243" i="12"/>
  <c r="E307" i="12"/>
  <c r="E350" i="12"/>
  <c r="E366" i="12"/>
  <c r="I48" i="3"/>
  <c r="I44" i="3"/>
  <c r="I40" i="3"/>
  <c r="I36" i="3"/>
  <c r="I32" i="3"/>
  <c r="I28" i="3"/>
  <c r="I24" i="3"/>
  <c r="I20" i="3"/>
  <c r="I16" i="3"/>
  <c r="I50" i="3"/>
  <c r="I46" i="3"/>
  <c r="I42" i="3"/>
  <c r="I38" i="3"/>
  <c r="I34" i="3"/>
  <c r="I30" i="3"/>
  <c r="I26" i="3"/>
  <c r="I22" i="3"/>
  <c r="I45" i="3"/>
  <c r="I37" i="3"/>
  <c r="I29" i="3"/>
  <c r="I21" i="3"/>
  <c r="I15" i="3"/>
  <c r="I11" i="3"/>
  <c r="I23" i="3"/>
  <c r="I43" i="3"/>
  <c r="I35" i="3"/>
  <c r="I27" i="3"/>
  <c r="I19" i="3"/>
  <c r="I14" i="3"/>
  <c r="I10" i="3"/>
  <c r="I47" i="3"/>
  <c r="I17" i="3"/>
  <c r="I49" i="3"/>
  <c r="I41" i="3"/>
  <c r="I33" i="3"/>
  <c r="I25" i="3"/>
  <c r="I18" i="3"/>
  <c r="I13" i="3"/>
  <c r="I9" i="3"/>
  <c r="I39" i="3"/>
  <c r="I31" i="3"/>
  <c r="I12" i="3"/>
  <c r="L47" i="3"/>
  <c r="L43" i="3"/>
  <c r="L39" i="3"/>
  <c r="L35" i="3"/>
  <c r="L31" i="3"/>
  <c r="L27" i="3"/>
  <c r="L23" i="3"/>
  <c r="L19" i="3"/>
  <c r="L15" i="3"/>
  <c r="L11" i="3"/>
  <c r="L50" i="3"/>
  <c r="L46" i="3"/>
  <c r="L42" i="3"/>
  <c r="L38" i="3"/>
  <c r="L34" i="3"/>
  <c r="L30" i="3"/>
  <c r="L26" i="3"/>
  <c r="L22" i="3"/>
  <c r="L18" i="3"/>
  <c r="L14" i="3"/>
  <c r="L10" i="3"/>
  <c r="L49" i="3"/>
  <c r="L45" i="3"/>
  <c r="L41" i="3"/>
  <c r="L37" i="3"/>
  <c r="L33" i="3"/>
  <c r="L29" i="3"/>
  <c r="L25" i="3"/>
  <c r="L21" i="3"/>
  <c r="L17" i="3"/>
  <c r="L13" i="3"/>
  <c r="L9" i="3"/>
  <c r="L36" i="3"/>
  <c r="L20" i="3"/>
  <c r="L48" i="3"/>
  <c r="L32" i="3"/>
  <c r="L16" i="3"/>
  <c r="L44" i="3"/>
  <c r="L28" i="3"/>
  <c r="L12" i="3"/>
  <c r="L40" i="3"/>
  <c r="L24" i="3"/>
  <c r="H50" i="3"/>
  <c r="H46" i="3"/>
  <c r="H42" i="3"/>
  <c r="H38" i="3"/>
  <c r="H34" i="3"/>
  <c r="H30" i="3"/>
  <c r="H26" i="3"/>
  <c r="H22" i="3"/>
  <c r="H18" i="3"/>
  <c r="H14" i="3"/>
  <c r="H10" i="3"/>
  <c r="H49" i="3"/>
  <c r="H41" i="3"/>
  <c r="H37" i="3"/>
  <c r="H29" i="3"/>
  <c r="H25" i="3"/>
  <c r="H17" i="3"/>
  <c r="H13" i="3"/>
  <c r="H43" i="3"/>
  <c r="H35" i="3"/>
  <c r="H27" i="3"/>
  <c r="H19" i="3"/>
  <c r="H11" i="3"/>
  <c r="H45" i="3"/>
  <c r="H33" i="3"/>
  <c r="H21" i="3"/>
  <c r="H9" i="3"/>
  <c r="H47" i="3"/>
  <c r="H39" i="3"/>
  <c r="H31" i="3"/>
  <c r="H23" i="3"/>
  <c r="H15" i="3"/>
  <c r="H48" i="3"/>
  <c r="H44" i="3"/>
  <c r="H40" i="3"/>
  <c r="H36" i="3"/>
  <c r="H32" i="3"/>
  <c r="H28" i="3"/>
  <c r="H24" i="3"/>
  <c r="H20" i="3"/>
  <c r="H16" i="3"/>
  <c r="H12" i="3"/>
  <c r="T47" i="3"/>
  <c r="T43" i="3"/>
  <c r="T39" i="3"/>
  <c r="T35" i="3"/>
  <c r="T31" i="3"/>
  <c r="T27" i="3"/>
  <c r="T23" i="3"/>
  <c r="T19" i="3"/>
  <c r="T15" i="3"/>
  <c r="T11" i="3"/>
  <c r="T50" i="3"/>
  <c r="T46" i="3"/>
  <c r="T42" i="3"/>
  <c r="T38" i="3"/>
  <c r="T34" i="3"/>
  <c r="T30" i="3"/>
  <c r="T26" i="3"/>
  <c r="T22" i="3"/>
  <c r="T18" i="3"/>
  <c r="T14" i="3"/>
  <c r="T10" i="3"/>
  <c r="T49" i="3"/>
  <c r="T45" i="3"/>
  <c r="T41" i="3"/>
  <c r="T37" i="3"/>
  <c r="T33" i="3"/>
  <c r="T29" i="3"/>
  <c r="T25" i="3"/>
  <c r="T21" i="3"/>
  <c r="T17" i="3"/>
  <c r="T13" i="3"/>
  <c r="T9" i="3"/>
  <c r="T44" i="3"/>
  <c r="T28" i="3"/>
  <c r="T12" i="3"/>
  <c r="T40" i="3"/>
  <c r="T24" i="3"/>
  <c r="T36" i="3"/>
  <c r="T20" i="3"/>
  <c r="T48" i="3"/>
  <c r="T32" i="3"/>
  <c r="T16" i="3"/>
  <c r="W50" i="3"/>
  <c r="W46" i="3"/>
  <c r="W42" i="3"/>
  <c r="W38" i="3"/>
  <c r="W34" i="3"/>
  <c r="W30" i="3"/>
  <c r="W26" i="3"/>
  <c r="W22" i="3"/>
  <c r="W18" i="3"/>
  <c r="W14" i="3"/>
  <c r="W10" i="3"/>
  <c r="W49" i="3"/>
  <c r="W45" i="3"/>
  <c r="W41" i="3"/>
  <c r="W37" i="3"/>
  <c r="W33" i="3"/>
  <c r="W29" i="3"/>
  <c r="W25" i="3"/>
  <c r="W21" i="3"/>
  <c r="W17" i="3"/>
  <c r="W13" i="3"/>
  <c r="W9" i="3"/>
  <c r="W48" i="3"/>
  <c r="W47" i="3"/>
  <c r="W39" i="3"/>
  <c r="W31" i="3"/>
  <c r="W23" i="3"/>
  <c r="W15" i="3"/>
  <c r="W44" i="3"/>
  <c r="W36" i="3"/>
  <c r="W28" i="3"/>
  <c r="W20" i="3"/>
  <c r="W12" i="3"/>
  <c r="W43" i="3"/>
  <c r="W35" i="3"/>
  <c r="W27" i="3"/>
  <c r="W19" i="3"/>
  <c r="W11" i="3"/>
  <c r="W16" i="3"/>
  <c r="W40" i="3"/>
  <c r="W32" i="3"/>
  <c r="W24" i="3"/>
  <c r="G49" i="3"/>
  <c r="G45" i="3"/>
  <c r="G41" i="3"/>
  <c r="G37" i="3"/>
  <c r="G33" i="3"/>
  <c r="G29" i="3"/>
  <c r="G25" i="3"/>
  <c r="G21" i="3"/>
  <c r="G17" i="3"/>
  <c r="G13" i="3"/>
  <c r="G9" i="3"/>
  <c r="G48" i="3"/>
  <c r="G40" i="3"/>
  <c r="G36" i="3"/>
  <c r="G28" i="3"/>
  <c r="G24" i="3"/>
  <c r="G16" i="3"/>
  <c r="G12" i="3"/>
  <c r="G46" i="3"/>
  <c r="G34" i="3"/>
  <c r="G26" i="3"/>
  <c r="G22" i="3"/>
  <c r="G10" i="3"/>
  <c r="G44" i="3"/>
  <c r="G32" i="3"/>
  <c r="G20" i="3"/>
  <c r="G50" i="3"/>
  <c r="G42" i="3"/>
  <c r="G30" i="3"/>
  <c r="G18" i="3"/>
  <c r="G47" i="3"/>
  <c r="G43" i="3"/>
  <c r="G39" i="3"/>
  <c r="G35" i="3"/>
  <c r="G31" i="3"/>
  <c r="G27" i="3"/>
  <c r="G23" i="3"/>
  <c r="G19" i="3"/>
  <c r="G15" i="3"/>
  <c r="G11" i="3"/>
  <c r="G38" i="3"/>
  <c r="G14" i="3"/>
  <c r="J49" i="3"/>
  <c r="J45" i="3"/>
  <c r="J41" i="3"/>
  <c r="J37" i="3"/>
  <c r="J33" i="3"/>
  <c r="J29" i="3"/>
  <c r="J25" i="3"/>
  <c r="J21" i="3"/>
  <c r="J17" i="3"/>
  <c r="J13" i="3"/>
  <c r="J9" i="3"/>
  <c r="J47" i="3"/>
  <c r="J43" i="3"/>
  <c r="J39" i="3"/>
  <c r="J35" i="3"/>
  <c r="J31" i="3"/>
  <c r="J27" i="3"/>
  <c r="J23" i="3"/>
  <c r="J19" i="3"/>
  <c r="J15" i="3"/>
  <c r="J11" i="3"/>
  <c r="J50" i="3"/>
  <c r="J42" i="3"/>
  <c r="J34" i="3"/>
  <c r="J26" i="3"/>
  <c r="J18" i="3"/>
  <c r="J10" i="3"/>
  <c r="J48" i="3"/>
  <c r="J40" i="3"/>
  <c r="J32" i="3"/>
  <c r="J24" i="3"/>
  <c r="J20" i="3"/>
  <c r="J16" i="3"/>
  <c r="J46" i="3"/>
  <c r="J38" i="3"/>
  <c r="J30" i="3"/>
  <c r="J22" i="3"/>
  <c r="J14" i="3"/>
  <c r="J44" i="3"/>
  <c r="J36" i="3"/>
  <c r="J28" i="3"/>
  <c r="J12" i="3"/>
  <c r="P47" i="3"/>
  <c r="P43" i="3"/>
  <c r="P39" i="3"/>
  <c r="P35" i="3"/>
  <c r="P31" i="3"/>
  <c r="P27" i="3"/>
  <c r="P23" i="3"/>
  <c r="P19" i="3"/>
  <c r="P15" i="3"/>
  <c r="P11" i="3"/>
  <c r="P50" i="3"/>
  <c r="P46" i="3"/>
  <c r="P42" i="3"/>
  <c r="P38" i="3"/>
  <c r="P34" i="3"/>
  <c r="P30" i="3"/>
  <c r="P26" i="3"/>
  <c r="P22" i="3"/>
  <c r="P18" i="3"/>
  <c r="P14" i="3"/>
  <c r="P10" i="3"/>
  <c r="P49" i="3"/>
  <c r="P45" i="3"/>
  <c r="P41" i="3"/>
  <c r="P37" i="3"/>
  <c r="P33" i="3"/>
  <c r="P29" i="3"/>
  <c r="P25" i="3"/>
  <c r="P21" i="3"/>
  <c r="P17" i="3"/>
  <c r="P13" i="3"/>
  <c r="P9" i="3"/>
  <c r="P40" i="3"/>
  <c r="P24" i="3"/>
  <c r="P36" i="3"/>
  <c r="P20" i="3"/>
  <c r="P48" i="3"/>
  <c r="P32" i="3"/>
  <c r="P16" i="3"/>
  <c r="P44" i="3"/>
  <c r="P28" i="3"/>
  <c r="P12" i="3"/>
  <c r="X47" i="3"/>
  <c r="X43" i="3"/>
  <c r="X39" i="3"/>
  <c r="X35" i="3"/>
  <c r="X31" i="3"/>
  <c r="X27" i="3"/>
  <c r="X23" i="3"/>
  <c r="X19" i="3"/>
  <c r="X15" i="3"/>
  <c r="X11" i="3"/>
  <c r="X50" i="3"/>
  <c r="X46" i="3"/>
  <c r="X42" i="3"/>
  <c r="X38" i="3"/>
  <c r="X34" i="3"/>
  <c r="X30" i="3"/>
  <c r="X26" i="3"/>
  <c r="X22" i="3"/>
  <c r="X18" i="3"/>
  <c r="X14" i="3"/>
  <c r="X10" i="3"/>
  <c r="X49" i="3"/>
  <c r="X45" i="3"/>
  <c r="X41" i="3"/>
  <c r="X37" i="3"/>
  <c r="X33" i="3"/>
  <c r="X29" i="3"/>
  <c r="X25" i="3"/>
  <c r="X21" i="3"/>
  <c r="X17" i="3"/>
  <c r="X13" i="3"/>
  <c r="X9" i="3"/>
  <c r="X36" i="3"/>
  <c r="X20" i="3"/>
  <c r="X48" i="3"/>
  <c r="X32" i="3"/>
  <c r="X16" i="3"/>
  <c r="X44" i="3"/>
  <c r="X28" i="3"/>
  <c r="X12" i="3"/>
  <c r="X40" i="3"/>
  <c r="X24" i="3"/>
  <c r="AE47" i="3"/>
  <c r="AE43" i="3"/>
  <c r="AE39" i="3"/>
  <c r="AE35" i="3"/>
  <c r="AE31" i="3"/>
  <c r="AE27" i="3"/>
  <c r="AE23" i="3"/>
  <c r="AE19" i="3"/>
  <c r="AE15" i="3"/>
  <c r="AE11" i="3"/>
  <c r="AE50" i="3"/>
  <c r="AE46" i="3"/>
  <c r="AE42" i="3"/>
  <c r="AE38" i="3"/>
  <c r="AE34" i="3"/>
  <c r="AE30" i="3"/>
  <c r="AE26" i="3"/>
  <c r="AE22" i="3"/>
  <c r="AE18" i="3"/>
  <c r="AE14" i="3"/>
  <c r="AE10" i="3"/>
  <c r="AE49" i="3"/>
  <c r="AE45" i="3"/>
  <c r="AE41" i="3"/>
  <c r="AE37" i="3"/>
  <c r="AE33" i="3"/>
  <c r="AE29" i="3"/>
  <c r="AE25" i="3"/>
  <c r="AE21" i="3"/>
  <c r="AE17" i="3"/>
  <c r="AE13" i="3"/>
  <c r="AE9" i="3"/>
  <c r="AE36" i="3"/>
  <c r="AE20" i="3"/>
  <c r="AE48" i="3"/>
  <c r="AE32" i="3"/>
  <c r="AE16" i="3"/>
  <c r="AE44" i="3"/>
  <c r="AE28" i="3"/>
  <c r="AE12" i="3"/>
  <c r="AE40" i="3"/>
  <c r="AE24" i="3"/>
  <c r="K50" i="3"/>
  <c r="K46" i="3"/>
  <c r="K42" i="3"/>
  <c r="K38" i="3"/>
  <c r="K34" i="3"/>
  <c r="K30" i="3"/>
  <c r="K26" i="3"/>
  <c r="K22" i="3"/>
  <c r="K18" i="3"/>
  <c r="K14" i="3"/>
  <c r="K10" i="3"/>
  <c r="K49" i="3"/>
  <c r="K48" i="3"/>
  <c r="K44" i="3"/>
  <c r="K40" i="3"/>
  <c r="K36" i="3"/>
  <c r="K32" i="3"/>
  <c r="K28" i="3"/>
  <c r="K24" i="3"/>
  <c r="K20" i="3"/>
  <c r="K16" i="3"/>
  <c r="K12" i="3"/>
  <c r="K47" i="3"/>
  <c r="K39" i="3"/>
  <c r="K31" i="3"/>
  <c r="K23" i="3"/>
  <c r="K15" i="3"/>
  <c r="K45" i="3"/>
  <c r="K37" i="3"/>
  <c r="K29" i="3"/>
  <c r="K21" i="3"/>
  <c r="K13" i="3"/>
  <c r="K9" i="3"/>
  <c r="K43" i="3"/>
  <c r="K35" i="3"/>
  <c r="K27" i="3"/>
  <c r="K19" i="3"/>
  <c r="K11" i="3"/>
  <c r="K41" i="3"/>
  <c r="K33" i="3"/>
  <c r="K25" i="3"/>
  <c r="K17" i="3"/>
  <c r="O50" i="3"/>
  <c r="O46" i="3"/>
  <c r="O42" i="3"/>
  <c r="O38" i="3"/>
  <c r="O34" i="3"/>
  <c r="O30" i="3"/>
  <c r="O26" i="3"/>
  <c r="O22" i="3"/>
  <c r="O18" i="3"/>
  <c r="O14" i="3"/>
  <c r="O10" i="3"/>
  <c r="O49" i="3"/>
  <c r="O45" i="3"/>
  <c r="O41" i="3"/>
  <c r="O37" i="3"/>
  <c r="O33" i="3"/>
  <c r="O29" i="3"/>
  <c r="O25" i="3"/>
  <c r="O21" i="3"/>
  <c r="O17" i="3"/>
  <c r="O13" i="3"/>
  <c r="O9" i="3"/>
  <c r="O48" i="3"/>
  <c r="O44" i="3"/>
  <c r="O40" i="3"/>
  <c r="O36" i="3"/>
  <c r="O32" i="3"/>
  <c r="O28" i="3"/>
  <c r="O24" i="3"/>
  <c r="O20" i="3"/>
  <c r="O16" i="3"/>
  <c r="O12" i="3"/>
  <c r="O35" i="3"/>
  <c r="O19" i="3"/>
  <c r="O15" i="3"/>
  <c r="O47" i="3"/>
  <c r="O31" i="3"/>
  <c r="O43" i="3"/>
  <c r="O27" i="3"/>
  <c r="O11" i="3"/>
  <c r="O39" i="3"/>
  <c r="O23" i="3"/>
  <c r="S50" i="3"/>
  <c r="S46" i="3"/>
  <c r="S42" i="3"/>
  <c r="S38" i="3"/>
  <c r="S34" i="3"/>
  <c r="S30" i="3"/>
  <c r="S26" i="3"/>
  <c r="S22" i="3"/>
  <c r="S18" i="3"/>
  <c r="S14" i="3"/>
  <c r="S10" i="3"/>
  <c r="S49" i="3"/>
  <c r="S45" i="3"/>
  <c r="S41" i="3"/>
  <c r="S37" i="3"/>
  <c r="S33" i="3"/>
  <c r="S29" i="3"/>
  <c r="S25" i="3"/>
  <c r="S21" i="3"/>
  <c r="S17" i="3"/>
  <c r="S13" i="3"/>
  <c r="S9" i="3"/>
  <c r="S48" i="3"/>
  <c r="S44" i="3"/>
  <c r="S40" i="3"/>
  <c r="S36" i="3"/>
  <c r="S32" i="3"/>
  <c r="S28" i="3"/>
  <c r="S24" i="3"/>
  <c r="S20" i="3"/>
  <c r="S16" i="3"/>
  <c r="S12" i="3"/>
  <c r="S39" i="3"/>
  <c r="S23" i="3"/>
  <c r="S35" i="3"/>
  <c r="S19" i="3"/>
  <c r="S47" i="3"/>
  <c r="S31" i="3"/>
  <c r="S15" i="3"/>
  <c r="S43" i="3"/>
  <c r="S27" i="3"/>
  <c r="S11" i="3"/>
  <c r="N49" i="3"/>
  <c r="N45" i="3"/>
  <c r="N41" i="3"/>
  <c r="N37" i="3"/>
  <c r="N33" i="3"/>
  <c r="N29" i="3"/>
  <c r="N25" i="3"/>
  <c r="N21" i="3"/>
  <c r="N17" i="3"/>
  <c r="N13" i="3"/>
  <c r="N9" i="3"/>
  <c r="N48" i="3"/>
  <c r="N44" i="3"/>
  <c r="N40" i="3"/>
  <c r="N36" i="3"/>
  <c r="N32" i="3"/>
  <c r="N28" i="3"/>
  <c r="N24" i="3"/>
  <c r="N20" i="3"/>
  <c r="N16" i="3"/>
  <c r="N12" i="3"/>
  <c r="N47" i="3"/>
  <c r="N43" i="3"/>
  <c r="N39" i="3"/>
  <c r="N35" i="3"/>
  <c r="N31" i="3"/>
  <c r="N27" i="3"/>
  <c r="N23" i="3"/>
  <c r="N19" i="3"/>
  <c r="N15" i="3"/>
  <c r="N11" i="3"/>
  <c r="N46" i="3"/>
  <c r="N30" i="3"/>
  <c r="N14" i="3"/>
  <c r="N42" i="3"/>
  <c r="N26" i="3"/>
  <c r="N10" i="3"/>
  <c r="N38" i="3"/>
  <c r="N22" i="3"/>
  <c r="N50" i="3"/>
  <c r="N34" i="3"/>
  <c r="N18" i="3"/>
  <c r="R49" i="3"/>
  <c r="R45" i="3"/>
  <c r="R41" i="3"/>
  <c r="R37" i="3"/>
  <c r="R33" i="3"/>
  <c r="R29" i="3"/>
  <c r="R25" i="3"/>
  <c r="R21" i="3"/>
  <c r="R17" i="3"/>
  <c r="R13" i="3"/>
  <c r="R9" i="3"/>
  <c r="R48" i="3"/>
  <c r="R44" i="3"/>
  <c r="R40" i="3"/>
  <c r="R36" i="3"/>
  <c r="R32" i="3"/>
  <c r="R28" i="3"/>
  <c r="R24" i="3"/>
  <c r="R20" i="3"/>
  <c r="R16" i="3"/>
  <c r="R12" i="3"/>
  <c r="R47" i="3"/>
  <c r="R43" i="3"/>
  <c r="R39" i="3"/>
  <c r="R35" i="3"/>
  <c r="R31" i="3"/>
  <c r="R27" i="3"/>
  <c r="R23" i="3"/>
  <c r="R19" i="3"/>
  <c r="R15" i="3"/>
  <c r="R11" i="3"/>
  <c r="R50" i="3"/>
  <c r="R34" i="3"/>
  <c r="R18" i="3"/>
  <c r="R46" i="3"/>
  <c r="R30" i="3"/>
  <c r="R14" i="3"/>
  <c r="R42" i="3"/>
  <c r="R26" i="3"/>
  <c r="R10" i="3"/>
  <c r="R38" i="3"/>
  <c r="R22" i="3"/>
  <c r="V49" i="3"/>
  <c r="V45" i="3"/>
  <c r="V41" i="3"/>
  <c r="V37" i="3"/>
  <c r="V33" i="3"/>
  <c r="V29" i="3"/>
  <c r="V25" i="3"/>
  <c r="V21" i="3"/>
  <c r="V17" i="3"/>
  <c r="V48" i="3"/>
  <c r="V44" i="3"/>
  <c r="V40" i="3"/>
  <c r="V36" i="3"/>
  <c r="V32" i="3"/>
  <c r="V28" i="3"/>
  <c r="V24" i="3"/>
  <c r="V20" i="3"/>
  <c r="V50" i="3"/>
  <c r="V42" i="3"/>
  <c r="V34" i="3"/>
  <c r="V26" i="3"/>
  <c r="V18" i="3"/>
  <c r="V13" i="3"/>
  <c r="V9" i="3"/>
  <c r="V47" i="3"/>
  <c r="V39" i="3"/>
  <c r="V31" i="3"/>
  <c r="V23" i="3"/>
  <c r="V16" i="3"/>
  <c r="V12" i="3"/>
  <c r="V46" i="3"/>
  <c r="V38" i="3"/>
  <c r="V30" i="3"/>
  <c r="V22" i="3"/>
  <c r="V15" i="3"/>
  <c r="V11" i="3"/>
  <c r="V27" i="3"/>
  <c r="V19" i="3"/>
  <c r="V43" i="3"/>
  <c r="V14" i="3"/>
  <c r="V35" i="3"/>
  <c r="V10" i="3"/>
  <c r="M48" i="3"/>
  <c r="M44" i="3"/>
  <c r="M40" i="3"/>
  <c r="M36" i="3"/>
  <c r="M32" i="3"/>
  <c r="M28" i="3"/>
  <c r="M24" i="3"/>
  <c r="M20" i="3"/>
  <c r="M16" i="3"/>
  <c r="M12" i="3"/>
  <c r="M47" i="3"/>
  <c r="M43" i="3"/>
  <c r="M39" i="3"/>
  <c r="M35" i="3"/>
  <c r="M31" i="3"/>
  <c r="M27" i="3"/>
  <c r="M23" i="3"/>
  <c r="M19" i="3"/>
  <c r="M15" i="3"/>
  <c r="M11" i="3"/>
  <c r="M50" i="3"/>
  <c r="M46" i="3"/>
  <c r="M42" i="3"/>
  <c r="M38" i="3"/>
  <c r="M34" i="3"/>
  <c r="M30" i="3"/>
  <c r="M26" i="3"/>
  <c r="M22" i="3"/>
  <c r="M18" i="3"/>
  <c r="M14" i="3"/>
  <c r="M10" i="3"/>
  <c r="M41" i="3"/>
  <c r="M25" i="3"/>
  <c r="M9" i="3"/>
  <c r="M21" i="3"/>
  <c r="M37" i="3"/>
  <c r="M49" i="3"/>
  <c r="M33" i="3"/>
  <c r="M17" i="3"/>
  <c r="M45" i="3"/>
  <c r="M29" i="3"/>
  <c r="M13" i="3"/>
  <c r="Q48" i="3"/>
  <c r="Q44" i="3"/>
  <c r="Q40" i="3"/>
  <c r="Q36" i="3"/>
  <c r="Q32" i="3"/>
  <c r="Q28" i="3"/>
  <c r="Q24" i="3"/>
  <c r="Q20" i="3"/>
  <c r="Q16" i="3"/>
  <c r="Q12" i="3"/>
  <c r="Q47" i="3"/>
  <c r="Q43" i="3"/>
  <c r="Q39" i="3"/>
  <c r="Q35" i="3"/>
  <c r="Q31" i="3"/>
  <c r="Q27" i="3"/>
  <c r="Q23" i="3"/>
  <c r="Q19" i="3"/>
  <c r="Q15" i="3"/>
  <c r="Q11" i="3"/>
  <c r="Q50" i="3"/>
  <c r="Q46" i="3"/>
  <c r="Q42" i="3"/>
  <c r="Q38" i="3"/>
  <c r="Q34" i="3"/>
  <c r="Q30" i="3"/>
  <c r="Q26" i="3"/>
  <c r="Q22" i="3"/>
  <c r="Q18" i="3"/>
  <c r="Q14" i="3"/>
  <c r="Q10" i="3"/>
  <c r="Q45" i="3"/>
  <c r="Q29" i="3"/>
  <c r="Q13" i="3"/>
  <c r="Q41" i="3"/>
  <c r="Q25" i="3"/>
  <c r="Q9" i="3"/>
  <c r="Q37" i="3"/>
  <c r="Q21" i="3"/>
  <c r="Q49" i="3"/>
  <c r="Q33" i="3"/>
  <c r="Q17" i="3"/>
  <c r="U48" i="3"/>
  <c r="U44" i="3"/>
  <c r="U40" i="3"/>
  <c r="U36" i="3"/>
  <c r="U32" i="3"/>
  <c r="U28" i="3"/>
  <c r="U24" i="3"/>
  <c r="U20" i="3"/>
  <c r="U16" i="3"/>
  <c r="U12" i="3"/>
  <c r="U47" i="3"/>
  <c r="U43" i="3"/>
  <c r="U39" i="3"/>
  <c r="U35" i="3"/>
  <c r="U31" i="3"/>
  <c r="U27" i="3"/>
  <c r="U23" i="3"/>
  <c r="U19" i="3"/>
  <c r="U15" i="3"/>
  <c r="U11" i="3"/>
  <c r="U50" i="3"/>
  <c r="U46" i="3"/>
  <c r="U42" i="3"/>
  <c r="U38" i="3"/>
  <c r="U34" i="3"/>
  <c r="U30" i="3"/>
  <c r="U26" i="3"/>
  <c r="U22" i="3"/>
  <c r="U18" i="3"/>
  <c r="U14" i="3"/>
  <c r="U10" i="3"/>
  <c r="U49" i="3"/>
  <c r="U33" i="3"/>
  <c r="U17" i="3"/>
  <c r="U45" i="3"/>
  <c r="U29" i="3"/>
  <c r="U13" i="3"/>
  <c r="U41" i="3"/>
  <c r="U25" i="3"/>
  <c r="U9" i="3"/>
  <c r="U37" i="3"/>
  <c r="U21" i="3"/>
  <c r="AA50" i="3"/>
  <c r="AA46" i="3"/>
  <c r="AA42" i="3"/>
  <c r="AA38" i="3"/>
  <c r="AA34" i="3"/>
  <c r="AA30" i="3"/>
  <c r="AA47" i="3"/>
  <c r="AA41" i="3"/>
  <c r="AA36" i="3"/>
  <c r="AA31" i="3"/>
  <c r="AA26" i="3"/>
  <c r="AA22" i="3"/>
  <c r="AA18" i="3"/>
  <c r="AA14" i="3"/>
  <c r="AA10" i="3"/>
  <c r="AA45" i="3"/>
  <c r="AA40" i="3"/>
  <c r="AA35" i="3"/>
  <c r="AA29" i="3"/>
  <c r="AA25" i="3"/>
  <c r="AA21" i="3"/>
  <c r="AA17" i="3"/>
  <c r="AA13" i="3"/>
  <c r="AA9" i="3"/>
  <c r="AA49" i="3"/>
  <c r="AA44" i="3"/>
  <c r="AA39" i="3"/>
  <c r="AA33" i="3"/>
  <c r="AA28" i="3"/>
  <c r="AA24" i="3"/>
  <c r="AA20" i="3"/>
  <c r="AA16" i="3"/>
  <c r="AA12" i="3"/>
  <c r="AA37" i="3"/>
  <c r="AA19" i="3"/>
  <c r="AA32" i="3"/>
  <c r="AA15" i="3"/>
  <c r="AA48" i="3"/>
  <c r="AA27" i="3"/>
  <c r="AA11" i="3"/>
  <c r="AA43" i="3"/>
  <c r="AA23" i="3"/>
  <c r="Z49" i="3"/>
  <c r="Z45" i="3"/>
  <c r="Z41" i="3"/>
  <c r="Z37" i="3"/>
  <c r="Z33" i="3"/>
  <c r="Z29" i="3"/>
  <c r="Z25" i="3"/>
  <c r="Z21" i="3"/>
  <c r="Z17" i="3"/>
  <c r="Z13" i="3"/>
  <c r="Z9" i="3"/>
  <c r="Z48" i="3"/>
  <c r="Z44" i="3"/>
  <c r="Z40" i="3"/>
  <c r="Z36" i="3"/>
  <c r="Z32" i="3"/>
  <c r="Z28" i="3"/>
  <c r="Z24" i="3"/>
  <c r="Z20" i="3"/>
  <c r="Z16" i="3"/>
  <c r="Z12" i="3"/>
  <c r="Z47" i="3"/>
  <c r="Z43" i="3"/>
  <c r="Z39" i="3"/>
  <c r="Z35" i="3"/>
  <c r="Z31" i="3"/>
  <c r="Z27" i="3"/>
  <c r="Z23" i="3"/>
  <c r="Z19" i="3"/>
  <c r="Z15" i="3"/>
  <c r="Z11" i="3"/>
  <c r="Z46" i="3"/>
  <c r="Z30" i="3"/>
  <c r="Z14" i="3"/>
  <c r="Z42" i="3"/>
  <c r="Z26" i="3"/>
  <c r="Z10" i="3"/>
  <c r="Z38" i="3"/>
  <c r="Z22" i="3"/>
  <c r="Z50" i="3"/>
  <c r="Z34" i="3"/>
  <c r="Z18" i="3"/>
  <c r="AB47" i="3"/>
  <c r="AB43" i="3"/>
  <c r="AB39" i="3"/>
  <c r="AB35" i="3"/>
  <c r="AB31" i="3"/>
  <c r="AB27" i="3"/>
  <c r="AB23" i="3"/>
  <c r="AB19" i="3"/>
  <c r="AB15" i="3"/>
  <c r="AB11" i="3"/>
  <c r="AB46" i="3"/>
  <c r="AB41" i="3"/>
  <c r="AB36" i="3"/>
  <c r="AB30" i="3"/>
  <c r="AB25" i="3"/>
  <c r="AB20" i="3"/>
  <c r="AB14" i="3"/>
  <c r="AB9" i="3"/>
  <c r="AB50" i="3"/>
  <c r="AB45" i="3"/>
  <c r="AB40" i="3"/>
  <c r="AB34" i="3"/>
  <c r="AB29" i="3"/>
  <c r="AB24" i="3"/>
  <c r="AB18" i="3"/>
  <c r="AB13" i="3"/>
  <c r="AB49" i="3"/>
  <c r="AB44" i="3"/>
  <c r="AB38" i="3"/>
  <c r="AB33" i="3"/>
  <c r="AB28" i="3"/>
  <c r="AB22" i="3"/>
  <c r="AB17" i="3"/>
  <c r="AB12" i="3"/>
  <c r="AB37" i="3"/>
  <c r="AB16" i="3"/>
  <c r="AB32" i="3"/>
  <c r="AB10" i="3"/>
  <c r="AB48" i="3"/>
  <c r="AB26" i="3"/>
  <c r="AB42" i="3"/>
  <c r="AB21" i="3"/>
  <c r="Y48" i="3"/>
  <c r="Y44" i="3"/>
  <c r="Y40" i="3"/>
  <c r="Y36" i="3"/>
  <c r="Y32" i="3"/>
  <c r="Y28" i="3"/>
  <c r="Y24" i="3"/>
  <c r="Y20" i="3"/>
  <c r="Y16" i="3"/>
  <c r="Y12" i="3"/>
  <c r="Y47" i="3"/>
  <c r="Y43" i="3"/>
  <c r="Y39" i="3"/>
  <c r="Y35" i="3"/>
  <c r="Y31" i="3"/>
  <c r="Y27" i="3"/>
  <c r="Y23" i="3"/>
  <c r="Y19" i="3"/>
  <c r="Y15" i="3"/>
  <c r="Y11" i="3"/>
  <c r="Y50" i="3"/>
  <c r="Y46" i="3"/>
  <c r="Y42" i="3"/>
  <c r="Y38" i="3"/>
  <c r="Y34" i="3"/>
  <c r="Y30" i="3"/>
  <c r="Y26" i="3"/>
  <c r="Y22" i="3"/>
  <c r="Y18" i="3"/>
  <c r="Y14" i="3"/>
  <c r="Y10" i="3"/>
  <c r="Y41" i="3"/>
  <c r="Y25" i="3"/>
  <c r="Y9" i="3"/>
  <c r="Y37" i="3"/>
  <c r="Y21" i="3"/>
  <c r="Y49" i="3"/>
  <c r="Y33" i="3"/>
  <c r="Y17" i="3"/>
  <c r="Y29" i="3"/>
  <c r="Y13" i="3"/>
  <c r="Y45" i="3"/>
  <c r="AD50" i="3"/>
  <c r="AD46" i="3"/>
  <c r="AD42" i="3"/>
  <c r="AD38" i="3"/>
  <c r="AD34" i="3"/>
  <c r="AD30" i="3"/>
  <c r="AD49" i="3"/>
  <c r="AD45" i="3"/>
  <c r="AD41" i="3"/>
  <c r="AD37" i="3"/>
  <c r="AD33" i="3"/>
  <c r="AD29" i="3"/>
  <c r="AD25" i="3"/>
  <c r="AD21" i="3"/>
  <c r="AD17" i="3"/>
  <c r="AD13" i="3"/>
  <c r="AD9" i="3"/>
  <c r="AD48" i="3"/>
  <c r="AD47" i="3"/>
  <c r="AD39" i="3"/>
  <c r="AD31" i="3"/>
  <c r="AD24" i="3"/>
  <c r="AD19" i="3"/>
  <c r="AD14" i="3"/>
  <c r="AD44" i="3"/>
  <c r="AD36" i="3"/>
  <c r="AD28" i="3"/>
  <c r="AD23" i="3"/>
  <c r="AD18" i="3"/>
  <c r="AD12" i="3"/>
  <c r="AD43" i="3"/>
  <c r="AD35" i="3"/>
  <c r="AD27" i="3"/>
  <c r="AD22" i="3"/>
  <c r="AD16" i="3"/>
  <c r="AD11" i="3"/>
  <c r="AD40" i="3"/>
  <c r="AD15" i="3"/>
  <c r="AD32" i="3"/>
  <c r="AD10" i="3"/>
  <c r="AD26" i="3"/>
  <c r="AD20" i="3"/>
  <c r="AI47" i="3"/>
  <c r="AI43" i="3"/>
  <c r="AI39" i="3"/>
  <c r="AI35" i="3"/>
  <c r="AI31" i="3"/>
  <c r="AI27" i="3"/>
  <c r="AI23" i="3"/>
  <c r="AI19" i="3"/>
  <c r="AI15" i="3"/>
  <c r="AI11" i="3"/>
  <c r="AI50" i="3"/>
  <c r="AI46" i="3"/>
  <c r="AI42" i="3"/>
  <c r="AI38" i="3"/>
  <c r="AI34" i="3"/>
  <c r="AI30" i="3"/>
  <c r="AI26" i="3"/>
  <c r="AI22" i="3"/>
  <c r="AI18" i="3"/>
  <c r="AI14" i="3"/>
  <c r="AI10" i="3"/>
  <c r="AI49" i="3"/>
  <c r="AI45" i="3"/>
  <c r="AI41" i="3"/>
  <c r="AI37" i="3"/>
  <c r="AI33" i="3"/>
  <c r="AI29" i="3"/>
  <c r="AI25" i="3"/>
  <c r="AI21" i="3"/>
  <c r="AI17" i="3"/>
  <c r="AI13" i="3"/>
  <c r="AI9" i="3"/>
  <c r="AI40" i="3"/>
  <c r="AI24" i="3"/>
  <c r="AI36" i="3"/>
  <c r="AI20" i="3"/>
  <c r="AI48" i="3"/>
  <c r="AI32" i="3"/>
  <c r="AI16" i="3"/>
  <c r="AI12" i="3"/>
  <c r="AI44" i="3"/>
  <c r="AI28" i="3"/>
  <c r="AH50" i="3"/>
  <c r="AH46" i="3"/>
  <c r="AH42" i="3"/>
  <c r="AH38" i="3"/>
  <c r="AH34" i="3"/>
  <c r="AH30" i="3"/>
  <c r="AH26" i="3"/>
  <c r="AH22" i="3"/>
  <c r="AH18" i="3"/>
  <c r="AH14" i="3"/>
  <c r="AH10" i="3"/>
  <c r="AH49" i="3"/>
  <c r="AH45" i="3"/>
  <c r="AH41" i="3"/>
  <c r="AH37" i="3"/>
  <c r="AH33" i="3"/>
  <c r="AH29" i="3"/>
  <c r="AH25" i="3"/>
  <c r="AH21" i="3"/>
  <c r="AH17" i="3"/>
  <c r="AH13" i="3"/>
  <c r="AH9" i="3"/>
  <c r="AH48" i="3"/>
  <c r="AH44" i="3"/>
  <c r="AH40" i="3"/>
  <c r="AH36" i="3"/>
  <c r="AH32" i="3"/>
  <c r="AH28" i="3"/>
  <c r="AH24" i="3"/>
  <c r="AH20" i="3"/>
  <c r="AH16" i="3"/>
  <c r="AH12" i="3"/>
  <c r="AH35" i="3"/>
  <c r="AH19" i="3"/>
  <c r="AH47" i="3"/>
  <c r="AH31" i="3"/>
  <c r="AH15" i="3"/>
  <c r="AH43" i="3"/>
  <c r="AH27" i="3"/>
  <c r="AH11" i="3"/>
  <c r="AH39" i="3"/>
  <c r="AH23" i="3"/>
  <c r="AN47" i="3"/>
  <c r="AN43" i="3"/>
  <c r="AN39" i="3"/>
  <c r="AN35" i="3"/>
  <c r="AN31" i="3"/>
  <c r="AN27" i="3"/>
  <c r="AN23" i="3"/>
  <c r="AN19" i="3"/>
  <c r="AN15" i="3"/>
  <c r="AN11" i="3"/>
  <c r="AN50" i="3"/>
  <c r="AN46" i="3"/>
  <c r="AN42" i="3"/>
  <c r="AN38" i="3"/>
  <c r="AN34" i="3"/>
  <c r="AN30" i="3"/>
  <c r="AN26" i="3"/>
  <c r="AN22" i="3"/>
  <c r="AN18" i="3"/>
  <c r="AN14" i="3"/>
  <c r="AN10" i="3"/>
  <c r="AN49" i="3"/>
  <c r="AN45" i="3"/>
  <c r="AN41" i="3"/>
  <c r="AN37" i="3"/>
  <c r="AN33" i="3"/>
  <c r="AN29" i="3"/>
  <c r="AN25" i="3"/>
  <c r="AN21" i="3"/>
  <c r="AN17" i="3"/>
  <c r="AN13" i="3"/>
  <c r="AN9" i="3"/>
  <c r="AN48" i="3"/>
  <c r="AN32" i="3"/>
  <c r="AN16" i="3"/>
  <c r="AN44" i="3"/>
  <c r="AN28" i="3"/>
  <c r="AN12" i="3"/>
  <c r="AN40" i="3"/>
  <c r="AN24" i="3"/>
  <c r="AN36" i="3"/>
  <c r="AN20" i="3"/>
  <c r="AC48" i="3"/>
  <c r="AC44" i="3"/>
  <c r="AC40" i="3"/>
  <c r="AC36" i="3"/>
  <c r="AC32" i="3"/>
  <c r="AC28" i="3"/>
  <c r="AC24" i="3"/>
  <c r="AC20" i="3"/>
  <c r="AC16" i="3"/>
  <c r="AC12" i="3"/>
  <c r="AC46" i="3"/>
  <c r="AC41" i="3"/>
  <c r="AC35" i="3"/>
  <c r="AC30" i="3"/>
  <c r="AC25" i="3"/>
  <c r="AC19" i="3"/>
  <c r="AC14" i="3"/>
  <c r="AC9" i="3"/>
  <c r="AC50" i="3"/>
  <c r="AC45" i="3"/>
  <c r="AC39" i="3"/>
  <c r="AC34" i="3"/>
  <c r="AC29" i="3"/>
  <c r="AC23" i="3"/>
  <c r="AC18" i="3"/>
  <c r="AC13" i="3"/>
  <c r="AC49" i="3"/>
  <c r="AC43" i="3"/>
  <c r="AC38" i="3"/>
  <c r="AC33" i="3"/>
  <c r="AC27" i="3"/>
  <c r="AC22" i="3"/>
  <c r="AC17" i="3"/>
  <c r="AC11" i="3"/>
  <c r="AC37" i="3"/>
  <c r="AC15" i="3"/>
  <c r="AC31" i="3"/>
  <c r="AC10" i="3"/>
  <c r="AC47" i="3"/>
  <c r="AC26" i="3"/>
  <c r="AC42" i="3"/>
  <c r="AC21" i="3"/>
  <c r="AG49" i="3"/>
  <c r="AG45" i="3"/>
  <c r="AG41" i="3"/>
  <c r="AG37" i="3"/>
  <c r="AG33" i="3"/>
  <c r="AG29" i="3"/>
  <c r="AG25" i="3"/>
  <c r="AG21" i="3"/>
  <c r="AG17" i="3"/>
  <c r="AG13" i="3"/>
  <c r="AG9" i="3"/>
  <c r="AG48" i="3"/>
  <c r="AG44" i="3"/>
  <c r="AG40" i="3"/>
  <c r="AG36" i="3"/>
  <c r="AG32" i="3"/>
  <c r="AG28" i="3"/>
  <c r="AG24" i="3"/>
  <c r="AG20" i="3"/>
  <c r="AG16" i="3"/>
  <c r="AG12" i="3"/>
  <c r="AG47" i="3"/>
  <c r="AG43" i="3"/>
  <c r="AG39" i="3"/>
  <c r="AG35" i="3"/>
  <c r="AG31" i="3"/>
  <c r="AG27" i="3"/>
  <c r="AG23" i="3"/>
  <c r="AG19" i="3"/>
  <c r="AG15" i="3"/>
  <c r="AG11" i="3"/>
  <c r="AG46" i="3"/>
  <c r="AG30" i="3"/>
  <c r="AG14" i="3"/>
  <c r="AG42" i="3"/>
  <c r="AG26" i="3"/>
  <c r="AG10" i="3"/>
  <c r="AG38" i="3"/>
  <c r="AG22" i="3"/>
  <c r="AG34" i="3"/>
  <c r="AG18" i="3"/>
  <c r="AG50" i="3"/>
  <c r="AF48" i="3"/>
  <c r="AF44" i="3"/>
  <c r="AF40" i="3"/>
  <c r="AF36" i="3"/>
  <c r="AF32" i="3"/>
  <c r="AF28" i="3"/>
  <c r="AF24" i="3"/>
  <c r="AF20" i="3"/>
  <c r="AF16" i="3"/>
  <c r="AF12" i="3"/>
  <c r="AF47" i="3"/>
  <c r="AF43" i="3"/>
  <c r="AF39" i="3"/>
  <c r="AF35" i="3"/>
  <c r="AF31" i="3"/>
  <c r="AF27" i="3"/>
  <c r="AF23" i="3"/>
  <c r="AF19" i="3"/>
  <c r="AF15" i="3"/>
  <c r="AF11" i="3"/>
  <c r="AF50" i="3"/>
  <c r="AF46" i="3"/>
  <c r="AF42" i="3"/>
  <c r="AF38" i="3"/>
  <c r="AF34" i="3"/>
  <c r="AF30" i="3"/>
  <c r="AF26" i="3"/>
  <c r="AF22" i="3"/>
  <c r="AF18" i="3"/>
  <c r="AF14" i="3"/>
  <c r="AF10" i="3"/>
  <c r="AF41" i="3"/>
  <c r="AF25" i="3"/>
  <c r="AF9" i="3"/>
  <c r="AF37" i="3"/>
  <c r="AF21" i="3"/>
  <c r="AF49" i="3"/>
  <c r="AF33" i="3"/>
  <c r="AF17" i="3"/>
  <c r="AF13" i="3"/>
  <c r="AF45" i="3"/>
  <c r="AF29" i="3"/>
  <c r="AJ50" i="3"/>
  <c r="AJ46" i="3"/>
  <c r="AJ42" i="3"/>
  <c r="AJ38" i="3"/>
  <c r="AJ34" i="3"/>
  <c r="AJ30" i="3"/>
  <c r="AJ26" i="3"/>
  <c r="AJ22" i="3"/>
  <c r="AJ18" i="3"/>
  <c r="AJ14" i="3"/>
  <c r="AJ10" i="3"/>
  <c r="AJ49" i="3"/>
  <c r="AJ45" i="3"/>
  <c r="AJ47" i="3"/>
  <c r="AJ40" i="3"/>
  <c r="AJ35" i="3"/>
  <c r="AJ29" i="3"/>
  <c r="AJ24" i="3"/>
  <c r="AJ19" i="3"/>
  <c r="AJ13" i="3"/>
  <c r="AJ44" i="3"/>
  <c r="AJ39" i="3"/>
  <c r="AJ33" i="3"/>
  <c r="AJ28" i="3"/>
  <c r="AJ23" i="3"/>
  <c r="AJ17" i="3"/>
  <c r="AJ12" i="3"/>
  <c r="AJ43" i="3"/>
  <c r="AJ37" i="3"/>
  <c r="AJ32" i="3"/>
  <c r="AJ27" i="3"/>
  <c r="AJ21" i="3"/>
  <c r="AJ16" i="3"/>
  <c r="AJ11" i="3"/>
  <c r="AJ36" i="3"/>
  <c r="AJ15" i="3"/>
  <c r="AJ31" i="3"/>
  <c r="AJ9" i="3"/>
  <c r="AJ48" i="3"/>
  <c r="AJ25" i="3"/>
  <c r="AJ41" i="3"/>
  <c r="AJ20" i="3"/>
  <c r="AM50" i="3"/>
  <c r="AM46" i="3"/>
  <c r="AM42" i="3"/>
  <c r="AM38" i="3"/>
  <c r="AM34" i="3"/>
  <c r="AM30" i="3"/>
  <c r="AM26" i="3"/>
  <c r="AM22" i="3"/>
  <c r="AM18" i="3"/>
  <c r="AM14" i="3"/>
  <c r="AM10" i="3"/>
  <c r="AM49" i="3"/>
  <c r="AM45" i="3"/>
  <c r="AM41" i="3"/>
  <c r="AM37" i="3"/>
  <c r="AM33" i="3"/>
  <c r="AM29" i="3"/>
  <c r="AM25" i="3"/>
  <c r="AM21" i="3"/>
  <c r="AM17" i="3"/>
  <c r="AM13" i="3"/>
  <c r="AM9" i="3"/>
  <c r="AM48" i="3"/>
  <c r="AM44" i="3"/>
  <c r="AM40" i="3"/>
  <c r="AM36" i="3"/>
  <c r="AM32" i="3"/>
  <c r="AM28" i="3"/>
  <c r="AM24" i="3"/>
  <c r="AM20" i="3"/>
  <c r="AM16" i="3"/>
  <c r="AM12" i="3"/>
  <c r="AM43" i="3"/>
  <c r="AM27" i="3"/>
  <c r="AM11" i="3"/>
  <c r="AM39" i="3"/>
  <c r="AM23" i="3"/>
  <c r="AM35" i="3"/>
  <c r="AM19" i="3"/>
  <c r="AM15" i="3"/>
  <c r="AM47" i="3"/>
  <c r="AM31" i="3"/>
  <c r="AQ50" i="3"/>
  <c r="AQ46" i="3"/>
  <c r="AQ42" i="3"/>
  <c r="AQ38" i="3"/>
  <c r="AQ34" i="3"/>
  <c r="AQ30" i="3"/>
  <c r="AQ26" i="3"/>
  <c r="AQ22" i="3"/>
  <c r="AQ18" i="3"/>
  <c r="AQ14" i="3"/>
  <c r="AQ10" i="3"/>
  <c r="AQ49" i="3"/>
  <c r="AQ45" i="3"/>
  <c r="AQ41" i="3"/>
  <c r="AQ37" i="3"/>
  <c r="AQ33" i="3"/>
  <c r="AQ29" i="3"/>
  <c r="AQ25" i="3"/>
  <c r="AQ21" i="3"/>
  <c r="AQ17" i="3"/>
  <c r="AQ13" i="3"/>
  <c r="AQ9" i="3"/>
  <c r="AQ48" i="3"/>
  <c r="AQ44" i="3"/>
  <c r="AQ40" i="3"/>
  <c r="AQ36" i="3"/>
  <c r="AQ32" i="3"/>
  <c r="AQ28" i="3"/>
  <c r="AQ24" i="3"/>
  <c r="AQ20" i="3"/>
  <c r="AQ16" i="3"/>
  <c r="AQ12" i="3"/>
  <c r="AQ47" i="3"/>
  <c r="AQ31" i="3"/>
  <c r="AQ15" i="3"/>
  <c r="AQ43" i="3"/>
  <c r="AQ27" i="3"/>
  <c r="AQ11" i="3"/>
  <c r="AQ39" i="3"/>
  <c r="AQ23" i="3"/>
  <c r="AQ35" i="3"/>
  <c r="AQ19" i="3"/>
  <c r="AL49" i="3"/>
  <c r="AL45" i="3"/>
  <c r="AL41" i="3"/>
  <c r="AL37" i="3"/>
  <c r="AL33" i="3"/>
  <c r="AL29" i="3"/>
  <c r="AL25" i="3"/>
  <c r="AL21" i="3"/>
  <c r="AL17" i="3"/>
  <c r="AL13" i="3"/>
  <c r="AL9" i="3"/>
  <c r="AL48" i="3"/>
  <c r="AL44" i="3"/>
  <c r="AL40" i="3"/>
  <c r="AL36" i="3"/>
  <c r="AL32" i="3"/>
  <c r="AL28" i="3"/>
  <c r="AL24" i="3"/>
  <c r="AL20" i="3"/>
  <c r="AL16" i="3"/>
  <c r="AL12" i="3"/>
  <c r="AL47" i="3"/>
  <c r="AL43" i="3"/>
  <c r="AL39" i="3"/>
  <c r="AL35" i="3"/>
  <c r="AL31" i="3"/>
  <c r="AL27" i="3"/>
  <c r="AL23" i="3"/>
  <c r="AL19" i="3"/>
  <c r="AL15" i="3"/>
  <c r="AL11" i="3"/>
  <c r="AL38" i="3"/>
  <c r="AL22" i="3"/>
  <c r="AL50" i="3"/>
  <c r="AL34" i="3"/>
  <c r="AL18" i="3"/>
  <c r="AL46" i="3"/>
  <c r="AL30" i="3"/>
  <c r="AL14" i="3"/>
  <c r="AL42" i="3"/>
  <c r="AL26" i="3"/>
  <c r="AL10" i="3"/>
  <c r="AP49" i="3"/>
  <c r="AP45" i="3"/>
  <c r="AP41" i="3"/>
  <c r="AP37" i="3"/>
  <c r="AP33" i="3"/>
  <c r="AP29" i="3"/>
  <c r="AP25" i="3"/>
  <c r="AP21" i="3"/>
  <c r="AP17" i="3"/>
  <c r="AP13" i="3"/>
  <c r="AP9" i="3"/>
  <c r="AP48" i="3"/>
  <c r="AP44" i="3"/>
  <c r="AP40" i="3"/>
  <c r="AP36" i="3"/>
  <c r="AP32" i="3"/>
  <c r="AP28" i="3"/>
  <c r="AP24" i="3"/>
  <c r="AP20" i="3"/>
  <c r="AP16" i="3"/>
  <c r="AP12" i="3"/>
  <c r="AP47" i="3"/>
  <c r="AP43" i="3"/>
  <c r="AP39" i="3"/>
  <c r="AP35" i="3"/>
  <c r="AP31" i="3"/>
  <c r="AP27" i="3"/>
  <c r="AP23" i="3"/>
  <c r="AP19" i="3"/>
  <c r="AP15" i="3"/>
  <c r="AP11" i="3"/>
  <c r="AP42" i="3"/>
  <c r="AP26" i="3"/>
  <c r="AP10" i="3"/>
  <c r="AP38" i="3"/>
  <c r="AP22" i="3"/>
  <c r="AP50" i="3"/>
  <c r="AP34" i="3"/>
  <c r="AP18" i="3"/>
  <c r="AP14" i="3"/>
  <c r="AP46" i="3"/>
  <c r="AP30" i="3"/>
  <c r="AK48" i="3"/>
  <c r="AK44" i="3"/>
  <c r="AK40" i="3"/>
  <c r="AK36" i="3"/>
  <c r="AK32" i="3"/>
  <c r="AK28" i="3"/>
  <c r="AK24" i="3"/>
  <c r="AK20" i="3"/>
  <c r="AK16" i="3"/>
  <c r="AK12" i="3"/>
  <c r="AK47" i="3"/>
  <c r="AK43" i="3"/>
  <c r="AK39" i="3"/>
  <c r="AK35" i="3"/>
  <c r="AK31" i="3"/>
  <c r="AK27" i="3"/>
  <c r="AK23" i="3"/>
  <c r="AK19" i="3"/>
  <c r="AK15" i="3"/>
  <c r="AK11" i="3"/>
  <c r="AK50" i="3"/>
  <c r="AK46" i="3"/>
  <c r="AK42" i="3"/>
  <c r="AK38" i="3"/>
  <c r="AK34" i="3"/>
  <c r="AK30" i="3"/>
  <c r="AK26" i="3"/>
  <c r="AK22" i="3"/>
  <c r="AK18" i="3"/>
  <c r="AK14" i="3"/>
  <c r="AK10" i="3"/>
  <c r="AK49" i="3"/>
  <c r="AK33" i="3"/>
  <c r="AK17" i="3"/>
  <c r="AK45" i="3"/>
  <c r="AK29" i="3"/>
  <c r="AK13" i="3"/>
  <c r="AK41" i="3"/>
  <c r="AK25" i="3"/>
  <c r="AK9" i="3"/>
  <c r="AK37" i="3"/>
  <c r="AK21" i="3"/>
  <c r="AO48" i="3"/>
  <c r="AO44" i="3"/>
  <c r="AO40" i="3"/>
  <c r="AO36" i="3"/>
  <c r="AO32" i="3"/>
  <c r="AO28" i="3"/>
  <c r="AO24" i="3"/>
  <c r="AO20" i="3"/>
  <c r="AO16" i="3"/>
  <c r="AO12" i="3"/>
  <c r="AO47" i="3"/>
  <c r="AO43" i="3"/>
  <c r="AO39" i="3"/>
  <c r="AO35" i="3"/>
  <c r="AO31" i="3"/>
  <c r="AO27" i="3"/>
  <c r="AO23" i="3"/>
  <c r="AO19" i="3"/>
  <c r="AO15" i="3"/>
  <c r="AO11" i="3"/>
  <c r="AO50" i="3"/>
  <c r="AO46" i="3"/>
  <c r="AO42" i="3"/>
  <c r="AO38" i="3"/>
  <c r="AO34" i="3"/>
  <c r="AO30" i="3"/>
  <c r="AO26" i="3"/>
  <c r="AO22" i="3"/>
  <c r="AO18" i="3"/>
  <c r="AO14" i="3"/>
  <c r="AO10" i="3"/>
  <c r="AO37" i="3"/>
  <c r="AO21" i="3"/>
  <c r="AO49" i="3"/>
  <c r="AO33" i="3"/>
  <c r="AO17" i="3"/>
  <c r="AO45" i="3"/>
  <c r="AO29" i="3"/>
  <c r="AO13" i="3"/>
  <c r="AO41" i="3"/>
  <c r="AO25" i="3"/>
  <c r="AO9" i="3"/>
  <c r="F9" i="3"/>
  <c r="F13" i="3"/>
  <c r="F17" i="3"/>
  <c r="F21" i="3"/>
  <c r="F25" i="3"/>
  <c r="F29" i="3"/>
  <c r="F33" i="3"/>
  <c r="F37" i="3"/>
  <c r="F41" i="3"/>
  <c r="F45" i="3"/>
  <c r="F49" i="3"/>
  <c r="F14" i="3"/>
  <c r="F18" i="3"/>
  <c r="F22" i="3"/>
  <c r="F26" i="3"/>
  <c r="F30" i="3"/>
  <c r="F34" i="3"/>
  <c r="F38" i="3"/>
  <c r="F42" i="3"/>
  <c r="F46" i="3"/>
  <c r="F50" i="3"/>
  <c r="F10" i="3"/>
  <c r="F11" i="3"/>
  <c r="F15" i="3"/>
  <c r="F19" i="3"/>
  <c r="F23" i="3"/>
  <c r="F27" i="3"/>
  <c r="F31" i="3"/>
  <c r="F35" i="3"/>
  <c r="F39" i="3"/>
  <c r="F43" i="3"/>
  <c r="F47" i="3"/>
  <c r="F12" i="3"/>
  <c r="F16" i="3"/>
  <c r="F20" i="3"/>
  <c r="F24" i="3"/>
  <c r="F28" i="3"/>
  <c r="F32" i="3"/>
  <c r="F36" i="3"/>
  <c r="F40" i="3"/>
  <c r="F44" i="3"/>
  <c r="F48" i="3"/>
  <c r="E10" i="3"/>
  <c r="E14" i="3"/>
  <c r="E18" i="3"/>
  <c r="E22" i="3"/>
  <c r="E26" i="3"/>
  <c r="E30" i="3"/>
  <c r="E34" i="3"/>
  <c r="E38" i="3"/>
  <c r="E42" i="3"/>
  <c r="E46" i="3"/>
  <c r="E50" i="3"/>
  <c r="E12" i="3"/>
  <c r="E16" i="3"/>
  <c r="E20" i="3"/>
  <c r="E24" i="3"/>
  <c r="E28" i="3"/>
  <c r="E32" i="3"/>
  <c r="E36" i="3"/>
  <c r="E40" i="3"/>
  <c r="E44" i="3"/>
  <c r="E48" i="3"/>
  <c r="E9" i="3"/>
  <c r="E13" i="3"/>
  <c r="E17" i="3"/>
  <c r="E21" i="3"/>
  <c r="E25" i="3"/>
  <c r="E29" i="3"/>
  <c r="E33" i="3"/>
  <c r="E37" i="3"/>
  <c r="E41" i="3"/>
  <c r="E45" i="3"/>
  <c r="E49" i="3"/>
  <c r="E11" i="3"/>
  <c r="E15" i="3"/>
  <c r="E19" i="3"/>
  <c r="E23" i="3"/>
  <c r="E27" i="3"/>
  <c r="E31" i="3"/>
  <c r="E35" i="3"/>
  <c r="E39" i="3"/>
  <c r="E43" i="3"/>
  <c r="E47" i="3"/>
  <c r="D14" i="3"/>
  <c r="E13" i="1" s="1"/>
  <c r="D22" i="3"/>
  <c r="D30" i="3"/>
  <c r="D38" i="3"/>
  <c r="D46" i="3"/>
  <c r="D37" i="3"/>
  <c r="D12" i="3"/>
  <c r="D20" i="3"/>
  <c r="D28" i="3"/>
  <c r="D36" i="3"/>
  <c r="D44" i="3"/>
  <c r="D19" i="3"/>
  <c r="D10" i="3"/>
  <c r="D26" i="3"/>
  <c r="D34" i="3"/>
  <c r="D42" i="3"/>
  <c r="D50" i="3"/>
  <c r="D17" i="3"/>
  <c r="D25" i="3"/>
  <c r="D41" i="3"/>
  <c r="D40" i="3"/>
  <c r="D31" i="3"/>
  <c r="D13" i="3"/>
  <c r="D21" i="3"/>
  <c r="D29" i="3"/>
  <c r="D45" i="3"/>
  <c r="D11" i="3"/>
  <c r="E18" i="8" s="1"/>
  <c r="D27" i="3"/>
  <c r="D35" i="3"/>
  <c r="D43" i="3"/>
  <c r="D18" i="3"/>
  <c r="D9" i="3"/>
  <c r="D33" i="3"/>
  <c r="D49" i="3"/>
  <c r="D16" i="3"/>
  <c r="D24" i="3"/>
  <c r="D32" i="3"/>
  <c r="D48" i="3"/>
  <c r="D23" i="3"/>
  <c r="D15" i="3"/>
  <c r="D39" i="3"/>
  <c r="D47" i="3"/>
  <c r="G8" i="3"/>
  <c r="O8" i="3"/>
  <c r="W8" i="3"/>
  <c r="AE8" i="3"/>
  <c r="AM8" i="3"/>
  <c r="AU8" i="3"/>
  <c r="V8" i="3"/>
  <c r="AL8" i="3"/>
  <c r="AT8" i="3"/>
  <c r="E8" i="3"/>
  <c r="M8" i="3"/>
  <c r="U8" i="3"/>
  <c r="AC8" i="3"/>
  <c r="AK8" i="3"/>
  <c r="AS8" i="3"/>
  <c r="S8" i="3"/>
  <c r="AA8" i="3"/>
  <c r="AQ8" i="3"/>
  <c r="J8" i="3"/>
  <c r="Z8" i="3"/>
  <c r="AP8" i="3"/>
  <c r="I8" i="3"/>
  <c r="Y8" i="3"/>
  <c r="AO8" i="3"/>
  <c r="X8" i="3"/>
  <c r="AN8" i="3"/>
  <c r="F8" i="3"/>
  <c r="N8" i="3"/>
  <c r="AD8" i="3"/>
  <c r="L8" i="3"/>
  <c r="T8" i="3"/>
  <c r="AB8" i="3"/>
  <c r="AJ8" i="3"/>
  <c r="AR8" i="3"/>
  <c r="AZ8" i="3"/>
  <c r="K8" i="3"/>
  <c r="AI8" i="3"/>
  <c r="AY8" i="3"/>
  <c r="R8" i="3"/>
  <c r="AH8" i="3"/>
  <c r="AX8" i="3"/>
  <c r="Q8" i="3"/>
  <c r="AG8" i="3"/>
  <c r="AW8" i="3"/>
  <c r="H8" i="3"/>
  <c r="P8" i="3"/>
  <c r="AF8" i="3"/>
  <c r="AV8" i="3"/>
  <c r="Q8" i="8"/>
  <c r="Q16" i="8"/>
  <c r="Q24" i="8"/>
  <c r="Q32" i="8"/>
  <c r="Q40" i="8"/>
  <c r="Q48" i="8"/>
  <c r="Q56" i="8"/>
  <c r="Q64" i="8"/>
  <c r="Q72" i="8"/>
  <c r="Q80" i="8"/>
  <c r="Q88" i="8"/>
  <c r="Q67" i="8"/>
  <c r="Q10" i="8"/>
  <c r="Q26" i="8"/>
  <c r="Q42" i="8"/>
  <c r="Q58" i="8"/>
  <c r="Q74" i="8"/>
  <c r="Q90" i="8"/>
  <c r="Q15" i="8"/>
  <c r="Q23" i="8"/>
  <c r="Q31" i="8"/>
  <c r="Q39" i="8"/>
  <c r="Q47" i="8"/>
  <c r="Q55" i="8"/>
  <c r="Q63" i="8"/>
  <c r="Q71" i="8"/>
  <c r="Q79" i="8"/>
  <c r="Q87" i="8"/>
  <c r="Q14" i="8"/>
  <c r="Q22" i="8"/>
  <c r="Q30" i="8"/>
  <c r="Q38" i="8"/>
  <c r="Q46" i="8"/>
  <c r="Q54" i="8"/>
  <c r="Q62" i="8"/>
  <c r="Q70" i="8"/>
  <c r="Q78" i="8"/>
  <c r="Q86" i="8"/>
  <c r="Q94" i="8"/>
  <c r="Q13" i="8"/>
  <c r="Q21" i="8"/>
  <c r="Q29" i="8"/>
  <c r="Q37" i="8"/>
  <c r="Q45" i="8"/>
  <c r="Q53" i="8"/>
  <c r="Q61" i="8"/>
  <c r="Q69" i="8"/>
  <c r="Q77" i="8"/>
  <c r="Q85" i="8"/>
  <c r="Q93" i="8"/>
  <c r="Q12" i="8"/>
  <c r="Q20" i="8"/>
  <c r="Q28" i="8"/>
  <c r="Q36" i="8"/>
  <c r="Q44" i="8"/>
  <c r="Q52" i="8"/>
  <c r="Q60" i="8"/>
  <c r="Q68" i="8"/>
  <c r="Q76" i="8"/>
  <c r="Q84" i="8"/>
  <c r="Q92" i="8"/>
  <c r="Q11" i="8"/>
  <c r="Q19" i="8"/>
  <c r="Q27" i="8"/>
  <c r="Q35" i="8"/>
  <c r="Q43" i="8"/>
  <c r="Q51" i="8"/>
  <c r="Q59" i="8"/>
  <c r="Q75" i="8"/>
  <c r="Q83" i="8"/>
  <c r="Q91" i="8"/>
  <c r="Q18" i="8"/>
  <c r="Q34" i="8"/>
  <c r="Q50" i="8"/>
  <c r="Q66" i="8"/>
  <c r="Q82" i="8"/>
  <c r="Q9" i="8"/>
  <c r="Q17" i="8"/>
  <c r="Q25" i="8"/>
  <c r="Q33" i="8"/>
  <c r="Q41" i="8"/>
  <c r="Q49" i="8"/>
  <c r="Q57" i="8"/>
  <c r="Q65" i="8"/>
  <c r="Q73" i="8"/>
  <c r="Q81" i="8"/>
  <c r="Q89" i="8"/>
  <c r="E19" i="8"/>
  <c r="I38" i="1"/>
  <c r="H23" i="8"/>
  <c r="E71" i="9" l="1"/>
  <c r="M11" i="1"/>
  <c r="I26" i="1"/>
  <c r="E10" i="1"/>
  <c r="E40" i="1"/>
  <c r="E28" i="1"/>
  <c r="I37" i="1"/>
  <c r="E11" i="1"/>
  <c r="E27" i="1"/>
  <c r="E39" i="1"/>
  <c r="I25" i="1"/>
  <c r="E25" i="1"/>
  <c r="E37" i="1"/>
  <c r="E38" i="1"/>
  <c r="E26" i="1"/>
  <c r="D16" i="1" a="1"/>
  <c r="D19" i="1" l="1"/>
  <c r="D16" i="1"/>
  <c r="D17" i="1"/>
  <c r="D18" i="1"/>
  <c r="I11" i="1"/>
</calcChain>
</file>

<file path=xl/sharedStrings.xml><?xml version="1.0" encoding="utf-8"?>
<sst xmlns="http://schemas.openxmlformats.org/spreadsheetml/2006/main" count="326" uniqueCount="122">
  <si>
    <t>nabCapital Toolkit © 2007 nabCapital All rights reserved.</t>
  </si>
  <si>
    <t>Select on the link below to go to particular example</t>
  </si>
  <si>
    <t>Function Name:</t>
  </si>
  <si>
    <t>Arguments</t>
  </si>
  <si>
    <t>Example Inputs</t>
  </si>
  <si>
    <t>Output</t>
  </si>
  <si>
    <t>3Y</t>
  </si>
  <si>
    <t>Powered by Highlander ©</t>
  </si>
  <si>
    <t>5Y</t>
  </si>
  <si>
    <t>UPDATE WORKBOOK COMMAND: CTRL+ALT+F9</t>
  </si>
  <si>
    <t>Business Calendar Examples</t>
  </si>
  <si>
    <t>Spreadsheet shows examples of how to use the Business calendar functions</t>
  </si>
  <si>
    <t>Page 1. Business Calendar</t>
  </si>
  <si>
    <t>Calendars Supported</t>
  </si>
  <si>
    <t>Location</t>
  </si>
  <si>
    <t>Calendar Data</t>
  </si>
  <si>
    <t>Page 1: Calendar Rule Data</t>
  </si>
  <si>
    <t>Business Calendar</t>
  </si>
  <si>
    <t>Banana</t>
  </si>
  <si>
    <t>Date</t>
  </si>
  <si>
    <t>start date</t>
  </si>
  <si>
    <t>end date</t>
  </si>
  <si>
    <t>6M</t>
  </si>
  <si>
    <t>MODFOLLOWING</t>
  </si>
  <si>
    <t>Day Convention</t>
  </si>
  <si>
    <t>FOLLOWING</t>
  </si>
  <si>
    <t>FRN</t>
  </si>
  <si>
    <t>PRECEDING</t>
  </si>
  <si>
    <t>MODPRECEDING</t>
  </si>
  <si>
    <t>NONE</t>
  </si>
  <si>
    <t>NotApplicable</t>
  </si>
  <si>
    <t>Intervals</t>
  </si>
  <si>
    <t>Year</t>
  </si>
  <si>
    <t>Month</t>
  </si>
  <si>
    <t>Other</t>
  </si>
  <si>
    <t>6Y</t>
  </si>
  <si>
    <t>1Y</t>
  </si>
  <si>
    <t>2Y</t>
  </si>
  <si>
    <t>4Y</t>
  </si>
  <si>
    <t>1M</t>
  </si>
  <si>
    <t>2M</t>
  </si>
  <si>
    <t>3M</t>
  </si>
  <si>
    <t>EOM</t>
  </si>
  <si>
    <t>Day Types</t>
  </si>
  <si>
    <t>Business</t>
  </si>
  <si>
    <t>Calendar</t>
  </si>
  <si>
    <t>CurrencyBusiness</t>
  </si>
  <si>
    <t>ExchangeBusiness</t>
  </si>
  <si>
    <t>ScheduledTradingDay</t>
  </si>
  <si>
    <t>Day Type</t>
  </si>
  <si>
    <t>Day Conventions</t>
  </si>
  <si>
    <t>Interval</t>
  </si>
  <si>
    <t>Financial Date</t>
  </si>
  <si>
    <t>Interval Period</t>
  </si>
  <si>
    <t>Exchane Commodity Name</t>
  </si>
  <si>
    <t>Use Main Cycle</t>
  </si>
  <si>
    <t>First Regular Period Date</t>
  </si>
  <si>
    <t>Termination Date</t>
  </si>
  <si>
    <t>Effective Date</t>
  </si>
  <si>
    <t>ED</t>
  </si>
  <si>
    <t>Stub Period Type</t>
  </si>
  <si>
    <t>Stub Period Types</t>
  </si>
  <si>
    <t>ShortFinal</t>
  </si>
  <si>
    <t>ShortInitial</t>
  </si>
  <si>
    <t>LongFinal</t>
  </si>
  <si>
    <t>LongInitial</t>
  </si>
  <si>
    <t>First Regular Interval</t>
  </si>
  <si>
    <t>Roll Convention</t>
  </si>
  <si>
    <t>QFN("GetSignificantRulesByDate", location, dates)</t>
  </si>
  <si>
    <t>Page 3: Financial Dates</t>
  </si>
  <si>
    <t>IntialValue</t>
  </si>
  <si>
    <t>Step</t>
  </si>
  <si>
    <t>ApplyNth</t>
  </si>
  <si>
    <t>Num CashFLows</t>
  </si>
  <si>
    <t>Start Date</t>
  </si>
  <si>
    <t>Meta Schedule Range</t>
  </si>
  <si>
    <t>Exchange Commodity Name</t>
  </si>
  <si>
    <t>25</t>
  </si>
  <si>
    <t>Page 4: Schedulers</t>
  </si>
  <si>
    <t>Central Bank</t>
  </si>
  <si>
    <t>RBA</t>
  </si>
  <si>
    <t>Last Date</t>
  </si>
  <si>
    <t>Date Generation Rule</t>
  </si>
  <si>
    <t>End Date</t>
  </si>
  <si>
    <t>Period Interval</t>
  </si>
  <si>
    <t>Roll Day</t>
  </si>
  <si>
    <t>Sydney</t>
  </si>
  <si>
    <t>Date Adjustment Convention</t>
  </si>
  <si>
    <t>Brisbane</t>
  </si>
  <si>
    <t>Page 5: Reference Data</t>
  </si>
  <si>
    <t>IsHoliday( locations, date)</t>
  </si>
  <si>
    <t>IsValidCalendar( locations)</t>
  </si>
  <si>
    <t>Advance( locations, date, dayType, periodInteval, businessDayConvention)</t>
  </si>
  <si>
    <t>IsBusinessDay( locations, date)</t>
  </si>
  <si>
    <t>Roll( locations, date, businessDayConvention)</t>
  </si>
  <si>
    <t>HolidaysBetween( locations, startDate, endDate)</t>
  </si>
  <si>
    <t>GetStrikeSchedule( initialValue, step, applyStepToEachNthCashflow, totalNumberOfCashflows)</t>
  </si>
  <si>
    <t>GetSpreadSchedule( initialValue, step, applyStepToEachNthCashflow, totalNumberOfCashflows)</t>
  </si>
  <si>
    <t>GetNotionalSchedule(initialValue, step, applyStepToEachNthCashflow, totalNumberOfCashflows)</t>
  </si>
  <si>
    <t>GetNotionalSchedule( initialValue, step, applyStepToEachNthCashflow, totalNumberOfCashflows)</t>
  </si>
  <si>
    <t>AdjustedDatesFromEffectiveDate( effectiveDate, terminationDate, periodInterval, rollConvention, businessCenters, dateAdjustmentConvention)</t>
  </si>
  <si>
    <t>GetMetaDatesSchedule( metaScheduleDefinitionRange, startDate, calendar, businessDayAdjustment)</t>
  </si>
  <si>
    <t>AdjustedDatesFromTerminationDate( effectiveDate, terminationDate, periodInterval, rollConvention, businessCenters, dateAdjustmentConvention)</t>
  </si>
  <si>
    <t>GetUnadjustedCalculationPeriodDates( effectiveDate, terminationDate, periodInterval, rollConvention, firstRegularPeriodDate, stubPeriodType)</t>
  </si>
  <si>
    <t>AddPeriods( dates, dayType, periodInterval, businessDayConvention, calendars)</t>
  </si>
  <si>
    <t>UnadjustedCalculationDatesFromFirstRegularInterval( effectiveDate, terminationDate, intervalToFirstRegularPeriodStart, periodInterval, rollConvention, stubPeriodType)</t>
  </si>
  <si>
    <t>GetCentralBankDates( baseDate, validCentralBank, centralBankDateRuleMonths, lastDate)</t>
  </si>
  <si>
    <t>LastTradingDayByYear( exchangeCommodityName, years, mainCycle)</t>
  </si>
  <si>
    <t>LastTradingDayByMonth( exchangeCommodityName, months, year)</t>
  </si>
  <si>
    <t>YearFraction( startDate, endDate, rollConvention)</t>
  </si>
  <si>
    <t>YearFractions( startDates, endDates, rollConvention)</t>
  </si>
  <si>
    <t>DayCounter</t>
  </si>
  <si>
    <t>ACT/365.FIXED</t>
  </si>
  <si>
    <t>IR</t>
  </si>
  <si>
    <t>DayCounters</t>
  </si>
  <si>
    <t>Business Centres</t>
  </si>
  <si>
    <t>Central Banks</t>
  </si>
  <si>
    <t>Main Cycle</t>
  </si>
  <si>
    <t>London</t>
  </si>
  <si>
    <t>Indexes</t>
  </si>
  <si>
    <t>ProductTaxnomy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</si>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</sst>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$&quot;* #,##0.00_);_(&quot;$&quot;* \(#,##0.00\);_(&quot;$&quot;* &quot;-&quot;??_);_(@_)"/>
    <numFmt numFmtId="165" formatCode="0.000%"/>
    <numFmt numFmtId="166" formatCode="&quot;$&quot;#,##0\ ;\(&quot;$&quot;#,##0\)"/>
    <numFmt numFmtId="167" formatCode="0.00_)"/>
    <numFmt numFmtId="168" formatCode="#,##0.0;#,##0.0"/>
    <numFmt numFmtId="169" formatCode="\+#,##0.00;\-#,##0.00"/>
    <numFmt numFmtId="170" formatCode="_(&quot;$&quot;* #,##0_);_(&quot;$&quot;* \(#,##0\);_(&quot;$&quot;* &quot;-&quot;??_);_(@_)"/>
    <numFmt numFmtId="171" formatCode="d/mm/yyyy;@"/>
    <numFmt numFmtId="172" formatCode="dd/mm/yy;@"/>
    <numFmt numFmtId="173" formatCode="0.0000_ ;[Red]\-0.0000\ "/>
    <numFmt numFmtId="174" formatCode="[$-F800]dddd\,\ mmmm\ dd\,\ yyyy"/>
  </numFmts>
  <fonts count="62">
    <font>
      <sz val="8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0"/>
      <color indexed="9"/>
      <name val="Times New Roman"/>
      <family val="1"/>
    </font>
    <font>
      <b/>
      <sz val="18"/>
      <color indexed="9"/>
      <name val="Times New Roman"/>
      <family val="1"/>
    </font>
    <font>
      <b/>
      <sz val="10"/>
      <color indexed="9"/>
      <name val="Times New Roman"/>
      <family val="1"/>
    </font>
    <font>
      <i/>
      <sz val="8"/>
      <color indexed="23"/>
      <name val="Times New Roman"/>
      <family val="1"/>
    </font>
    <font>
      <i/>
      <sz val="10"/>
      <name val="Times New Roman"/>
      <family val="1"/>
    </font>
    <font>
      <u/>
      <sz val="10"/>
      <color indexed="12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u/>
      <sz val="10"/>
      <color indexed="18"/>
      <name val="Times New Roman"/>
      <family val="1"/>
    </font>
    <font>
      <b/>
      <sz val="10"/>
      <name val="Arial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sz val="10"/>
      <color indexed="10"/>
      <name val="Times New Roman"/>
      <family val="1"/>
    </font>
    <font>
      <sz val="9"/>
      <name val="Arial"/>
      <family val="2"/>
    </font>
    <font>
      <sz val="10"/>
      <color indexed="12"/>
      <name val="Arial"/>
      <family val="2"/>
    </font>
    <font>
      <i/>
      <sz val="13"/>
      <name val="Times New Roman"/>
      <family val="1"/>
    </font>
    <font>
      <sz val="10"/>
      <color indexed="12"/>
      <name val="Times New Roman"/>
      <family val="1"/>
    </font>
    <font>
      <b/>
      <sz val="18"/>
      <color indexed="9"/>
      <name val="Verdana"/>
      <family val="2"/>
    </font>
    <font>
      <b/>
      <sz val="18"/>
      <name val="Verdana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color indexed="10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5"/>
      </top>
      <bottom/>
      <diagonal/>
    </border>
    <border>
      <left/>
      <right/>
      <top style="thick">
        <color indexed="22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6">
    <xf numFmtId="0" fontId="0" fillId="2" borderId="1">
      <alignment wrapText="1"/>
    </xf>
    <xf numFmtId="0" fontId="1" fillId="0" borderId="0" applyNumberFormat="0" applyFill="0" applyBorder="0" applyAlignment="0" applyProtection="0">
      <alignment horizontal="left" wrapText="1"/>
    </xf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20" borderId="0" applyNumberFormat="0" applyBorder="0" applyAlignment="0" applyProtection="0"/>
    <xf numFmtId="0" fontId="33" fillId="21" borderId="0" applyAlignment="0"/>
    <xf numFmtId="0" fontId="4" fillId="4" borderId="0" applyNumberFormat="0" applyBorder="0" applyAlignment="0" applyProtection="0"/>
    <xf numFmtId="0" fontId="5" fillId="22" borderId="2" applyNumberFormat="0" applyAlignment="0" applyProtection="0"/>
    <xf numFmtId="0" fontId="6" fillId="23" borderId="3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8" fillId="5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4" fillId="24" borderId="0" applyNumberFormat="0" applyBorder="0">
      <alignment horizontal="right" vertical="center"/>
    </xf>
    <xf numFmtId="19" fontId="34" fillId="24" borderId="7" applyNumberFormat="0" applyBorder="0">
      <alignment horizontal="left" vertical="center"/>
    </xf>
    <xf numFmtId="2" fontId="35" fillId="25" borderId="0">
      <alignment horizontal="center" vertical="center"/>
    </xf>
    <xf numFmtId="2" fontId="35" fillId="25" borderId="8" applyBorder="0">
      <alignment horizontal="left" vertical="center"/>
    </xf>
    <xf numFmtId="0" fontId="34" fillId="24" borderId="0">
      <alignment horizontal="right" vertical="center"/>
    </xf>
    <xf numFmtId="19" fontId="36" fillId="24" borderId="9" applyNumberFormat="0" applyBorder="0">
      <alignment horizontal="left" vertical="center" indent="1"/>
    </xf>
    <xf numFmtId="2" fontId="37" fillId="25" borderId="10" applyBorder="0">
      <alignment horizontal="left" vertical="center" indent="1"/>
    </xf>
    <xf numFmtId="2" fontId="37" fillId="25" borderId="11" applyBorder="0">
      <alignment horizontal="center" vertical="center"/>
    </xf>
    <xf numFmtId="0" fontId="13" fillId="8" borderId="2" applyNumberFormat="0" applyAlignment="0" applyProtection="0"/>
    <xf numFmtId="2" fontId="38" fillId="26" borderId="12" applyBorder="0">
      <alignment horizontal="left" vertical="center" indent="1"/>
    </xf>
    <xf numFmtId="0" fontId="38" fillId="26" borderId="0">
      <alignment horizontal="right" vertical="center"/>
    </xf>
    <xf numFmtId="2" fontId="38" fillId="26" borderId="7" applyNumberFormat="0" applyBorder="0">
      <alignment horizontal="right" vertical="center"/>
    </xf>
    <xf numFmtId="2" fontId="39" fillId="27" borderId="9" applyBorder="0">
      <alignment horizontal="left" vertical="center" indent="1"/>
    </xf>
    <xf numFmtId="2" fontId="39" fillId="27" borderId="0">
      <alignment horizontal="right" vertical="center"/>
    </xf>
    <xf numFmtId="2" fontId="39" fillId="27" borderId="8" applyBorder="0">
      <alignment horizontal="left" vertical="center"/>
    </xf>
    <xf numFmtId="2" fontId="39" fillId="27" borderId="13" applyBorder="0">
      <alignment horizontal="center" vertical="center"/>
    </xf>
    <xf numFmtId="19" fontId="36" fillId="28" borderId="14" applyNumberFormat="0" applyBorder="0">
      <alignment horizontal="left" vertical="center"/>
    </xf>
    <xf numFmtId="15" fontId="36" fillId="28" borderId="11" applyNumberFormat="0" applyBorder="0">
      <alignment horizontal="right" vertical="center"/>
    </xf>
    <xf numFmtId="19" fontId="36" fillId="28" borderId="15" applyNumberFormat="0" applyBorder="0">
      <alignment horizontal="right" vertical="center"/>
    </xf>
    <xf numFmtId="2" fontId="37" fillId="29" borderId="16" applyBorder="0">
      <alignment horizontal="left" vertical="center" indent="1"/>
    </xf>
    <xf numFmtId="2" fontId="37" fillId="29" borderId="8" applyNumberFormat="0">
      <alignment horizontal="center" vertical="center"/>
    </xf>
    <xf numFmtId="2" fontId="37" fillId="29" borderId="8" applyNumberFormat="0" applyBorder="0">
      <alignment horizontal="left" vertical="center"/>
    </xf>
    <xf numFmtId="2" fontId="38" fillId="30" borderId="15" applyNumberFormat="0" applyBorder="0">
      <alignment horizontal="right" vertical="center"/>
    </xf>
    <xf numFmtId="0" fontId="14" fillId="0" borderId="17" applyNumberFormat="0" applyFill="0" applyAlignment="0" applyProtection="0"/>
    <xf numFmtId="0" fontId="15" fillId="31" borderId="0" applyNumberFormat="0" applyBorder="0" applyAlignment="0" applyProtection="0"/>
    <xf numFmtId="0" fontId="1" fillId="0" borderId="0" applyNumberFormat="0" applyFont="0" applyFill="0" applyBorder="0" applyAlignment="0"/>
    <xf numFmtId="167" fontId="40" fillId="0" borderId="0"/>
    <xf numFmtId="0" fontId="1" fillId="32" borderId="0"/>
    <xf numFmtId="0" fontId="1" fillId="33" borderId="0"/>
    <xf numFmtId="0" fontId="1" fillId="0" borderId="0"/>
    <xf numFmtId="0" fontId="20" fillId="0" borderId="0"/>
    <xf numFmtId="0" fontId="1" fillId="0" borderId="0"/>
    <xf numFmtId="0" fontId="1" fillId="34" borderId="18" applyNumberFormat="0" applyFont="0" applyAlignment="0" applyProtection="0"/>
    <xf numFmtId="0" fontId="32" fillId="35" borderId="19" applyNumberFormat="0" applyBorder="0">
      <alignment horizontal="left" vertical="center"/>
    </xf>
    <xf numFmtId="2" fontId="32" fillId="35" borderId="8" applyNumberFormat="0" applyBorder="0">
      <alignment horizontal="left" vertical="center"/>
    </xf>
    <xf numFmtId="2" fontId="39" fillId="27" borderId="20" applyNumberFormat="0" applyBorder="0">
      <alignment horizontal="left" vertical="center"/>
    </xf>
    <xf numFmtId="2" fontId="39" fillId="27" borderId="8" applyNumberFormat="0" applyBorder="0">
      <alignment horizontal="left" vertical="center"/>
    </xf>
    <xf numFmtId="0" fontId="16" fillId="22" borderId="21" applyNumberFormat="0" applyAlignment="0" applyProtection="0"/>
    <xf numFmtId="19" fontId="38" fillId="36" borderId="22" applyNumberFormat="0" applyBorder="0">
      <alignment horizontal="left" vertical="center" indent="1"/>
    </xf>
    <xf numFmtId="0" fontId="38" fillId="36" borderId="0">
      <alignment horizontal="right" vertical="center"/>
    </xf>
    <xf numFmtId="19" fontId="38" fillId="36" borderId="15" applyNumberFormat="0" applyBorder="0">
      <alignment horizontal="right" vertical="center"/>
    </xf>
    <xf numFmtId="2" fontId="41" fillId="37" borderId="10" applyBorder="0">
      <alignment horizontal="left" vertical="center" indent="1"/>
    </xf>
    <xf numFmtId="2" fontId="41" fillId="37" borderId="0">
      <alignment horizontal="center" vertical="center"/>
    </xf>
    <xf numFmtId="2" fontId="41" fillId="37" borderId="23">
      <alignment horizontal="left" vertical="center"/>
    </xf>
    <xf numFmtId="0" fontId="42" fillId="38" borderId="13">
      <alignment horizontal="center"/>
    </xf>
    <xf numFmtId="9" fontId="1" fillId="0" borderId="0" applyFont="0" applyFill="0" applyBorder="0" applyAlignment="0" applyProtection="0"/>
    <xf numFmtId="165" fontId="43" fillId="39" borderId="0" applyNumberFormat="0" applyBorder="0">
      <alignment horizontal="right" vertical="center"/>
    </xf>
    <xf numFmtId="165" fontId="43" fillId="39" borderId="0" applyNumberFormat="0" applyBorder="0">
      <alignment horizontal="right" vertical="center"/>
    </xf>
    <xf numFmtId="0" fontId="44" fillId="40" borderId="13" applyNumberFormat="0">
      <alignment horizontal="center" vertical="center"/>
    </xf>
    <xf numFmtId="0" fontId="44" fillId="40" borderId="0" applyNumberFormat="0" applyBorder="0">
      <alignment horizontal="left" vertical="center" indent="1"/>
    </xf>
    <xf numFmtId="168" fontId="45" fillId="41" borderId="0">
      <alignment horizontal="center" vertical="center"/>
    </xf>
    <xf numFmtId="169" fontId="46" fillId="42" borderId="0">
      <alignment horizontal="center" vertical="center"/>
      <protection locked="0"/>
    </xf>
    <xf numFmtId="0" fontId="1" fillId="0" borderId="0">
      <alignment horizontal="left" wrapText="1"/>
    </xf>
    <xf numFmtId="2" fontId="47" fillId="43" borderId="19" applyNumberFormat="0" applyFill="0" applyBorder="0" applyAlignment="0">
      <alignment horizontal="center"/>
      <protection locked="0"/>
    </xf>
    <xf numFmtId="2" fontId="38" fillId="44" borderId="8" applyNumberFormat="0" applyBorder="0">
      <alignment horizontal="right" vertical="center"/>
    </xf>
    <xf numFmtId="2" fontId="38" fillId="44" borderId="0">
      <alignment horizontal="right" vertical="center"/>
    </xf>
    <xf numFmtId="2" fontId="39" fillId="45" borderId="13">
      <alignment horizontal="center" vertical="center"/>
    </xf>
    <xf numFmtId="2" fontId="39" fillId="45" borderId="0" applyNumberFormat="0" applyBorder="0">
      <alignment horizontal="left" vertical="center"/>
    </xf>
    <xf numFmtId="2" fontId="39" fillId="45" borderId="13">
      <alignment horizontal="center" vertical="center"/>
    </xf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0" applyNumberFormat="0" applyFill="0" applyBorder="0" applyAlignment="0" applyProtection="0"/>
    <xf numFmtId="38" fontId="48" fillId="0" borderId="0" applyFont="0" applyFill="0" applyBorder="0" applyAlignment="0" applyProtection="0"/>
    <xf numFmtId="0" fontId="48" fillId="0" borderId="0"/>
  </cellStyleXfs>
  <cellXfs count="125">
    <xf numFmtId="0" fontId="0" fillId="2" borderId="1" xfId="0">
      <alignment wrapText="1"/>
    </xf>
    <xf numFmtId="0" fontId="21" fillId="33" borderId="1" xfId="0" applyFont="1" applyFill="1">
      <alignment wrapText="1"/>
    </xf>
    <xf numFmtId="0" fontId="22" fillId="46" borderId="25" xfId="70" applyFont="1" applyFill="1" applyBorder="1"/>
    <xf numFmtId="0" fontId="23" fillId="46" borderId="5" xfId="73" applyFont="1" applyFill="1" applyBorder="1" applyAlignment="1">
      <alignment vertical="center"/>
    </xf>
    <xf numFmtId="14" fontId="24" fillId="46" borderId="5" xfId="73" applyNumberFormat="1" applyFont="1" applyFill="1" applyBorder="1" applyAlignment="1">
      <alignment vertical="center"/>
    </xf>
    <xf numFmtId="0" fontId="21" fillId="44" borderId="1" xfId="0" applyFont="1" applyFill="1">
      <alignment wrapText="1"/>
    </xf>
    <xf numFmtId="0" fontId="21" fillId="0" borderId="26" xfId="0" applyFont="1" applyFill="1" applyBorder="1">
      <alignment wrapText="1"/>
    </xf>
    <xf numFmtId="0" fontId="25" fillId="0" borderId="26" xfId="69" applyFont="1" applyFill="1" applyBorder="1" applyAlignment="1">
      <alignment horizontal="right"/>
    </xf>
    <xf numFmtId="0" fontId="21" fillId="0" borderId="0" xfId="0" applyFont="1" applyFill="1" applyBorder="1">
      <alignment wrapText="1"/>
    </xf>
    <xf numFmtId="0" fontId="26" fillId="0" borderId="0" xfId="0" applyFont="1" applyFill="1" applyBorder="1">
      <alignment wrapText="1"/>
    </xf>
    <xf numFmtId="0" fontId="27" fillId="0" borderId="0" xfId="41" applyFont="1" applyFill="1" applyBorder="1" applyAlignment="1" applyProtection="1"/>
    <xf numFmtId="14" fontId="21" fillId="33" borderId="0" xfId="0" applyNumberFormat="1" applyFont="1" applyFill="1" applyBorder="1">
      <alignment wrapText="1"/>
    </xf>
    <xf numFmtId="0" fontId="28" fillId="0" borderId="0" xfId="0" applyFont="1" applyFill="1" applyBorder="1">
      <alignment wrapText="1"/>
    </xf>
    <xf numFmtId="0" fontId="28" fillId="0" borderId="0" xfId="0" applyFont="1" applyFill="1" applyBorder="1" applyAlignment="1">
      <alignment horizontal="right"/>
    </xf>
    <xf numFmtId="0" fontId="29" fillId="33" borderId="0" xfId="0" applyFont="1" applyFill="1" applyBorder="1" applyAlignment="1">
      <alignment horizontal="center"/>
    </xf>
    <xf numFmtId="0" fontId="21" fillId="33" borderId="0" xfId="0" applyFont="1" applyFill="1" applyBorder="1">
      <alignment wrapText="1"/>
    </xf>
    <xf numFmtId="0" fontId="30" fillId="0" borderId="0" xfId="0" applyFont="1" applyFill="1" applyBorder="1">
      <alignment wrapText="1"/>
    </xf>
    <xf numFmtId="0" fontId="12" fillId="0" borderId="0" xfId="41" applyFill="1" applyBorder="1" applyAlignment="1" applyProtection="1"/>
    <xf numFmtId="0" fontId="31" fillId="0" borderId="0" xfId="41" applyFont="1" applyFill="1" applyBorder="1" applyAlignment="1" applyProtection="1"/>
    <xf numFmtId="0" fontId="20" fillId="0" borderId="0" xfId="72"/>
    <xf numFmtId="2" fontId="50" fillId="2" borderId="1" xfId="72" applyNumberFormat="1" applyFont="1" applyFill="1" applyBorder="1" applyAlignment="1">
      <alignment horizontal="center"/>
    </xf>
    <xf numFmtId="0" fontId="51" fillId="0" borderId="0" xfId="71" applyFont="1" applyAlignment="1">
      <alignment horizontal="center"/>
    </xf>
    <xf numFmtId="0" fontId="52" fillId="0" borderId="0" xfId="0" applyFont="1" applyFill="1" applyBorder="1">
      <alignment wrapText="1"/>
    </xf>
    <xf numFmtId="0" fontId="53" fillId="0" borderId="0" xfId="0" applyFont="1" applyFill="1" applyBorder="1" applyAlignment="1">
      <alignment horizontal="center"/>
    </xf>
    <xf numFmtId="2" fontId="21" fillId="0" borderId="26" xfId="0" applyNumberFormat="1" applyFont="1" applyFill="1" applyBorder="1">
      <alignment wrapText="1"/>
    </xf>
    <xf numFmtId="2" fontId="21" fillId="0" borderId="0" xfId="0" applyNumberFormat="1" applyFont="1" applyFill="1" applyBorder="1">
      <alignment wrapText="1"/>
    </xf>
    <xf numFmtId="0" fontId="29" fillId="0" borderId="13" xfId="0" applyFont="1" applyFill="1" applyBorder="1" applyAlignment="1">
      <alignment horizontal="center"/>
    </xf>
    <xf numFmtId="0" fontId="54" fillId="46" borderId="5" xfId="73" applyFont="1" applyFill="1" applyBorder="1" applyAlignment="1">
      <alignment vertical="center"/>
    </xf>
    <xf numFmtId="0" fontId="55" fillId="0" borderId="0" xfId="0" applyFont="1" applyFill="1" applyBorder="1" applyAlignment="1">
      <alignment horizontal="center"/>
    </xf>
    <xf numFmtId="0" fontId="20" fillId="47" borderId="23" xfId="72" applyFont="1" applyFill="1" applyBorder="1" applyAlignment="1">
      <alignment horizontal="center"/>
    </xf>
    <xf numFmtId="0" fontId="20" fillId="47" borderId="27" xfId="72" applyFont="1" applyFill="1" applyBorder="1" applyAlignment="1">
      <alignment horizontal="center"/>
    </xf>
    <xf numFmtId="0" fontId="56" fillId="47" borderId="8" xfId="72" applyFont="1" applyFill="1" applyBorder="1" applyAlignment="1">
      <alignment horizontal="center"/>
    </xf>
    <xf numFmtId="0" fontId="21" fillId="0" borderId="0" xfId="0" applyFont="1" applyFill="1" applyBorder="1" applyAlignment="1">
      <alignment wrapText="1"/>
    </xf>
    <xf numFmtId="0" fontId="56" fillId="47" borderId="28" xfId="72" applyFont="1" applyFill="1" applyBorder="1" applyAlignment="1">
      <alignment horizontal="center" wrapText="1"/>
    </xf>
    <xf numFmtId="0" fontId="20" fillId="2" borderId="1" xfId="71" applyFont="1" applyFill="1" applyBorder="1" applyAlignment="1">
      <alignment horizontal="right"/>
    </xf>
    <xf numFmtId="0" fontId="20" fillId="2" borderId="1" xfId="71" applyFont="1" applyFill="1" applyBorder="1"/>
    <xf numFmtId="14" fontId="20" fillId="2" borderId="1" xfId="71" applyNumberFormat="1" applyFont="1" applyFill="1" applyBorder="1" applyAlignment="1">
      <alignment horizontal="right"/>
    </xf>
    <xf numFmtId="14" fontId="20" fillId="2" borderId="1" xfId="71" applyNumberFormat="1" applyFont="1" applyFill="1" applyBorder="1"/>
    <xf numFmtId="2" fontId="58" fillId="2" borderId="1" xfId="87" applyNumberFormat="1" applyFont="1" applyFill="1" applyBorder="1" applyAlignment="1">
      <alignment horizontal="center"/>
    </xf>
    <xf numFmtId="14" fontId="49" fillId="2" borderId="1" xfId="0" applyNumberFormat="1" applyFont="1" applyFill="1" applyBorder="1" applyAlignment="1">
      <alignment horizontal="center"/>
    </xf>
    <xf numFmtId="0" fontId="27" fillId="0" borderId="11" xfId="41" applyFont="1" applyFill="1" applyBorder="1" applyAlignment="1" applyProtection="1"/>
    <xf numFmtId="0" fontId="57" fillId="0" borderId="29" xfId="0" applyFont="1" applyFill="1" applyBorder="1">
      <alignment wrapText="1"/>
    </xf>
    <xf numFmtId="0" fontId="57" fillId="0" borderId="29" xfId="0" applyFont="1" applyFill="1" applyBorder="1" applyAlignment="1">
      <alignment horizontal="center"/>
    </xf>
    <xf numFmtId="0" fontId="21" fillId="0" borderId="7" xfId="0" applyFont="1" applyFill="1" applyBorder="1">
      <alignment wrapText="1"/>
    </xf>
    <xf numFmtId="0" fontId="27" fillId="0" borderId="19" xfId="41" applyFont="1" applyFill="1" applyBorder="1" applyAlignment="1" applyProtection="1"/>
    <xf numFmtId="0" fontId="21" fillId="0" borderId="15" xfId="0" applyFont="1" applyFill="1" applyBorder="1">
      <alignment wrapText="1"/>
    </xf>
    <xf numFmtId="0" fontId="51" fillId="0" borderId="0" xfId="71" applyFont="1" applyBorder="1" applyAlignment="1">
      <alignment horizontal="center"/>
    </xf>
    <xf numFmtId="0" fontId="27" fillId="0" borderId="15" xfId="41" applyFont="1" applyFill="1" applyBorder="1" applyAlignment="1" applyProtection="1"/>
    <xf numFmtId="0" fontId="27" fillId="0" borderId="30" xfId="41" applyFont="1" applyFill="1" applyBorder="1" applyAlignment="1" applyProtection="1"/>
    <xf numFmtId="0" fontId="21" fillId="0" borderId="31" xfId="0" applyFont="1" applyFill="1" applyBorder="1">
      <alignment wrapText="1"/>
    </xf>
    <xf numFmtId="0" fontId="21" fillId="0" borderId="32" xfId="0" applyFont="1" applyFill="1" applyBorder="1">
      <alignment wrapText="1"/>
    </xf>
    <xf numFmtId="0" fontId="26" fillId="0" borderId="11" xfId="0" applyFont="1" applyFill="1" applyBorder="1">
      <alignment wrapText="1"/>
    </xf>
    <xf numFmtId="0" fontId="21" fillId="0" borderId="19" xfId="0" applyFont="1" applyFill="1" applyBorder="1">
      <alignment wrapText="1"/>
    </xf>
    <xf numFmtId="0" fontId="0" fillId="2" borderId="1" xfId="0" applyBorder="1">
      <alignment wrapText="1"/>
    </xf>
    <xf numFmtId="0" fontId="27" fillId="0" borderId="31" xfId="41" applyFont="1" applyFill="1" applyBorder="1" applyAlignment="1" applyProtection="1"/>
    <xf numFmtId="0" fontId="21" fillId="0" borderId="30" xfId="0" applyFont="1" applyFill="1" applyBorder="1">
      <alignment wrapText="1"/>
    </xf>
    <xf numFmtId="0" fontId="21" fillId="44" borderId="33" xfId="0" applyFont="1" applyFill="1" applyBorder="1">
      <alignment wrapText="1"/>
    </xf>
    <xf numFmtId="0" fontId="53" fillId="0" borderId="15" xfId="0" applyFont="1" applyFill="1" applyBorder="1" applyAlignment="1">
      <alignment horizontal="center"/>
    </xf>
    <xf numFmtId="0" fontId="53" fillId="0" borderId="19" xfId="0" applyFont="1" applyFill="1" applyBorder="1" applyAlignment="1">
      <alignment horizontal="center"/>
    </xf>
    <xf numFmtId="0" fontId="21" fillId="0" borderId="29" xfId="0" applyFont="1" applyFill="1" applyBorder="1">
      <alignment wrapText="1"/>
    </xf>
    <xf numFmtId="0" fontId="21" fillId="0" borderId="11" xfId="0" applyFont="1" applyFill="1" applyBorder="1">
      <alignment wrapText="1"/>
    </xf>
    <xf numFmtId="0" fontId="0" fillId="2" borderId="34" xfId="0" applyBorder="1">
      <alignment wrapText="1"/>
    </xf>
    <xf numFmtId="0" fontId="0" fillId="2" borderId="35" xfId="0" applyBorder="1">
      <alignment wrapText="1"/>
    </xf>
    <xf numFmtId="0" fontId="0" fillId="2" borderId="36" xfId="0" applyBorder="1">
      <alignment wrapText="1"/>
    </xf>
    <xf numFmtId="0" fontId="21" fillId="0" borderId="0" xfId="0" applyFont="1" applyFill="1" applyBorder="1" applyAlignment="1">
      <alignment horizontal="right" wrapText="1"/>
    </xf>
    <xf numFmtId="0" fontId="51" fillId="0" borderId="0" xfId="71" applyFont="1" applyAlignment="1">
      <alignment horizontal="left"/>
    </xf>
    <xf numFmtId="0" fontId="20" fillId="47" borderId="11" xfId="72" applyFont="1" applyFill="1" applyBorder="1" applyAlignment="1">
      <alignment horizontal="center"/>
    </xf>
    <xf numFmtId="0" fontId="20" fillId="47" borderId="29" xfId="72" applyFont="1" applyFill="1" applyBorder="1" applyAlignment="1">
      <alignment horizontal="center"/>
    </xf>
    <xf numFmtId="0" fontId="20" fillId="47" borderId="7" xfId="72" applyFont="1" applyFill="1" applyBorder="1" applyAlignment="1">
      <alignment horizontal="center"/>
    </xf>
    <xf numFmtId="2" fontId="50" fillId="2" borderId="37" xfId="72" applyNumberFormat="1" applyFont="1" applyFill="1" applyBorder="1" applyAlignment="1">
      <alignment horizontal="center"/>
    </xf>
    <xf numFmtId="2" fontId="50" fillId="2" borderId="38" xfId="72" applyNumberFormat="1" applyFont="1" applyFill="1" applyBorder="1" applyAlignment="1">
      <alignment horizontal="center"/>
    </xf>
    <xf numFmtId="2" fontId="50" fillId="2" borderId="39" xfId="72" applyNumberFormat="1" applyFont="1" applyFill="1" applyBorder="1" applyAlignment="1">
      <alignment horizontal="center"/>
    </xf>
    <xf numFmtId="2" fontId="50" fillId="2" borderId="40" xfId="72" applyNumberFormat="1" applyFont="1" applyFill="1" applyBorder="1" applyAlignment="1">
      <alignment horizontal="center"/>
    </xf>
    <xf numFmtId="2" fontId="50" fillId="2" borderId="41" xfId="72" applyNumberFormat="1" applyFont="1" applyFill="1" applyBorder="1" applyAlignment="1">
      <alignment horizontal="center"/>
    </xf>
    <xf numFmtId="0" fontId="59" fillId="0" borderId="0" xfId="72" applyFont="1"/>
    <xf numFmtId="0" fontId="51" fillId="0" borderId="0" xfId="71" applyFont="1" applyBorder="1" applyAlignment="1">
      <alignment horizontal="left"/>
    </xf>
    <xf numFmtId="0" fontId="51" fillId="0" borderId="29" xfId="71" applyFont="1" applyBorder="1" applyAlignment="1">
      <alignment horizontal="left"/>
    </xf>
    <xf numFmtId="0" fontId="51" fillId="0" borderId="31" xfId="71" applyFont="1" applyBorder="1" applyAlignment="1">
      <alignment horizontal="left"/>
    </xf>
    <xf numFmtId="14" fontId="58" fillId="2" borderId="1" xfId="0" applyNumberFormat="1" applyFont="1" applyFill="1" applyBorder="1" applyAlignment="1">
      <alignment horizontal="center"/>
    </xf>
    <xf numFmtId="0" fontId="51" fillId="0" borderId="15" xfId="71" applyFont="1" applyBorder="1" applyAlignment="1">
      <alignment horizontal="left"/>
    </xf>
    <xf numFmtId="0" fontId="51" fillId="0" borderId="19" xfId="71" applyFont="1" applyBorder="1" applyAlignment="1">
      <alignment horizontal="left"/>
    </xf>
    <xf numFmtId="0" fontId="0" fillId="2" borderId="22" xfId="0" applyBorder="1">
      <alignment wrapText="1"/>
    </xf>
    <xf numFmtId="0" fontId="21" fillId="0" borderId="15" xfId="0" quotePrefix="1" applyFont="1" applyFill="1" applyBorder="1">
      <alignment wrapText="1"/>
    </xf>
    <xf numFmtId="0" fontId="0" fillId="2" borderId="1" xfId="71" applyFont="1" applyFill="1" applyBorder="1"/>
    <xf numFmtId="0" fontId="21" fillId="33" borderId="1" xfId="0" applyFont="1" applyFill="1" applyAlignment="1">
      <alignment horizontal="center" wrapText="1"/>
    </xf>
    <xf numFmtId="0" fontId="22" fillId="46" borderId="25" xfId="70" applyFont="1" applyFill="1" applyBorder="1" applyAlignment="1">
      <alignment horizontal="center"/>
    </xf>
    <xf numFmtId="0" fontId="54" fillId="46" borderId="5" xfId="73" applyFont="1" applyFill="1" applyBorder="1" applyAlignment="1">
      <alignment horizontal="center" vertical="center"/>
    </xf>
    <xf numFmtId="0" fontId="21" fillId="0" borderId="26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center" wrapText="1"/>
    </xf>
    <xf numFmtId="14" fontId="20" fillId="2" borderId="1" xfId="71" applyNumberFormat="1" applyFont="1" applyFill="1" applyBorder="1" applyAlignment="1">
      <alignment horizontal="center"/>
    </xf>
    <xf numFmtId="2" fontId="20" fillId="2" borderId="1" xfId="71" applyNumberFormat="1" applyFont="1" applyFill="1" applyBorder="1" applyAlignment="1">
      <alignment horizontal="center"/>
    </xf>
    <xf numFmtId="0" fontId="20" fillId="2" borderId="1" xfId="71" applyFont="1" applyFill="1" applyBorder="1" applyAlignment="1">
      <alignment horizontal="center"/>
    </xf>
    <xf numFmtId="0" fontId="0" fillId="2" borderId="1" xfId="0" applyBorder="1" applyAlignment="1">
      <alignment horizontal="center" wrapText="1"/>
    </xf>
    <xf numFmtId="0" fontId="51" fillId="0" borderId="31" xfId="71" applyFont="1" applyBorder="1" applyAlignment="1">
      <alignment horizontal="center"/>
    </xf>
    <xf numFmtId="0" fontId="0" fillId="2" borderId="1" xfId="0" applyNumberFormat="1" applyBorder="1" applyAlignment="1">
      <alignment horizontal="center" wrapText="1"/>
    </xf>
    <xf numFmtId="0" fontId="0" fillId="2" borderId="1" xfId="0" applyAlignment="1">
      <alignment horizontal="center" wrapText="1"/>
    </xf>
    <xf numFmtId="0" fontId="21" fillId="0" borderId="31" xfId="0" applyFont="1" applyFill="1" applyBorder="1" applyAlignment="1">
      <alignment horizontal="center" wrapText="1"/>
    </xf>
    <xf numFmtId="0" fontId="20" fillId="2" borderId="1" xfId="71" applyNumberFormat="1" applyFont="1" applyFill="1" applyBorder="1" applyAlignment="1">
      <alignment horizontal="center"/>
    </xf>
    <xf numFmtId="49" fontId="20" fillId="2" borderId="1" xfId="71" quotePrefix="1" applyNumberFormat="1" applyFont="1" applyFill="1" applyBorder="1" applyAlignment="1">
      <alignment horizontal="center"/>
    </xf>
    <xf numFmtId="0" fontId="23" fillId="46" borderId="5" xfId="73" applyFont="1" applyFill="1" applyBorder="1" applyAlignment="1">
      <alignment horizontal="center" vertical="center"/>
    </xf>
    <xf numFmtId="1" fontId="20" fillId="2" borderId="1" xfId="71" applyNumberFormat="1" applyFont="1" applyFill="1" applyBorder="1" applyAlignment="1">
      <alignment horizontal="center"/>
    </xf>
    <xf numFmtId="1" fontId="0" fillId="2" borderId="1" xfId="0" applyNumberFormat="1" applyBorder="1" applyAlignment="1">
      <alignment horizontal="center" wrapText="1"/>
    </xf>
    <xf numFmtId="14" fontId="0" fillId="2" borderId="1" xfId="0" applyNumberFormat="1" applyBorder="1" applyAlignment="1">
      <alignment horizontal="center" wrapText="1"/>
    </xf>
    <xf numFmtId="0" fontId="27" fillId="0" borderId="31" xfId="41" applyFont="1" applyFill="1" applyBorder="1" applyAlignment="1" applyProtection="1">
      <alignment horizontal="center"/>
    </xf>
    <xf numFmtId="10" fontId="20" fillId="2" borderId="1" xfId="87" applyNumberFormat="1" applyFont="1" applyFill="1" applyBorder="1" applyAlignment="1">
      <alignment horizontal="center"/>
    </xf>
    <xf numFmtId="10" fontId="58" fillId="2" borderId="1" xfId="87" applyNumberFormat="1" applyFont="1" applyFill="1" applyBorder="1" applyAlignment="1">
      <alignment horizontal="center"/>
    </xf>
    <xf numFmtId="165" fontId="58" fillId="2" borderId="1" xfId="87" applyNumberFormat="1" applyFont="1" applyFill="1" applyBorder="1" applyAlignment="1">
      <alignment horizontal="center"/>
    </xf>
    <xf numFmtId="170" fontId="58" fillId="2" borderId="1" xfId="31" applyNumberFormat="1" applyFont="1" applyFill="1" applyBorder="1" applyAlignment="1">
      <alignment horizontal="center"/>
    </xf>
    <xf numFmtId="49" fontId="0" fillId="2" borderId="1" xfId="71" applyNumberFormat="1" applyFont="1" applyFill="1" applyBorder="1" applyAlignment="1">
      <alignment horizontal="center"/>
    </xf>
    <xf numFmtId="0" fontId="60" fillId="0" borderId="0" xfId="41" applyFont="1" applyFill="1" applyBorder="1" applyAlignment="1" applyProtection="1"/>
    <xf numFmtId="14" fontId="21" fillId="48" borderId="1" xfId="0" applyNumberFormat="1" applyFont="1" applyFill="1" applyBorder="1" applyAlignment="1">
      <alignment horizontal="center" wrapText="1"/>
    </xf>
    <xf numFmtId="0" fontId="51" fillId="0" borderId="29" xfId="71" applyFont="1" applyBorder="1" applyAlignment="1">
      <alignment horizontal="center"/>
    </xf>
    <xf numFmtId="0" fontId="21" fillId="0" borderId="29" xfId="0" applyFont="1" applyFill="1" applyBorder="1" applyAlignment="1">
      <alignment horizontal="center" wrapText="1"/>
    </xf>
    <xf numFmtId="0" fontId="61" fillId="2" borderId="1" xfId="71" applyFont="1" applyFill="1" applyBorder="1" applyAlignment="1">
      <alignment horizontal="right"/>
    </xf>
    <xf numFmtId="0" fontId="61" fillId="2" borderId="1" xfId="71" applyFont="1" applyFill="1" applyBorder="1" applyAlignment="1">
      <alignment horizontal="center"/>
    </xf>
    <xf numFmtId="171" fontId="20" fillId="2" borderId="1" xfId="31" applyNumberFormat="1" applyFont="1" applyFill="1" applyBorder="1" applyAlignment="1">
      <alignment horizontal="center"/>
    </xf>
    <xf numFmtId="170" fontId="20" fillId="2" borderId="1" xfId="31" applyNumberFormat="1" applyFont="1" applyFill="1" applyBorder="1" applyAlignment="1">
      <alignment horizontal="center"/>
    </xf>
    <xf numFmtId="14" fontId="20" fillId="0" borderId="0" xfId="72" applyNumberFormat="1"/>
    <xf numFmtId="172" fontId="0" fillId="2" borderId="1" xfId="0" applyNumberFormat="1">
      <alignment wrapText="1"/>
    </xf>
    <xf numFmtId="173" fontId="58" fillId="2" borderId="1" xfId="87" applyNumberFormat="1" applyFont="1" applyFill="1" applyBorder="1" applyAlignment="1">
      <alignment horizontal="center"/>
    </xf>
    <xf numFmtId="0" fontId="0" fillId="2" borderId="1" xfId="71" applyNumberFormat="1" applyFont="1" applyFill="1" applyBorder="1" applyAlignment="1">
      <alignment horizontal="center"/>
    </xf>
    <xf numFmtId="0" fontId="57" fillId="0" borderId="29" xfId="0" applyFont="1" applyFill="1" applyBorder="1" applyAlignment="1">
      <alignment horizontal="center" wrapText="1"/>
    </xf>
    <xf numFmtId="14" fontId="20" fillId="2" borderId="1" xfId="31" applyNumberFormat="1" applyFont="1" applyFill="1" applyBorder="1" applyAlignment="1">
      <alignment horizontal="center"/>
    </xf>
    <xf numFmtId="0" fontId="20" fillId="2" borderId="1" xfId="31" applyNumberFormat="1" applyFont="1" applyFill="1" applyBorder="1" applyAlignment="1">
      <alignment horizontal="center"/>
    </xf>
    <xf numFmtId="174" fontId="58" fillId="2" borderId="1" xfId="0" applyNumberFormat="1" applyFont="1" applyFill="1" applyBorder="1" applyAlignment="1">
      <alignment horizontal="center"/>
    </xf>
  </cellXfs>
  <cellStyles count="106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" xfId="31" builtinId="4"/>
    <cellStyle name="Currency0" xfId="32" xr:uid="{00000000-0005-0000-0000-00001F000000}"/>
    <cellStyle name="Date" xfId="33" xr:uid="{00000000-0005-0000-0000-000020000000}"/>
    <cellStyle name="Explanatory Text" xfId="34" builtinId="53" customBuiltin="1"/>
    <cellStyle name="Fixed" xfId="35" xr:uid="{00000000-0005-0000-0000-000022000000}"/>
    <cellStyle name="Good" xfId="36" builtinId="26" customBuiltin="1"/>
    <cellStyle name="Heading 1" xfId="37" builtinId="16" customBuiltin="1"/>
    <cellStyle name="Heading 2" xfId="38" builtinId="17" customBuiltin="1"/>
    <cellStyle name="Heading 3" xfId="39" builtinId="18" customBuiltin="1"/>
    <cellStyle name="Heading 4" xfId="40" builtinId="19" customBuiltin="1"/>
    <cellStyle name="Hyperlink" xfId="41" builtinId="8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alibrating IR Curves" xfId="69" xr:uid="{00000000-0005-0000-0000-000045000000}"/>
    <cellStyle name="Normal_CDS Pricer" xfId="70" xr:uid="{00000000-0005-0000-0000-000046000000}"/>
    <cellStyle name="Normal_Full AUD Swaption Calibration" xfId="71" xr:uid="{00000000-0005-0000-0000-000047000000}"/>
    <cellStyle name="Normal_Market Data" xfId="72" xr:uid="{00000000-0005-0000-0000-000048000000}"/>
    <cellStyle name="Normal_Models" xfId="73" xr:uid="{00000000-0005-0000-0000-000049000000}"/>
    <cellStyle name="Note" xfId="74" builtinId="10" customBuiltin="1"/>
    <cellStyle name="ObjectDataColumn" xfId="75" xr:uid="{00000000-0005-0000-0000-00004B000000}"/>
    <cellStyle name="ObjectDataRow" xfId="76" xr:uid="{00000000-0005-0000-0000-00004C000000}"/>
    <cellStyle name="ObjectLabelColumn" xfId="77" xr:uid="{00000000-0005-0000-0000-00004D000000}"/>
    <cellStyle name="ObjectLabelRow" xfId="78" xr:uid="{00000000-0005-0000-0000-00004E000000}"/>
    <cellStyle name="Output" xfId="79" builtinId="21" customBuiltin="1"/>
    <cellStyle name="OutputData" xfId="80" xr:uid="{00000000-0005-0000-0000-000050000000}"/>
    <cellStyle name="OutputDataColumn" xfId="81" xr:uid="{00000000-0005-0000-0000-000051000000}"/>
    <cellStyle name="OutputDataRow" xfId="82" xr:uid="{00000000-0005-0000-0000-000052000000}"/>
    <cellStyle name="OutputLabel" xfId="83" xr:uid="{00000000-0005-0000-0000-000053000000}"/>
    <cellStyle name="OutputLabelColumn" xfId="84" xr:uid="{00000000-0005-0000-0000-000054000000}"/>
    <cellStyle name="OutputLabelRow" xfId="85" xr:uid="{00000000-0005-0000-0000-000055000000}"/>
    <cellStyle name="PanelLabel" xfId="86" xr:uid="{00000000-0005-0000-0000-000056000000}"/>
    <cellStyle name="Percent" xfId="87" builtinId="5"/>
    <cellStyle name="PersonalDataColumn" xfId="88" xr:uid="{00000000-0005-0000-0000-000058000000}"/>
    <cellStyle name="PersonalDataRow" xfId="89" xr:uid="{00000000-0005-0000-0000-000059000000}"/>
    <cellStyle name="PersonalLabelColumn" xfId="90" xr:uid="{00000000-0005-0000-0000-00005A000000}"/>
    <cellStyle name="PersonalLabelRow" xfId="91" xr:uid="{00000000-0005-0000-0000-00005B000000}"/>
    <cellStyle name="result" xfId="92" xr:uid="{00000000-0005-0000-0000-00005C000000}"/>
    <cellStyle name="spreads" xfId="93" xr:uid="{00000000-0005-0000-0000-00005D000000}"/>
    <cellStyle name="Style 1" xfId="94" xr:uid="{00000000-0005-0000-0000-00005E000000}"/>
    <cellStyle name="swaptn" xfId="95" xr:uid="{00000000-0005-0000-0000-00005F000000}"/>
    <cellStyle name="TableDataColumn" xfId="96" xr:uid="{00000000-0005-0000-0000-000060000000}"/>
    <cellStyle name="TableDataRow" xfId="97" xr:uid="{00000000-0005-0000-0000-000061000000}"/>
    <cellStyle name="TableLabelColumn" xfId="98" xr:uid="{00000000-0005-0000-0000-000062000000}"/>
    <cellStyle name="TableLabelRow" xfId="99" xr:uid="{00000000-0005-0000-0000-000063000000}"/>
    <cellStyle name="TableLabelTop" xfId="100" xr:uid="{00000000-0005-0000-0000-000064000000}"/>
    <cellStyle name="Title" xfId="101" builtinId="15" customBuiltin="1"/>
    <cellStyle name="Total" xfId="102" builtinId="25" customBuiltin="1"/>
    <cellStyle name="Warning Text" xfId="103" builtinId="11" customBuiltin="1"/>
    <cellStyle name="桁区切り_NewDemo" xfId="104" xr:uid="{00000000-0005-0000-0000-000068000000}"/>
    <cellStyle name="標準_NewDemo" xfId="105" xr:uid="{00000000-0005-0000-0000-000069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32"/>
  <sheetViews>
    <sheetView showGridLines="0" zoomScale="80" workbookViewId="0">
      <selection activeCell="C12" sqref="C12"/>
    </sheetView>
  </sheetViews>
  <sheetFormatPr defaultColWidth="9.33203125" defaultRowHeight="12.75"/>
  <cols>
    <col min="1" max="2" width="1.83203125" style="1" customWidth="1"/>
    <col min="3" max="3" width="53.33203125" style="1" customWidth="1"/>
    <col min="4" max="4" width="11.83203125" style="1" customWidth="1"/>
    <col min="5" max="5" width="37.33203125" style="1" customWidth="1"/>
    <col min="6" max="6" width="34.5" style="1" customWidth="1"/>
    <col min="7" max="7" width="38" style="1" customWidth="1"/>
    <col min="8" max="8" width="37.1640625" style="1" customWidth="1"/>
    <col min="9" max="9" width="29.6640625" style="1" customWidth="1"/>
    <col min="10" max="10" width="23.6640625" style="1" customWidth="1"/>
    <col min="11" max="11" width="20.1640625" style="1" customWidth="1"/>
    <col min="12" max="12" width="1" style="1" customWidth="1"/>
    <col min="13" max="13" width="1.1640625" style="1" customWidth="1"/>
    <col min="14" max="16384" width="9.33203125" style="1"/>
  </cols>
  <sheetData>
    <row r="1" spans="2:13" ht="6" customHeight="1"/>
    <row r="2" spans="2:13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3" ht="30" customHeight="1" thickBot="1">
      <c r="B3" s="3"/>
      <c r="C3" s="27" t="s">
        <v>10</v>
      </c>
      <c r="D3" s="3"/>
      <c r="E3" s="3"/>
      <c r="F3" s="3"/>
      <c r="G3" s="3"/>
      <c r="H3" s="3"/>
      <c r="I3" s="3"/>
      <c r="J3" s="3"/>
      <c r="K3" s="3"/>
      <c r="L3" s="3"/>
      <c r="M3" s="5"/>
    </row>
    <row r="4" spans="2:13" ht="13.5" thickTop="1">
      <c r="B4" s="6"/>
      <c r="C4" s="6"/>
      <c r="D4" s="6"/>
      <c r="E4" s="6"/>
      <c r="F4" s="6"/>
      <c r="G4" s="6"/>
      <c r="H4" s="6"/>
      <c r="I4" s="6"/>
      <c r="J4" s="6"/>
      <c r="K4" s="7" t="s">
        <v>0</v>
      </c>
      <c r="L4" s="6"/>
      <c r="M4" s="5"/>
    </row>
    <row r="5" spans="2:13" ht="22.5">
      <c r="B5" s="8"/>
      <c r="C5" s="28" t="s">
        <v>7</v>
      </c>
      <c r="D5" s="9"/>
      <c r="E5" s="9"/>
      <c r="F5" s="9"/>
      <c r="G5" s="9"/>
      <c r="H5" s="9"/>
      <c r="I5" s="8"/>
      <c r="J5" s="8"/>
      <c r="K5" s="8"/>
      <c r="L5" s="8"/>
      <c r="M5" s="5"/>
    </row>
    <row r="6" spans="2:13">
      <c r="B6" s="8"/>
      <c r="C6" s="8"/>
      <c r="D6" s="9"/>
      <c r="E6" s="9"/>
      <c r="F6" s="9"/>
      <c r="G6" s="9"/>
      <c r="H6" s="9"/>
      <c r="I6" s="8"/>
      <c r="J6" s="8"/>
      <c r="K6" s="8"/>
      <c r="L6" s="8"/>
      <c r="M6" s="5"/>
    </row>
    <row r="7" spans="2:13" ht="33">
      <c r="B7" s="8"/>
      <c r="C7" s="22" t="s">
        <v>11</v>
      </c>
      <c r="D7" s="8"/>
      <c r="E7" s="8"/>
      <c r="F7" s="8"/>
      <c r="G7" s="8"/>
      <c r="H7" s="8"/>
      <c r="I7" s="8"/>
      <c r="J7" s="8"/>
      <c r="K7" s="8"/>
      <c r="L7" s="8"/>
      <c r="M7" s="5"/>
    </row>
    <row r="8" spans="2:13">
      <c r="B8" s="8"/>
      <c r="C8" s="9"/>
      <c r="D8" s="8"/>
      <c r="E8" s="8"/>
      <c r="F8" s="8"/>
      <c r="G8" s="8"/>
      <c r="H8" s="8"/>
      <c r="I8" s="8"/>
      <c r="J8" s="8"/>
      <c r="K8" s="8"/>
      <c r="L8" s="8"/>
      <c r="M8" s="5"/>
    </row>
    <row r="9" spans="2:13">
      <c r="B9" s="8"/>
      <c r="C9" s="8"/>
      <c r="D9" s="10"/>
      <c r="E9" s="10"/>
      <c r="F9" s="10"/>
      <c r="G9" s="10"/>
      <c r="H9" s="10"/>
      <c r="I9" s="8"/>
      <c r="J9" s="8"/>
      <c r="K9" s="8"/>
      <c r="L9" s="8"/>
      <c r="M9" s="5"/>
    </row>
    <row r="10" spans="2:13" ht="31.5">
      <c r="B10" s="8"/>
      <c r="C10" s="16" t="s">
        <v>1</v>
      </c>
      <c r="D10" s="10"/>
      <c r="E10" s="10"/>
      <c r="F10" s="10"/>
      <c r="G10" s="10"/>
      <c r="H10" s="10"/>
      <c r="I10" s="8"/>
      <c r="J10" s="8"/>
      <c r="K10" s="8"/>
      <c r="L10" s="8"/>
      <c r="M10" s="5"/>
    </row>
    <row r="11" spans="2:13">
      <c r="B11" s="8"/>
      <c r="C11" s="17" t="s">
        <v>16</v>
      </c>
      <c r="D11" s="10"/>
      <c r="E11" s="10"/>
      <c r="F11" s="10"/>
      <c r="G11" s="10"/>
      <c r="H11" s="10"/>
      <c r="I11" s="8"/>
      <c r="J11" s="8"/>
      <c r="K11" s="8"/>
      <c r="L11" s="8"/>
      <c r="M11" s="5"/>
    </row>
    <row r="12" spans="2:13">
      <c r="B12" s="8"/>
      <c r="C12" s="17" t="s">
        <v>12</v>
      </c>
      <c r="D12" s="10"/>
      <c r="E12" s="10"/>
      <c r="F12" s="10"/>
      <c r="G12" s="10"/>
      <c r="H12" s="10"/>
      <c r="I12" s="8"/>
      <c r="J12" s="8"/>
      <c r="K12" s="8"/>
      <c r="L12" s="8"/>
      <c r="M12" s="5"/>
    </row>
    <row r="13" spans="2:13">
      <c r="B13" s="8"/>
      <c r="C13" s="17" t="s">
        <v>69</v>
      </c>
      <c r="D13" s="10"/>
      <c r="E13" s="10"/>
      <c r="F13" s="10"/>
      <c r="G13" s="10"/>
      <c r="H13" s="10"/>
      <c r="I13" s="8"/>
      <c r="J13" s="8"/>
      <c r="K13" s="8"/>
      <c r="L13" s="8"/>
      <c r="M13" s="5"/>
    </row>
    <row r="14" spans="2:13">
      <c r="B14" s="8"/>
      <c r="C14" s="109" t="s">
        <v>78</v>
      </c>
      <c r="D14" s="10"/>
      <c r="E14" s="10"/>
      <c r="F14" s="10"/>
      <c r="G14" s="10"/>
      <c r="H14" s="10"/>
      <c r="I14" s="8"/>
      <c r="J14" s="8"/>
      <c r="K14" s="8"/>
      <c r="L14" s="8"/>
      <c r="M14" s="5"/>
    </row>
    <row r="15" spans="2:13">
      <c r="B15" s="8"/>
      <c r="C15" s="109" t="s">
        <v>89</v>
      </c>
      <c r="D15" s="10"/>
      <c r="E15" s="10"/>
      <c r="F15" s="10"/>
      <c r="G15" s="10"/>
      <c r="H15" s="10"/>
      <c r="I15" s="8"/>
      <c r="J15" s="8"/>
      <c r="K15" s="8"/>
      <c r="L15" s="8"/>
      <c r="M15" s="5"/>
    </row>
    <row r="16" spans="2:13">
      <c r="B16" s="8"/>
      <c r="C16" s="17"/>
      <c r="D16" s="10"/>
      <c r="E16" s="10"/>
      <c r="F16" s="10"/>
      <c r="G16" s="10"/>
      <c r="H16" s="10"/>
      <c r="I16" s="8"/>
      <c r="J16" s="8"/>
      <c r="K16" s="8"/>
      <c r="L16" s="8"/>
      <c r="M16" s="5"/>
    </row>
    <row r="17" spans="2:13">
      <c r="B17" s="8"/>
      <c r="C17" s="18"/>
      <c r="D17" s="10"/>
      <c r="E17" s="10"/>
      <c r="F17" s="10"/>
      <c r="G17" s="10"/>
      <c r="H17" s="10"/>
      <c r="I17" s="8"/>
      <c r="J17" s="8"/>
      <c r="K17" s="8"/>
      <c r="L17" s="8"/>
      <c r="M17" s="5"/>
    </row>
    <row r="18" spans="2:13">
      <c r="B18" s="8"/>
      <c r="C18" s="18"/>
      <c r="D18" s="10"/>
      <c r="E18" s="10"/>
      <c r="F18" s="10"/>
      <c r="G18" s="10"/>
      <c r="H18" s="10"/>
      <c r="I18" s="8"/>
      <c r="J18" s="8"/>
      <c r="K18" s="8"/>
      <c r="L18" s="8"/>
      <c r="M18" s="5"/>
    </row>
    <row r="19" spans="2:13">
      <c r="B19" s="8"/>
      <c r="C19" s="18"/>
      <c r="D19" s="10"/>
      <c r="E19" s="10"/>
      <c r="F19" s="10"/>
      <c r="G19" s="10"/>
      <c r="H19" s="10"/>
      <c r="I19" s="8"/>
      <c r="J19" s="8"/>
      <c r="K19" s="8"/>
      <c r="L19" s="8"/>
      <c r="M19" s="5"/>
    </row>
    <row r="20" spans="2:13">
      <c r="B20" s="8"/>
      <c r="C20" s="18"/>
      <c r="D20" s="17"/>
      <c r="E20" s="10"/>
      <c r="F20" s="10"/>
      <c r="G20" s="10"/>
      <c r="H20" s="10"/>
      <c r="I20" s="8"/>
      <c r="J20" s="8"/>
      <c r="K20" s="8"/>
      <c r="L20" s="8"/>
      <c r="M20" s="5"/>
    </row>
    <row r="21" spans="2:13">
      <c r="B21" s="8"/>
      <c r="C21" s="18"/>
      <c r="D21" s="10"/>
      <c r="E21" s="10"/>
      <c r="F21" s="10"/>
      <c r="G21" s="10"/>
      <c r="H21" s="10"/>
      <c r="I21" s="8"/>
      <c r="J21" s="8"/>
      <c r="K21" s="8"/>
      <c r="L21" s="8"/>
      <c r="M21" s="5"/>
    </row>
    <row r="22" spans="2:13">
      <c r="B22" s="8"/>
      <c r="C22" s="18"/>
      <c r="D22" s="10"/>
      <c r="E22" s="10"/>
      <c r="F22" s="10"/>
      <c r="G22" s="10"/>
      <c r="H22" s="10"/>
      <c r="I22" s="8"/>
      <c r="J22" s="8"/>
      <c r="K22" s="8"/>
      <c r="L22" s="8"/>
      <c r="M22" s="5"/>
    </row>
    <row r="23" spans="2:13">
      <c r="B23" s="8"/>
      <c r="C23" s="18"/>
      <c r="D23" s="10"/>
      <c r="E23" s="10"/>
      <c r="F23" s="10"/>
      <c r="G23" s="10"/>
      <c r="H23" s="10"/>
      <c r="I23" s="8"/>
      <c r="J23" s="8"/>
      <c r="K23" s="8"/>
      <c r="L23" s="8"/>
      <c r="M23" s="5"/>
    </row>
    <row r="24" spans="2:13">
      <c r="B24" s="8"/>
      <c r="C24" s="18"/>
      <c r="D24" s="10"/>
      <c r="E24" s="10"/>
      <c r="F24" s="10"/>
      <c r="G24" s="10"/>
      <c r="H24" s="10"/>
      <c r="I24" s="8"/>
      <c r="J24" s="8"/>
      <c r="K24" s="8"/>
      <c r="L24" s="8"/>
      <c r="M24" s="5"/>
    </row>
    <row r="25" spans="2:13">
      <c r="B25" s="8"/>
      <c r="C25" s="18"/>
      <c r="D25" s="10"/>
      <c r="E25" s="10"/>
      <c r="F25" s="10"/>
      <c r="G25" s="10"/>
      <c r="H25" s="10"/>
      <c r="I25" s="8"/>
      <c r="J25" s="8"/>
      <c r="K25" s="8"/>
      <c r="L25" s="8"/>
      <c r="M25" s="5"/>
    </row>
    <row r="26" spans="2:13">
      <c r="B26" s="8"/>
      <c r="C26" s="18"/>
      <c r="D26" s="10"/>
      <c r="E26" s="10"/>
      <c r="F26" s="10"/>
      <c r="G26" s="10"/>
      <c r="H26" s="10"/>
      <c r="I26" s="8"/>
      <c r="J26" s="8"/>
      <c r="K26" s="8"/>
      <c r="L26" s="8"/>
      <c r="M26" s="5"/>
    </row>
    <row r="27" spans="2:13">
      <c r="B27" s="8"/>
      <c r="C27" s="18"/>
      <c r="D27" s="10"/>
      <c r="E27" s="10"/>
      <c r="F27" s="10"/>
      <c r="G27" s="10"/>
      <c r="H27" s="10"/>
      <c r="I27" s="8"/>
      <c r="J27" s="8"/>
      <c r="K27" s="8"/>
      <c r="L27" s="8"/>
      <c r="M27" s="5"/>
    </row>
    <row r="28" spans="2:13">
      <c r="B28" s="8"/>
      <c r="C28" s="18"/>
      <c r="D28" s="10"/>
      <c r="E28" s="10"/>
      <c r="F28" s="10"/>
      <c r="G28" s="10"/>
      <c r="H28" s="10"/>
      <c r="I28" s="8"/>
      <c r="J28" s="8"/>
      <c r="K28" s="8"/>
      <c r="L28" s="8"/>
      <c r="M28" s="5"/>
    </row>
    <row r="29" spans="2:13">
      <c r="B29" s="8"/>
      <c r="C29" s="18"/>
      <c r="D29" s="10"/>
      <c r="E29" s="10"/>
      <c r="F29" s="10"/>
      <c r="G29" s="10"/>
      <c r="H29" s="10"/>
      <c r="I29" s="8"/>
      <c r="J29" s="8"/>
      <c r="K29" s="8"/>
      <c r="L29" s="8"/>
      <c r="M29" s="5"/>
    </row>
    <row r="30" spans="2:13">
      <c r="B30" s="8"/>
      <c r="C30" s="18"/>
      <c r="D30" s="10"/>
      <c r="E30" s="10"/>
      <c r="F30" s="10"/>
      <c r="G30" s="10"/>
      <c r="H30" s="10"/>
      <c r="I30" s="8"/>
      <c r="J30" s="8"/>
      <c r="K30" s="8"/>
      <c r="L30" s="8"/>
      <c r="M30" s="5"/>
    </row>
    <row r="31" spans="2:13" ht="213.75">
      <c r="B31" s="12" t="str">
        <f ca="1">"Last Update "&amp;TEXT(TODAY(),"dd-mmm-yy")</f>
        <v>Last Update 29-Jan-18</v>
      </c>
      <c r="C31" s="8"/>
      <c r="D31" s="8"/>
      <c r="E31" s="8"/>
      <c r="F31" s="8"/>
      <c r="G31" s="8"/>
      <c r="H31" s="8"/>
      <c r="I31" s="8"/>
      <c r="J31" s="8"/>
      <c r="K31" s="8"/>
      <c r="L31" s="13"/>
      <c r="M31" s="5"/>
    </row>
    <row r="32" spans="2:13" ht="6" customHeight="1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</sheetData>
  <phoneticPr fontId="20" type="noConversion"/>
  <hyperlinks>
    <hyperlink ref="C11" location="'Calendar Rule Data'!A1" display="Page 1: Calendar Rule Data" xr:uid="{00000000-0004-0000-0000-000000000000}"/>
    <hyperlink ref="C12" location="'Business Calendar'!A1" display="Page 1. Business Calendar" xr:uid="{00000000-0004-0000-0000-000001000000}"/>
    <hyperlink ref="C13" location="'Business Financial Dates'!A1" display="Page 3: Financial Dates" xr:uid="{00000000-0004-0000-0000-000002000000}"/>
    <hyperlink ref="C14" location="'Business Schedulers'!A1" display="Page 4: Schedulers" xr:uid="{00000000-0004-0000-0000-000003000000}"/>
    <hyperlink ref="C15" location="'Reference Data'!A1" display="Page 5: Reference Data" xr:uid="{00000000-0004-0000-0000-000004000000}"/>
  </hyperlinks>
  <pageMargins left="0.75" right="0.75" top="1" bottom="1" header="0.5" footer="0.5"/>
  <pageSetup orientation="portrait" r:id="rId1"/>
  <headerFooter alignWithMargins="0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pageSetUpPr fitToPage="1"/>
  </sheetPr>
  <dimension ref="B1:AZ229"/>
  <sheetViews>
    <sheetView showGridLines="0" topLeftCell="A6" workbookViewId="0">
      <selection activeCell="D13" sqref="D13"/>
    </sheetView>
  </sheetViews>
  <sheetFormatPr defaultColWidth="9.33203125" defaultRowHeight="12.75"/>
  <cols>
    <col min="1" max="2" width="1.83203125" style="1" customWidth="1"/>
    <col min="3" max="3" width="3.1640625" style="1" customWidth="1"/>
    <col min="4" max="4" width="25.33203125" style="1" customWidth="1"/>
    <col min="5" max="5" width="17.33203125" style="1" customWidth="1"/>
    <col min="6" max="6" width="12.83203125" style="1" customWidth="1"/>
    <col min="7" max="7" width="12.33203125" style="1" customWidth="1"/>
    <col min="8" max="8" width="11.5" style="1" customWidth="1"/>
    <col min="9" max="9" width="12.33203125" style="1" customWidth="1"/>
    <col min="10" max="10" width="10.5" style="1" customWidth="1"/>
    <col min="11" max="11" width="12.33203125" style="1" customWidth="1"/>
    <col min="12" max="12" width="12.5" style="1" customWidth="1"/>
    <col min="13" max="13" width="13.83203125" style="1" bestFit="1" customWidth="1"/>
    <col min="14" max="14" width="8.5" style="1" bestFit="1" customWidth="1"/>
    <col min="15" max="15" width="12.83203125" style="1" bestFit="1" customWidth="1"/>
    <col min="16" max="16" width="8.1640625" style="1" bestFit="1" customWidth="1"/>
    <col min="17" max="17" width="9.6640625" style="1" bestFit="1" customWidth="1"/>
    <col min="18" max="18" width="10.5" style="1" bestFit="1" customWidth="1"/>
    <col min="19" max="19" width="8.1640625" style="1" bestFit="1" customWidth="1"/>
    <col min="20" max="20" width="14.6640625" style="1" bestFit="1" customWidth="1"/>
    <col min="21" max="21" width="8.1640625" style="1" bestFit="1" customWidth="1"/>
    <col min="22" max="23" width="11.1640625" style="1" bestFit="1" customWidth="1"/>
    <col min="24" max="24" width="8.1640625" style="1" bestFit="1" customWidth="1"/>
    <col min="25" max="25" width="8.5" style="1" bestFit="1" customWidth="1"/>
    <col min="26" max="26" width="9.33203125" style="1" bestFit="1" customWidth="1"/>
    <col min="27" max="27" width="10.33203125" style="1" customWidth="1"/>
    <col min="28" max="28" width="9.33203125" style="1"/>
    <col min="29" max="30" width="8.1640625" style="1" bestFit="1" customWidth="1"/>
    <col min="31" max="33" width="9.33203125" style="1"/>
    <col min="34" max="34" width="10.5" style="1" bestFit="1" customWidth="1"/>
    <col min="35" max="35" width="11" style="1" bestFit="1" customWidth="1"/>
    <col min="36" max="36" width="9.33203125" style="1"/>
    <col min="37" max="37" width="8.33203125" style="1" bestFit="1" customWidth="1"/>
    <col min="38" max="39" width="8.1640625" style="1" bestFit="1" customWidth="1"/>
    <col min="40" max="41" width="8.5" style="1" bestFit="1" customWidth="1"/>
    <col min="42" max="42" width="10.83203125" style="1" bestFit="1" customWidth="1"/>
    <col min="43" max="16384" width="9.33203125" style="1"/>
  </cols>
  <sheetData>
    <row r="1" spans="2:52" ht="6" customHeight="1"/>
    <row r="2" spans="2:52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2:52" ht="30" customHeight="1" thickBot="1">
      <c r="B3" s="3"/>
      <c r="C3" s="3"/>
      <c r="D3" s="4"/>
      <c r="E3" s="27" t="s">
        <v>15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2:52" ht="14.25" thickTop="1" thickBot="1">
      <c r="B4" s="6"/>
      <c r="C4" s="6"/>
      <c r="D4" s="6"/>
      <c r="E4" s="6"/>
      <c r="F4" s="6"/>
      <c r="G4" s="6"/>
      <c r="H4" s="6"/>
      <c r="I4" s="6"/>
      <c r="J4" s="6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6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2:52" ht="13.5" thickBot="1">
      <c r="B5" s="8"/>
      <c r="C5" s="9"/>
      <c r="D5" s="8"/>
      <c r="E5" s="26" t="s">
        <v>9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2:52">
      <c r="B6" s="8"/>
      <c r="C6" s="9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2:52" ht="13.5" thickBot="1">
      <c r="B7" s="8"/>
      <c r="C7" s="8"/>
      <c r="D7" s="21" t="s">
        <v>13</v>
      </c>
      <c r="E7" s="117">
        <f ca="1">TODAY()</f>
        <v>43129</v>
      </c>
      <c r="F7" s="117">
        <f ca="1">E7+1000</f>
        <v>44129</v>
      </c>
      <c r="G7" s="19"/>
      <c r="H7" s="19"/>
      <c r="I7" s="19"/>
      <c r="J7" s="19"/>
      <c r="K7" s="19"/>
      <c r="L7" s="19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2:52" ht="12" customHeight="1">
      <c r="B8" s="8"/>
      <c r="C8" s="10"/>
      <c r="D8" s="31" t="s">
        <v>14</v>
      </c>
      <c r="E8" s="33" t="str">
        <f t="array" ref="E8:AZ8">TRANSPOSE(_xll.Orion.ExcelAPI.Cache.CalendarsSupported())</f>
        <v>Hell</v>
      </c>
      <c r="F8" s="33" t="str">
        <v>Adelaide</v>
      </c>
      <c r="G8" s="33" t="str">
        <v>Amsterdam</v>
      </c>
      <c r="H8" s="33" t="str">
        <v>Auckland</v>
      </c>
      <c r="I8" s="33" t="str">
        <v>Beijing</v>
      </c>
      <c r="J8" s="33" t="str">
        <v>Brisbane</v>
      </c>
      <c r="K8" s="33" t="str">
        <v>Brussels</v>
      </c>
      <c r="L8" s="33" t="str">
        <v>Budapest</v>
      </c>
      <c r="M8" s="33" t="str">
        <v>Buenos Aires</v>
      </c>
      <c r="N8" s="33" t="str">
        <v>Chicago</v>
      </c>
      <c r="O8" s="33" t="str">
        <v>Copenhagen</v>
      </c>
      <c r="P8" s="33" t="str">
        <v>Dublin</v>
      </c>
      <c r="Q8" s="33" t="str">
        <v>Frankfurt</v>
      </c>
      <c r="R8" s="33" t="str">
        <v>HongKong</v>
      </c>
      <c r="S8" s="33" t="str">
        <v>Hobart</v>
      </c>
      <c r="T8" s="33" t="str">
        <v>Johannesburg</v>
      </c>
      <c r="U8" s="33" t="str">
        <v>London</v>
      </c>
      <c r="V8" s="33" t="str">
        <v>Melbourne</v>
      </c>
      <c r="W8" s="33" t="str">
        <v>MexicoCity</v>
      </c>
      <c r="X8" s="33" t="str">
        <v>Milan</v>
      </c>
      <c r="Y8" s="33" t="str">
        <v>Mumbai</v>
      </c>
      <c r="Z8" s="33" t="str">
        <v>Montreal</v>
      </c>
      <c r="AA8" s="33" t="str">
        <v>NewYork</v>
      </c>
      <c r="AB8" s="33" t="str">
        <v>Oslo</v>
      </c>
      <c r="AC8" s="33" t="str">
        <v>Paris</v>
      </c>
      <c r="AD8" s="33" t="str">
        <v>Perth</v>
      </c>
      <c r="AE8" s="33" t="str">
        <v>Prague</v>
      </c>
      <c r="AF8" s="33" t="str">
        <v>Sao Paulo</v>
      </c>
      <c r="AG8" s="33" t="str">
        <v>Seoul</v>
      </c>
      <c r="AH8" s="33" t="str">
        <v>Singapore</v>
      </c>
      <c r="AI8" s="33" t="str">
        <v>Stockholm</v>
      </c>
      <c r="AJ8" s="33" t="str">
        <v>Sydney</v>
      </c>
      <c r="AK8" s="33" t="str">
        <v>TARGET</v>
      </c>
      <c r="AL8" s="33" t="str">
        <v>EURO</v>
      </c>
      <c r="AM8" s="33" t="str">
        <v>Tokyo</v>
      </c>
      <c r="AN8" s="33" t="str">
        <v>Toronto</v>
      </c>
      <c r="AO8" s="33" t="str">
        <v>Warsaw</v>
      </c>
      <c r="AP8" s="33" t="str">
        <v>Wellington</v>
      </c>
      <c r="AQ8" s="33" t="str">
        <v>Zurich</v>
      </c>
      <c r="AR8" s="33" t="e">
        <v>#N/A</v>
      </c>
      <c r="AS8" s="33" t="e">
        <v>#N/A</v>
      </c>
      <c r="AT8" s="33" t="e">
        <v>#N/A</v>
      </c>
      <c r="AU8" s="33" t="e">
        <v>#N/A</v>
      </c>
      <c r="AV8" s="33" t="e">
        <v>#N/A</v>
      </c>
      <c r="AW8" s="33" t="e">
        <v>#N/A</v>
      </c>
      <c r="AX8" s="33" t="e">
        <v>#N/A</v>
      </c>
      <c r="AY8" s="33" t="e">
        <v>#N/A</v>
      </c>
      <c r="AZ8" s="33" t="e">
        <v>#N/A</v>
      </c>
    </row>
    <row r="9" spans="2:52" ht="12" customHeight="1">
      <c r="B9" s="8"/>
      <c r="C9" s="10"/>
      <c r="D9" s="29" t="str">
        <f t="array" ref="D9:D50">_xll.Orion.ExcelAPI.Cache.CalendarsSupported()</f>
        <v>Hell</v>
      </c>
      <c r="E9" s="118" t="e">
        <f t="array" aca="1" ref="E9:E50" ca="1">_xll.HLV5r3.Financial.Cache.HolidaysBetween( E8, $E$7,$F$7)</f>
        <v>#VALUE!</v>
      </c>
      <c r="F9" s="118">
        <f t="array" aca="1" ref="F9:F50" ca="1">_xll.HLV5r3.Financial.Cache.HolidaysBetween( F8, $E$7,$F$7)</f>
        <v>43171</v>
      </c>
      <c r="G9" s="118">
        <f t="array" aca="1" ref="G9:G50" ca="1">_xll.HLV5r3.Financial.Cache.HolidaysBetween( G8, $E$7,$F$7)</f>
        <v>43189</v>
      </c>
      <c r="H9" s="118">
        <f t="array" aca="1" ref="H9:H50" ca="1">_xll.HLV5r3.Financial.Cache.HolidaysBetween( H8, $E$7,$F$7)</f>
        <v>43129</v>
      </c>
      <c r="I9" s="118">
        <f t="array" aca="1" ref="I9:I50" ca="1">_xll.HLV5r3.Financial.Cache.HolidaysBetween( I8, $E$7,$F$7)</f>
        <v>43147</v>
      </c>
      <c r="J9" s="118">
        <f t="array" aca="1" ref="J9:J50" ca="1">_xll.HLV5r3.Financial.Cache.HolidaysBetween( J8, $E$7,$F$7)</f>
        <v>43189</v>
      </c>
      <c r="K9" s="118">
        <f t="array" aca="1" ref="K9:K50" ca="1">_xll.HLV5r3.Financial.Cache.HolidaysBetween( K8, $E$7,$F$7)</f>
        <v>43189</v>
      </c>
      <c r="L9" s="118">
        <f t="array" aca="1" ref="L9:L50" ca="1">_xll.HLV5r3.Financial.Cache.HolidaysBetween( L8, $E$7,$F$7)</f>
        <v>43174</v>
      </c>
      <c r="M9" s="118">
        <f t="array" aca="1" ref="M9:M50" ca="1">_xll.HLV5r3.Financial.Cache.HolidaysBetween( M8, $E$7,$F$7)</f>
        <v>43183</v>
      </c>
      <c r="N9" s="118">
        <f t="array" aca="1" ref="N9:N50" ca="1">_xll.HLV5r3.Financial.Cache.HolidaysBetween( N8, $E$7,$F$7)</f>
        <v>43150</v>
      </c>
      <c r="O9" s="118">
        <f t="array" aca="1" ref="O9:O50" ca="1">_xll.HLV5r3.Financial.Cache.HolidaysBetween( O8, $E$7,$F$7)</f>
        <v>43188</v>
      </c>
      <c r="P9" s="118">
        <f t="array" aca="1" ref="P9:P50" ca="1">_xll.HLV5r3.Financial.Cache.HolidaysBetween( P8, $E$7,$F$7)</f>
        <v>43178</v>
      </c>
      <c r="Q9" s="118">
        <f t="array" aca="1" ref="Q9:Q50" ca="1">_xll.HLV5r3.Financial.Cache.HolidaysBetween( Q8, $E$7,$F$7)</f>
        <v>43150</v>
      </c>
      <c r="R9" s="118">
        <f t="array" aca="1" ref="R9:R50" ca="1">_xll.HLV5r3.Financial.Cache.HolidaysBetween( R8, $E$7,$F$7)</f>
        <v>43147</v>
      </c>
      <c r="S9" s="118">
        <f t="array" aca="1" ref="S9:S50" ca="1">_xll.HLV5r3.Financial.Cache.HolidaysBetween( S8, $E$7,$F$7)</f>
        <v>43143</v>
      </c>
      <c r="T9" s="118">
        <f t="array" aca="1" ref="T9:T50" ca="1">_xll.HLV5r3.Financial.Cache.HolidaysBetween( T8, $E$7,$F$7)</f>
        <v>43180</v>
      </c>
      <c r="U9" s="118">
        <f t="array" aca="1" ref="U9:U50" ca="1">_xll.HLV5r3.Financial.Cache.HolidaysBetween( U8, $E$7,$F$7)</f>
        <v>43189</v>
      </c>
      <c r="V9" s="118">
        <f t="array" aca="1" ref="V9:V50" ca="1">_xll.HLV5r3.Financial.Cache.HolidaysBetween( V8, $E$7,$F$7)</f>
        <v>43171</v>
      </c>
      <c r="W9" s="118">
        <f t="array" aca="1" ref="W9:W50" ca="1">_xll.HLV5r3.Financial.Cache.HolidaysBetween( W8, $E$7,$F$7)</f>
        <v>43136</v>
      </c>
      <c r="X9" s="118">
        <f t="array" aca="1" ref="X9:X50" ca="1">_xll.HLV5r3.Financial.Cache.HolidaysBetween( X8, $E$7,$F$7)</f>
        <v>43192</v>
      </c>
      <c r="Y9" s="118">
        <f t="array" aca="1" ref="Y9:Y50" ca="1">_xll.HLV5r3.Financial.Cache.HolidaysBetween( Y8, $E$7,$F$7)</f>
        <v>43150</v>
      </c>
      <c r="Z9" s="118">
        <f t="array" aca="1" ref="Z9:Z50" ca="1">_xll.HLV5r3.Financial.Cache.HolidaysBetween( Z8, $E$7,$F$7)</f>
        <v>43189</v>
      </c>
      <c r="AA9" s="118">
        <f t="array" aca="1" ref="AA9:AA50" ca="1">_xll.HLV5r3.Financial.Cache.HolidaysBetween( AA8, $E$7,$F$7)</f>
        <v>43150</v>
      </c>
      <c r="AB9" s="118">
        <f t="array" aca="1" ref="AB9:AB50" ca="1">_xll.HLV5r3.Financial.Cache.HolidaysBetween( AB8, $E$7,$F$7)</f>
        <v>43188</v>
      </c>
      <c r="AC9" s="118">
        <f t="array" aca="1" ref="AC9:AC50" ca="1">_xll.HLV5r3.Financial.Cache.HolidaysBetween( AC8, $E$7,$F$7)</f>
        <v>43150</v>
      </c>
      <c r="AD9" s="118">
        <f t="array" aca="1" ref="AD9:AD50" ca="1">_xll.HLV5r3.Financial.Cache.HolidaysBetween( AD8, $E$7,$F$7)</f>
        <v>43164</v>
      </c>
      <c r="AE9" s="118">
        <f t="array" aca="1" ref="AE9:AE50" ca="1">_xll.HLV5r3.Financial.Cache.HolidaysBetween( AE8, $E$7,$F$7)</f>
        <v>43192</v>
      </c>
      <c r="AF9" s="118">
        <f t="array" aca="1" ref="AF9:AF50" ca="1">_xll.HLV5r3.Financial.Cache.HolidaysBetween( AF8, $E$7,$F$7)</f>
        <v>43143</v>
      </c>
      <c r="AG9" s="118">
        <f t="array" aca="1" ref="AG9:AG50" ca="1">_xll.HLV5r3.Financial.Cache.HolidaysBetween( AG8, $E$7,$F$7)</f>
        <v>43146</v>
      </c>
      <c r="AH9" s="118">
        <f t="array" aca="1" ref="AH9:AH50" ca="1">_xll.HLV5r3.Financial.Cache.HolidaysBetween( AH8, $E$7,$F$7)</f>
        <v>43147</v>
      </c>
      <c r="AI9" s="118">
        <f t="array" aca="1" ref="AI9:AI50" ca="1">_xll.HLV5r3.Financial.Cache.HolidaysBetween( AI8, $E$7,$F$7)</f>
        <v>43189</v>
      </c>
      <c r="AJ9" s="118">
        <f t="array" aca="1" ref="AJ9:AJ50" ca="1">_xll.HLV5r3.Financial.Cache.HolidaysBetween( AJ8, $E$7,$F$7)</f>
        <v>43189</v>
      </c>
      <c r="AK9" s="118">
        <f t="array" aca="1" ref="AK9:AK50" ca="1">_xll.HLV5r3.Financial.Cache.HolidaysBetween( AK8, $E$7,$F$7)</f>
        <v>43189</v>
      </c>
      <c r="AL9" s="118">
        <f t="array" aca="1" ref="AL9:AL50" ca="1">_xll.HLV5r3.Financial.Cache.HolidaysBetween( AL8, $E$7,$F$7)</f>
        <v>43189</v>
      </c>
      <c r="AM9" s="118">
        <f t="array" aca="1" ref="AM9:AM50" ca="1">_xll.HLV5r3.Financial.Cache.HolidaysBetween( AM8, $E$7,$F$7)</f>
        <v>43143</v>
      </c>
      <c r="AN9" s="118">
        <f t="array" aca="1" ref="AN9:AN50" ca="1">_xll.HLV5r3.Financial.Cache.HolidaysBetween( AN8, $E$7,$F$7)</f>
        <v>43150</v>
      </c>
      <c r="AO9" s="118">
        <f t="array" aca="1" ref="AO9:AO50" ca="1">_xll.HLV5r3.Financial.Cache.HolidaysBetween( AO8, $E$7,$F$7)</f>
        <v>43192</v>
      </c>
      <c r="AP9" s="118">
        <f t="array" aca="1" ref="AP9:AP50" ca="1">_xll.HLV5r3.Financial.Cache.HolidaysBetween( AP8, $E$7,$F$7)</f>
        <v>43137</v>
      </c>
      <c r="AQ9" s="118">
        <f t="array" aca="1" ref="AQ9:AQ50" ca="1">_xll.HLV5r3.Financial.Cache.HolidaysBetween( AQ8, $E$7,$F$7)</f>
        <v>43189</v>
      </c>
      <c r="AR9" s="118"/>
      <c r="AS9" s="118"/>
      <c r="AT9" s="118"/>
      <c r="AU9" s="118"/>
      <c r="AV9" s="118"/>
      <c r="AW9" s="118"/>
      <c r="AX9" s="118"/>
      <c r="AY9" s="118"/>
      <c r="AZ9" s="118"/>
    </row>
    <row r="10" spans="2:52" ht="12" customHeight="1">
      <c r="B10" s="8"/>
      <c r="C10" s="10"/>
      <c r="D10" s="29" t="str">
        <v>Adelaide</v>
      </c>
      <c r="E10" s="118" t="e">
        <f ca="1"/>
        <v>#VALUE!</v>
      </c>
      <c r="F10" s="118">
        <f ca="1"/>
        <v>43189</v>
      </c>
      <c r="G10" s="118">
        <f ca="1"/>
        <v>43192</v>
      </c>
      <c r="H10" s="118">
        <f ca="1"/>
        <v>43137</v>
      </c>
      <c r="I10" s="118">
        <f ca="1"/>
        <v>43148</v>
      </c>
      <c r="J10" s="118">
        <f ca="1"/>
        <v>43190</v>
      </c>
      <c r="K10" s="118">
        <f ca="1"/>
        <v>43192</v>
      </c>
      <c r="L10" s="118">
        <f ca="1"/>
        <v>43189</v>
      </c>
      <c r="M10" s="118">
        <f ca="1"/>
        <v>43188</v>
      </c>
      <c r="N10" s="118">
        <f ca="1"/>
        <v>43248</v>
      </c>
      <c r="O10" s="118">
        <f ca="1"/>
        <v>43189</v>
      </c>
      <c r="P10" s="118">
        <f ca="1"/>
        <v>43189</v>
      </c>
      <c r="Q10" s="118">
        <f ca="1"/>
        <v>43189</v>
      </c>
      <c r="R10" s="118">
        <f ca="1"/>
        <v>43148</v>
      </c>
      <c r="S10" s="118">
        <f ca="1"/>
        <v>43171</v>
      </c>
      <c r="T10" s="118">
        <f ca="1"/>
        <v>43189</v>
      </c>
      <c r="U10" s="118">
        <f ca="1"/>
        <v>43192</v>
      </c>
      <c r="V10" s="118">
        <f ca="1"/>
        <v>43189</v>
      </c>
      <c r="W10" s="118">
        <f ca="1"/>
        <v>43178</v>
      </c>
      <c r="X10" s="118">
        <f ca="1"/>
        <v>43215</v>
      </c>
      <c r="Y10" s="118">
        <f ca="1"/>
        <v>43160</v>
      </c>
      <c r="Z10" s="118">
        <f ca="1"/>
        <v>43241</v>
      </c>
      <c r="AA10" s="118">
        <f ca="1"/>
        <v>43248</v>
      </c>
      <c r="AB10" s="118">
        <f ca="1"/>
        <v>43189</v>
      </c>
      <c r="AC10" s="118">
        <f ca="1"/>
        <v>43184</v>
      </c>
      <c r="AD10" s="118">
        <f ca="1"/>
        <v>43189</v>
      </c>
      <c r="AE10" s="118">
        <f ca="1"/>
        <v>43221</v>
      </c>
      <c r="AF10" s="118">
        <f ca="1"/>
        <v>43144</v>
      </c>
      <c r="AG10" s="118">
        <f ca="1"/>
        <v>43147</v>
      </c>
      <c r="AH10" s="118">
        <f ca="1"/>
        <v>43148</v>
      </c>
      <c r="AI10" s="118">
        <f ca="1"/>
        <v>43192</v>
      </c>
      <c r="AJ10" s="118">
        <f ca="1"/>
        <v>43190</v>
      </c>
      <c r="AK10" s="118">
        <f ca="1"/>
        <v>43192</v>
      </c>
      <c r="AL10" s="118">
        <f ca="1"/>
        <v>43192</v>
      </c>
      <c r="AM10" s="118">
        <f ca="1"/>
        <v>43180</v>
      </c>
      <c r="AN10" s="118">
        <f ca="1"/>
        <v>43189</v>
      </c>
      <c r="AO10" s="118">
        <f ca="1"/>
        <v>43221</v>
      </c>
      <c r="AP10" s="118">
        <f ca="1"/>
        <v>43189</v>
      </c>
      <c r="AQ10" s="118">
        <f ca="1"/>
        <v>43192</v>
      </c>
      <c r="AR10" s="118"/>
      <c r="AS10" s="118"/>
      <c r="AT10" s="118"/>
      <c r="AU10" s="118"/>
      <c r="AV10" s="118"/>
      <c r="AW10" s="118"/>
      <c r="AX10" s="118"/>
      <c r="AY10" s="118"/>
      <c r="AZ10" s="118"/>
    </row>
    <row r="11" spans="2:52" ht="12" customHeight="1">
      <c r="B11" s="8"/>
      <c r="C11" s="10"/>
      <c r="D11" s="29" t="str">
        <v>Amsterdam</v>
      </c>
      <c r="E11" s="118" t="e">
        <f ca="1"/>
        <v>#VALUE!</v>
      </c>
      <c r="F11" s="118">
        <f ca="1"/>
        <v>43190</v>
      </c>
      <c r="G11" s="118">
        <f ca="1"/>
        <v>43220</v>
      </c>
      <c r="H11" s="118">
        <f ca="1"/>
        <v>43189</v>
      </c>
      <c r="I11" s="118">
        <f ca="1"/>
        <v>43149</v>
      </c>
      <c r="J11" s="118">
        <f ca="1"/>
        <v>43192</v>
      </c>
      <c r="K11" s="118">
        <f ca="1"/>
        <v>43221</v>
      </c>
      <c r="L11" s="118">
        <f ca="1"/>
        <v>43192</v>
      </c>
      <c r="M11" s="118">
        <f ca="1"/>
        <v>43189</v>
      </c>
      <c r="N11" s="118">
        <f ca="1"/>
        <v>43285</v>
      </c>
      <c r="O11" s="118">
        <f ca="1"/>
        <v>43192</v>
      </c>
      <c r="P11" s="118">
        <f ca="1"/>
        <v>43192</v>
      </c>
      <c r="Q11" s="118">
        <f ca="1"/>
        <v>43192</v>
      </c>
      <c r="R11" s="118">
        <f ca="1"/>
        <v>43149</v>
      </c>
      <c r="S11" s="118">
        <f ca="1"/>
        <v>43189</v>
      </c>
      <c r="T11" s="118">
        <f ca="1"/>
        <v>43192</v>
      </c>
      <c r="U11" s="118">
        <f ca="1"/>
        <v>43227</v>
      </c>
      <c r="V11" s="118">
        <f ca="1"/>
        <v>43190</v>
      </c>
      <c r="W11" s="118">
        <f ca="1"/>
        <v>43188</v>
      </c>
      <c r="X11" s="118">
        <f ca="1"/>
        <v>43221</v>
      </c>
      <c r="Y11" s="118">
        <f ca="1"/>
        <v>43177</v>
      </c>
      <c r="Z11" s="118">
        <f ca="1"/>
        <v>43276</v>
      </c>
      <c r="AA11" s="118">
        <f ca="1"/>
        <v>43285</v>
      </c>
      <c r="AB11" s="118">
        <f ca="1"/>
        <v>43192</v>
      </c>
      <c r="AC11" s="118">
        <f ca="1"/>
        <v>43189</v>
      </c>
      <c r="AD11" s="118">
        <f ca="1"/>
        <v>43192</v>
      </c>
      <c r="AE11" s="118">
        <f ca="1"/>
        <v>43228</v>
      </c>
      <c r="AF11" s="118">
        <f ca="1"/>
        <v>43189</v>
      </c>
      <c r="AG11" s="118">
        <f ca="1"/>
        <v>43148</v>
      </c>
      <c r="AH11" s="118">
        <f ca="1"/>
        <v>43189</v>
      </c>
      <c r="AI11" s="118">
        <f ca="1"/>
        <v>43221</v>
      </c>
      <c r="AJ11" s="118">
        <f ca="1"/>
        <v>43192</v>
      </c>
      <c r="AK11" s="118">
        <f ca="1"/>
        <v>43221</v>
      </c>
      <c r="AL11" s="118">
        <f ca="1"/>
        <v>43221</v>
      </c>
      <c r="AM11" s="118">
        <f ca="1"/>
        <v>43220</v>
      </c>
      <c r="AN11" s="118">
        <f ca="1"/>
        <v>43241</v>
      </c>
      <c r="AO11" s="118">
        <f ca="1"/>
        <v>43223</v>
      </c>
      <c r="AP11" s="118">
        <f ca="1"/>
        <v>43192</v>
      </c>
      <c r="AQ11" s="118">
        <f ca="1"/>
        <v>43221</v>
      </c>
      <c r="AR11" s="118"/>
      <c r="AS11" s="118"/>
      <c r="AT11" s="118"/>
      <c r="AU11" s="118"/>
      <c r="AV11" s="118"/>
      <c r="AW11" s="118"/>
      <c r="AX11" s="118"/>
      <c r="AY11" s="118"/>
      <c r="AZ11" s="118"/>
    </row>
    <row r="12" spans="2:52" ht="12" customHeight="1">
      <c r="B12" s="8"/>
      <c r="C12" s="10"/>
      <c r="D12" s="29" t="str">
        <v>Auckland</v>
      </c>
      <c r="E12" s="118" t="e">
        <f ca="1"/>
        <v>#VALUE!</v>
      </c>
      <c r="F12" s="118">
        <f ca="1"/>
        <v>43192</v>
      </c>
      <c r="G12" s="118">
        <f ca="1"/>
        <v>43230</v>
      </c>
      <c r="H12" s="118">
        <f ca="1"/>
        <v>43192</v>
      </c>
      <c r="I12" s="118">
        <f ca="1"/>
        <v>43150</v>
      </c>
      <c r="J12" s="118">
        <f ca="1"/>
        <v>43215</v>
      </c>
      <c r="K12" s="118">
        <f ca="1"/>
        <v>43230</v>
      </c>
      <c r="L12" s="118">
        <f ca="1"/>
        <v>43221</v>
      </c>
      <c r="M12" s="118">
        <f ca="1"/>
        <v>43192</v>
      </c>
      <c r="N12" s="118">
        <f ca="1"/>
        <v>43346</v>
      </c>
      <c r="O12" s="118">
        <f ca="1"/>
        <v>43217</v>
      </c>
      <c r="P12" s="118">
        <f ca="1"/>
        <v>43227</v>
      </c>
      <c r="Q12" s="118">
        <f ca="1"/>
        <v>43221</v>
      </c>
      <c r="R12" s="118">
        <f ca="1"/>
        <v>43189</v>
      </c>
      <c r="S12" s="118">
        <f ca="1"/>
        <v>43192</v>
      </c>
      <c r="T12" s="118">
        <f ca="1"/>
        <v>43217</v>
      </c>
      <c r="U12" s="118">
        <f ca="1"/>
        <v>43248</v>
      </c>
      <c r="V12" s="118">
        <f ca="1"/>
        <v>43192</v>
      </c>
      <c r="W12" s="118">
        <f ca="1"/>
        <v>43189</v>
      </c>
      <c r="X12" s="118">
        <f ca="1"/>
        <v>43253</v>
      </c>
      <c r="Y12" s="118">
        <f ca="1"/>
        <v>43189</v>
      </c>
      <c r="Z12" s="118">
        <f ca="1"/>
        <v>43283</v>
      </c>
      <c r="AA12" s="118">
        <f ca="1"/>
        <v>43346</v>
      </c>
      <c r="AB12" s="118">
        <f ca="1"/>
        <v>43221</v>
      </c>
      <c r="AC12" s="118">
        <f ca="1"/>
        <v>43192</v>
      </c>
      <c r="AD12" s="118">
        <f ca="1"/>
        <v>43215</v>
      </c>
      <c r="AE12" s="118">
        <f ca="1"/>
        <v>43286</v>
      </c>
      <c r="AF12" s="118">
        <f ca="1"/>
        <v>43211</v>
      </c>
      <c r="AG12" s="118">
        <f ca="1"/>
        <v>43160</v>
      </c>
      <c r="AH12" s="118">
        <f ca="1"/>
        <v>43221</v>
      </c>
      <c r="AI12" s="118">
        <f ca="1"/>
        <v>43230</v>
      </c>
      <c r="AJ12" s="118">
        <f ca="1"/>
        <v>43215</v>
      </c>
      <c r="AK12" s="118">
        <f ca="1"/>
        <v>43459</v>
      </c>
      <c r="AL12" s="118">
        <f ca="1"/>
        <v>43459</v>
      </c>
      <c r="AM12" s="118">
        <f ca="1"/>
        <v>43223</v>
      </c>
      <c r="AN12" s="118">
        <f ca="1"/>
        <v>43283</v>
      </c>
      <c r="AO12" s="118">
        <f ca="1"/>
        <v>43251</v>
      </c>
      <c r="AP12" s="118">
        <f ca="1"/>
        <v>43215</v>
      </c>
      <c r="AQ12" s="118">
        <f ca="1"/>
        <v>43230</v>
      </c>
      <c r="AR12" s="118"/>
      <c r="AS12" s="118"/>
      <c r="AT12" s="118"/>
      <c r="AU12" s="118"/>
      <c r="AV12" s="118"/>
      <c r="AW12" s="118"/>
      <c r="AX12" s="118"/>
      <c r="AY12" s="118"/>
      <c r="AZ12" s="118"/>
    </row>
    <row r="13" spans="2:52" ht="12" customHeight="1">
      <c r="B13" s="8"/>
      <c r="C13" s="10"/>
      <c r="D13" s="29" t="str">
        <v>Beijing</v>
      </c>
      <c r="E13" s="118" t="e">
        <f ca="1"/>
        <v>#VALUE!</v>
      </c>
      <c r="F13" s="118">
        <f ca="1"/>
        <v>43215</v>
      </c>
      <c r="G13" s="118">
        <f ca="1"/>
        <v>43241</v>
      </c>
      <c r="H13" s="118">
        <f ca="1"/>
        <v>43215</v>
      </c>
      <c r="I13" s="118">
        <f ca="1"/>
        <v>43151</v>
      </c>
      <c r="J13" s="118">
        <f ca="1"/>
        <v>43227</v>
      </c>
      <c r="K13" s="118">
        <f ca="1"/>
        <v>43231</v>
      </c>
      <c r="L13" s="118">
        <f ca="1"/>
        <v>43241</v>
      </c>
      <c r="M13" s="118">
        <f ca="1"/>
        <v>43221</v>
      </c>
      <c r="N13" s="118">
        <f ca="1"/>
        <v>43381</v>
      </c>
      <c r="O13" s="118">
        <f ca="1"/>
        <v>43230</v>
      </c>
      <c r="P13" s="118">
        <f ca="1"/>
        <v>43255</v>
      </c>
      <c r="Q13" s="118">
        <f ca="1"/>
        <v>43230</v>
      </c>
      <c r="R13" s="118">
        <f ca="1"/>
        <v>43190</v>
      </c>
      <c r="S13" s="118">
        <f ca="1"/>
        <v>43193</v>
      </c>
      <c r="T13" s="118">
        <f ca="1"/>
        <v>43221</v>
      </c>
      <c r="U13" s="118">
        <f ca="1"/>
        <v>43339</v>
      </c>
      <c r="V13" s="118">
        <f ca="1"/>
        <v>43215</v>
      </c>
      <c r="W13" s="118">
        <f ca="1"/>
        <v>43190</v>
      </c>
      <c r="X13" s="118">
        <f ca="1"/>
        <v>43327</v>
      </c>
      <c r="Y13" s="118">
        <f ca="1"/>
        <v>43191</v>
      </c>
      <c r="Z13" s="118">
        <f ca="1"/>
        <v>43346</v>
      </c>
      <c r="AA13" s="118">
        <f ca="1"/>
        <v>43381</v>
      </c>
      <c r="AB13" s="118">
        <f ca="1"/>
        <v>43230</v>
      </c>
      <c r="AC13" s="118">
        <f ca="1"/>
        <v>43196</v>
      </c>
      <c r="AD13" s="118">
        <f ca="1"/>
        <v>43255</v>
      </c>
      <c r="AE13" s="118">
        <f ca="1"/>
        <v>43287</v>
      </c>
      <c r="AF13" s="118">
        <f ca="1"/>
        <v>43221</v>
      </c>
      <c r="AG13" s="118">
        <f ca="1"/>
        <v>43221</v>
      </c>
      <c r="AH13" s="118">
        <f ca="1"/>
        <v>43249</v>
      </c>
      <c r="AI13" s="118">
        <f ca="1"/>
        <v>43257</v>
      </c>
      <c r="AJ13" s="118">
        <f ca="1"/>
        <v>43262</v>
      </c>
      <c r="AK13" s="118">
        <f ca="1"/>
        <v>43460</v>
      </c>
      <c r="AL13" s="118">
        <f ca="1"/>
        <v>43460</v>
      </c>
      <c r="AM13" s="118">
        <f ca="1"/>
        <v>43224</v>
      </c>
      <c r="AN13" s="118">
        <f ca="1"/>
        <v>43318</v>
      </c>
      <c r="AO13" s="118">
        <f ca="1"/>
        <v>43327</v>
      </c>
      <c r="AP13" s="118">
        <f ca="1"/>
        <v>43255</v>
      </c>
      <c r="AQ13" s="118">
        <f ca="1"/>
        <v>43241</v>
      </c>
      <c r="AR13" s="118"/>
      <c r="AS13" s="118"/>
      <c r="AT13" s="118"/>
      <c r="AU13" s="118"/>
      <c r="AV13" s="118"/>
      <c r="AW13" s="118"/>
      <c r="AX13" s="118"/>
      <c r="AY13" s="118"/>
      <c r="AZ13" s="118"/>
    </row>
    <row r="14" spans="2:52" ht="12" customHeight="1">
      <c r="B14" s="8"/>
      <c r="C14" s="10"/>
      <c r="D14" s="29" t="str">
        <v>Brisbane</v>
      </c>
      <c r="E14" s="118" t="e">
        <f ca="1"/>
        <v>#VALUE!</v>
      </c>
      <c r="F14" s="118">
        <f ca="1"/>
        <v>43262</v>
      </c>
      <c r="G14" s="118">
        <f ca="1"/>
        <v>43459</v>
      </c>
      <c r="H14" s="118">
        <f ca="1"/>
        <v>43255</v>
      </c>
      <c r="I14" s="118">
        <f ca="1"/>
        <v>43152</v>
      </c>
      <c r="J14" s="118">
        <f ca="1"/>
        <v>43262</v>
      </c>
      <c r="K14" s="118">
        <f ca="1"/>
        <v>43241</v>
      </c>
      <c r="L14" s="118">
        <f ca="1"/>
        <v>43318</v>
      </c>
      <c r="M14" s="118">
        <f ca="1"/>
        <v>43245</v>
      </c>
      <c r="N14" s="118">
        <f ca="1"/>
        <v>43416</v>
      </c>
      <c r="O14" s="118">
        <f ca="1"/>
        <v>43231</v>
      </c>
      <c r="P14" s="118">
        <f ca="1"/>
        <v>43318</v>
      </c>
      <c r="Q14" s="118">
        <f ca="1"/>
        <v>43241</v>
      </c>
      <c r="R14" s="118">
        <f ca="1"/>
        <v>43192</v>
      </c>
      <c r="S14" s="118">
        <f ca="1"/>
        <v>43215</v>
      </c>
      <c r="T14" s="118">
        <f ca="1"/>
        <v>43267</v>
      </c>
      <c r="U14" s="118">
        <f ca="1"/>
        <v>43459</v>
      </c>
      <c r="V14" s="118">
        <f ca="1"/>
        <v>43262</v>
      </c>
      <c r="W14" s="118">
        <f ca="1"/>
        <v>43221</v>
      </c>
      <c r="X14" s="118">
        <f ca="1"/>
        <v>43405</v>
      </c>
      <c r="Y14" s="118">
        <f ca="1"/>
        <v>43204</v>
      </c>
      <c r="Z14" s="118">
        <f ca="1"/>
        <v>43381</v>
      </c>
      <c r="AA14" s="118">
        <f ca="1"/>
        <v>43416</v>
      </c>
      <c r="AB14" s="118">
        <f ca="1"/>
        <v>43237</v>
      </c>
      <c r="AC14" s="118">
        <f ca="1"/>
        <v>43199</v>
      </c>
      <c r="AD14" s="118">
        <f ca="1"/>
        <v>43374</v>
      </c>
      <c r="AE14" s="118">
        <f ca="1"/>
        <v>43371</v>
      </c>
      <c r="AF14" s="118">
        <f ca="1"/>
        <v>43251</v>
      </c>
      <c r="AG14" s="118">
        <f ca="1"/>
        <v>43225</v>
      </c>
      <c r="AH14" s="118">
        <f ca="1"/>
        <v>43266</v>
      </c>
      <c r="AI14" s="118">
        <f ca="1"/>
        <v>43273</v>
      </c>
      <c r="AJ14" s="118">
        <f ca="1"/>
        <v>43318</v>
      </c>
      <c r="AK14" s="118">
        <f ca="1"/>
        <v>43466</v>
      </c>
      <c r="AL14" s="118">
        <f ca="1"/>
        <v>43466</v>
      </c>
      <c r="AM14" s="118">
        <f ca="1"/>
        <v>43225</v>
      </c>
      <c r="AN14" s="118">
        <f ca="1"/>
        <v>43346</v>
      </c>
      <c r="AO14" s="118">
        <f ca="1"/>
        <v>43405</v>
      </c>
      <c r="AP14" s="118">
        <f ca="1"/>
        <v>43395</v>
      </c>
      <c r="AQ14" s="118">
        <f ca="1"/>
        <v>43313</v>
      </c>
      <c r="AR14" s="118"/>
      <c r="AS14" s="118"/>
      <c r="AT14" s="118"/>
      <c r="AU14" s="118"/>
      <c r="AV14" s="118"/>
      <c r="AW14" s="118"/>
      <c r="AX14" s="118"/>
      <c r="AY14" s="118"/>
      <c r="AZ14" s="118"/>
    </row>
    <row r="15" spans="2:52" ht="12" customHeight="1">
      <c r="B15" s="8"/>
      <c r="C15" s="10"/>
      <c r="D15" s="29" t="str">
        <v>Brussels</v>
      </c>
      <c r="E15" s="118" t="e">
        <f ca="1"/>
        <v>#VALUE!</v>
      </c>
      <c r="F15" s="118">
        <f ca="1"/>
        <v>43374</v>
      </c>
      <c r="G15" s="118">
        <f ca="1"/>
        <v>43460</v>
      </c>
      <c r="H15" s="118">
        <f ca="1"/>
        <v>43395</v>
      </c>
      <c r="I15" s="118">
        <f ca="1"/>
        <v>43153</v>
      </c>
      <c r="J15" s="118">
        <f ca="1"/>
        <v>43327</v>
      </c>
      <c r="K15" s="118">
        <f ca="1"/>
        <v>43302</v>
      </c>
      <c r="L15" s="118">
        <f ca="1"/>
        <v>43319</v>
      </c>
      <c r="M15" s="118">
        <f ca="1"/>
        <v>43269</v>
      </c>
      <c r="N15" s="118">
        <f ca="1"/>
        <v>43426</v>
      </c>
      <c r="O15" s="118">
        <f ca="1"/>
        <v>43241</v>
      </c>
      <c r="P15" s="118">
        <f ca="1"/>
        <v>43402</v>
      </c>
      <c r="Q15" s="118">
        <f ca="1"/>
        <v>43248</v>
      </c>
      <c r="R15" s="118">
        <f ca="1"/>
        <v>43195</v>
      </c>
      <c r="S15" s="118">
        <f ca="1"/>
        <v>43262</v>
      </c>
      <c r="T15" s="118">
        <f ca="1"/>
        <v>43321</v>
      </c>
      <c r="U15" s="118">
        <f ca="1"/>
        <v>43460</v>
      </c>
      <c r="V15" s="118">
        <f ca="1"/>
        <v>43410</v>
      </c>
      <c r="W15" s="118">
        <f ca="1"/>
        <v>43359</v>
      </c>
      <c r="X15" s="118">
        <f ca="1"/>
        <v>43442</v>
      </c>
      <c r="Y15" s="118">
        <f ca="1"/>
        <v>43221</v>
      </c>
      <c r="Z15" s="118">
        <f ca="1"/>
        <v>43416</v>
      </c>
      <c r="AA15" s="118">
        <f ca="1"/>
        <v>43426</v>
      </c>
      <c r="AB15" s="118">
        <f ca="1"/>
        <v>43241</v>
      </c>
      <c r="AC15" s="118">
        <f ca="1"/>
        <v>43221</v>
      </c>
      <c r="AD15" s="118">
        <f ca="1"/>
        <v>43459</v>
      </c>
      <c r="AE15" s="118">
        <f ca="1"/>
        <v>43401</v>
      </c>
      <c r="AF15" s="118">
        <f ca="1"/>
        <v>43290</v>
      </c>
      <c r="AG15" s="118">
        <f ca="1"/>
        <v>43242</v>
      </c>
      <c r="AH15" s="118">
        <f ca="1"/>
        <v>43321</v>
      </c>
      <c r="AI15" s="118">
        <f ca="1"/>
        <v>43458</v>
      </c>
      <c r="AJ15" s="118">
        <f ca="1"/>
        <v>43374</v>
      </c>
      <c r="AK15" s="118">
        <f ca="1"/>
        <v>43574</v>
      </c>
      <c r="AL15" s="118">
        <f ca="1"/>
        <v>43574</v>
      </c>
      <c r="AM15" s="118">
        <f ca="1"/>
        <v>43297</v>
      </c>
      <c r="AN15" s="118">
        <f ca="1"/>
        <v>43381</v>
      </c>
      <c r="AO15" s="118">
        <f ca="1"/>
        <v>43415</v>
      </c>
      <c r="AP15" s="118">
        <f ca="1"/>
        <v>43459</v>
      </c>
      <c r="AQ15" s="118">
        <f ca="1"/>
        <v>43459</v>
      </c>
      <c r="AR15" s="118"/>
      <c r="AS15" s="118"/>
      <c r="AT15" s="118"/>
      <c r="AU15" s="118"/>
      <c r="AV15" s="118"/>
      <c r="AW15" s="118"/>
      <c r="AX15" s="118"/>
      <c r="AY15" s="118"/>
      <c r="AZ15" s="118"/>
    </row>
    <row r="16" spans="2:52" ht="12" customHeight="1">
      <c r="B16" s="8"/>
      <c r="C16" s="10"/>
      <c r="D16" s="29" t="str">
        <v>Budapest</v>
      </c>
      <c r="E16" s="118" t="e">
        <f ca="1"/>
        <v>#VALUE!</v>
      </c>
      <c r="F16" s="118">
        <f ca="1"/>
        <v>43459</v>
      </c>
      <c r="G16" s="118">
        <f ca="1"/>
        <v>43466</v>
      </c>
      <c r="H16" s="118">
        <f ca="1"/>
        <v>43459</v>
      </c>
      <c r="I16" s="118">
        <f ca="1"/>
        <v>43154</v>
      </c>
      <c r="J16" s="118">
        <f ca="1"/>
        <v>43459</v>
      </c>
      <c r="K16" s="118">
        <f ca="1"/>
        <v>43327</v>
      </c>
      <c r="L16" s="118">
        <f ca="1"/>
        <v>43332</v>
      </c>
      <c r="M16" s="118">
        <f ca="1"/>
        <v>43290</v>
      </c>
      <c r="N16" s="118">
        <f ca="1"/>
        <v>43459</v>
      </c>
      <c r="O16" s="118">
        <f ca="1"/>
        <v>43256</v>
      </c>
      <c r="P16" s="118">
        <f ca="1"/>
        <v>43459</v>
      </c>
      <c r="Q16" s="118">
        <f ca="1"/>
        <v>43251</v>
      </c>
      <c r="R16" s="118">
        <f ca="1"/>
        <v>43221</v>
      </c>
      <c r="S16" s="118">
        <f ca="1"/>
        <v>43398</v>
      </c>
      <c r="T16" s="118">
        <f ca="1"/>
        <v>43367</v>
      </c>
      <c r="U16" s="118">
        <f ca="1"/>
        <v>43466</v>
      </c>
      <c r="V16" s="118">
        <f ca="1"/>
        <v>43459</v>
      </c>
      <c r="W16" s="118">
        <f ca="1"/>
        <v>43406</v>
      </c>
      <c r="X16" s="118">
        <f ca="1"/>
        <v>43459</v>
      </c>
      <c r="Y16" s="118">
        <f ca="1"/>
        <v>43241</v>
      </c>
      <c r="Z16" s="118">
        <f ca="1"/>
        <v>43459</v>
      </c>
      <c r="AA16" s="118">
        <f ca="1"/>
        <v>43459</v>
      </c>
      <c r="AB16" s="118">
        <f ca="1"/>
        <v>43459</v>
      </c>
      <c r="AC16" s="118">
        <f ca="1"/>
        <v>43228</v>
      </c>
      <c r="AD16" s="118">
        <f ca="1"/>
        <v>43460</v>
      </c>
      <c r="AE16" s="118">
        <f ca="1"/>
        <v>43421</v>
      </c>
      <c r="AF16" s="118">
        <f ca="1"/>
        <v>43350</v>
      </c>
      <c r="AG16" s="118">
        <f ca="1"/>
        <v>43257</v>
      </c>
      <c r="AH16" s="118">
        <f ca="1"/>
        <v>43334</v>
      </c>
      <c r="AI16" s="118">
        <f ca="1"/>
        <v>43459</v>
      </c>
      <c r="AJ16" s="118">
        <f ca="1"/>
        <v>43459</v>
      </c>
      <c r="AK16" s="118">
        <f ca="1"/>
        <v>43577</v>
      </c>
      <c r="AL16" s="118">
        <f ca="1"/>
        <v>43577</v>
      </c>
      <c r="AM16" s="118">
        <f ca="1"/>
        <v>43360</v>
      </c>
      <c r="AN16" s="118">
        <f ca="1"/>
        <v>43416</v>
      </c>
      <c r="AO16" s="118">
        <f ca="1"/>
        <v>43459</v>
      </c>
      <c r="AP16" s="118">
        <f ca="1"/>
        <v>43460</v>
      </c>
      <c r="AQ16" s="118">
        <f ca="1"/>
        <v>43460</v>
      </c>
      <c r="AR16" s="118"/>
      <c r="AS16" s="118"/>
      <c r="AT16" s="118"/>
      <c r="AU16" s="118"/>
      <c r="AV16" s="118"/>
      <c r="AW16" s="118"/>
      <c r="AX16" s="118"/>
      <c r="AY16" s="118"/>
      <c r="AZ16" s="118"/>
    </row>
    <row r="17" spans="2:52" ht="12" customHeight="1">
      <c r="B17" s="8"/>
      <c r="C17" s="10"/>
      <c r="D17" s="29" t="str">
        <v>Buenos Aires</v>
      </c>
      <c r="E17" s="118" t="e">
        <f ca="1"/>
        <v>#VALUE!</v>
      </c>
      <c r="F17" s="118">
        <f ca="1"/>
        <v>43460</v>
      </c>
      <c r="G17" s="118">
        <f ca="1"/>
        <v>43574</v>
      </c>
      <c r="H17" s="118">
        <f ca="1"/>
        <v>43460</v>
      </c>
      <c r="I17" s="118">
        <f ca="1"/>
        <v>43195</v>
      </c>
      <c r="J17" s="118">
        <f ca="1"/>
        <v>43460</v>
      </c>
      <c r="K17" s="118">
        <f ca="1"/>
        <v>43405</v>
      </c>
      <c r="L17" s="118">
        <f ca="1"/>
        <v>43360</v>
      </c>
      <c r="M17" s="118">
        <f ca="1"/>
        <v>43332</v>
      </c>
      <c r="N17" s="118">
        <f ca="1"/>
        <v>43466</v>
      </c>
      <c r="O17" s="118">
        <f ca="1"/>
        <v>43458</v>
      </c>
      <c r="P17" s="118">
        <f ca="1"/>
        <v>43460</v>
      </c>
      <c r="Q17" s="118">
        <f ca="1"/>
        <v>43285</v>
      </c>
      <c r="R17" s="118">
        <f ca="1"/>
        <v>43242</v>
      </c>
      <c r="S17" s="118">
        <f ca="1"/>
        <v>43459</v>
      </c>
      <c r="T17" s="118">
        <f ca="1"/>
        <v>43451</v>
      </c>
      <c r="U17" s="118">
        <f ca="1"/>
        <v>43574</v>
      </c>
      <c r="V17" s="118">
        <f ca="1"/>
        <v>43460</v>
      </c>
      <c r="W17" s="118">
        <f ca="1"/>
        <v>43423</v>
      </c>
      <c r="X17" s="118">
        <f ca="1"/>
        <v>43460</v>
      </c>
      <c r="Y17" s="118">
        <f ca="1"/>
        <v>43249</v>
      </c>
      <c r="Z17" s="118">
        <f ca="1"/>
        <v>43460</v>
      </c>
      <c r="AA17" s="118">
        <f ca="1"/>
        <v>43466</v>
      </c>
      <c r="AB17" s="118">
        <f ca="1"/>
        <v>43460</v>
      </c>
      <c r="AC17" s="118">
        <f ca="1"/>
        <v>43230</v>
      </c>
      <c r="AD17" s="118">
        <f ca="1"/>
        <v>43466</v>
      </c>
      <c r="AE17" s="118">
        <f ca="1"/>
        <v>43458</v>
      </c>
      <c r="AF17" s="118">
        <f ca="1"/>
        <v>43385</v>
      </c>
      <c r="AG17" s="118">
        <f ca="1"/>
        <v>43327</v>
      </c>
      <c r="AH17" s="118">
        <f ca="1"/>
        <v>43411</v>
      </c>
      <c r="AI17" s="118">
        <f ca="1"/>
        <v>43460</v>
      </c>
      <c r="AJ17" s="118">
        <f ca="1"/>
        <v>43460</v>
      </c>
      <c r="AK17" s="118">
        <f ca="1"/>
        <v>43586</v>
      </c>
      <c r="AL17" s="118">
        <f ca="1"/>
        <v>43586</v>
      </c>
      <c r="AM17" s="118">
        <f ca="1"/>
        <v>43367</v>
      </c>
      <c r="AN17" s="118">
        <f ca="1"/>
        <v>43459</v>
      </c>
      <c r="AO17" s="118">
        <f ca="1"/>
        <v>43460</v>
      </c>
      <c r="AP17" s="118">
        <f ca="1"/>
        <v>43466</v>
      </c>
      <c r="AQ17" s="118">
        <f ca="1"/>
        <v>43466</v>
      </c>
      <c r="AR17" s="118"/>
      <c r="AS17" s="118"/>
      <c r="AT17" s="118"/>
      <c r="AU17" s="118"/>
      <c r="AV17" s="118"/>
      <c r="AW17" s="118"/>
      <c r="AX17" s="118"/>
      <c r="AY17" s="118"/>
      <c r="AZ17" s="118"/>
    </row>
    <row r="18" spans="2:52" ht="12" customHeight="1">
      <c r="B18" s="8"/>
      <c r="C18" s="10"/>
      <c r="D18" s="29" t="str">
        <v>Chicago</v>
      </c>
      <c r="E18" s="118" t="e">
        <f ca="1"/>
        <v>#VALUE!</v>
      </c>
      <c r="F18" s="118">
        <f ca="1"/>
        <v>43466</v>
      </c>
      <c r="G18" s="118">
        <f ca="1"/>
        <v>43577</v>
      </c>
      <c r="H18" s="118">
        <f ca="1"/>
        <v>43466</v>
      </c>
      <c r="I18" s="118">
        <f ca="1"/>
        <v>43221</v>
      </c>
      <c r="J18" s="118">
        <f ca="1"/>
        <v>43466</v>
      </c>
      <c r="K18" s="118">
        <f ca="1"/>
        <v>43415</v>
      </c>
      <c r="L18" s="118">
        <f ca="1"/>
        <v>43362</v>
      </c>
      <c r="M18" s="118">
        <f ca="1"/>
        <v>43388</v>
      </c>
      <c r="N18" s="118">
        <f ca="1"/>
        <v>43486</v>
      </c>
      <c r="O18" s="118">
        <f ca="1"/>
        <v>43459</v>
      </c>
      <c r="P18" s="118">
        <f ca="1"/>
        <v>43461</v>
      </c>
      <c r="Q18" s="118">
        <f ca="1"/>
        <v>43346</v>
      </c>
      <c r="R18" s="118">
        <f ca="1"/>
        <v>43269</v>
      </c>
      <c r="S18" s="118">
        <f ca="1"/>
        <v>43460</v>
      </c>
      <c r="T18" s="118">
        <f ca="1"/>
        <v>43459</v>
      </c>
      <c r="U18" s="118">
        <f ca="1"/>
        <v>43577</v>
      </c>
      <c r="V18" s="118">
        <f ca="1"/>
        <v>43466</v>
      </c>
      <c r="W18" s="118">
        <f ca="1"/>
        <v>43435</v>
      </c>
      <c r="X18" s="118">
        <f ca="1"/>
        <v>43466</v>
      </c>
      <c r="Y18" s="118">
        <f ca="1"/>
        <v>43266</v>
      </c>
      <c r="Z18" s="118">
        <f ca="1"/>
        <v>43466</v>
      </c>
      <c r="AA18" s="118">
        <f ca="1"/>
        <v>43486</v>
      </c>
      <c r="AB18" s="118">
        <f ca="1"/>
        <v>43466</v>
      </c>
      <c r="AC18" s="118">
        <f ca="1"/>
        <v>43241</v>
      </c>
      <c r="AD18" s="118">
        <f ca="1"/>
        <v>43493</v>
      </c>
      <c r="AE18" s="118">
        <f ca="1"/>
        <v>43459</v>
      </c>
      <c r="AF18" s="118">
        <f ca="1"/>
        <v>43406</v>
      </c>
      <c r="AG18" s="118">
        <f ca="1"/>
        <v>43366</v>
      </c>
      <c r="AH18" s="118">
        <f ca="1"/>
        <v>43459</v>
      </c>
      <c r="AI18" s="118">
        <f ca="1"/>
        <v>43465</v>
      </c>
      <c r="AJ18" s="118">
        <f ca="1"/>
        <v>43466</v>
      </c>
      <c r="AK18" s="118">
        <f ca="1"/>
        <v>43824</v>
      </c>
      <c r="AL18" s="118">
        <f ca="1"/>
        <v>43824</v>
      </c>
      <c r="AM18" s="118">
        <f ca="1"/>
        <v>43381</v>
      </c>
      <c r="AN18" s="118">
        <f ca="1"/>
        <v>43460</v>
      </c>
      <c r="AO18" s="118">
        <f ca="1"/>
        <v>43466</v>
      </c>
      <c r="AP18" s="118">
        <f ca="1"/>
        <v>43467</v>
      </c>
      <c r="AQ18" s="118">
        <f ca="1"/>
        <v>43467</v>
      </c>
      <c r="AR18" s="118"/>
      <c r="AS18" s="118"/>
      <c r="AT18" s="118"/>
      <c r="AU18" s="118"/>
      <c r="AV18" s="118"/>
      <c r="AW18" s="118"/>
      <c r="AX18" s="118"/>
      <c r="AY18" s="118"/>
      <c r="AZ18" s="118"/>
    </row>
    <row r="19" spans="2:52" ht="12" customHeight="1">
      <c r="B19" s="8"/>
      <c r="C19" s="10"/>
      <c r="D19" s="29" t="str">
        <v>Copenhagen</v>
      </c>
      <c r="E19" s="118" t="e">
        <f ca="1"/>
        <v>#VALUE!</v>
      </c>
      <c r="F19" s="118">
        <f ca="1"/>
        <v>43493</v>
      </c>
      <c r="G19" s="118">
        <f ca="1"/>
        <v>43585</v>
      </c>
      <c r="H19" s="118">
        <f ca="1"/>
        <v>43467</v>
      </c>
      <c r="I19" s="118">
        <f ca="1"/>
        <v>43269</v>
      </c>
      <c r="J19" s="118">
        <f ca="1"/>
        <v>43493</v>
      </c>
      <c r="K19" s="118">
        <f ca="1"/>
        <v>43459</v>
      </c>
      <c r="L19" s="118">
        <f ca="1"/>
        <v>43396</v>
      </c>
      <c r="M19" s="118">
        <f ca="1"/>
        <v>43410</v>
      </c>
      <c r="N19" s="118">
        <f ca="1"/>
        <v>43514</v>
      </c>
      <c r="O19" s="118">
        <f ca="1"/>
        <v>43460</v>
      </c>
      <c r="P19" s="118">
        <f ca="1"/>
        <v>43466</v>
      </c>
      <c r="Q19" s="118">
        <f ca="1"/>
        <v>43376</v>
      </c>
      <c r="R19" s="118">
        <f ca="1"/>
        <v>43283</v>
      </c>
      <c r="S19" s="118">
        <f ca="1"/>
        <v>43466</v>
      </c>
      <c r="T19" s="118">
        <f ca="1"/>
        <v>43460</v>
      </c>
      <c r="U19" s="118">
        <f ca="1"/>
        <v>43591</v>
      </c>
      <c r="V19" s="118">
        <f ca="1"/>
        <v>43493</v>
      </c>
      <c r="W19" s="118">
        <f ca="1"/>
        <v>43446</v>
      </c>
      <c r="X19" s="118">
        <f ca="1"/>
        <v>43471</v>
      </c>
      <c r="Y19" s="118">
        <f ca="1"/>
        <v>43283</v>
      </c>
      <c r="Z19" s="118">
        <f ca="1"/>
        <v>43467</v>
      </c>
      <c r="AA19" s="118">
        <f ca="1"/>
        <v>43514</v>
      </c>
      <c r="AB19" s="118">
        <f ca="1"/>
        <v>43573</v>
      </c>
      <c r="AC19" s="118">
        <f ca="1"/>
        <v>43248</v>
      </c>
      <c r="AD19" s="118">
        <f ca="1"/>
        <v>43528</v>
      </c>
      <c r="AE19" s="118">
        <f ca="1"/>
        <v>43460</v>
      </c>
      <c r="AF19" s="118">
        <f ca="1"/>
        <v>43419</v>
      </c>
      <c r="AG19" s="118">
        <f ca="1"/>
        <v>43367</v>
      </c>
      <c r="AH19" s="118">
        <f ca="1"/>
        <v>43466</v>
      </c>
      <c r="AI19" s="118">
        <f ca="1"/>
        <v>43466</v>
      </c>
      <c r="AJ19" s="118">
        <f ca="1"/>
        <v>43493</v>
      </c>
      <c r="AK19" s="118">
        <f ca="1"/>
        <v>43825</v>
      </c>
      <c r="AL19" s="118">
        <f ca="1"/>
        <v>43825</v>
      </c>
      <c r="AM19" s="118">
        <f ca="1"/>
        <v>43407</v>
      </c>
      <c r="AN19" s="118">
        <f ca="1"/>
        <v>43466</v>
      </c>
      <c r="AO19" s="118">
        <f ca="1"/>
        <v>43577</v>
      </c>
      <c r="AP19" s="118">
        <f ca="1"/>
        <v>43486</v>
      </c>
      <c r="AQ19" s="118">
        <f ca="1"/>
        <v>43574</v>
      </c>
      <c r="AR19" s="118"/>
      <c r="AS19" s="118"/>
      <c r="AT19" s="118"/>
      <c r="AU19" s="118"/>
      <c r="AV19" s="118"/>
      <c r="AW19" s="118"/>
      <c r="AX19" s="118"/>
      <c r="AY19" s="118"/>
      <c r="AZ19" s="118"/>
    </row>
    <row r="20" spans="2:52" ht="12" customHeight="1">
      <c r="B20" s="8"/>
      <c r="C20" s="10"/>
      <c r="D20" s="29" t="str">
        <v>Dublin</v>
      </c>
      <c r="E20" s="118" t="e">
        <f ca="1"/>
        <v>#VALUE!</v>
      </c>
      <c r="F20" s="118">
        <f ca="1"/>
        <v>43535</v>
      </c>
      <c r="G20" s="118">
        <f ca="1"/>
        <v>43615</v>
      </c>
      <c r="H20" s="118">
        <f ca="1"/>
        <v>43493</v>
      </c>
      <c r="I20" s="118">
        <f ca="1"/>
        <v>43368</v>
      </c>
      <c r="J20" s="118">
        <f ca="1"/>
        <v>43574</v>
      </c>
      <c r="K20" s="118">
        <f ca="1"/>
        <v>43460</v>
      </c>
      <c r="L20" s="118">
        <f ca="1"/>
        <v>43405</v>
      </c>
      <c r="M20" s="118">
        <f ca="1"/>
        <v>43442</v>
      </c>
      <c r="N20" s="118">
        <f ca="1"/>
        <v>43612</v>
      </c>
      <c r="O20" s="118">
        <f ca="1"/>
        <v>43465</v>
      </c>
      <c r="P20" s="118">
        <f ca="1"/>
        <v>43542</v>
      </c>
      <c r="Q20" s="118">
        <f ca="1"/>
        <v>43381</v>
      </c>
      <c r="R20" s="118">
        <f ca="1"/>
        <v>43368</v>
      </c>
      <c r="S20" s="118">
        <f ca="1"/>
        <v>43493</v>
      </c>
      <c r="T20" s="118">
        <f ca="1"/>
        <v>43466</v>
      </c>
      <c r="U20" s="118">
        <f ca="1"/>
        <v>43612</v>
      </c>
      <c r="V20" s="118">
        <f ca="1"/>
        <v>43535</v>
      </c>
      <c r="W20" s="118">
        <f ca="1"/>
        <v>43459</v>
      </c>
      <c r="X20" s="118">
        <f ca="1"/>
        <v>43577</v>
      </c>
      <c r="Y20" s="118">
        <f ca="1"/>
        <v>43318</v>
      </c>
      <c r="Z20" s="118">
        <f ca="1"/>
        <v>43574</v>
      </c>
      <c r="AA20" s="118">
        <f ca="1"/>
        <v>43612</v>
      </c>
      <c r="AB20" s="118">
        <f ca="1"/>
        <v>43574</v>
      </c>
      <c r="AC20" s="118">
        <f ca="1"/>
        <v>43295</v>
      </c>
      <c r="AD20" s="118">
        <f ca="1"/>
        <v>43574</v>
      </c>
      <c r="AE20" s="118">
        <f ca="1"/>
        <v>43466</v>
      </c>
      <c r="AF20" s="118">
        <f ca="1"/>
        <v>43424</v>
      </c>
      <c r="AG20" s="118">
        <f ca="1"/>
        <v>43368</v>
      </c>
      <c r="AH20" s="118">
        <f ca="1"/>
        <v>43501</v>
      </c>
      <c r="AI20" s="118">
        <f ca="1"/>
        <v>43471</v>
      </c>
      <c r="AJ20" s="118">
        <f ca="1"/>
        <v>43574</v>
      </c>
      <c r="AK20" s="118">
        <f ca="1"/>
        <v>43831</v>
      </c>
      <c r="AL20" s="118">
        <f ca="1"/>
        <v>43831</v>
      </c>
      <c r="AM20" s="118">
        <f ca="1"/>
        <v>43427</v>
      </c>
      <c r="AN20" s="118">
        <f ca="1"/>
        <v>43514</v>
      </c>
      <c r="AO20" s="118">
        <f ca="1"/>
        <v>43586</v>
      </c>
      <c r="AP20" s="118">
        <f ca="1"/>
        <v>43502</v>
      </c>
      <c r="AQ20" s="118">
        <f ca="1"/>
        <v>43577</v>
      </c>
      <c r="AR20" s="118"/>
      <c r="AS20" s="118"/>
      <c r="AT20" s="118"/>
      <c r="AU20" s="118"/>
      <c r="AV20" s="118"/>
      <c r="AW20" s="118"/>
      <c r="AX20" s="118"/>
      <c r="AY20" s="118"/>
      <c r="AZ20" s="118"/>
    </row>
    <row r="21" spans="2:52" ht="12" customHeight="1">
      <c r="B21" s="8"/>
      <c r="C21" s="10"/>
      <c r="D21" s="29" t="str">
        <v>Frankfurt</v>
      </c>
      <c r="E21" s="118" t="e">
        <f ca="1"/>
        <v>#VALUE!</v>
      </c>
      <c r="F21" s="118">
        <f ca="1"/>
        <v>43574</v>
      </c>
      <c r="G21" s="118">
        <f ca="1"/>
        <v>43626</v>
      </c>
      <c r="H21" s="118">
        <f ca="1"/>
        <v>43502</v>
      </c>
      <c r="I21" s="118">
        <f ca="1"/>
        <v>43374</v>
      </c>
      <c r="J21" s="118">
        <f ca="1"/>
        <v>43575</v>
      </c>
      <c r="K21" s="118">
        <f ca="1"/>
        <v>43466</v>
      </c>
      <c r="L21" s="118">
        <f ca="1"/>
        <v>43459</v>
      </c>
      <c r="M21" s="118">
        <f ca="1"/>
        <v>43459</v>
      </c>
      <c r="N21" s="118">
        <f ca="1"/>
        <v>43650</v>
      </c>
      <c r="O21" s="118">
        <f ca="1"/>
        <v>43466</v>
      </c>
      <c r="P21" s="118">
        <f ca="1"/>
        <v>43574</v>
      </c>
      <c r="Q21" s="118">
        <f ca="1"/>
        <v>43416</v>
      </c>
      <c r="R21" s="118">
        <f ca="1"/>
        <v>43374</v>
      </c>
      <c r="S21" s="118">
        <f ca="1"/>
        <v>43507</v>
      </c>
      <c r="T21" s="118">
        <f ca="1"/>
        <v>43545</v>
      </c>
      <c r="U21" s="118">
        <f ca="1"/>
        <v>43703</v>
      </c>
      <c r="V21" s="118">
        <f ca="1"/>
        <v>43574</v>
      </c>
      <c r="W21" s="118">
        <f ca="1"/>
        <v>43466</v>
      </c>
      <c r="X21" s="118">
        <f ca="1"/>
        <v>43580</v>
      </c>
      <c r="Y21" s="118">
        <f ca="1"/>
        <v>43327</v>
      </c>
      <c r="Z21" s="118">
        <f ca="1"/>
        <v>43605</v>
      </c>
      <c r="AA21" s="118">
        <f ca="1"/>
        <v>43650</v>
      </c>
      <c r="AB21" s="118">
        <f ca="1"/>
        <v>43577</v>
      </c>
      <c r="AC21" s="118">
        <f ca="1"/>
        <v>43327</v>
      </c>
      <c r="AD21" s="118">
        <f ca="1"/>
        <v>43577</v>
      </c>
      <c r="AE21" s="118">
        <f ca="1"/>
        <v>43577</v>
      </c>
      <c r="AF21" s="118">
        <f ca="1"/>
        <v>43459</v>
      </c>
      <c r="AG21" s="118">
        <f ca="1"/>
        <v>43376</v>
      </c>
      <c r="AH21" s="118">
        <f ca="1"/>
        <v>43502</v>
      </c>
      <c r="AI21" s="118">
        <f ca="1"/>
        <v>43574</v>
      </c>
      <c r="AJ21" s="118">
        <f ca="1"/>
        <v>43575</v>
      </c>
      <c r="AK21" s="118">
        <f ca="1"/>
        <v>43931</v>
      </c>
      <c r="AL21" s="118">
        <f ca="1"/>
        <v>43931</v>
      </c>
      <c r="AM21" s="118">
        <f ca="1"/>
        <v>43458</v>
      </c>
      <c r="AN21" s="118">
        <f ca="1"/>
        <v>43574</v>
      </c>
      <c r="AO21" s="118">
        <f ca="1"/>
        <v>43588</v>
      </c>
      <c r="AP21" s="118">
        <f ca="1"/>
        <v>43574</v>
      </c>
      <c r="AQ21" s="118">
        <f ca="1"/>
        <v>43586</v>
      </c>
      <c r="AR21" s="118"/>
      <c r="AS21" s="118"/>
      <c r="AT21" s="118"/>
      <c r="AU21" s="118"/>
      <c r="AV21" s="118"/>
      <c r="AW21" s="118"/>
      <c r="AX21" s="118"/>
      <c r="AY21" s="118"/>
      <c r="AZ21" s="118"/>
    </row>
    <row r="22" spans="2:52" ht="12" customHeight="1">
      <c r="B22" s="8"/>
      <c r="C22" s="10"/>
      <c r="D22" s="29" t="str">
        <v>HongKong</v>
      </c>
      <c r="E22" s="118" t="e">
        <f ca="1"/>
        <v>#VALUE!</v>
      </c>
      <c r="F22" s="118">
        <f ca="1"/>
        <v>43575</v>
      </c>
      <c r="G22" s="118">
        <f ca="1"/>
        <v>43824</v>
      </c>
      <c r="H22" s="118">
        <f ca="1"/>
        <v>43574</v>
      </c>
      <c r="I22" s="118">
        <f ca="1"/>
        <v>43375</v>
      </c>
      <c r="J22" s="118">
        <f ca="1"/>
        <v>43577</v>
      </c>
      <c r="K22" s="118">
        <f ca="1"/>
        <v>43574</v>
      </c>
      <c r="L22" s="118">
        <f ca="1"/>
        <v>43460</v>
      </c>
      <c r="M22" s="118">
        <f ca="1"/>
        <v>43466</v>
      </c>
      <c r="N22" s="118">
        <f ca="1"/>
        <v>43710</v>
      </c>
      <c r="O22" s="118">
        <f ca="1"/>
        <v>43573</v>
      </c>
      <c r="P22" s="118">
        <f ca="1"/>
        <v>43577</v>
      </c>
      <c r="Q22" s="118">
        <f ca="1"/>
        <v>43426</v>
      </c>
      <c r="R22" s="118">
        <f ca="1"/>
        <v>43390</v>
      </c>
      <c r="S22" s="118">
        <f ca="1"/>
        <v>43535</v>
      </c>
      <c r="T22" s="118">
        <f ca="1"/>
        <v>43574</v>
      </c>
      <c r="U22" s="118">
        <f ca="1"/>
        <v>43824</v>
      </c>
      <c r="V22" s="118">
        <f ca="1"/>
        <v>43575</v>
      </c>
      <c r="W22" s="118">
        <f ca="1"/>
        <v>43500</v>
      </c>
      <c r="X22" s="118">
        <f ca="1"/>
        <v>43586</v>
      </c>
      <c r="Y22" s="118">
        <f ca="1"/>
        <v>43334</v>
      </c>
      <c r="Z22" s="118">
        <f ca="1"/>
        <v>43640</v>
      </c>
      <c r="AA22" s="118">
        <f ca="1"/>
        <v>43710</v>
      </c>
      <c r="AB22" s="118">
        <f ca="1"/>
        <v>43586</v>
      </c>
      <c r="AC22" s="118">
        <f ca="1"/>
        <v>43401</v>
      </c>
      <c r="AD22" s="118">
        <f ca="1"/>
        <v>43580</v>
      </c>
      <c r="AE22" s="118">
        <f ca="1"/>
        <v>43586</v>
      </c>
      <c r="AF22" s="118">
        <f ca="1"/>
        <v>43465</v>
      </c>
      <c r="AG22" s="118">
        <f ca="1"/>
        <v>43459</v>
      </c>
      <c r="AH22" s="118">
        <f ca="1"/>
        <v>43574</v>
      </c>
      <c r="AI22" s="118">
        <f ca="1"/>
        <v>43577</v>
      </c>
      <c r="AJ22" s="118">
        <f ca="1"/>
        <v>43577</v>
      </c>
      <c r="AK22" s="118">
        <f ca="1"/>
        <v>43934</v>
      </c>
      <c r="AL22" s="118">
        <f ca="1"/>
        <v>43934</v>
      </c>
      <c r="AM22" s="118">
        <f ca="1"/>
        <v>43465</v>
      </c>
      <c r="AN22" s="118">
        <f ca="1"/>
        <v>43605</v>
      </c>
      <c r="AO22" s="118">
        <f ca="1"/>
        <v>43636</v>
      </c>
      <c r="AP22" s="118">
        <f ca="1"/>
        <v>43577</v>
      </c>
      <c r="AQ22" s="118">
        <f ca="1"/>
        <v>43615</v>
      </c>
      <c r="AR22" s="118"/>
      <c r="AS22" s="118"/>
      <c r="AT22" s="118"/>
      <c r="AU22" s="118"/>
      <c r="AV22" s="118"/>
      <c r="AW22" s="118"/>
      <c r="AX22" s="118"/>
      <c r="AY22" s="118"/>
      <c r="AZ22" s="118"/>
    </row>
    <row r="23" spans="2:52" ht="12" customHeight="1">
      <c r="B23" s="8"/>
      <c r="C23" s="10"/>
      <c r="D23" s="29" t="str">
        <v>Hobart</v>
      </c>
      <c r="E23" s="118" t="e">
        <f ca="1"/>
        <v>#VALUE!</v>
      </c>
      <c r="F23" s="118">
        <f ca="1"/>
        <v>43577</v>
      </c>
      <c r="G23" s="118">
        <f ca="1"/>
        <v>43825</v>
      </c>
      <c r="H23" s="118">
        <f ca="1"/>
        <v>43577</v>
      </c>
      <c r="I23" s="118">
        <f ca="1"/>
        <v>43376</v>
      </c>
      <c r="J23" s="118">
        <f ca="1"/>
        <v>43580</v>
      </c>
      <c r="K23" s="118">
        <f ca="1"/>
        <v>43577</v>
      </c>
      <c r="L23" s="118">
        <f ca="1"/>
        <v>43466</v>
      </c>
      <c r="M23" s="118">
        <f ca="1"/>
        <v>43548</v>
      </c>
      <c r="N23" s="118">
        <f ca="1"/>
        <v>43752</v>
      </c>
      <c r="O23" s="118">
        <f ca="1"/>
        <v>43574</v>
      </c>
      <c r="P23" s="118">
        <f ca="1"/>
        <v>43591</v>
      </c>
      <c r="Q23" s="118">
        <f ca="1"/>
        <v>43458</v>
      </c>
      <c r="R23" s="118">
        <f ca="1"/>
        <v>43459</v>
      </c>
      <c r="S23" s="118">
        <f ca="1"/>
        <v>43574</v>
      </c>
      <c r="T23" s="118">
        <f ca="1"/>
        <v>43577</v>
      </c>
      <c r="U23" s="118">
        <f ca="1"/>
        <v>43825</v>
      </c>
      <c r="V23" s="118">
        <f ca="1"/>
        <v>43577</v>
      </c>
      <c r="W23" s="118">
        <f ca="1"/>
        <v>43542</v>
      </c>
      <c r="X23" s="118">
        <f ca="1"/>
        <v>43618</v>
      </c>
      <c r="Y23" s="118">
        <f ca="1"/>
        <v>43346</v>
      </c>
      <c r="Z23" s="118">
        <f ca="1"/>
        <v>43647</v>
      </c>
      <c r="AA23" s="118">
        <f ca="1"/>
        <v>43752</v>
      </c>
      <c r="AB23" s="118">
        <f ca="1"/>
        <v>43602</v>
      </c>
      <c r="AC23" s="118">
        <f ca="1"/>
        <v>43405</v>
      </c>
      <c r="AD23" s="118">
        <f ca="1"/>
        <v>43619</v>
      </c>
      <c r="AE23" s="118">
        <f ca="1"/>
        <v>43593</v>
      </c>
      <c r="AF23" s="118">
        <f ca="1"/>
        <v>43466</v>
      </c>
      <c r="AG23" s="118">
        <f ca="1"/>
        <v>43466</v>
      </c>
      <c r="AH23" s="118">
        <f ca="1"/>
        <v>43586</v>
      </c>
      <c r="AI23" s="118">
        <f ca="1"/>
        <v>43586</v>
      </c>
      <c r="AJ23" s="118">
        <f ca="1"/>
        <v>43580</v>
      </c>
      <c r="AK23" s="118">
        <f ca="1"/>
        <v>43952</v>
      </c>
      <c r="AL23" s="118">
        <f ca="1"/>
        <v>43952</v>
      </c>
      <c r="AM23" s="118">
        <f ca="1"/>
        <v>43466</v>
      </c>
      <c r="AN23" s="118">
        <f ca="1"/>
        <v>43647</v>
      </c>
      <c r="AO23" s="118">
        <f ca="1"/>
        <v>43692</v>
      </c>
      <c r="AP23" s="118">
        <f ca="1"/>
        <v>43580</v>
      </c>
      <c r="AQ23" s="118">
        <f ca="1"/>
        <v>43626</v>
      </c>
      <c r="AR23" s="118"/>
      <c r="AS23" s="118"/>
      <c r="AT23" s="118"/>
      <c r="AU23" s="118"/>
      <c r="AV23" s="118"/>
      <c r="AW23" s="118"/>
      <c r="AX23" s="118"/>
      <c r="AY23" s="118"/>
      <c r="AZ23" s="118"/>
    </row>
    <row r="24" spans="2:52" ht="12" customHeight="1">
      <c r="B24" s="8"/>
      <c r="C24" s="10"/>
      <c r="D24" s="29" t="str">
        <v>Johannesburg</v>
      </c>
      <c r="E24" s="118" t="e">
        <f ca="1"/>
        <v>#VALUE!</v>
      </c>
      <c r="F24" s="118">
        <f ca="1"/>
        <v>43580</v>
      </c>
      <c r="G24" s="118">
        <f ca="1"/>
        <v>43831</v>
      </c>
      <c r="H24" s="118">
        <f ca="1"/>
        <v>43580</v>
      </c>
      <c r="I24" s="118">
        <f ca="1"/>
        <v>43377</v>
      </c>
      <c r="J24" s="118">
        <f ca="1"/>
        <v>43591</v>
      </c>
      <c r="K24" s="118">
        <f ca="1"/>
        <v>43586</v>
      </c>
      <c r="L24" s="118">
        <f ca="1"/>
        <v>43467</v>
      </c>
      <c r="M24" s="118">
        <f ca="1"/>
        <v>43557</v>
      </c>
      <c r="N24" s="118">
        <f ca="1"/>
        <v>43780</v>
      </c>
      <c r="O24" s="118">
        <f ca="1"/>
        <v>43577</v>
      </c>
      <c r="P24" s="118">
        <f ca="1"/>
        <v>43619</v>
      </c>
      <c r="Q24" s="118">
        <f ca="1"/>
        <v>43459</v>
      </c>
      <c r="R24" s="118">
        <f ca="1"/>
        <v>43460</v>
      </c>
      <c r="S24" s="118">
        <f ca="1"/>
        <v>43577</v>
      </c>
      <c r="T24" s="118">
        <f ca="1"/>
        <v>43582</v>
      </c>
      <c r="U24" s="118">
        <f ca="1"/>
        <v>43831</v>
      </c>
      <c r="V24" s="118">
        <f ca="1"/>
        <v>43580</v>
      </c>
      <c r="W24" s="118">
        <f ca="1"/>
        <v>43573</v>
      </c>
      <c r="X24" s="118">
        <f ca="1"/>
        <v>43692</v>
      </c>
      <c r="Y24" s="118">
        <f ca="1"/>
        <v>43363</v>
      </c>
      <c r="Z24" s="118">
        <f ca="1"/>
        <v>43710</v>
      </c>
      <c r="AA24" s="118">
        <f ca="1"/>
        <v>43780</v>
      </c>
      <c r="AB24" s="118">
        <f ca="1"/>
        <v>43615</v>
      </c>
      <c r="AC24" s="118">
        <f ca="1"/>
        <v>43415</v>
      </c>
      <c r="AD24" s="118">
        <f ca="1"/>
        <v>43745</v>
      </c>
      <c r="AE24" s="118">
        <f ca="1"/>
        <v>43651</v>
      </c>
      <c r="AF24" s="118">
        <f ca="1"/>
        <v>43490</v>
      </c>
      <c r="AG24" s="118">
        <f ca="1"/>
        <v>43500</v>
      </c>
      <c r="AH24" s="118">
        <f ca="1"/>
        <v>43605</v>
      </c>
      <c r="AI24" s="118">
        <f ca="1"/>
        <v>43615</v>
      </c>
      <c r="AJ24" s="118">
        <f ca="1"/>
        <v>43626</v>
      </c>
      <c r="AK24" s="118" t="e">
        <f ca="1"/>
        <v>#N/A</v>
      </c>
      <c r="AL24" s="118" t="e">
        <f ca="1"/>
        <v>#N/A</v>
      </c>
      <c r="AM24" s="118">
        <f ca="1"/>
        <v>43467</v>
      </c>
      <c r="AN24" s="118">
        <f ca="1"/>
        <v>43682</v>
      </c>
      <c r="AO24" s="118">
        <f ca="1"/>
        <v>43770</v>
      </c>
      <c r="AP24" s="118">
        <f ca="1"/>
        <v>43619</v>
      </c>
      <c r="AQ24" s="118">
        <f ca="1"/>
        <v>43678</v>
      </c>
      <c r="AR24" s="118"/>
      <c r="AS24" s="118"/>
      <c r="AT24" s="118"/>
      <c r="AU24" s="118"/>
      <c r="AV24" s="118"/>
      <c r="AW24" s="118"/>
      <c r="AX24" s="118"/>
      <c r="AY24" s="118"/>
      <c r="AZ24" s="118"/>
    </row>
    <row r="25" spans="2:52" ht="12" customHeight="1">
      <c r="B25" s="8"/>
      <c r="C25" s="10"/>
      <c r="D25" s="29" t="str">
        <v>London</v>
      </c>
      <c r="E25" s="118" t="e">
        <f ca="1"/>
        <v>#VALUE!</v>
      </c>
      <c r="F25" s="118">
        <f ca="1"/>
        <v>43626</v>
      </c>
      <c r="G25" s="118">
        <f ca="1"/>
        <v>43931</v>
      </c>
      <c r="H25" s="118">
        <f ca="1"/>
        <v>43619</v>
      </c>
      <c r="I25" s="118">
        <f ca="1"/>
        <v>43378</v>
      </c>
      <c r="J25" s="118">
        <f ca="1"/>
        <v>43626</v>
      </c>
      <c r="K25" s="118">
        <f ca="1"/>
        <v>43615</v>
      </c>
      <c r="L25" s="118">
        <f ca="1"/>
        <v>43539</v>
      </c>
      <c r="M25" s="118">
        <f ca="1"/>
        <v>43573</v>
      </c>
      <c r="N25" s="118">
        <f ca="1"/>
        <v>43797</v>
      </c>
      <c r="O25" s="118">
        <f ca="1"/>
        <v>43602</v>
      </c>
      <c r="P25" s="118">
        <f ca="1"/>
        <v>43682</v>
      </c>
      <c r="Q25" s="118">
        <f ca="1"/>
        <v>43460</v>
      </c>
      <c r="R25" s="118">
        <f ca="1"/>
        <v>43466</v>
      </c>
      <c r="S25" s="118">
        <f ca="1"/>
        <v>43578</v>
      </c>
      <c r="T25" s="118">
        <f ca="1"/>
        <v>43586</v>
      </c>
      <c r="U25" s="118">
        <f ca="1"/>
        <v>43931</v>
      </c>
      <c r="V25" s="118">
        <f ca="1"/>
        <v>43626</v>
      </c>
      <c r="W25" s="118">
        <f ca="1"/>
        <v>43574</v>
      </c>
      <c r="X25" s="118">
        <f ca="1"/>
        <v>43770</v>
      </c>
      <c r="Y25" s="118">
        <f ca="1"/>
        <v>43373</v>
      </c>
      <c r="Z25" s="118">
        <f ca="1"/>
        <v>43752</v>
      </c>
      <c r="AA25" s="118">
        <f ca="1"/>
        <v>43797</v>
      </c>
      <c r="AB25" s="118">
        <f ca="1"/>
        <v>43626</v>
      </c>
      <c r="AC25" s="118">
        <f ca="1"/>
        <v>43459</v>
      </c>
      <c r="AD25" s="118">
        <f ca="1"/>
        <v>43824</v>
      </c>
      <c r="AE25" s="118">
        <f ca="1"/>
        <v>43652</v>
      </c>
      <c r="AF25" s="118">
        <f ca="1"/>
        <v>43528</v>
      </c>
      <c r="AG25" s="118">
        <f ca="1"/>
        <v>43501</v>
      </c>
      <c r="AH25" s="118">
        <f ca="1"/>
        <v>43621</v>
      </c>
      <c r="AI25" s="118">
        <f ca="1"/>
        <v>43622</v>
      </c>
      <c r="AJ25" s="118">
        <f ca="1"/>
        <v>43682</v>
      </c>
      <c r="AK25" s="118" t="e">
        <f ca="1"/>
        <v>#N/A</v>
      </c>
      <c r="AL25" s="118" t="e">
        <f ca="1"/>
        <v>#N/A</v>
      </c>
      <c r="AM25" s="118">
        <f ca="1"/>
        <v>43468</v>
      </c>
      <c r="AN25" s="118">
        <f ca="1"/>
        <v>43710</v>
      </c>
      <c r="AO25" s="118">
        <f ca="1"/>
        <v>43780</v>
      </c>
      <c r="AP25" s="118">
        <f ca="1"/>
        <v>43766</v>
      </c>
      <c r="AQ25" s="118">
        <f ca="1"/>
        <v>43824</v>
      </c>
      <c r="AR25" s="118"/>
      <c r="AS25" s="118"/>
      <c r="AT25" s="118"/>
      <c r="AU25" s="118"/>
      <c r="AV25" s="118"/>
      <c r="AW25" s="118"/>
      <c r="AX25" s="118"/>
      <c r="AY25" s="118"/>
      <c r="AZ25" s="118"/>
    </row>
    <row r="26" spans="2:52" ht="12" customHeight="1">
      <c r="B26" s="8"/>
      <c r="C26" s="10"/>
      <c r="D26" s="29" t="str">
        <v>Melbourne</v>
      </c>
      <c r="E26" s="118" t="e">
        <f ca="1"/>
        <v>#VALUE!</v>
      </c>
      <c r="F26" s="118">
        <f ca="1"/>
        <v>43745</v>
      </c>
      <c r="G26" s="118">
        <f ca="1"/>
        <v>43934</v>
      </c>
      <c r="H26" s="118">
        <f ca="1"/>
        <v>43766</v>
      </c>
      <c r="I26" s="118">
        <f ca="1"/>
        <v>43466</v>
      </c>
      <c r="J26" s="118">
        <f ca="1"/>
        <v>43691</v>
      </c>
      <c r="K26" s="118">
        <f ca="1"/>
        <v>43616</v>
      </c>
      <c r="L26" s="118">
        <f ca="1"/>
        <v>43574</v>
      </c>
      <c r="M26" s="118">
        <f ca="1"/>
        <v>43574</v>
      </c>
      <c r="N26" s="118">
        <f ca="1"/>
        <v>43824</v>
      </c>
      <c r="O26" s="118">
        <f ca="1"/>
        <v>43615</v>
      </c>
      <c r="P26" s="118">
        <f ca="1"/>
        <v>43766</v>
      </c>
      <c r="Q26" s="118">
        <f ca="1"/>
        <v>43465</v>
      </c>
      <c r="R26" s="118">
        <f ca="1"/>
        <v>43501</v>
      </c>
      <c r="S26" s="118">
        <f ca="1"/>
        <v>43580</v>
      </c>
      <c r="T26" s="118">
        <f ca="1"/>
        <v>43633</v>
      </c>
      <c r="U26" s="118">
        <f ca="1"/>
        <v>43934</v>
      </c>
      <c r="V26" s="118">
        <f ca="1"/>
        <v>43774</v>
      </c>
      <c r="W26" s="118">
        <f ca="1"/>
        <v>43575</v>
      </c>
      <c r="X26" s="118">
        <f ca="1"/>
        <v>43807</v>
      </c>
      <c r="Y26" s="118">
        <f ca="1"/>
        <v>43375</v>
      </c>
      <c r="Z26" s="118">
        <f ca="1"/>
        <v>43780</v>
      </c>
      <c r="AA26" s="118">
        <f ca="1"/>
        <v>43824</v>
      </c>
      <c r="AB26" s="118">
        <f ca="1"/>
        <v>43824</v>
      </c>
      <c r="AC26" s="118">
        <f ca="1"/>
        <v>43460</v>
      </c>
      <c r="AD26" s="118">
        <f ca="1"/>
        <v>43825</v>
      </c>
      <c r="AE26" s="118">
        <f ca="1"/>
        <v>43736</v>
      </c>
      <c r="AF26" s="118">
        <f ca="1"/>
        <v>43529</v>
      </c>
      <c r="AG26" s="118">
        <f ca="1"/>
        <v>43502</v>
      </c>
      <c r="AH26" s="118">
        <f ca="1"/>
        <v>43686</v>
      </c>
      <c r="AI26" s="118">
        <f ca="1"/>
        <v>43637</v>
      </c>
      <c r="AJ26" s="118">
        <f ca="1"/>
        <v>43745</v>
      </c>
      <c r="AK26" s="118" t="e">
        <f ca="1"/>
        <v>#N/A</v>
      </c>
      <c r="AL26" s="118" t="e">
        <f ca="1"/>
        <v>#N/A</v>
      </c>
      <c r="AM26" s="118">
        <f ca="1"/>
        <v>43479</v>
      </c>
      <c r="AN26" s="118">
        <f ca="1"/>
        <v>43752</v>
      </c>
      <c r="AO26" s="118">
        <f ca="1"/>
        <v>43824</v>
      </c>
      <c r="AP26" s="118">
        <f ca="1"/>
        <v>43824</v>
      </c>
      <c r="AQ26" s="118">
        <f ca="1"/>
        <v>43825</v>
      </c>
      <c r="AR26" s="118"/>
      <c r="AS26" s="118"/>
      <c r="AT26" s="118"/>
      <c r="AU26" s="118"/>
      <c r="AV26" s="118"/>
      <c r="AW26" s="118"/>
      <c r="AX26" s="118"/>
      <c r="AY26" s="118"/>
      <c r="AZ26" s="118"/>
    </row>
    <row r="27" spans="2:52" ht="12" customHeight="1">
      <c r="B27" s="8"/>
      <c r="C27" s="10"/>
      <c r="D27" s="29" t="str">
        <v>MexicoCity</v>
      </c>
      <c r="E27" s="118" t="e">
        <f ca="1"/>
        <v>#VALUE!</v>
      </c>
      <c r="F27" s="118">
        <f ca="1"/>
        <v>43824</v>
      </c>
      <c r="G27" s="118">
        <f ca="1"/>
        <v>43951</v>
      </c>
      <c r="H27" s="118">
        <f ca="1"/>
        <v>43824</v>
      </c>
      <c r="I27" s="118">
        <f ca="1"/>
        <v>43501</v>
      </c>
      <c r="J27" s="118">
        <f ca="1"/>
        <v>43824</v>
      </c>
      <c r="K27" s="118">
        <f ca="1"/>
        <v>43626</v>
      </c>
      <c r="L27" s="118">
        <f ca="1"/>
        <v>43577</v>
      </c>
      <c r="M27" s="118">
        <f ca="1"/>
        <v>43586</v>
      </c>
      <c r="N27" s="118">
        <f ca="1"/>
        <v>43831</v>
      </c>
      <c r="O27" s="118">
        <f ca="1"/>
        <v>43616</v>
      </c>
      <c r="P27" s="118">
        <f ca="1"/>
        <v>43824</v>
      </c>
      <c r="Q27" s="118">
        <f ca="1"/>
        <v>43466</v>
      </c>
      <c r="R27" s="118">
        <f ca="1"/>
        <v>43502</v>
      </c>
      <c r="S27" s="118">
        <f ca="1"/>
        <v>43626</v>
      </c>
      <c r="T27" s="118">
        <f ca="1"/>
        <v>43686</v>
      </c>
      <c r="U27" s="118">
        <f ca="1"/>
        <v>43955</v>
      </c>
      <c r="V27" s="118">
        <f ca="1"/>
        <v>43824</v>
      </c>
      <c r="W27" s="118">
        <f ca="1"/>
        <v>43586</v>
      </c>
      <c r="X27" s="118">
        <f ca="1"/>
        <v>43824</v>
      </c>
      <c r="Y27" s="118">
        <f ca="1"/>
        <v>43381</v>
      </c>
      <c r="Z27" s="118">
        <f ca="1"/>
        <v>43824</v>
      </c>
      <c r="AA27" s="118">
        <f ca="1"/>
        <v>43831</v>
      </c>
      <c r="AB27" s="118">
        <f ca="1"/>
        <v>43825</v>
      </c>
      <c r="AC27" s="118">
        <f ca="1"/>
        <v>43466</v>
      </c>
      <c r="AD27" s="118">
        <f ca="1"/>
        <v>43831</v>
      </c>
      <c r="AE27" s="118">
        <f ca="1"/>
        <v>43766</v>
      </c>
      <c r="AF27" s="118">
        <f ca="1"/>
        <v>43574</v>
      </c>
      <c r="AG27" s="118">
        <f ca="1"/>
        <v>43525</v>
      </c>
      <c r="AH27" s="118">
        <f ca="1"/>
        <v>43689</v>
      </c>
      <c r="AI27" s="118">
        <f ca="1"/>
        <v>43823</v>
      </c>
      <c r="AJ27" s="118">
        <f ca="1"/>
        <v>43824</v>
      </c>
      <c r="AK27" s="118" t="e">
        <f ca="1"/>
        <v>#N/A</v>
      </c>
      <c r="AL27" s="118" t="e">
        <f ca="1"/>
        <v>#N/A</v>
      </c>
      <c r="AM27" s="118">
        <f ca="1"/>
        <v>43507</v>
      </c>
      <c r="AN27" s="118">
        <f ca="1"/>
        <v>43780</v>
      </c>
      <c r="AO27" s="118">
        <f ca="1"/>
        <v>43825</v>
      </c>
      <c r="AP27" s="118">
        <f ca="1"/>
        <v>43825</v>
      </c>
      <c r="AQ27" s="118">
        <f ca="1"/>
        <v>43831</v>
      </c>
      <c r="AR27" s="118"/>
      <c r="AS27" s="118"/>
      <c r="AT27" s="118"/>
      <c r="AU27" s="118"/>
      <c r="AV27" s="118"/>
      <c r="AW27" s="118"/>
      <c r="AX27" s="118"/>
      <c r="AY27" s="118"/>
      <c r="AZ27" s="118"/>
    </row>
    <row r="28" spans="2:52" ht="12" customHeight="1">
      <c r="B28" s="8"/>
      <c r="C28" s="10"/>
      <c r="D28" s="29" t="str">
        <v>Milan</v>
      </c>
      <c r="E28" s="118" t="e">
        <f ca="1"/>
        <v>#VALUE!</v>
      </c>
      <c r="F28" s="118">
        <f ca="1"/>
        <v>43825</v>
      </c>
      <c r="G28" s="118">
        <f ca="1"/>
        <v>43956</v>
      </c>
      <c r="H28" s="118">
        <f ca="1"/>
        <v>43825</v>
      </c>
      <c r="I28" s="118">
        <f ca="1"/>
        <v>43502</v>
      </c>
      <c r="J28" s="118">
        <f ca="1"/>
        <v>43825</v>
      </c>
      <c r="K28" s="118">
        <f ca="1"/>
        <v>43667</v>
      </c>
      <c r="L28" s="118">
        <f ca="1"/>
        <v>43586</v>
      </c>
      <c r="M28" s="118">
        <f ca="1"/>
        <v>43610</v>
      </c>
      <c r="N28" s="118">
        <f ca="1"/>
        <v>43850</v>
      </c>
      <c r="O28" s="118">
        <f ca="1"/>
        <v>43621</v>
      </c>
      <c r="P28" s="118">
        <f ca="1"/>
        <v>43825</v>
      </c>
      <c r="Q28" s="118">
        <f ca="1"/>
        <v>43486</v>
      </c>
      <c r="R28" s="118">
        <f ca="1"/>
        <v>43503</v>
      </c>
      <c r="S28" s="118">
        <f ca="1"/>
        <v>43762</v>
      </c>
      <c r="T28" s="118">
        <f ca="1"/>
        <v>43732</v>
      </c>
      <c r="U28" s="118">
        <f ca="1"/>
        <v>43976</v>
      </c>
      <c r="V28" s="118">
        <f ca="1"/>
        <v>43825</v>
      </c>
      <c r="W28" s="118">
        <f ca="1"/>
        <v>43724</v>
      </c>
      <c r="X28" s="118">
        <f ca="1"/>
        <v>43825</v>
      </c>
      <c r="Y28" s="118">
        <f ca="1"/>
        <v>43412</v>
      </c>
      <c r="Z28" s="118">
        <f ca="1"/>
        <v>43825</v>
      </c>
      <c r="AA28" s="118">
        <f ca="1"/>
        <v>43850</v>
      </c>
      <c r="AB28" s="118">
        <f ca="1"/>
        <v>43831</v>
      </c>
      <c r="AC28" s="118">
        <f ca="1"/>
        <v>43471</v>
      </c>
      <c r="AD28" s="118">
        <f ca="1"/>
        <v>43857</v>
      </c>
      <c r="AE28" s="118">
        <f ca="1"/>
        <v>43786</v>
      </c>
      <c r="AF28" s="118">
        <f ca="1"/>
        <v>43576</v>
      </c>
      <c r="AG28" s="118">
        <f ca="1"/>
        <v>43586</v>
      </c>
      <c r="AH28" s="118">
        <f ca="1"/>
        <v>43766</v>
      </c>
      <c r="AI28" s="118">
        <f ca="1"/>
        <v>43824</v>
      </c>
      <c r="AJ28" s="118">
        <f ca="1"/>
        <v>43825</v>
      </c>
      <c r="AK28" s="118" t="e">
        <f ca="1"/>
        <v>#N/A</v>
      </c>
      <c r="AL28" s="118" t="e">
        <f ca="1"/>
        <v>#N/A</v>
      </c>
      <c r="AM28" s="118">
        <f ca="1"/>
        <v>43545</v>
      </c>
      <c r="AN28" s="118">
        <f ca="1"/>
        <v>43824</v>
      </c>
      <c r="AO28" s="118">
        <f ca="1"/>
        <v>43831</v>
      </c>
      <c r="AP28" s="118">
        <f ca="1"/>
        <v>43831</v>
      </c>
      <c r="AQ28" s="118">
        <f ca="1"/>
        <v>43832</v>
      </c>
      <c r="AR28" s="118"/>
      <c r="AS28" s="118"/>
      <c r="AT28" s="118"/>
      <c r="AU28" s="118"/>
      <c r="AV28" s="118"/>
      <c r="AW28" s="118"/>
      <c r="AX28" s="118"/>
      <c r="AY28" s="118"/>
      <c r="AZ28" s="118"/>
    </row>
    <row r="29" spans="2:52" ht="12" customHeight="1">
      <c r="B29" s="8"/>
      <c r="C29" s="10"/>
      <c r="D29" s="29" t="str">
        <v>Mumbai</v>
      </c>
      <c r="E29" s="118" t="e">
        <f ca="1"/>
        <v>#VALUE!</v>
      </c>
      <c r="F29" s="118">
        <f ca="1"/>
        <v>43831</v>
      </c>
      <c r="G29" s="118">
        <f ca="1"/>
        <v>43972</v>
      </c>
      <c r="H29" s="118">
        <f ca="1"/>
        <v>43831</v>
      </c>
      <c r="I29" s="118">
        <f ca="1"/>
        <v>43503</v>
      </c>
      <c r="J29" s="118">
        <f ca="1"/>
        <v>43831</v>
      </c>
      <c r="K29" s="118">
        <f ca="1"/>
        <v>43692</v>
      </c>
      <c r="L29" s="118">
        <f ca="1"/>
        <v>43626</v>
      </c>
      <c r="M29" s="118">
        <f ca="1"/>
        <v>43633</v>
      </c>
      <c r="N29" s="118">
        <f ca="1"/>
        <v>43878</v>
      </c>
      <c r="O29" s="118">
        <f ca="1"/>
        <v>43626</v>
      </c>
      <c r="P29" s="118">
        <f ca="1"/>
        <v>43826</v>
      </c>
      <c r="Q29" s="118">
        <f ca="1"/>
        <v>43514</v>
      </c>
      <c r="R29" s="118">
        <f ca="1"/>
        <v>43560</v>
      </c>
      <c r="S29" s="118">
        <f ca="1"/>
        <v>43824</v>
      </c>
      <c r="T29" s="118">
        <f ca="1"/>
        <v>43815</v>
      </c>
      <c r="U29" s="118">
        <f ca="1"/>
        <v>44074</v>
      </c>
      <c r="V29" s="118">
        <f ca="1"/>
        <v>43831</v>
      </c>
      <c r="W29" s="118">
        <f ca="1"/>
        <v>43771</v>
      </c>
      <c r="X29" s="118">
        <f ca="1"/>
        <v>43831</v>
      </c>
      <c r="Y29" s="118">
        <f ca="1"/>
        <v>43416</v>
      </c>
      <c r="Z29" s="118">
        <f ca="1"/>
        <v>43831</v>
      </c>
      <c r="AA29" s="118">
        <f ca="1"/>
        <v>43878</v>
      </c>
      <c r="AB29" s="118">
        <f ca="1"/>
        <v>43930</v>
      </c>
      <c r="AC29" s="118">
        <f ca="1"/>
        <v>43535</v>
      </c>
      <c r="AD29" s="118">
        <f ca="1"/>
        <v>43892</v>
      </c>
      <c r="AE29" s="118">
        <f ca="1"/>
        <v>43823</v>
      </c>
      <c r="AF29" s="118">
        <f ca="1"/>
        <v>43586</v>
      </c>
      <c r="AG29" s="118">
        <f ca="1"/>
        <v>43590</v>
      </c>
      <c r="AH29" s="118">
        <f ca="1"/>
        <v>43824</v>
      </c>
      <c r="AI29" s="118">
        <f ca="1"/>
        <v>43825</v>
      </c>
      <c r="AJ29" s="118">
        <f ca="1"/>
        <v>43831</v>
      </c>
      <c r="AK29" s="118" t="e">
        <f ca="1"/>
        <v>#N/A</v>
      </c>
      <c r="AL29" s="118" t="e">
        <f ca="1"/>
        <v>#N/A</v>
      </c>
      <c r="AM29" s="118">
        <f ca="1"/>
        <v>43584</v>
      </c>
      <c r="AN29" s="118">
        <f ca="1"/>
        <v>43825</v>
      </c>
      <c r="AO29" s="118">
        <f ca="1"/>
        <v>43934</v>
      </c>
      <c r="AP29" s="118">
        <f ca="1"/>
        <v>43832</v>
      </c>
      <c r="AQ29" s="118">
        <f ca="1"/>
        <v>43931</v>
      </c>
      <c r="AR29" s="118"/>
      <c r="AS29" s="118"/>
      <c r="AT29" s="118"/>
      <c r="AU29" s="118"/>
      <c r="AV29" s="118"/>
      <c r="AW29" s="118"/>
      <c r="AX29" s="118"/>
      <c r="AY29" s="118"/>
      <c r="AZ29" s="118"/>
    </row>
    <row r="30" spans="2:52" ht="12" customHeight="1">
      <c r="B30" s="8"/>
      <c r="C30" s="10"/>
      <c r="D30" s="29" t="str">
        <v>Montreal</v>
      </c>
      <c r="E30" s="118" t="e">
        <f ca="1"/>
        <v>#VALUE!</v>
      </c>
      <c r="F30" s="118">
        <f ca="1"/>
        <v>43857</v>
      </c>
      <c r="G30" s="118">
        <f ca="1"/>
        <v>43983</v>
      </c>
      <c r="H30" s="118">
        <f ca="1"/>
        <v>43832</v>
      </c>
      <c r="I30" s="118">
        <f ca="1"/>
        <v>43504</v>
      </c>
      <c r="J30" s="118">
        <f ca="1"/>
        <v>43857</v>
      </c>
      <c r="K30" s="118">
        <f ca="1"/>
        <v>43770</v>
      </c>
      <c r="L30" s="118">
        <f ca="1"/>
        <v>43682</v>
      </c>
      <c r="M30" s="118">
        <f ca="1"/>
        <v>43655</v>
      </c>
      <c r="N30" s="118">
        <f ca="1"/>
        <v>43976</v>
      </c>
      <c r="O30" s="118">
        <f ca="1"/>
        <v>43823</v>
      </c>
      <c r="P30" s="118">
        <f ca="1"/>
        <v>43831</v>
      </c>
      <c r="Q30" s="118">
        <f ca="1"/>
        <v>43574</v>
      </c>
      <c r="R30" s="118">
        <f ca="1"/>
        <v>43574</v>
      </c>
      <c r="S30" s="118">
        <f ca="1"/>
        <v>43825</v>
      </c>
      <c r="T30" s="118">
        <f ca="1"/>
        <v>43824</v>
      </c>
      <c r="U30" s="118" t="e">
        <f ca="1"/>
        <v>#N/A</v>
      </c>
      <c r="V30" s="118">
        <f ca="1"/>
        <v>43857</v>
      </c>
      <c r="W30" s="118">
        <f ca="1"/>
        <v>43787</v>
      </c>
      <c r="X30" s="118">
        <f ca="1"/>
        <v>43836</v>
      </c>
      <c r="Y30" s="118">
        <f ca="1"/>
        <v>43424</v>
      </c>
      <c r="Z30" s="118">
        <f ca="1"/>
        <v>43832</v>
      </c>
      <c r="AA30" s="118">
        <f ca="1"/>
        <v>43976</v>
      </c>
      <c r="AB30" s="118">
        <f ca="1"/>
        <v>43931</v>
      </c>
      <c r="AC30" s="118">
        <f ca="1"/>
        <v>43549</v>
      </c>
      <c r="AD30" s="118">
        <f ca="1"/>
        <v>43931</v>
      </c>
      <c r="AE30" s="118">
        <f ca="1"/>
        <v>43824</v>
      </c>
      <c r="AF30" s="118">
        <f ca="1"/>
        <v>43636</v>
      </c>
      <c r="AG30" s="118">
        <f ca="1"/>
        <v>43597</v>
      </c>
      <c r="AH30" s="118">
        <f ca="1"/>
        <v>43831</v>
      </c>
      <c r="AI30" s="118">
        <f ca="1"/>
        <v>43830</v>
      </c>
      <c r="AJ30" s="118">
        <f ca="1"/>
        <v>43857</v>
      </c>
      <c r="AK30" s="118" t="e">
        <f ca="1"/>
        <v>#N/A</v>
      </c>
      <c r="AL30" s="118" t="e">
        <f ca="1"/>
        <v>#N/A</v>
      </c>
      <c r="AM30" s="118">
        <f ca="1"/>
        <v>43588</v>
      </c>
      <c r="AN30" s="118">
        <f ca="1"/>
        <v>43831</v>
      </c>
      <c r="AO30" s="118">
        <f ca="1"/>
        <v>43952</v>
      </c>
      <c r="AP30" s="118">
        <f ca="1"/>
        <v>43850</v>
      </c>
      <c r="AQ30" s="118">
        <f ca="1"/>
        <v>43934</v>
      </c>
      <c r="AR30" s="118"/>
      <c r="AS30" s="118"/>
      <c r="AT30" s="118"/>
      <c r="AU30" s="118"/>
      <c r="AV30" s="118"/>
      <c r="AW30" s="118"/>
      <c r="AX30" s="118"/>
      <c r="AY30" s="118"/>
      <c r="AZ30" s="118"/>
    </row>
    <row r="31" spans="2:52" ht="12" customHeight="1">
      <c r="B31" s="8"/>
      <c r="C31" s="10"/>
      <c r="D31" s="29" t="str">
        <v>NewYork</v>
      </c>
      <c r="E31" s="118" t="e">
        <f ca="1"/>
        <v>#VALUE!</v>
      </c>
      <c r="F31" s="118">
        <f ca="1"/>
        <v>43899</v>
      </c>
      <c r="G31" s="118" t="e">
        <f ca="1"/>
        <v>#N/A</v>
      </c>
      <c r="H31" s="118">
        <f ca="1"/>
        <v>43857</v>
      </c>
      <c r="I31" s="118">
        <f ca="1"/>
        <v>43505</v>
      </c>
      <c r="J31" s="118">
        <f ca="1"/>
        <v>43931</v>
      </c>
      <c r="K31" s="118">
        <f ca="1"/>
        <v>43780</v>
      </c>
      <c r="L31" s="118">
        <f ca="1"/>
        <v>43683</v>
      </c>
      <c r="M31" s="118">
        <f ca="1"/>
        <v>43696</v>
      </c>
      <c r="N31" s="118">
        <f ca="1"/>
        <v>44016</v>
      </c>
      <c r="O31" s="118">
        <f ca="1"/>
        <v>43824</v>
      </c>
      <c r="P31" s="118">
        <f ca="1"/>
        <v>43907</v>
      </c>
      <c r="Q31" s="118">
        <f ca="1"/>
        <v>43577</v>
      </c>
      <c r="R31" s="118">
        <f ca="1"/>
        <v>43575</v>
      </c>
      <c r="S31" s="118">
        <f ca="1"/>
        <v>43831</v>
      </c>
      <c r="T31" s="118">
        <f ca="1"/>
        <v>43825</v>
      </c>
      <c r="U31" s="118" t="e">
        <f ca="1"/>
        <v>#N/A</v>
      </c>
      <c r="V31" s="118">
        <f ca="1"/>
        <v>43899</v>
      </c>
      <c r="W31" s="118">
        <f ca="1"/>
        <v>43811</v>
      </c>
      <c r="X31" s="118">
        <f ca="1"/>
        <v>43934</v>
      </c>
      <c r="Y31" s="118">
        <f ca="1"/>
        <v>43459</v>
      </c>
      <c r="Z31" s="118">
        <f ca="1"/>
        <v>43931</v>
      </c>
      <c r="AA31" s="118">
        <f ca="1"/>
        <v>44016</v>
      </c>
      <c r="AB31" s="118">
        <f ca="1"/>
        <v>43934</v>
      </c>
      <c r="AC31" s="118">
        <f ca="1"/>
        <v>43574</v>
      </c>
      <c r="AD31" s="118">
        <f ca="1"/>
        <v>43934</v>
      </c>
      <c r="AE31" s="118">
        <f ca="1"/>
        <v>43825</v>
      </c>
      <c r="AF31" s="118">
        <f ca="1"/>
        <v>43655</v>
      </c>
      <c r="AG31" s="118">
        <f ca="1"/>
        <v>43622</v>
      </c>
      <c r="AH31" s="118">
        <f ca="1"/>
        <v>43855</v>
      </c>
      <c r="AI31" s="118">
        <f ca="1"/>
        <v>43831</v>
      </c>
      <c r="AJ31" s="118">
        <f ca="1"/>
        <v>43931</v>
      </c>
      <c r="AK31" s="118" t="e">
        <f ca="1"/>
        <v>#N/A</v>
      </c>
      <c r="AL31" s="118" t="e">
        <f ca="1"/>
        <v>#N/A</v>
      </c>
      <c r="AM31" s="118">
        <f ca="1"/>
        <v>43589</v>
      </c>
      <c r="AN31" s="118">
        <f ca="1"/>
        <v>43878</v>
      </c>
      <c r="AO31" s="118">
        <f ca="1"/>
        <v>43954</v>
      </c>
      <c r="AP31" s="118">
        <f ca="1"/>
        <v>43867</v>
      </c>
      <c r="AQ31" s="118">
        <f ca="1"/>
        <v>43952</v>
      </c>
      <c r="AR31" s="118"/>
      <c r="AS31" s="118"/>
      <c r="AT31" s="118"/>
      <c r="AU31" s="118"/>
      <c r="AV31" s="118"/>
      <c r="AW31" s="118"/>
      <c r="AX31" s="118"/>
      <c r="AY31" s="118"/>
      <c r="AZ31" s="118"/>
    </row>
    <row r="32" spans="2:52" ht="12" customHeight="1">
      <c r="B32" s="8"/>
      <c r="C32" s="10"/>
      <c r="D32" s="29" t="str">
        <v>Oslo</v>
      </c>
      <c r="E32" s="118" t="e">
        <f ca="1"/>
        <v>#VALUE!</v>
      </c>
      <c r="F32" s="118">
        <f ca="1"/>
        <v>43931</v>
      </c>
      <c r="G32" s="118" t="e">
        <f ca="1"/>
        <v>#N/A</v>
      </c>
      <c r="H32" s="118">
        <f ca="1"/>
        <v>43867</v>
      </c>
      <c r="I32" s="118">
        <f ca="1"/>
        <v>43506</v>
      </c>
      <c r="J32" s="118">
        <f ca="1"/>
        <v>43932</v>
      </c>
      <c r="K32" s="118">
        <f ca="1"/>
        <v>43824</v>
      </c>
      <c r="L32" s="118">
        <f ca="1"/>
        <v>43697</v>
      </c>
      <c r="M32" s="118">
        <f ca="1"/>
        <v>43752</v>
      </c>
      <c r="N32" s="118">
        <f ca="1"/>
        <v>44081</v>
      </c>
      <c r="O32" s="118">
        <f ca="1"/>
        <v>43825</v>
      </c>
      <c r="P32" s="118">
        <f ca="1"/>
        <v>43931</v>
      </c>
      <c r="Q32" s="118">
        <f ca="1"/>
        <v>43586</v>
      </c>
      <c r="R32" s="118">
        <f ca="1"/>
        <v>43577</v>
      </c>
      <c r="S32" s="118">
        <f ca="1"/>
        <v>43857</v>
      </c>
      <c r="T32" s="118">
        <f ca="1"/>
        <v>43831</v>
      </c>
      <c r="U32" s="118" t="e">
        <f ca="1"/>
        <v>#N/A</v>
      </c>
      <c r="V32" s="118">
        <f ca="1"/>
        <v>43931</v>
      </c>
      <c r="W32" s="118">
        <f ca="1"/>
        <v>43824</v>
      </c>
      <c r="X32" s="118">
        <f ca="1"/>
        <v>43946</v>
      </c>
      <c r="Y32" s="118">
        <f ca="1"/>
        <v>43460</v>
      </c>
      <c r="Z32" s="118">
        <f ca="1"/>
        <v>43969</v>
      </c>
      <c r="AA32" s="118">
        <f ca="1"/>
        <v>44081</v>
      </c>
      <c r="AB32" s="118">
        <f ca="1"/>
        <v>43952</v>
      </c>
      <c r="AC32" s="118">
        <f ca="1"/>
        <v>43577</v>
      </c>
      <c r="AD32" s="118">
        <f ca="1"/>
        <v>43948</v>
      </c>
      <c r="AE32" s="118">
        <f ca="1"/>
        <v>43831</v>
      </c>
      <c r="AF32" s="118">
        <f ca="1"/>
        <v>43715</v>
      </c>
      <c r="AG32" s="118">
        <f ca="1"/>
        <v>43692</v>
      </c>
      <c r="AH32" s="118">
        <f ca="1"/>
        <v>43857</v>
      </c>
      <c r="AI32" s="118">
        <f ca="1"/>
        <v>43836</v>
      </c>
      <c r="AJ32" s="118">
        <f ca="1"/>
        <v>43932</v>
      </c>
      <c r="AK32" s="118" t="e">
        <f ca="1"/>
        <v>#N/A</v>
      </c>
      <c r="AL32" s="118" t="e">
        <f ca="1"/>
        <v>#N/A</v>
      </c>
      <c r="AM32" s="118">
        <f ca="1"/>
        <v>43591</v>
      </c>
      <c r="AN32" s="118">
        <f ca="1"/>
        <v>43931</v>
      </c>
      <c r="AO32" s="118">
        <f ca="1"/>
        <v>43993</v>
      </c>
      <c r="AP32" s="118">
        <f ca="1"/>
        <v>43931</v>
      </c>
      <c r="AQ32" s="118">
        <f ca="1"/>
        <v>43972</v>
      </c>
      <c r="AR32" s="118"/>
      <c r="AS32" s="118"/>
      <c r="AT32" s="118"/>
      <c r="AU32" s="118"/>
      <c r="AV32" s="118"/>
      <c r="AW32" s="118"/>
      <c r="AX32" s="118"/>
      <c r="AY32" s="118"/>
      <c r="AZ32" s="118"/>
    </row>
    <row r="33" spans="2:52" ht="12" customHeight="1">
      <c r="B33" s="8"/>
      <c r="C33" s="10"/>
      <c r="D33" s="29" t="str">
        <v>Paris</v>
      </c>
      <c r="E33" s="118" t="e">
        <f ca="1"/>
        <v>#VALUE!</v>
      </c>
      <c r="F33" s="118">
        <f ca="1"/>
        <v>43932</v>
      </c>
      <c r="G33" s="118" t="e">
        <f ca="1"/>
        <v>#N/A</v>
      </c>
      <c r="H33" s="118">
        <f ca="1"/>
        <v>43931</v>
      </c>
      <c r="I33" s="118">
        <f ca="1"/>
        <v>43507</v>
      </c>
      <c r="J33" s="118">
        <f ca="1"/>
        <v>43934</v>
      </c>
      <c r="K33" s="118">
        <f ca="1"/>
        <v>43825</v>
      </c>
      <c r="L33" s="118">
        <f ca="1"/>
        <v>43724</v>
      </c>
      <c r="M33" s="118">
        <f ca="1"/>
        <v>43775</v>
      </c>
      <c r="N33" s="118">
        <f ca="1"/>
        <v>44116</v>
      </c>
      <c r="O33" s="118">
        <f ca="1"/>
        <v>43830</v>
      </c>
      <c r="P33" s="118">
        <f ca="1"/>
        <v>43934</v>
      </c>
      <c r="Q33" s="118">
        <f ca="1"/>
        <v>43612</v>
      </c>
      <c r="R33" s="118">
        <f ca="1"/>
        <v>43586</v>
      </c>
      <c r="S33" s="118">
        <f ca="1"/>
        <v>43871</v>
      </c>
      <c r="T33" s="118">
        <f ca="1"/>
        <v>43911</v>
      </c>
      <c r="U33" s="118" t="e">
        <f ca="1"/>
        <v>#N/A</v>
      </c>
      <c r="V33" s="118">
        <f ca="1"/>
        <v>43932</v>
      </c>
      <c r="W33" s="118">
        <f ca="1"/>
        <v>43831</v>
      </c>
      <c r="X33" s="118">
        <f ca="1"/>
        <v>43952</v>
      </c>
      <c r="Y33" s="118">
        <f ca="1"/>
        <v>43466</v>
      </c>
      <c r="Z33" s="118">
        <f ca="1"/>
        <v>44006</v>
      </c>
      <c r="AA33" s="118">
        <f ca="1"/>
        <v>44116</v>
      </c>
      <c r="AB33" s="118">
        <f ca="1"/>
        <v>43968</v>
      </c>
      <c r="AC33" s="118">
        <f ca="1"/>
        <v>43581</v>
      </c>
      <c r="AD33" s="118">
        <f ca="1"/>
        <v>43983</v>
      </c>
      <c r="AE33" s="118">
        <f ca="1"/>
        <v>43934</v>
      </c>
      <c r="AF33" s="118">
        <f ca="1"/>
        <v>43750</v>
      </c>
      <c r="AG33" s="118">
        <f ca="1"/>
        <v>43720</v>
      </c>
      <c r="AH33" s="118">
        <f ca="1"/>
        <v>43931</v>
      </c>
      <c r="AI33" s="118">
        <f ca="1"/>
        <v>43931</v>
      </c>
      <c r="AJ33" s="118">
        <f ca="1"/>
        <v>43934</v>
      </c>
      <c r="AK33" s="118" t="e">
        <f ca="1"/>
        <v>#N/A</v>
      </c>
      <c r="AL33" s="118" t="e">
        <f ca="1"/>
        <v>#N/A</v>
      </c>
      <c r="AM33" s="118">
        <f ca="1"/>
        <v>43661</v>
      </c>
      <c r="AN33" s="118">
        <f ca="1"/>
        <v>43969</v>
      </c>
      <c r="AO33" s="118">
        <f ca="1"/>
        <v>44058</v>
      </c>
      <c r="AP33" s="118">
        <f ca="1"/>
        <v>43934</v>
      </c>
      <c r="AQ33" s="118">
        <f ca="1"/>
        <v>43983</v>
      </c>
      <c r="AR33" s="118"/>
      <c r="AS33" s="118"/>
      <c r="AT33" s="118"/>
      <c r="AU33" s="118"/>
      <c r="AV33" s="118"/>
      <c r="AW33" s="118"/>
      <c r="AX33" s="118"/>
      <c r="AY33" s="118"/>
      <c r="AZ33" s="118"/>
    </row>
    <row r="34" spans="2:52" ht="12" customHeight="1">
      <c r="B34" s="8"/>
      <c r="C34" s="10"/>
      <c r="D34" s="29" t="str">
        <v>Perth</v>
      </c>
      <c r="E34" s="118" t="e">
        <f ca="1"/>
        <v>#VALUE!</v>
      </c>
      <c r="F34" s="118">
        <f ca="1"/>
        <v>43934</v>
      </c>
      <c r="G34" s="118" t="e">
        <f ca="1"/>
        <v>#N/A</v>
      </c>
      <c r="H34" s="118">
        <f ca="1"/>
        <v>43934</v>
      </c>
      <c r="I34" s="118">
        <f ca="1"/>
        <v>43508</v>
      </c>
      <c r="J34" s="118">
        <f ca="1"/>
        <v>43946</v>
      </c>
      <c r="K34" s="118">
        <f ca="1"/>
        <v>43831</v>
      </c>
      <c r="L34" s="118">
        <f ca="1"/>
        <v>43727</v>
      </c>
      <c r="M34" s="118">
        <f ca="1"/>
        <v>43807</v>
      </c>
      <c r="N34" s="118" t="e">
        <f ca="1"/>
        <v>#N/A</v>
      </c>
      <c r="O34" s="118">
        <f ca="1"/>
        <v>43831</v>
      </c>
      <c r="P34" s="118">
        <f ca="1"/>
        <v>43955</v>
      </c>
      <c r="Q34" s="118">
        <f ca="1"/>
        <v>43615</v>
      </c>
      <c r="R34" s="118">
        <f ca="1"/>
        <v>43598</v>
      </c>
      <c r="S34" s="118">
        <f ca="1"/>
        <v>43899</v>
      </c>
      <c r="T34" s="118">
        <f ca="1"/>
        <v>43931</v>
      </c>
      <c r="U34" s="118" t="e">
        <f ca="1"/>
        <v>#N/A</v>
      </c>
      <c r="V34" s="118">
        <f ca="1"/>
        <v>43934</v>
      </c>
      <c r="W34" s="118">
        <f ca="1"/>
        <v>43864</v>
      </c>
      <c r="X34" s="118">
        <f ca="1"/>
        <v>43984</v>
      </c>
      <c r="Y34" s="118">
        <f ca="1"/>
        <v>43491</v>
      </c>
      <c r="Z34" s="118">
        <f ca="1"/>
        <v>44013</v>
      </c>
      <c r="AA34" s="118" t="e">
        <f ca="1"/>
        <v>#N/A</v>
      </c>
      <c r="AB34" s="118">
        <f ca="1"/>
        <v>43972</v>
      </c>
      <c r="AC34" s="118">
        <f ca="1"/>
        <v>43584</v>
      </c>
      <c r="AD34" s="118">
        <f ca="1"/>
        <v>44109</v>
      </c>
      <c r="AE34" s="118">
        <f ca="1"/>
        <v>43952</v>
      </c>
      <c r="AF34" s="118">
        <f ca="1"/>
        <v>43771</v>
      </c>
      <c r="AG34" s="118">
        <f ca="1"/>
        <v>43721</v>
      </c>
      <c r="AH34" s="118">
        <f ca="1"/>
        <v>43952</v>
      </c>
      <c r="AI34" s="118">
        <f ca="1"/>
        <v>43934</v>
      </c>
      <c r="AJ34" s="118">
        <f ca="1"/>
        <v>43946</v>
      </c>
      <c r="AK34" s="118" t="e">
        <f ca="1"/>
        <v>#N/A</v>
      </c>
      <c r="AL34" s="118" t="e">
        <f ca="1"/>
        <v>#N/A</v>
      </c>
      <c r="AM34" s="118">
        <f ca="1"/>
        <v>43724</v>
      </c>
      <c r="AN34" s="118">
        <f ca="1"/>
        <v>44013</v>
      </c>
      <c r="AO34" s="118" t="e">
        <f ca="1"/>
        <v>#N/A</v>
      </c>
      <c r="AP34" s="118">
        <f ca="1"/>
        <v>43946</v>
      </c>
      <c r="AQ34" s="118">
        <f ca="1"/>
        <v>44044</v>
      </c>
      <c r="AR34" s="118"/>
      <c r="AS34" s="118"/>
      <c r="AT34" s="118"/>
      <c r="AU34" s="118"/>
      <c r="AV34" s="118"/>
      <c r="AW34" s="118"/>
      <c r="AX34" s="118"/>
      <c r="AY34" s="118"/>
      <c r="AZ34" s="118"/>
    </row>
    <row r="35" spans="2:52" ht="12" customHeight="1">
      <c r="B35" s="8"/>
      <c r="C35" s="10"/>
      <c r="D35" s="29" t="str">
        <v>Prague</v>
      </c>
      <c r="E35" s="118" t="e">
        <f ca="1"/>
        <v>#VALUE!</v>
      </c>
      <c r="F35" s="118">
        <f ca="1"/>
        <v>43946</v>
      </c>
      <c r="G35" s="118" t="e">
        <f ca="1"/>
        <v>#N/A</v>
      </c>
      <c r="H35" s="118">
        <f ca="1"/>
        <v>43946</v>
      </c>
      <c r="I35" s="118">
        <f ca="1"/>
        <v>43560</v>
      </c>
      <c r="J35" s="118">
        <f ca="1"/>
        <v>43955</v>
      </c>
      <c r="K35" s="118">
        <f ca="1"/>
        <v>43931</v>
      </c>
      <c r="L35" s="118">
        <f ca="1"/>
        <v>43761</v>
      </c>
      <c r="M35" s="118">
        <f ca="1"/>
        <v>43824</v>
      </c>
      <c r="N35" s="118" t="e">
        <f ca="1"/>
        <v>#N/A</v>
      </c>
      <c r="O35" s="118">
        <f ca="1"/>
        <v>43930</v>
      </c>
      <c r="P35" s="118">
        <f ca="1"/>
        <v>43983</v>
      </c>
      <c r="Q35" s="118">
        <f ca="1"/>
        <v>43626</v>
      </c>
      <c r="R35" s="118">
        <f ca="1"/>
        <v>43623</v>
      </c>
      <c r="S35" s="118">
        <f ca="1"/>
        <v>43931</v>
      </c>
      <c r="T35" s="118">
        <f ca="1"/>
        <v>43934</v>
      </c>
      <c r="U35" s="118" t="e">
        <f ca="1"/>
        <v>#N/A</v>
      </c>
      <c r="V35" s="118">
        <f ca="1"/>
        <v>43946</v>
      </c>
      <c r="W35" s="118">
        <f ca="1"/>
        <v>43906</v>
      </c>
      <c r="X35" s="118">
        <f ca="1"/>
        <v>44058</v>
      </c>
      <c r="Y35" s="118">
        <f ca="1"/>
        <v>43514</v>
      </c>
      <c r="Z35" s="118">
        <f ca="1"/>
        <v>44081</v>
      </c>
      <c r="AA35" s="118" t="e">
        <f ca="1"/>
        <v>#N/A</v>
      </c>
      <c r="AB35" s="118">
        <f ca="1"/>
        <v>43983</v>
      </c>
      <c r="AC35" s="118">
        <f ca="1"/>
        <v>43586</v>
      </c>
      <c r="AD35" s="118" t="e">
        <f ca="1"/>
        <v>#N/A</v>
      </c>
      <c r="AE35" s="118">
        <f ca="1"/>
        <v>43959</v>
      </c>
      <c r="AF35" s="118">
        <f ca="1"/>
        <v>43784</v>
      </c>
      <c r="AG35" s="118">
        <f ca="1"/>
        <v>43722</v>
      </c>
      <c r="AH35" s="118">
        <f ca="1"/>
        <v>43958</v>
      </c>
      <c r="AI35" s="118">
        <f ca="1"/>
        <v>43952</v>
      </c>
      <c r="AJ35" s="118">
        <f ca="1"/>
        <v>43990</v>
      </c>
      <c r="AK35" s="118" t="e">
        <f ca="1"/>
        <v>#N/A</v>
      </c>
      <c r="AL35" s="118" t="e">
        <f ca="1"/>
        <v>#N/A</v>
      </c>
      <c r="AM35" s="118">
        <f ca="1"/>
        <v>43731</v>
      </c>
      <c r="AN35" s="118">
        <f ca="1"/>
        <v>44046</v>
      </c>
      <c r="AO35" s="118" t="e">
        <f ca="1"/>
        <v>#N/A</v>
      </c>
      <c r="AP35" s="118">
        <f ca="1"/>
        <v>43983</v>
      </c>
      <c r="AQ35" s="118" t="e">
        <f ca="1"/>
        <v>#N/A</v>
      </c>
      <c r="AR35" s="118"/>
      <c r="AS35" s="118"/>
      <c r="AT35" s="118"/>
      <c r="AU35" s="118"/>
      <c r="AV35" s="118"/>
      <c r="AW35" s="118"/>
      <c r="AX35" s="118"/>
      <c r="AY35" s="118"/>
      <c r="AZ35" s="118"/>
    </row>
    <row r="36" spans="2:52" ht="12" customHeight="1">
      <c r="B36" s="8"/>
      <c r="C36" s="10"/>
      <c r="D36" s="29" t="str">
        <v>Sao Paulo</v>
      </c>
      <c r="E36" s="118" t="e">
        <f ca="1"/>
        <v>#VALUE!</v>
      </c>
      <c r="F36" s="118">
        <f ca="1"/>
        <v>43990</v>
      </c>
      <c r="G36" s="118" t="e">
        <f ca="1"/>
        <v>#N/A</v>
      </c>
      <c r="H36" s="118">
        <f ca="1"/>
        <v>43983</v>
      </c>
      <c r="I36" s="118">
        <f ca="1"/>
        <v>43586</v>
      </c>
      <c r="J36" s="118">
        <f ca="1"/>
        <v>43990</v>
      </c>
      <c r="K36" s="118">
        <f ca="1"/>
        <v>43934</v>
      </c>
      <c r="L36" s="118">
        <f ca="1"/>
        <v>43770</v>
      </c>
      <c r="M36" s="118">
        <f ca="1"/>
        <v>43831</v>
      </c>
      <c r="N36" s="118" t="e">
        <f ca="1"/>
        <v>#N/A</v>
      </c>
      <c r="O36" s="118">
        <f ca="1"/>
        <v>43931</v>
      </c>
      <c r="P36" s="118">
        <f ca="1"/>
        <v>44046</v>
      </c>
      <c r="Q36" s="118">
        <f ca="1"/>
        <v>43636</v>
      </c>
      <c r="R36" s="118">
        <f ca="1"/>
        <v>43647</v>
      </c>
      <c r="S36" s="118">
        <f ca="1"/>
        <v>43934</v>
      </c>
      <c r="T36" s="118">
        <f ca="1"/>
        <v>43948</v>
      </c>
      <c r="U36" s="118" t="e">
        <f ca="1"/>
        <v>#N/A</v>
      </c>
      <c r="V36" s="118">
        <f ca="1"/>
        <v>43990</v>
      </c>
      <c r="W36" s="118">
        <f ca="1"/>
        <v>43930</v>
      </c>
      <c r="X36" s="118" t="e">
        <f ca="1"/>
        <v>#N/A</v>
      </c>
      <c r="Y36" s="118">
        <f ca="1"/>
        <v>43545</v>
      </c>
      <c r="Z36" s="118">
        <f ca="1"/>
        <v>44116</v>
      </c>
      <c r="AA36" s="118" t="e">
        <f ca="1"/>
        <v>#N/A</v>
      </c>
      <c r="AB36" s="118" t="e">
        <f ca="1"/>
        <v>#N/A</v>
      </c>
      <c r="AC36" s="118">
        <f ca="1"/>
        <v>43593</v>
      </c>
      <c r="AD36" s="118" t="e">
        <f ca="1"/>
        <v>#N/A</v>
      </c>
      <c r="AE36" s="118">
        <f ca="1"/>
        <v>44017</v>
      </c>
      <c r="AF36" s="118">
        <f ca="1"/>
        <v>43789</v>
      </c>
      <c r="AG36" s="118">
        <f ca="1"/>
        <v>43741</v>
      </c>
      <c r="AH36" s="118">
        <f ca="1"/>
        <v>43976</v>
      </c>
      <c r="AI36" s="118">
        <f ca="1"/>
        <v>43972</v>
      </c>
      <c r="AJ36" s="118">
        <f ca="1"/>
        <v>44046</v>
      </c>
      <c r="AK36" s="118" t="e">
        <f ca="1"/>
        <v>#N/A</v>
      </c>
      <c r="AL36" s="118" t="e">
        <f ca="1"/>
        <v>#N/A</v>
      </c>
      <c r="AM36" s="118">
        <f ca="1"/>
        <v>43752</v>
      </c>
      <c r="AN36" s="118">
        <f ca="1"/>
        <v>44081</v>
      </c>
      <c r="AO36" s="118" t="e">
        <f ca="1"/>
        <v>#N/A</v>
      </c>
      <c r="AP36" s="118" t="e">
        <f ca="1"/>
        <v>#N/A</v>
      </c>
      <c r="AQ36" s="118" t="e">
        <f ca="1"/>
        <v>#N/A</v>
      </c>
      <c r="AR36" s="118"/>
      <c r="AS36" s="118"/>
      <c r="AT36" s="118"/>
      <c r="AU36" s="118"/>
      <c r="AV36" s="118"/>
      <c r="AW36" s="118"/>
      <c r="AX36" s="118"/>
      <c r="AY36" s="118"/>
      <c r="AZ36" s="118"/>
    </row>
    <row r="37" spans="2:52" ht="12" customHeight="1">
      <c r="B37" s="8"/>
      <c r="C37" s="10"/>
      <c r="D37" s="29" t="str">
        <v>Seoul</v>
      </c>
      <c r="E37" s="118" t="e">
        <f ca="1"/>
        <v>#VALUE!</v>
      </c>
      <c r="F37" s="118">
        <f ca="1"/>
        <v>44109</v>
      </c>
      <c r="G37" s="118" t="e">
        <f ca="1"/>
        <v>#N/A</v>
      </c>
      <c r="H37" s="118" t="e">
        <f ca="1"/>
        <v>#N/A</v>
      </c>
      <c r="I37" s="118">
        <f ca="1"/>
        <v>43623</v>
      </c>
      <c r="J37" s="118">
        <f ca="1"/>
        <v>44055</v>
      </c>
      <c r="K37" s="118">
        <f ca="1"/>
        <v>43952</v>
      </c>
      <c r="L37" s="118">
        <f ca="1"/>
        <v>43824</v>
      </c>
      <c r="M37" s="118">
        <f ca="1"/>
        <v>43914</v>
      </c>
      <c r="N37" s="118" t="e">
        <f ca="1"/>
        <v>#N/A</v>
      </c>
      <c r="O37" s="118">
        <f ca="1"/>
        <v>43934</v>
      </c>
      <c r="P37" s="118" t="e">
        <f ca="1"/>
        <v>#N/A</v>
      </c>
      <c r="Q37" s="118">
        <f ca="1"/>
        <v>43650</v>
      </c>
      <c r="R37" s="118">
        <f ca="1"/>
        <v>43722</v>
      </c>
      <c r="S37" s="118">
        <f ca="1"/>
        <v>43935</v>
      </c>
      <c r="T37" s="118">
        <f ca="1"/>
        <v>43952</v>
      </c>
      <c r="U37" s="118" t="e">
        <f ca="1"/>
        <v>#N/A</v>
      </c>
      <c r="V37" s="118" t="e">
        <f ca="1"/>
        <v>#N/A</v>
      </c>
      <c r="W37" s="118">
        <f ca="1"/>
        <v>43931</v>
      </c>
      <c r="X37" s="118" t="e">
        <f ca="1"/>
        <v>#N/A</v>
      </c>
      <c r="Y37" s="118">
        <f ca="1"/>
        <v>43556</v>
      </c>
      <c r="Z37" s="118" t="e">
        <f ca="1"/>
        <v>#N/A</v>
      </c>
      <c r="AA37" s="118" t="e">
        <f ca="1"/>
        <v>#N/A</v>
      </c>
      <c r="AB37" s="118" t="e">
        <f ca="1"/>
        <v>#N/A</v>
      </c>
      <c r="AC37" s="118">
        <f ca="1"/>
        <v>43615</v>
      </c>
      <c r="AD37" s="118" t="e">
        <f ca="1"/>
        <v>#N/A</v>
      </c>
      <c r="AE37" s="118">
        <f ca="1"/>
        <v>44018</v>
      </c>
      <c r="AF37" s="118">
        <f ca="1"/>
        <v>43824</v>
      </c>
      <c r="AG37" s="118">
        <f ca="1"/>
        <v>43824</v>
      </c>
      <c r="AH37" s="118">
        <f ca="1"/>
        <v>44043</v>
      </c>
      <c r="AI37" s="118">
        <f ca="1"/>
        <v>43988</v>
      </c>
      <c r="AJ37" s="118">
        <f ca="1"/>
        <v>44109</v>
      </c>
      <c r="AK37" s="118" t="e">
        <f ca="1"/>
        <v>#N/A</v>
      </c>
      <c r="AL37" s="118" t="e">
        <f ca="1"/>
        <v>#N/A</v>
      </c>
      <c r="AM37" s="118">
        <f ca="1"/>
        <v>43773</v>
      </c>
      <c r="AN37" s="118">
        <f ca="1"/>
        <v>44116</v>
      </c>
      <c r="AO37" s="118" t="e">
        <f ca="1"/>
        <v>#N/A</v>
      </c>
      <c r="AP37" s="118" t="e">
        <f ca="1"/>
        <v>#N/A</v>
      </c>
      <c r="AQ37" s="118" t="e">
        <f ca="1"/>
        <v>#N/A</v>
      </c>
      <c r="AR37" s="118"/>
      <c r="AS37" s="118"/>
      <c r="AT37" s="118"/>
      <c r="AU37" s="118"/>
      <c r="AV37" s="118"/>
      <c r="AW37" s="118"/>
      <c r="AX37" s="118"/>
      <c r="AY37" s="118"/>
      <c r="AZ37" s="118"/>
    </row>
    <row r="38" spans="2:52" ht="12" customHeight="1">
      <c r="B38" s="8"/>
      <c r="C38" s="10"/>
      <c r="D38" s="29" t="str">
        <v>Singapore</v>
      </c>
      <c r="E38" s="118" t="e">
        <f ca="1"/>
        <v>#VALUE!</v>
      </c>
      <c r="F38" s="118" t="e">
        <f ca="1"/>
        <v>#N/A</v>
      </c>
      <c r="G38" s="118" t="e">
        <f ca="1"/>
        <v>#N/A</v>
      </c>
      <c r="H38" s="118" t="e">
        <f ca="1"/>
        <v>#N/A</v>
      </c>
      <c r="I38" s="118">
        <f ca="1"/>
        <v>43722</v>
      </c>
      <c r="J38" s="118" t="e">
        <f ca="1"/>
        <v>#N/A</v>
      </c>
      <c r="K38" s="118">
        <f ca="1"/>
        <v>43972</v>
      </c>
      <c r="L38" s="118">
        <f ca="1"/>
        <v>43825</v>
      </c>
      <c r="M38" s="118">
        <f ca="1"/>
        <v>43923</v>
      </c>
      <c r="N38" s="118" t="e">
        <f ca="1"/>
        <v>#N/A</v>
      </c>
      <c r="O38" s="118">
        <f ca="1"/>
        <v>43959</v>
      </c>
      <c r="P38" s="118" t="e">
        <f ca="1"/>
        <v>#N/A</v>
      </c>
      <c r="Q38" s="118">
        <f ca="1"/>
        <v>43710</v>
      </c>
      <c r="R38" s="118">
        <f ca="1"/>
        <v>43739</v>
      </c>
      <c r="S38" s="118">
        <f ca="1"/>
        <v>43946</v>
      </c>
      <c r="T38" s="118">
        <f ca="1"/>
        <v>43998</v>
      </c>
      <c r="U38" s="118" t="e">
        <f ca="1"/>
        <v>#N/A</v>
      </c>
      <c r="V38" s="118" t="e">
        <f ca="1"/>
        <v>#N/A</v>
      </c>
      <c r="W38" s="118">
        <f ca="1"/>
        <v>43932</v>
      </c>
      <c r="X38" s="118" t="e">
        <f ca="1"/>
        <v>#N/A</v>
      </c>
      <c r="Y38" s="118">
        <f ca="1"/>
        <v>43561</v>
      </c>
      <c r="Z38" s="118" t="e">
        <f ca="1"/>
        <v>#N/A</v>
      </c>
      <c r="AA38" s="118" t="e">
        <f ca="1"/>
        <v>#N/A</v>
      </c>
      <c r="AB38" s="118" t="e">
        <f ca="1"/>
        <v>#N/A</v>
      </c>
      <c r="AC38" s="118">
        <f ca="1"/>
        <v>43626</v>
      </c>
      <c r="AD38" s="118" t="e">
        <f ca="1"/>
        <v>#N/A</v>
      </c>
      <c r="AE38" s="118">
        <f ca="1"/>
        <v>44102</v>
      </c>
      <c r="AF38" s="118">
        <f ca="1"/>
        <v>43830</v>
      </c>
      <c r="AG38" s="118">
        <f ca="1"/>
        <v>43831</v>
      </c>
      <c r="AH38" s="118">
        <f ca="1"/>
        <v>44053</v>
      </c>
      <c r="AI38" s="118">
        <f ca="1"/>
        <v>44001</v>
      </c>
      <c r="AJ38" s="118" t="e">
        <f ca="1"/>
        <v>#N/A</v>
      </c>
      <c r="AK38" s="118" t="e">
        <f ca="1"/>
        <v>#N/A</v>
      </c>
      <c r="AL38" s="118" t="e">
        <f ca="1"/>
        <v>#N/A</v>
      </c>
      <c r="AM38" s="118">
        <f ca="1"/>
        <v>43792</v>
      </c>
      <c r="AN38" s="118" t="e">
        <f ca="1"/>
        <v>#N/A</v>
      </c>
      <c r="AO38" s="118" t="e">
        <f ca="1"/>
        <v>#N/A</v>
      </c>
      <c r="AP38" s="118" t="e">
        <f ca="1"/>
        <v>#N/A</v>
      </c>
      <c r="AQ38" s="118" t="e">
        <f ca="1"/>
        <v>#N/A</v>
      </c>
      <c r="AR38" s="118"/>
      <c r="AS38" s="118"/>
      <c r="AT38" s="118"/>
      <c r="AU38" s="118"/>
      <c r="AV38" s="118"/>
      <c r="AW38" s="118"/>
      <c r="AX38" s="118"/>
      <c r="AY38" s="118"/>
      <c r="AZ38" s="118"/>
    </row>
    <row r="39" spans="2:52" ht="12" customHeight="1">
      <c r="B39" s="8"/>
      <c r="C39" s="10"/>
      <c r="D39" s="29" t="str">
        <v>Stockholm</v>
      </c>
      <c r="E39" s="118" t="e">
        <f ca="1"/>
        <v>#VALUE!</v>
      </c>
      <c r="F39" s="118" t="e">
        <f ca="1"/>
        <v>#N/A</v>
      </c>
      <c r="G39" s="118" t="e">
        <f ca="1"/>
        <v>#N/A</v>
      </c>
      <c r="H39" s="118" t="e">
        <f ca="1"/>
        <v>#N/A</v>
      </c>
      <c r="I39" s="118">
        <f ca="1"/>
        <v>43739</v>
      </c>
      <c r="J39" s="118" t="e">
        <f ca="1"/>
        <v>#N/A</v>
      </c>
      <c r="K39" s="118">
        <f ca="1"/>
        <v>43973</v>
      </c>
      <c r="L39" s="118">
        <f ca="1"/>
        <v>43831</v>
      </c>
      <c r="M39" s="118">
        <f ca="1"/>
        <v>43930</v>
      </c>
      <c r="N39" s="118" t="e">
        <f ca="1"/>
        <v>#N/A</v>
      </c>
      <c r="O39" s="118">
        <f ca="1"/>
        <v>43972</v>
      </c>
      <c r="P39" s="118" t="e">
        <f ca="1"/>
        <v>#N/A</v>
      </c>
      <c r="Q39" s="118">
        <f ca="1"/>
        <v>43741</v>
      </c>
      <c r="R39" s="118">
        <f ca="1"/>
        <v>43745</v>
      </c>
      <c r="S39" s="118">
        <f ca="1"/>
        <v>43990</v>
      </c>
      <c r="T39" s="118">
        <f ca="1"/>
        <v>44053</v>
      </c>
      <c r="U39" s="118" t="e">
        <f ca="1"/>
        <v>#N/A</v>
      </c>
      <c r="V39" s="118" t="e">
        <f ca="1"/>
        <v>#N/A</v>
      </c>
      <c r="W39" s="118">
        <f ca="1"/>
        <v>43952</v>
      </c>
      <c r="X39" s="118" t="e">
        <f ca="1"/>
        <v>#N/A</v>
      </c>
      <c r="Y39" s="118">
        <f ca="1"/>
        <v>43569</v>
      </c>
      <c r="Z39" s="118" t="e">
        <f ca="1"/>
        <v>#N/A</v>
      </c>
      <c r="AA39" s="118" t="e">
        <f ca="1"/>
        <v>#N/A</v>
      </c>
      <c r="AB39" s="118" t="e">
        <f ca="1"/>
        <v>#N/A</v>
      </c>
      <c r="AC39" s="118">
        <f ca="1"/>
        <v>43633</v>
      </c>
      <c r="AD39" s="118" t="e">
        <f ca="1"/>
        <v>#N/A</v>
      </c>
      <c r="AE39" s="118" t="e">
        <f ca="1"/>
        <v>#N/A</v>
      </c>
      <c r="AF39" s="118">
        <f ca="1"/>
        <v>43831</v>
      </c>
      <c r="AG39" s="118">
        <f ca="1"/>
        <v>43854</v>
      </c>
      <c r="AH39" s="118" t="e">
        <f ca="1"/>
        <v>#N/A</v>
      </c>
      <c r="AI39" s="118" t="e">
        <f ca="1"/>
        <v>#N/A</v>
      </c>
      <c r="AJ39" s="118" t="e">
        <f ca="1"/>
        <v>#N/A</v>
      </c>
      <c r="AK39" s="118" t="e">
        <f ca="1"/>
        <v>#N/A</v>
      </c>
      <c r="AL39" s="118" t="e">
        <f ca="1"/>
        <v>#N/A</v>
      </c>
      <c r="AM39" s="118">
        <f ca="1"/>
        <v>43822</v>
      </c>
      <c r="AN39" s="118" t="e">
        <f ca="1"/>
        <v>#N/A</v>
      </c>
      <c r="AO39" s="118" t="e">
        <f ca="1"/>
        <v>#N/A</v>
      </c>
      <c r="AP39" s="118" t="e">
        <f ca="1"/>
        <v>#N/A</v>
      </c>
      <c r="AQ39" s="118" t="e">
        <f ca="1"/>
        <v>#N/A</v>
      </c>
      <c r="AR39" s="118"/>
      <c r="AS39" s="118"/>
      <c r="AT39" s="118"/>
      <c r="AU39" s="118"/>
      <c r="AV39" s="118"/>
      <c r="AW39" s="118"/>
      <c r="AX39" s="118"/>
      <c r="AY39" s="118"/>
      <c r="AZ39" s="118"/>
    </row>
    <row r="40" spans="2:52" ht="12" customHeight="1">
      <c r="B40" s="8"/>
      <c r="C40" s="10"/>
      <c r="D40" s="29" t="str">
        <v>Sydney</v>
      </c>
      <c r="E40" s="118" t="e">
        <f ca="1"/>
        <v>#VALUE!</v>
      </c>
      <c r="F40" s="118" t="e">
        <f ca="1"/>
        <v>#N/A</v>
      </c>
      <c r="G40" s="118" t="e">
        <f ca="1"/>
        <v>#N/A</v>
      </c>
      <c r="H40" s="118" t="e">
        <f ca="1"/>
        <v>#N/A</v>
      </c>
      <c r="I40" s="118">
        <f ca="1"/>
        <v>43740</v>
      </c>
      <c r="J40" s="118" t="e">
        <f ca="1"/>
        <v>#N/A</v>
      </c>
      <c r="K40" s="118">
        <f ca="1"/>
        <v>43983</v>
      </c>
      <c r="L40" s="118">
        <f ca="1"/>
        <v>43832</v>
      </c>
      <c r="M40" s="118">
        <f ca="1"/>
        <v>43931</v>
      </c>
      <c r="N40" s="118" t="e">
        <f ca="1"/>
        <v>#N/A</v>
      </c>
      <c r="O40" s="118">
        <f ca="1"/>
        <v>43973</v>
      </c>
      <c r="P40" s="118" t="e">
        <f ca="1"/>
        <v>#N/A</v>
      </c>
      <c r="Q40" s="118">
        <f ca="1"/>
        <v>43752</v>
      </c>
      <c r="R40" s="118">
        <f ca="1"/>
        <v>43824</v>
      </c>
      <c r="S40" s="118">
        <f ca="1"/>
        <v>44126</v>
      </c>
      <c r="T40" s="118">
        <f ca="1"/>
        <v>44098</v>
      </c>
      <c r="U40" s="118" t="e">
        <f ca="1"/>
        <v>#N/A</v>
      </c>
      <c r="V40" s="118" t="e">
        <f ca="1"/>
        <v>#N/A</v>
      </c>
      <c r="W40" s="118">
        <f ca="1"/>
        <v>44090</v>
      </c>
      <c r="X40" s="118" t="e">
        <f ca="1"/>
        <v>#N/A</v>
      </c>
      <c r="Y40" s="118">
        <f ca="1"/>
        <v>43574</v>
      </c>
      <c r="Z40" s="118" t="e">
        <f ca="1"/>
        <v>#N/A</v>
      </c>
      <c r="AA40" s="118" t="e">
        <f ca="1"/>
        <v>#N/A</v>
      </c>
      <c r="AB40" s="118" t="e">
        <f ca="1"/>
        <v>#N/A</v>
      </c>
      <c r="AC40" s="118">
        <f ca="1"/>
        <v>43660</v>
      </c>
      <c r="AD40" s="118" t="e">
        <f ca="1"/>
        <v>#N/A</v>
      </c>
      <c r="AE40" s="118" t="e">
        <f ca="1"/>
        <v>#N/A</v>
      </c>
      <c r="AF40" s="118">
        <f ca="1"/>
        <v>43855</v>
      </c>
      <c r="AG40" s="118">
        <f ca="1"/>
        <v>43855</v>
      </c>
      <c r="AH40" s="118" t="e">
        <f ca="1"/>
        <v>#N/A</v>
      </c>
      <c r="AI40" s="118" t="e">
        <f ca="1"/>
        <v>#N/A</v>
      </c>
      <c r="AJ40" s="118" t="e">
        <f ca="1"/>
        <v>#N/A</v>
      </c>
      <c r="AK40" s="118" t="e">
        <f ca="1"/>
        <v>#N/A</v>
      </c>
      <c r="AL40" s="118" t="e">
        <f ca="1"/>
        <v>#N/A</v>
      </c>
      <c r="AM40" s="118">
        <f ca="1"/>
        <v>43830</v>
      </c>
      <c r="AN40" s="118" t="e">
        <f ca="1"/>
        <v>#N/A</v>
      </c>
      <c r="AO40" s="118" t="e">
        <f ca="1"/>
        <v>#N/A</v>
      </c>
      <c r="AP40" s="118" t="e">
        <f ca="1"/>
        <v>#N/A</v>
      </c>
      <c r="AQ40" s="118" t="e">
        <f ca="1"/>
        <v>#N/A</v>
      </c>
      <c r="AR40" s="118"/>
      <c r="AS40" s="118"/>
      <c r="AT40" s="118"/>
      <c r="AU40" s="118"/>
      <c r="AV40" s="118"/>
      <c r="AW40" s="118"/>
      <c r="AX40" s="118"/>
      <c r="AY40" s="118"/>
      <c r="AZ40" s="118"/>
    </row>
    <row r="41" spans="2:52" ht="12" customHeight="1">
      <c r="B41" s="8"/>
      <c r="C41" s="10"/>
      <c r="D41" s="29" t="str">
        <v>TARGET</v>
      </c>
      <c r="E41" s="118" t="e">
        <f ca="1"/>
        <v>#VALUE!</v>
      </c>
      <c r="F41" s="118" t="e">
        <f ca="1"/>
        <v>#N/A</v>
      </c>
      <c r="G41" s="118" t="e">
        <f ca="1"/>
        <v>#N/A</v>
      </c>
      <c r="H41" s="118" t="e">
        <f ca="1"/>
        <v>#N/A</v>
      </c>
      <c r="I41" s="118">
        <f ca="1"/>
        <v>43741</v>
      </c>
      <c r="J41" s="118" t="e">
        <f ca="1"/>
        <v>#N/A</v>
      </c>
      <c r="K41" s="118">
        <f ca="1"/>
        <v>44033</v>
      </c>
      <c r="L41" s="118">
        <f ca="1"/>
        <v>43905</v>
      </c>
      <c r="M41" s="118">
        <f ca="1"/>
        <v>43952</v>
      </c>
      <c r="N41" s="118" t="e">
        <f ca="1"/>
        <v>#N/A</v>
      </c>
      <c r="O41" s="118">
        <f ca="1"/>
        <v>43983</v>
      </c>
      <c r="P41" s="118" t="e">
        <f ca="1"/>
        <v>#N/A</v>
      </c>
      <c r="Q41" s="118">
        <f ca="1"/>
        <v>43780</v>
      </c>
      <c r="R41" s="118">
        <f ca="1"/>
        <v>43825</v>
      </c>
      <c r="S41" s="118" t="e">
        <f ca="1"/>
        <v>#N/A</v>
      </c>
      <c r="T41" s="118" t="e">
        <f ca="1"/>
        <v>#N/A</v>
      </c>
      <c r="U41" s="118" t="e">
        <f ca="1"/>
        <v>#N/A</v>
      </c>
      <c r="V41" s="118" t="e">
        <f ca="1"/>
        <v>#N/A</v>
      </c>
      <c r="W41" s="118" t="e">
        <f ca="1"/>
        <v>#N/A</v>
      </c>
      <c r="X41" s="118" t="e">
        <f ca="1"/>
        <v>#N/A</v>
      </c>
      <c r="Y41" s="118">
        <f ca="1"/>
        <v>43586</v>
      </c>
      <c r="Z41" s="118" t="e">
        <f ca="1"/>
        <v>#N/A</v>
      </c>
      <c r="AA41" s="118" t="e">
        <f ca="1"/>
        <v>#N/A</v>
      </c>
      <c r="AB41" s="118" t="e">
        <f ca="1"/>
        <v>#N/A</v>
      </c>
      <c r="AC41" s="118">
        <f ca="1"/>
        <v>43692</v>
      </c>
      <c r="AD41" s="118" t="e">
        <f ca="1"/>
        <v>#N/A</v>
      </c>
      <c r="AE41" s="118" t="e">
        <f ca="1"/>
        <v>#N/A</v>
      </c>
      <c r="AF41" s="118">
        <f ca="1"/>
        <v>43885</v>
      </c>
      <c r="AG41" s="118">
        <f ca="1"/>
        <v>43856</v>
      </c>
      <c r="AH41" s="118" t="e">
        <f ca="1"/>
        <v>#N/A</v>
      </c>
      <c r="AI41" s="118" t="e">
        <f ca="1"/>
        <v>#N/A</v>
      </c>
      <c r="AJ41" s="118" t="e">
        <f ca="1"/>
        <v>#N/A</v>
      </c>
      <c r="AK41" s="118" t="e">
        <f ca="1"/>
        <v>#N/A</v>
      </c>
      <c r="AL41" s="118" t="e">
        <f ca="1"/>
        <v>#N/A</v>
      </c>
      <c r="AM41" s="118">
        <f ca="1"/>
        <v>43831</v>
      </c>
      <c r="AN41" s="118" t="e">
        <f ca="1"/>
        <v>#N/A</v>
      </c>
      <c r="AO41" s="118" t="e">
        <f ca="1"/>
        <v>#N/A</v>
      </c>
      <c r="AP41" s="118" t="e">
        <f ca="1"/>
        <v>#N/A</v>
      </c>
      <c r="AQ41" s="118" t="e">
        <f ca="1"/>
        <v>#N/A</v>
      </c>
      <c r="AR41" s="118"/>
      <c r="AS41" s="118"/>
      <c r="AT41" s="118"/>
      <c r="AU41" s="118"/>
      <c r="AV41" s="118"/>
      <c r="AW41" s="118"/>
      <c r="AX41" s="118"/>
      <c r="AY41" s="118"/>
      <c r="AZ41" s="118"/>
    </row>
    <row r="42" spans="2:52" ht="12" customHeight="1">
      <c r="B42" s="8"/>
      <c r="C42" s="10"/>
      <c r="D42" s="29" t="str">
        <v>EURO</v>
      </c>
      <c r="E42" s="118" t="e">
        <f ca="1"/>
        <v>#VALUE!</v>
      </c>
      <c r="F42" s="118" t="e">
        <f ca="1"/>
        <v>#N/A</v>
      </c>
      <c r="G42" s="118" t="e">
        <f ca="1"/>
        <v>#N/A</v>
      </c>
      <c r="H42" s="118" t="e">
        <f ca="1"/>
        <v>#N/A</v>
      </c>
      <c r="I42" s="118">
        <f ca="1"/>
        <v>43742</v>
      </c>
      <c r="J42" s="118" t="e">
        <f ca="1"/>
        <v>#N/A</v>
      </c>
      <c r="K42" s="118">
        <f ca="1"/>
        <v>44058</v>
      </c>
      <c r="L42" s="118">
        <f ca="1"/>
        <v>43931</v>
      </c>
      <c r="M42" s="118">
        <f ca="1"/>
        <v>43976</v>
      </c>
      <c r="N42" s="118" t="e">
        <f ca="1"/>
        <v>#N/A</v>
      </c>
      <c r="O42" s="118">
        <f ca="1"/>
        <v>43987</v>
      </c>
      <c r="P42" s="118" t="e">
        <f ca="1"/>
        <v>#N/A</v>
      </c>
      <c r="Q42" s="118">
        <f ca="1"/>
        <v>43797</v>
      </c>
      <c r="R42" s="118">
        <f ca="1"/>
        <v>43831</v>
      </c>
      <c r="S42" s="118" t="e">
        <f ca="1"/>
        <v>#N/A</v>
      </c>
      <c r="T42" s="118" t="e">
        <f ca="1"/>
        <v>#N/A</v>
      </c>
      <c r="U42" s="118" t="e">
        <f ca="1"/>
        <v>#N/A</v>
      </c>
      <c r="V42" s="118" t="e">
        <f ca="1"/>
        <v>#N/A</v>
      </c>
      <c r="W42" s="118" t="e">
        <f ca="1"/>
        <v>#N/A</v>
      </c>
      <c r="X42" s="118" t="e">
        <f ca="1"/>
        <v>#N/A</v>
      </c>
      <c r="Y42" s="118">
        <f ca="1"/>
        <v>43603</v>
      </c>
      <c r="Z42" s="118" t="e">
        <f ca="1"/>
        <v>#N/A</v>
      </c>
      <c r="AA42" s="118" t="e">
        <f ca="1"/>
        <v>#N/A</v>
      </c>
      <c r="AB42" s="118" t="e">
        <f ca="1"/>
        <v>#N/A</v>
      </c>
      <c r="AC42" s="118">
        <f ca="1"/>
        <v>43766</v>
      </c>
      <c r="AD42" s="118" t="e">
        <f ca="1"/>
        <v>#N/A</v>
      </c>
      <c r="AE42" s="118" t="e">
        <f ca="1"/>
        <v>#N/A</v>
      </c>
      <c r="AF42" s="118">
        <f ca="1"/>
        <v>43886</v>
      </c>
      <c r="AG42" s="118">
        <f ca="1"/>
        <v>43891</v>
      </c>
      <c r="AH42" s="118" t="e">
        <f ca="1"/>
        <v>#N/A</v>
      </c>
      <c r="AI42" s="118" t="e">
        <f ca="1"/>
        <v>#N/A</v>
      </c>
      <c r="AJ42" s="118" t="e">
        <f ca="1"/>
        <v>#N/A</v>
      </c>
      <c r="AK42" s="118" t="e">
        <f ca="1"/>
        <v>#N/A</v>
      </c>
      <c r="AL42" s="118" t="e">
        <f ca="1"/>
        <v>#N/A</v>
      </c>
      <c r="AM42" s="118">
        <f ca="1"/>
        <v>43832</v>
      </c>
      <c r="AN42" s="118" t="e">
        <f ca="1"/>
        <v>#N/A</v>
      </c>
      <c r="AO42" s="118" t="e">
        <f ca="1"/>
        <v>#N/A</v>
      </c>
      <c r="AP42" s="118" t="e">
        <f ca="1"/>
        <v>#N/A</v>
      </c>
      <c r="AQ42" s="118" t="e">
        <f ca="1"/>
        <v>#N/A</v>
      </c>
      <c r="AR42" s="118"/>
      <c r="AS42" s="118"/>
      <c r="AT42" s="118"/>
      <c r="AU42" s="118"/>
      <c r="AV42" s="118"/>
      <c r="AW42" s="118"/>
      <c r="AX42" s="118"/>
      <c r="AY42" s="118"/>
      <c r="AZ42" s="118"/>
    </row>
    <row r="43" spans="2:52" ht="12" customHeight="1">
      <c r="B43" s="8"/>
      <c r="C43" s="10"/>
      <c r="D43" s="29" t="str">
        <v>Tokyo</v>
      </c>
      <c r="E43" s="118" t="e">
        <f ca="1"/>
        <v>#VALUE!</v>
      </c>
      <c r="F43" s="118" t="e">
        <f ca="1"/>
        <v>#N/A</v>
      </c>
      <c r="G43" s="118" t="e">
        <f ca="1"/>
        <v>#N/A</v>
      </c>
      <c r="H43" s="118" t="e">
        <f ca="1"/>
        <v>#N/A</v>
      </c>
      <c r="I43" s="118">
        <f ca="1"/>
        <v>43743</v>
      </c>
      <c r="J43" s="118" t="e">
        <f ca="1"/>
        <v>#N/A</v>
      </c>
      <c r="K43" s="118" t="e">
        <f ca="1"/>
        <v>#N/A</v>
      </c>
      <c r="L43" s="118">
        <f ca="1"/>
        <v>43934</v>
      </c>
      <c r="M43" s="118">
        <f ca="1"/>
        <v>43997</v>
      </c>
      <c r="N43" s="118" t="e">
        <f ca="1"/>
        <v>#N/A</v>
      </c>
      <c r="O43" s="118" t="e">
        <f ca="1"/>
        <v>#N/A</v>
      </c>
      <c r="P43" s="118" t="e">
        <f ca="1"/>
        <v>#N/A</v>
      </c>
      <c r="Q43" s="118">
        <f ca="1"/>
        <v>43823</v>
      </c>
      <c r="R43" s="118">
        <f ca="1"/>
        <v>43855</v>
      </c>
      <c r="S43" s="118" t="e">
        <f ca="1"/>
        <v>#N/A</v>
      </c>
      <c r="T43" s="118" t="e">
        <f ca="1"/>
        <v>#N/A</v>
      </c>
      <c r="U43" s="118" t="e">
        <f ca="1"/>
        <v>#N/A</v>
      </c>
      <c r="V43" s="118" t="e">
        <f ca="1"/>
        <v>#N/A</v>
      </c>
      <c r="W43" s="118" t="e">
        <f ca="1"/>
        <v>#N/A</v>
      </c>
      <c r="X43" s="118" t="e">
        <f ca="1"/>
        <v>#N/A</v>
      </c>
      <c r="Y43" s="118">
        <f ca="1"/>
        <v>43605</v>
      </c>
      <c r="Z43" s="118" t="e">
        <f ca="1"/>
        <v>#N/A</v>
      </c>
      <c r="AA43" s="118" t="e">
        <f ca="1"/>
        <v>#N/A</v>
      </c>
      <c r="AB43" s="118" t="e">
        <f ca="1"/>
        <v>#N/A</v>
      </c>
      <c r="AC43" s="118">
        <f ca="1"/>
        <v>43770</v>
      </c>
      <c r="AD43" s="118" t="e">
        <f ca="1"/>
        <v>#N/A</v>
      </c>
      <c r="AE43" s="118" t="e">
        <f ca="1"/>
        <v>#N/A</v>
      </c>
      <c r="AF43" s="118">
        <f ca="1"/>
        <v>43931</v>
      </c>
      <c r="AG43" s="118">
        <f ca="1"/>
        <v>43951</v>
      </c>
      <c r="AH43" s="118" t="e">
        <f ca="1"/>
        <v>#N/A</v>
      </c>
      <c r="AI43" s="118" t="e">
        <f ca="1"/>
        <v>#N/A</v>
      </c>
      <c r="AJ43" s="118" t="e">
        <f ca="1"/>
        <v>#N/A</v>
      </c>
      <c r="AK43" s="118" t="e">
        <f ca="1"/>
        <v>#N/A</v>
      </c>
      <c r="AL43" s="118" t="e">
        <f ca="1"/>
        <v>#N/A</v>
      </c>
      <c r="AM43" s="118">
        <f ca="1"/>
        <v>43833</v>
      </c>
      <c r="AN43" s="118" t="e">
        <f ca="1"/>
        <v>#N/A</v>
      </c>
      <c r="AO43" s="118" t="e">
        <f ca="1"/>
        <v>#N/A</v>
      </c>
      <c r="AP43" s="118" t="e">
        <f ca="1"/>
        <v>#N/A</v>
      </c>
      <c r="AQ43" s="118" t="e">
        <f ca="1"/>
        <v>#N/A</v>
      </c>
      <c r="AR43" s="118"/>
      <c r="AS43" s="118"/>
      <c r="AT43" s="118"/>
      <c r="AU43" s="118"/>
      <c r="AV43" s="118"/>
      <c r="AW43" s="118"/>
      <c r="AX43" s="118"/>
      <c r="AY43" s="118"/>
      <c r="AZ43" s="118"/>
    </row>
    <row r="44" spans="2:52" ht="12" customHeight="1">
      <c r="B44" s="8"/>
      <c r="C44" s="10"/>
      <c r="D44" s="29" t="str">
        <v>Toronto</v>
      </c>
      <c r="E44" s="118" t="e">
        <f ca="1"/>
        <v>#VALUE!</v>
      </c>
      <c r="F44" s="118" t="e">
        <f ca="1"/>
        <v>#N/A</v>
      </c>
      <c r="G44" s="118" t="e">
        <f ca="1"/>
        <v>#N/A</v>
      </c>
      <c r="H44" s="118" t="e">
        <f ca="1"/>
        <v>#N/A</v>
      </c>
      <c r="I44" s="118">
        <f ca="1"/>
        <v>43831</v>
      </c>
      <c r="J44" s="118" t="e">
        <f ca="1"/>
        <v>#N/A</v>
      </c>
      <c r="K44" s="118" t="e">
        <f ca="1"/>
        <v>#N/A</v>
      </c>
      <c r="L44" s="118">
        <f ca="1"/>
        <v>43952</v>
      </c>
      <c r="M44" s="118">
        <f ca="1"/>
        <v>44021</v>
      </c>
      <c r="N44" s="118" t="e">
        <f ca="1"/>
        <v>#N/A</v>
      </c>
      <c r="O44" s="118" t="e">
        <f ca="1"/>
        <v>#N/A</v>
      </c>
      <c r="P44" s="118" t="e">
        <f ca="1"/>
        <v>#N/A</v>
      </c>
      <c r="Q44" s="118">
        <f ca="1"/>
        <v>43824</v>
      </c>
      <c r="R44" s="118">
        <f ca="1"/>
        <v>43856</v>
      </c>
      <c r="S44" s="118" t="e">
        <f ca="1"/>
        <v>#N/A</v>
      </c>
      <c r="T44" s="118" t="e">
        <f ca="1"/>
        <v>#N/A</v>
      </c>
      <c r="U44" s="118" t="e">
        <f ca="1"/>
        <v>#N/A</v>
      </c>
      <c r="V44" s="118" t="e">
        <f ca="1"/>
        <v>#N/A</v>
      </c>
      <c r="W44" s="118" t="e">
        <f ca="1"/>
        <v>#N/A</v>
      </c>
      <c r="X44" s="118" t="e">
        <f ca="1"/>
        <v>#N/A</v>
      </c>
      <c r="Y44" s="118">
        <f ca="1"/>
        <v>43621</v>
      </c>
      <c r="Z44" s="118" t="e">
        <f ca="1"/>
        <v>#N/A</v>
      </c>
      <c r="AA44" s="118" t="e">
        <f ca="1"/>
        <v>#N/A</v>
      </c>
      <c r="AB44" s="118" t="e">
        <f ca="1"/>
        <v>#N/A</v>
      </c>
      <c r="AC44" s="118">
        <f ca="1"/>
        <v>43780</v>
      </c>
      <c r="AD44" s="118" t="e">
        <f ca="1"/>
        <v>#N/A</v>
      </c>
      <c r="AE44" s="118" t="e">
        <f ca="1"/>
        <v>#N/A</v>
      </c>
      <c r="AF44" s="118">
        <f ca="1"/>
        <v>43942</v>
      </c>
      <c r="AG44" s="118">
        <f ca="1"/>
        <v>43952</v>
      </c>
      <c r="AH44" s="118" t="e">
        <f ca="1"/>
        <v>#N/A</v>
      </c>
      <c r="AI44" s="118" t="e">
        <f ca="1"/>
        <v>#N/A</v>
      </c>
      <c r="AJ44" s="118" t="e">
        <f ca="1"/>
        <v>#N/A</v>
      </c>
      <c r="AK44" s="118" t="e">
        <f ca="1"/>
        <v>#N/A</v>
      </c>
      <c r="AL44" s="118" t="e">
        <f ca="1"/>
        <v>#N/A</v>
      </c>
      <c r="AM44" s="118">
        <f ca="1"/>
        <v>43843</v>
      </c>
      <c r="AN44" s="118" t="e">
        <f ca="1"/>
        <v>#N/A</v>
      </c>
      <c r="AO44" s="118" t="e">
        <f ca="1"/>
        <v>#N/A</v>
      </c>
      <c r="AP44" s="118" t="e">
        <f ca="1"/>
        <v>#N/A</v>
      </c>
      <c r="AQ44" s="118" t="e">
        <f ca="1"/>
        <v>#N/A</v>
      </c>
      <c r="AR44" s="118"/>
      <c r="AS44" s="118"/>
      <c r="AT44" s="118"/>
      <c r="AU44" s="118"/>
      <c r="AV44" s="118"/>
      <c r="AW44" s="118"/>
      <c r="AX44" s="118"/>
      <c r="AY44" s="118"/>
      <c r="AZ44" s="118"/>
    </row>
    <row r="45" spans="2:52" ht="12" customHeight="1">
      <c r="B45" s="8"/>
      <c r="C45" s="10"/>
      <c r="D45" s="29" t="str">
        <v>Warsaw</v>
      </c>
      <c r="E45" s="118" t="e">
        <f ca="1"/>
        <v>#VALUE!</v>
      </c>
      <c r="F45" s="118" t="e">
        <f ca="1"/>
        <v>#N/A</v>
      </c>
      <c r="G45" s="118" t="e">
        <f ca="1"/>
        <v>#N/A</v>
      </c>
      <c r="H45" s="118" t="e">
        <f ca="1"/>
        <v>#N/A</v>
      </c>
      <c r="I45" s="118">
        <f ca="1"/>
        <v>43855</v>
      </c>
      <c r="J45" s="118" t="e">
        <f ca="1"/>
        <v>#N/A</v>
      </c>
      <c r="K45" s="118" t="e">
        <f ca="1"/>
        <v>#N/A</v>
      </c>
      <c r="L45" s="118">
        <f ca="1"/>
        <v>43983</v>
      </c>
      <c r="M45" s="118">
        <f ca="1"/>
        <v>44060</v>
      </c>
      <c r="N45" s="118" t="e">
        <f ca="1"/>
        <v>#N/A</v>
      </c>
      <c r="O45" s="118" t="e">
        <f ca="1"/>
        <v>#N/A</v>
      </c>
      <c r="P45" s="118" t="e">
        <f ca="1"/>
        <v>#N/A</v>
      </c>
      <c r="Q45" s="118">
        <f ca="1"/>
        <v>43825</v>
      </c>
      <c r="R45" s="118">
        <f ca="1"/>
        <v>43857</v>
      </c>
      <c r="S45" s="118" t="e">
        <f ca="1"/>
        <v>#N/A</v>
      </c>
      <c r="T45" s="118" t="e">
        <f ca="1"/>
        <v>#N/A</v>
      </c>
      <c r="U45" s="118" t="e">
        <f ca="1"/>
        <v>#N/A</v>
      </c>
      <c r="V45" s="118" t="e">
        <f ca="1"/>
        <v>#N/A</v>
      </c>
      <c r="W45" s="118" t="e">
        <f ca="1"/>
        <v>#N/A</v>
      </c>
      <c r="X45" s="118" t="e">
        <f ca="1"/>
        <v>#N/A</v>
      </c>
      <c r="Y45" s="118">
        <f ca="1"/>
        <v>43647</v>
      </c>
      <c r="Z45" s="118" t="e">
        <f ca="1"/>
        <v>#N/A</v>
      </c>
      <c r="AA45" s="118" t="e">
        <f ca="1"/>
        <v>#N/A</v>
      </c>
      <c r="AB45" s="118" t="e">
        <f ca="1"/>
        <v>#N/A</v>
      </c>
      <c r="AC45" s="118">
        <f ca="1"/>
        <v>43824</v>
      </c>
      <c r="AD45" s="118" t="e">
        <f ca="1"/>
        <v>#N/A</v>
      </c>
      <c r="AE45" s="118" t="e">
        <f ca="1"/>
        <v>#N/A</v>
      </c>
      <c r="AF45" s="118">
        <f ca="1"/>
        <v>43952</v>
      </c>
      <c r="AG45" s="118">
        <f ca="1"/>
        <v>43956</v>
      </c>
      <c r="AH45" s="118" t="e">
        <f ca="1"/>
        <v>#N/A</v>
      </c>
      <c r="AI45" s="118" t="e">
        <f ca="1"/>
        <v>#N/A</v>
      </c>
      <c r="AJ45" s="118" t="e">
        <f ca="1"/>
        <v>#N/A</v>
      </c>
      <c r="AK45" s="118" t="e">
        <f ca="1"/>
        <v>#N/A</v>
      </c>
      <c r="AL45" s="118" t="e">
        <f ca="1"/>
        <v>#N/A</v>
      </c>
      <c r="AM45" s="118">
        <f ca="1"/>
        <v>43872</v>
      </c>
      <c r="AN45" s="118" t="e">
        <f ca="1"/>
        <v>#N/A</v>
      </c>
      <c r="AO45" s="118" t="e">
        <f ca="1"/>
        <v>#N/A</v>
      </c>
      <c r="AP45" s="118" t="e">
        <f ca="1"/>
        <v>#N/A</v>
      </c>
      <c r="AQ45" s="118" t="e">
        <f ca="1"/>
        <v>#N/A</v>
      </c>
      <c r="AR45" s="118"/>
      <c r="AS45" s="118"/>
      <c r="AT45" s="118"/>
      <c r="AU45" s="118"/>
      <c r="AV45" s="118"/>
      <c r="AW45" s="118"/>
      <c r="AX45" s="118"/>
      <c r="AY45" s="118"/>
      <c r="AZ45" s="118"/>
    </row>
    <row r="46" spans="2:52" ht="12" customHeight="1">
      <c r="B46" s="8"/>
      <c r="C46" s="10"/>
      <c r="D46" s="29" t="str">
        <v>Wellington</v>
      </c>
      <c r="E46" s="118" t="e">
        <f ca="1"/>
        <v>#VALUE!</v>
      </c>
      <c r="F46" s="118" t="e">
        <f ca="1"/>
        <v>#N/A</v>
      </c>
      <c r="G46" s="118" t="e">
        <f ca="1"/>
        <v>#N/A</v>
      </c>
      <c r="H46" s="118" t="e">
        <f ca="1"/>
        <v>#N/A</v>
      </c>
      <c r="I46" s="118">
        <f ca="1"/>
        <v>43856</v>
      </c>
      <c r="J46" s="118" t="e">
        <f ca="1"/>
        <v>#N/A</v>
      </c>
      <c r="K46" s="118" t="e">
        <f ca="1"/>
        <v>#N/A</v>
      </c>
      <c r="L46" s="118">
        <f ca="1"/>
        <v>44046</v>
      </c>
      <c r="M46" s="118">
        <f ca="1"/>
        <v>44116</v>
      </c>
      <c r="N46" s="118" t="e">
        <f ca="1"/>
        <v>#N/A</v>
      </c>
      <c r="O46" s="118" t="e">
        <f ca="1"/>
        <v>#N/A</v>
      </c>
      <c r="P46" s="118" t="e">
        <f ca="1"/>
        <v>#N/A</v>
      </c>
      <c r="Q46" s="118">
        <f ca="1"/>
        <v>43830</v>
      </c>
      <c r="R46" s="118">
        <f ca="1"/>
        <v>43927</v>
      </c>
      <c r="S46" s="118" t="e">
        <f ca="1"/>
        <v>#N/A</v>
      </c>
      <c r="T46" s="118" t="e">
        <f ca="1"/>
        <v>#N/A</v>
      </c>
      <c r="U46" s="118" t="e">
        <f ca="1"/>
        <v>#N/A</v>
      </c>
      <c r="V46" s="118" t="e">
        <f ca="1"/>
        <v>#N/A</v>
      </c>
      <c r="W46" s="118" t="e">
        <f ca="1"/>
        <v>#N/A</v>
      </c>
      <c r="X46" s="118" t="e">
        <f ca="1"/>
        <v>#N/A</v>
      </c>
      <c r="Y46" s="118">
        <f ca="1"/>
        <v>43682</v>
      </c>
      <c r="Z46" s="118" t="e">
        <f ca="1"/>
        <v>#N/A</v>
      </c>
      <c r="AA46" s="118" t="e">
        <f ca="1"/>
        <v>#N/A</v>
      </c>
      <c r="AB46" s="118" t="e">
        <f ca="1"/>
        <v>#N/A</v>
      </c>
      <c r="AC46" s="118">
        <f ca="1"/>
        <v>43825</v>
      </c>
      <c r="AD46" s="118" t="e">
        <f ca="1"/>
        <v>#N/A</v>
      </c>
      <c r="AE46" s="118" t="e">
        <f ca="1"/>
        <v>#N/A</v>
      </c>
      <c r="AF46" s="118">
        <f ca="1"/>
        <v>43993</v>
      </c>
      <c r="AG46" s="118">
        <f ca="1"/>
        <v>43988</v>
      </c>
      <c r="AH46" s="118" t="e">
        <f ca="1"/>
        <v>#N/A</v>
      </c>
      <c r="AI46" s="118" t="e">
        <f ca="1"/>
        <v>#N/A</v>
      </c>
      <c r="AJ46" s="118" t="e">
        <f ca="1"/>
        <v>#N/A</v>
      </c>
      <c r="AK46" s="118" t="e">
        <f ca="1"/>
        <v>#N/A</v>
      </c>
      <c r="AL46" s="118" t="e">
        <f ca="1"/>
        <v>#N/A</v>
      </c>
      <c r="AM46" s="118">
        <f ca="1"/>
        <v>43910</v>
      </c>
      <c r="AN46" s="118" t="e">
        <f ca="1"/>
        <v>#N/A</v>
      </c>
      <c r="AO46" s="118" t="e">
        <f ca="1"/>
        <v>#N/A</v>
      </c>
      <c r="AP46" s="118" t="e">
        <f ca="1"/>
        <v>#N/A</v>
      </c>
      <c r="AQ46" s="118" t="e">
        <f ca="1"/>
        <v>#N/A</v>
      </c>
      <c r="AR46" s="118"/>
      <c r="AS46" s="118"/>
      <c r="AT46" s="118"/>
      <c r="AU46" s="118"/>
      <c r="AV46" s="118"/>
      <c r="AW46" s="118"/>
      <c r="AX46" s="118"/>
      <c r="AY46" s="118"/>
      <c r="AZ46" s="118"/>
    </row>
    <row r="47" spans="2:52" ht="12" customHeight="1">
      <c r="B47" s="8"/>
      <c r="C47" s="10"/>
      <c r="D47" s="29" t="str">
        <v>Zurich</v>
      </c>
      <c r="E47" s="118" t="e">
        <f ca="1"/>
        <v>#VALUE!</v>
      </c>
      <c r="F47" s="118" t="e">
        <f ca="1"/>
        <v>#N/A</v>
      </c>
      <c r="G47" s="118" t="e">
        <f ca="1"/>
        <v>#N/A</v>
      </c>
      <c r="H47" s="118" t="e">
        <f ca="1"/>
        <v>#N/A</v>
      </c>
      <c r="I47" s="118">
        <f ca="1"/>
        <v>43857</v>
      </c>
      <c r="J47" s="118" t="e">
        <f ca="1"/>
        <v>#N/A</v>
      </c>
      <c r="K47" s="118" t="e">
        <f ca="1"/>
        <v>#N/A</v>
      </c>
      <c r="L47" s="118">
        <f ca="1"/>
        <v>44047</v>
      </c>
      <c r="M47" s="118" t="e">
        <f ca="1"/>
        <v>#N/A</v>
      </c>
      <c r="N47" s="118" t="e">
        <f ca="1"/>
        <v>#N/A</v>
      </c>
      <c r="O47" s="118" t="e">
        <f ca="1"/>
        <v>#N/A</v>
      </c>
      <c r="P47" s="118" t="e">
        <f ca="1"/>
        <v>#N/A</v>
      </c>
      <c r="Q47" s="118">
        <f ca="1"/>
        <v>43831</v>
      </c>
      <c r="R47" s="118">
        <f ca="1"/>
        <v>43931</v>
      </c>
      <c r="S47" s="118" t="e">
        <f ca="1"/>
        <v>#N/A</v>
      </c>
      <c r="T47" s="118" t="e">
        <f ca="1"/>
        <v>#N/A</v>
      </c>
      <c r="U47" s="118" t="e">
        <f ca="1"/>
        <v>#N/A</v>
      </c>
      <c r="V47" s="118" t="e">
        <f ca="1"/>
        <v>#N/A</v>
      </c>
      <c r="W47" s="118" t="e">
        <f ca="1"/>
        <v>#N/A</v>
      </c>
      <c r="X47" s="118" t="e">
        <f ca="1"/>
        <v>#N/A</v>
      </c>
      <c r="Y47" s="118">
        <f ca="1"/>
        <v>43689</v>
      </c>
      <c r="Z47" s="118" t="e">
        <f ca="1"/>
        <v>#N/A</v>
      </c>
      <c r="AA47" s="118" t="e">
        <f ca="1"/>
        <v>#N/A</v>
      </c>
      <c r="AB47" s="118" t="e">
        <f ca="1"/>
        <v>#N/A</v>
      </c>
      <c r="AC47" s="118">
        <f ca="1"/>
        <v>43831</v>
      </c>
      <c r="AD47" s="118" t="e">
        <f ca="1"/>
        <v>#N/A</v>
      </c>
      <c r="AE47" s="118" t="e">
        <f ca="1"/>
        <v>#N/A</v>
      </c>
      <c r="AF47" s="118">
        <f ca="1"/>
        <v>44021</v>
      </c>
      <c r="AG47" s="118">
        <f ca="1"/>
        <v>44058</v>
      </c>
      <c r="AH47" s="118" t="e">
        <f ca="1"/>
        <v>#N/A</v>
      </c>
      <c r="AI47" s="118" t="e">
        <f ca="1"/>
        <v>#N/A</v>
      </c>
      <c r="AJ47" s="118" t="e">
        <f ca="1"/>
        <v>#N/A</v>
      </c>
      <c r="AK47" s="118" t="e">
        <f ca="1"/>
        <v>#N/A</v>
      </c>
      <c r="AL47" s="118" t="e">
        <f ca="1"/>
        <v>#N/A</v>
      </c>
      <c r="AM47" s="118">
        <f ca="1"/>
        <v>43950</v>
      </c>
      <c r="AN47" s="118" t="e">
        <f ca="1"/>
        <v>#N/A</v>
      </c>
      <c r="AO47" s="118" t="e">
        <f ca="1"/>
        <v>#N/A</v>
      </c>
      <c r="AP47" s="118" t="e">
        <f ca="1"/>
        <v>#N/A</v>
      </c>
      <c r="AQ47" s="118" t="e">
        <f ca="1"/>
        <v>#N/A</v>
      </c>
      <c r="AR47" s="118"/>
      <c r="AS47" s="118"/>
      <c r="AT47" s="118"/>
      <c r="AU47" s="118"/>
      <c r="AV47" s="118"/>
      <c r="AW47" s="118"/>
      <c r="AX47" s="118"/>
      <c r="AY47" s="118"/>
      <c r="AZ47" s="118"/>
    </row>
    <row r="48" spans="2:52" ht="12" customHeight="1">
      <c r="B48" s="8"/>
      <c r="C48" s="10"/>
      <c r="D48" s="29" t="e">
        <v>#N/A</v>
      </c>
      <c r="E48" s="118" t="e">
        <f ca="1"/>
        <v>#VALUE!</v>
      </c>
      <c r="F48" s="118" t="e">
        <f ca="1"/>
        <v>#N/A</v>
      </c>
      <c r="G48" s="118" t="e">
        <f ca="1"/>
        <v>#N/A</v>
      </c>
      <c r="H48" s="118" t="e">
        <f ca="1"/>
        <v>#N/A</v>
      </c>
      <c r="I48" s="118">
        <f ca="1"/>
        <v>43858</v>
      </c>
      <c r="J48" s="118" t="e">
        <f ca="1"/>
        <v>#N/A</v>
      </c>
      <c r="K48" s="118" t="e">
        <f ca="1"/>
        <v>#N/A</v>
      </c>
      <c r="L48" s="118">
        <f ca="1"/>
        <v>44063</v>
      </c>
      <c r="M48" s="118" t="e">
        <f ca="1"/>
        <v>#N/A</v>
      </c>
      <c r="N48" s="118" t="e">
        <f ca="1"/>
        <v>#N/A</v>
      </c>
      <c r="O48" s="118" t="e">
        <f ca="1"/>
        <v>#N/A</v>
      </c>
      <c r="P48" s="118" t="e">
        <f ca="1"/>
        <v>#N/A</v>
      </c>
      <c r="Q48" s="118">
        <f ca="1"/>
        <v>43850</v>
      </c>
      <c r="R48" s="118">
        <f ca="1"/>
        <v>43932</v>
      </c>
      <c r="S48" s="118" t="e">
        <f ca="1"/>
        <v>#N/A</v>
      </c>
      <c r="T48" s="118" t="e">
        <f ca="1"/>
        <v>#N/A</v>
      </c>
      <c r="U48" s="118" t="e">
        <f ca="1"/>
        <v>#N/A</v>
      </c>
      <c r="V48" s="118" t="e">
        <f ca="1"/>
        <v>#N/A</v>
      </c>
      <c r="W48" s="118" t="e">
        <f ca="1"/>
        <v>#N/A</v>
      </c>
      <c r="X48" s="118" t="e">
        <f ca="1"/>
        <v>#N/A</v>
      </c>
      <c r="Y48" s="118">
        <f ca="1"/>
        <v>43692</v>
      </c>
      <c r="Z48" s="118" t="e">
        <f ca="1"/>
        <v>#N/A</v>
      </c>
      <c r="AA48" s="118" t="e">
        <f ca="1"/>
        <v>#N/A</v>
      </c>
      <c r="AB48" s="118" t="e">
        <f ca="1"/>
        <v>#N/A</v>
      </c>
      <c r="AC48" s="118">
        <f ca="1"/>
        <v>43836</v>
      </c>
      <c r="AD48" s="118" t="e">
        <f ca="1"/>
        <v>#N/A</v>
      </c>
      <c r="AE48" s="118" t="e">
        <f ca="1"/>
        <v>#N/A</v>
      </c>
      <c r="AF48" s="118">
        <f ca="1"/>
        <v>44081</v>
      </c>
      <c r="AG48" s="118">
        <f ca="1"/>
        <v>44104</v>
      </c>
      <c r="AH48" s="118" t="e">
        <f ca="1"/>
        <v>#N/A</v>
      </c>
      <c r="AI48" s="118" t="e">
        <f ca="1"/>
        <v>#N/A</v>
      </c>
      <c r="AJ48" s="118" t="e">
        <f ca="1"/>
        <v>#N/A</v>
      </c>
      <c r="AK48" s="118" t="e">
        <f ca="1"/>
        <v>#N/A</v>
      </c>
      <c r="AL48" s="118" t="e">
        <f ca="1"/>
        <v>#N/A</v>
      </c>
      <c r="AM48" s="118">
        <f ca="1"/>
        <v>43955</v>
      </c>
      <c r="AN48" s="118" t="e">
        <f ca="1"/>
        <v>#N/A</v>
      </c>
      <c r="AO48" s="118" t="e">
        <f ca="1"/>
        <v>#N/A</v>
      </c>
      <c r="AP48" s="118" t="e">
        <f ca="1"/>
        <v>#N/A</v>
      </c>
      <c r="AQ48" s="118" t="e">
        <f ca="1"/>
        <v>#N/A</v>
      </c>
      <c r="AR48" s="118"/>
      <c r="AS48" s="118"/>
      <c r="AT48" s="118"/>
      <c r="AU48" s="118"/>
      <c r="AV48" s="118"/>
      <c r="AW48" s="118"/>
      <c r="AX48" s="118"/>
      <c r="AY48" s="118"/>
      <c r="AZ48" s="118"/>
    </row>
    <row r="49" spans="2:52" ht="12" customHeight="1">
      <c r="B49" s="8"/>
      <c r="C49" s="10"/>
      <c r="D49" s="29" t="e">
        <v>#N/A</v>
      </c>
      <c r="E49" s="118" t="e">
        <f ca="1"/>
        <v>#VALUE!</v>
      </c>
      <c r="F49" s="118" t="e">
        <f ca="1"/>
        <v>#N/A</v>
      </c>
      <c r="G49" s="118" t="e">
        <f ca="1"/>
        <v>#N/A</v>
      </c>
      <c r="H49" s="118" t="e">
        <f ca="1"/>
        <v>#N/A</v>
      </c>
      <c r="I49" s="118">
        <f ca="1"/>
        <v>43859</v>
      </c>
      <c r="J49" s="118" t="e">
        <f ca="1"/>
        <v>#N/A</v>
      </c>
      <c r="K49" s="118" t="e">
        <f ca="1"/>
        <v>#N/A</v>
      </c>
      <c r="L49" s="118">
        <f ca="1"/>
        <v>44090</v>
      </c>
      <c r="M49" s="118" t="e">
        <f ca="1"/>
        <v>#N/A</v>
      </c>
      <c r="N49" s="118" t="e">
        <f ca="1"/>
        <v>#N/A</v>
      </c>
      <c r="O49" s="118" t="e">
        <f ca="1"/>
        <v>#N/A</v>
      </c>
      <c r="P49" s="118" t="e">
        <f ca="1"/>
        <v>#N/A</v>
      </c>
      <c r="Q49" s="118">
        <f ca="1"/>
        <v>43878</v>
      </c>
      <c r="R49" s="118">
        <f ca="1"/>
        <v>43934</v>
      </c>
      <c r="S49" s="118" t="e">
        <f ca="1"/>
        <v>#N/A</v>
      </c>
      <c r="T49" s="118" t="e">
        <f ca="1"/>
        <v>#N/A</v>
      </c>
      <c r="U49" s="118" t="e">
        <f ca="1"/>
        <v>#N/A</v>
      </c>
      <c r="V49" s="118" t="e">
        <f ca="1"/>
        <v>#N/A</v>
      </c>
      <c r="W49" s="118" t="e">
        <f ca="1"/>
        <v>#N/A</v>
      </c>
      <c r="X49" s="118" t="e">
        <f ca="1"/>
        <v>#N/A</v>
      </c>
      <c r="Y49" s="118">
        <f ca="1"/>
        <v>43710</v>
      </c>
      <c r="Z49" s="118" t="e">
        <f ca="1"/>
        <v>#N/A</v>
      </c>
      <c r="AA49" s="118" t="e">
        <f ca="1"/>
        <v>#N/A</v>
      </c>
      <c r="AB49" s="118" t="e">
        <f ca="1"/>
        <v>#N/A</v>
      </c>
      <c r="AC49" s="118">
        <f ca="1"/>
        <v>43892</v>
      </c>
      <c r="AD49" s="118" t="e">
        <f ca="1"/>
        <v>#N/A</v>
      </c>
      <c r="AE49" s="118" t="e">
        <f ca="1"/>
        <v>#N/A</v>
      </c>
      <c r="AF49" s="118">
        <f ca="1"/>
        <v>44116</v>
      </c>
      <c r="AG49" s="118">
        <f ca="1"/>
        <v>44105</v>
      </c>
      <c r="AH49" s="118" t="e">
        <f ca="1"/>
        <v>#N/A</v>
      </c>
      <c r="AI49" s="118" t="e">
        <f ca="1"/>
        <v>#N/A</v>
      </c>
      <c r="AJ49" s="118" t="e">
        <f ca="1"/>
        <v>#N/A</v>
      </c>
      <c r="AK49" s="118" t="e">
        <f ca="1"/>
        <v>#N/A</v>
      </c>
      <c r="AL49" s="118" t="e">
        <f ca="1"/>
        <v>#N/A</v>
      </c>
      <c r="AM49" s="118">
        <f ca="1"/>
        <v>43956</v>
      </c>
      <c r="AN49" s="118" t="e">
        <f ca="1"/>
        <v>#N/A</v>
      </c>
      <c r="AO49" s="118" t="e">
        <f ca="1"/>
        <v>#N/A</v>
      </c>
      <c r="AP49" s="118" t="e">
        <f ca="1"/>
        <v>#N/A</v>
      </c>
      <c r="AQ49" s="118" t="e">
        <f ca="1"/>
        <v>#N/A</v>
      </c>
      <c r="AR49" s="118"/>
      <c r="AS49" s="118"/>
      <c r="AT49" s="118"/>
      <c r="AU49" s="118"/>
      <c r="AV49" s="118"/>
      <c r="AW49" s="118"/>
      <c r="AX49" s="118"/>
      <c r="AY49" s="118"/>
      <c r="AZ49" s="118"/>
    </row>
    <row r="50" spans="2:52" ht="12" customHeight="1" thickBot="1">
      <c r="B50" s="8"/>
      <c r="C50" s="10"/>
      <c r="D50" s="30" t="e">
        <v>#N/A</v>
      </c>
      <c r="E50" s="118" t="e">
        <f ca="1"/>
        <v>#VALUE!</v>
      </c>
      <c r="F50" s="118" t="e">
        <f ca="1"/>
        <v>#N/A</v>
      </c>
      <c r="G50" s="118" t="e">
        <f ca="1"/>
        <v>#N/A</v>
      </c>
      <c r="H50" s="118" t="e">
        <f ca="1"/>
        <v>#N/A</v>
      </c>
      <c r="I50" s="118">
        <f ca="1"/>
        <v>43860</v>
      </c>
      <c r="J50" s="118" t="e">
        <f ca="1"/>
        <v>#N/A</v>
      </c>
      <c r="K50" s="118" t="e">
        <f ca="1"/>
        <v>#N/A</v>
      </c>
      <c r="L50" s="118">
        <f ca="1"/>
        <v>44093</v>
      </c>
      <c r="M50" s="118" t="e">
        <f ca="1"/>
        <v>#N/A</v>
      </c>
      <c r="N50" s="118" t="e">
        <f ca="1"/>
        <v>#N/A</v>
      </c>
      <c r="O50" s="118" t="e">
        <f ca="1"/>
        <v>#N/A</v>
      </c>
      <c r="P50" s="118" t="e">
        <f ca="1"/>
        <v>#N/A</v>
      </c>
      <c r="Q50" s="118">
        <f ca="1"/>
        <v>43931</v>
      </c>
      <c r="R50" s="118">
        <f ca="1"/>
        <v>43951</v>
      </c>
      <c r="S50" s="118" t="e">
        <f ca="1"/>
        <v>#N/A</v>
      </c>
      <c r="T50" s="118" t="e">
        <f ca="1"/>
        <v>#N/A</v>
      </c>
      <c r="U50" s="118" t="e">
        <f ca="1"/>
        <v>#N/A</v>
      </c>
      <c r="V50" s="118" t="e">
        <f ca="1"/>
        <v>#N/A</v>
      </c>
      <c r="W50" s="118" t="e">
        <f ca="1"/>
        <v>#N/A</v>
      </c>
      <c r="X50" s="118" t="e">
        <f ca="1"/>
        <v>#N/A</v>
      </c>
      <c r="Y50" s="118">
        <f ca="1"/>
        <v>43718</v>
      </c>
      <c r="Z50" s="118" t="e">
        <f ca="1"/>
        <v>#N/A</v>
      </c>
      <c r="AA50" s="118" t="e">
        <f ca="1"/>
        <v>#N/A</v>
      </c>
      <c r="AB50" s="118" t="e">
        <f ca="1"/>
        <v>#N/A</v>
      </c>
      <c r="AC50" s="118">
        <f ca="1"/>
        <v>43915</v>
      </c>
      <c r="AD50" s="118" t="e">
        <f ca="1"/>
        <v>#N/A</v>
      </c>
      <c r="AE50" s="118" t="e">
        <f ca="1"/>
        <v>#N/A</v>
      </c>
      <c r="AF50" s="118" t="e">
        <f ca="1"/>
        <v>#N/A</v>
      </c>
      <c r="AG50" s="118">
        <f ca="1"/>
        <v>44106</v>
      </c>
      <c r="AH50" s="118" t="e">
        <f ca="1"/>
        <v>#N/A</v>
      </c>
      <c r="AI50" s="118" t="e">
        <f ca="1"/>
        <v>#N/A</v>
      </c>
      <c r="AJ50" s="118" t="e">
        <f ca="1"/>
        <v>#N/A</v>
      </c>
      <c r="AK50" s="118" t="e">
        <f ca="1"/>
        <v>#N/A</v>
      </c>
      <c r="AL50" s="118" t="e">
        <f ca="1"/>
        <v>#N/A</v>
      </c>
      <c r="AM50" s="118">
        <f ca="1"/>
        <v>43957</v>
      </c>
      <c r="AN50" s="118" t="e">
        <f ca="1"/>
        <v>#N/A</v>
      </c>
      <c r="AO50" s="118" t="e">
        <f ca="1"/>
        <v>#N/A</v>
      </c>
      <c r="AP50" s="118" t="e">
        <f ca="1"/>
        <v>#N/A</v>
      </c>
      <c r="AQ50" s="118" t="e">
        <f ca="1"/>
        <v>#N/A</v>
      </c>
      <c r="AR50" s="118"/>
      <c r="AS50" s="118"/>
      <c r="AT50" s="118"/>
      <c r="AU50" s="118"/>
      <c r="AV50" s="118"/>
      <c r="AW50" s="118"/>
      <c r="AX50" s="118"/>
      <c r="AY50" s="118"/>
      <c r="AZ50" s="118"/>
    </row>
    <row r="51" spans="2:52">
      <c r="B51" s="8"/>
      <c r="C51" s="10"/>
      <c r="D51" s="8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2:52">
      <c r="B52" s="8"/>
      <c r="C52" s="10"/>
      <c r="D52" s="8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2:52" ht="13.5" thickBot="1">
      <c r="B53" s="8"/>
      <c r="C53" s="10"/>
      <c r="D53" s="65" t="s">
        <v>50</v>
      </c>
      <c r="E53" s="32"/>
      <c r="F53" s="65" t="s">
        <v>31</v>
      </c>
      <c r="G53" s="19"/>
      <c r="H53" s="19"/>
      <c r="I53" s="19"/>
      <c r="J53" s="32"/>
      <c r="K53" s="19"/>
      <c r="L53" s="19"/>
      <c r="M53" s="19"/>
      <c r="N53" s="19"/>
      <c r="O53" s="19"/>
      <c r="P53" s="19"/>
      <c r="Q53" s="32"/>
      <c r="R53" s="32"/>
      <c r="S53" s="32"/>
      <c r="T53" s="32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2:52">
      <c r="B54" s="8"/>
      <c r="C54" s="10"/>
      <c r="D54" s="61" t="s">
        <v>25</v>
      </c>
      <c r="E54" s="8"/>
      <c r="F54" s="66" t="s">
        <v>32</v>
      </c>
      <c r="G54" s="67" t="s">
        <v>33</v>
      </c>
      <c r="H54" s="68" t="s">
        <v>34</v>
      </c>
      <c r="I54" s="32"/>
      <c r="J54" s="32"/>
      <c r="K54" s="32"/>
      <c r="L54" s="32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52">
      <c r="B55" s="8"/>
      <c r="C55" s="10"/>
      <c r="D55" s="62" t="s">
        <v>26</v>
      </c>
      <c r="E55" s="8"/>
      <c r="F55" s="69" t="s">
        <v>36</v>
      </c>
      <c r="G55" s="20" t="s">
        <v>39</v>
      </c>
      <c r="H55" s="70" t="s">
        <v>42</v>
      </c>
      <c r="I55" s="32"/>
      <c r="J55" s="32"/>
      <c r="K55" s="32"/>
      <c r="L55" s="32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52">
      <c r="B56" s="8"/>
      <c r="C56" s="10"/>
      <c r="D56" s="62" t="s">
        <v>23</v>
      </c>
      <c r="E56" s="8"/>
      <c r="F56" s="69" t="s">
        <v>37</v>
      </c>
      <c r="G56" s="20" t="s">
        <v>40</v>
      </c>
      <c r="H56" s="70"/>
      <c r="I56" s="32"/>
      <c r="J56" s="32"/>
      <c r="K56" s="32"/>
      <c r="L56" s="32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52">
      <c r="B57" s="8"/>
      <c r="C57" s="10"/>
      <c r="D57" s="62" t="s">
        <v>27</v>
      </c>
      <c r="E57" s="8"/>
      <c r="F57" s="69" t="s">
        <v>6</v>
      </c>
      <c r="G57" s="20" t="s">
        <v>41</v>
      </c>
      <c r="H57" s="70"/>
      <c r="I57" s="32"/>
      <c r="J57" s="32"/>
      <c r="K57" s="32"/>
      <c r="L57" s="32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52">
      <c r="B58" s="8"/>
      <c r="C58" s="10"/>
      <c r="D58" s="62" t="s">
        <v>28</v>
      </c>
      <c r="E58" s="8"/>
      <c r="F58" s="69" t="s">
        <v>38</v>
      </c>
      <c r="G58" s="20" t="s">
        <v>22</v>
      </c>
      <c r="H58" s="70"/>
      <c r="I58" s="32"/>
      <c r="J58" s="32"/>
      <c r="K58" s="32"/>
      <c r="L58" s="32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52">
      <c r="B59" s="8"/>
      <c r="C59" s="10"/>
      <c r="D59" s="62" t="s">
        <v>29</v>
      </c>
      <c r="E59" s="8"/>
      <c r="F59" s="69" t="s">
        <v>8</v>
      </c>
      <c r="G59" s="20"/>
      <c r="H59" s="70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52" ht="13.5" thickBot="1">
      <c r="B60" s="8"/>
      <c r="C60" s="10"/>
      <c r="D60" s="63" t="s">
        <v>30</v>
      </c>
      <c r="E60" s="8"/>
      <c r="F60" s="71" t="s">
        <v>35</v>
      </c>
      <c r="G60" s="72"/>
      <c r="H60" s="73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52">
      <c r="B61" s="8"/>
      <c r="C61" s="10"/>
      <c r="D61" s="8"/>
      <c r="E61" s="64"/>
      <c r="F61" s="64"/>
      <c r="G61" s="64"/>
      <c r="H61" s="64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52">
      <c r="B62" s="8"/>
      <c r="C62" s="10"/>
      <c r="D62" s="21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2:52" ht="13.5" thickBot="1">
      <c r="B63" s="8"/>
      <c r="C63" s="10"/>
      <c r="D63" s="74" t="s">
        <v>43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2:52">
      <c r="B64" s="8"/>
      <c r="C64" s="10"/>
      <c r="D64" s="61" t="s">
        <v>44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2:52">
      <c r="B65" s="8"/>
      <c r="C65" s="10"/>
      <c r="D65" s="62" t="s">
        <v>45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2:52">
      <c r="B66" s="8"/>
      <c r="C66" s="10"/>
      <c r="D66" s="62" t="s">
        <v>46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2:52">
      <c r="B67" s="8"/>
      <c r="C67" s="10"/>
      <c r="D67" s="62" t="s">
        <v>47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2:52" ht="13.5" thickBot="1">
      <c r="B68" s="8"/>
      <c r="C68" s="10"/>
      <c r="D68" s="63" t="s">
        <v>48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2:52">
      <c r="B69" s="8"/>
      <c r="C69" s="10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2:52" ht="13.5" thickBot="1">
      <c r="B70" s="8"/>
      <c r="C70" s="10"/>
      <c r="D70" s="65" t="s">
        <v>61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2:52">
      <c r="B71" s="8"/>
      <c r="C71" s="10"/>
      <c r="D71" s="61" t="s">
        <v>62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2:52">
      <c r="B72" s="8"/>
      <c r="C72" s="10"/>
      <c r="D72" s="62" t="s">
        <v>63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2:52">
      <c r="B73" s="12"/>
      <c r="C73" s="10"/>
      <c r="D73" s="62" t="s">
        <v>64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2:52">
      <c r="B74" s="10"/>
      <c r="C74" s="10"/>
      <c r="D74" s="62" t="s">
        <v>65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2:52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2:5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85" spans="30:30">
      <c r="AD85" s="14"/>
    </row>
    <row r="86" spans="30:30">
      <c r="AD86" s="11"/>
    </row>
    <row r="87" spans="30:30">
      <c r="AD87" s="11"/>
    </row>
    <row r="88" spans="30:30">
      <c r="AD88" s="11"/>
    </row>
    <row r="89" spans="30:30">
      <c r="AD89" s="11"/>
    </row>
    <row r="90" spans="30:30">
      <c r="AD90" s="11"/>
    </row>
    <row r="91" spans="30:30">
      <c r="AD91" s="11"/>
    </row>
    <row r="92" spans="30:30">
      <c r="AD92" s="11"/>
    </row>
    <row r="93" spans="30:30">
      <c r="AD93" s="11"/>
    </row>
    <row r="94" spans="30:30">
      <c r="AD94" s="11"/>
    </row>
    <row r="95" spans="30:30">
      <c r="AD95" s="11"/>
    </row>
    <row r="96" spans="30:30">
      <c r="AD96" s="11"/>
    </row>
    <row r="97" spans="30:30">
      <c r="AD97" s="11"/>
    </row>
    <row r="98" spans="30:30">
      <c r="AD98" s="11"/>
    </row>
    <row r="99" spans="30:30">
      <c r="AD99" s="11"/>
    </row>
    <row r="100" spans="30:30">
      <c r="AD100" s="11"/>
    </row>
    <row r="101" spans="30:30">
      <c r="AD101" s="11"/>
    </row>
    <row r="102" spans="30:30">
      <c r="AD102" s="11"/>
    </row>
    <row r="103" spans="30:30">
      <c r="AD103" s="11"/>
    </row>
    <row r="104" spans="30:30">
      <c r="AD104" s="11"/>
    </row>
    <row r="105" spans="30:30">
      <c r="AD105" s="11"/>
    </row>
    <row r="106" spans="30:30">
      <c r="AD106" s="11"/>
    </row>
    <row r="107" spans="30:30">
      <c r="AD107" s="11"/>
    </row>
    <row r="108" spans="30:30">
      <c r="AD108" s="11"/>
    </row>
    <row r="109" spans="30:30">
      <c r="AD109" s="11"/>
    </row>
    <row r="110" spans="30:30">
      <c r="AD110" s="11"/>
    </row>
    <row r="111" spans="30:30">
      <c r="AD111" s="11"/>
    </row>
    <row r="112" spans="30:30">
      <c r="AD112" s="11"/>
    </row>
    <row r="113" spans="30:30">
      <c r="AD113" s="11"/>
    </row>
    <row r="114" spans="30:30">
      <c r="AD114" s="11"/>
    </row>
    <row r="115" spans="30:30">
      <c r="AD115" s="11"/>
    </row>
    <row r="116" spans="30:30">
      <c r="AD116" s="11"/>
    </row>
    <row r="117" spans="30:30">
      <c r="AD117" s="11"/>
    </row>
    <row r="118" spans="30:30">
      <c r="AD118" s="11"/>
    </row>
    <row r="119" spans="30:30">
      <c r="AD119" s="11"/>
    </row>
    <row r="120" spans="30:30">
      <c r="AD120" s="11"/>
    </row>
    <row r="121" spans="30:30">
      <c r="AD121" s="11"/>
    </row>
    <row r="122" spans="30:30">
      <c r="AD122" s="11"/>
    </row>
    <row r="123" spans="30:30">
      <c r="AD123" s="11"/>
    </row>
    <row r="124" spans="30:30">
      <c r="AD124" s="11"/>
    </row>
    <row r="125" spans="30:30">
      <c r="AD125" s="11"/>
    </row>
    <row r="126" spans="30:30">
      <c r="AD126" s="11"/>
    </row>
    <row r="127" spans="30:30">
      <c r="AD127" s="11"/>
    </row>
    <row r="128" spans="30:30">
      <c r="AD128" s="11"/>
    </row>
    <row r="129" spans="30:30">
      <c r="AD129" s="11"/>
    </row>
    <row r="130" spans="30:30">
      <c r="AD130" s="11"/>
    </row>
    <row r="131" spans="30:30">
      <c r="AD131" s="11"/>
    </row>
    <row r="132" spans="30:30">
      <c r="AD132" s="11"/>
    </row>
    <row r="133" spans="30:30">
      <c r="AD133" s="11"/>
    </row>
    <row r="134" spans="30:30">
      <c r="AD134" s="11"/>
    </row>
    <row r="135" spans="30:30">
      <c r="AD135" s="11"/>
    </row>
    <row r="136" spans="30:30">
      <c r="AD136" s="11"/>
    </row>
    <row r="137" spans="30:30">
      <c r="AD137" s="11"/>
    </row>
    <row r="138" spans="30:30">
      <c r="AD138" s="11"/>
    </row>
    <row r="139" spans="30:30">
      <c r="AD139" s="11"/>
    </row>
    <row r="140" spans="30:30">
      <c r="AD140" s="11"/>
    </row>
    <row r="141" spans="30:30">
      <c r="AD141" s="11"/>
    </row>
    <row r="142" spans="30:30">
      <c r="AD142" s="11"/>
    </row>
    <row r="143" spans="30:30">
      <c r="AD143" s="11"/>
    </row>
    <row r="144" spans="30:30">
      <c r="AD144" s="11"/>
    </row>
    <row r="145" spans="30:30">
      <c r="AD145" s="11"/>
    </row>
    <row r="146" spans="30:30">
      <c r="AD146" s="11"/>
    </row>
    <row r="147" spans="30:30">
      <c r="AD147" s="11"/>
    </row>
    <row r="148" spans="30:30">
      <c r="AD148" s="11"/>
    </row>
    <row r="149" spans="30:30">
      <c r="AD149" s="11"/>
    </row>
    <row r="150" spans="30:30">
      <c r="AD150" s="11"/>
    </row>
    <row r="151" spans="30:30">
      <c r="AD151" s="11"/>
    </row>
    <row r="152" spans="30:30">
      <c r="AD152" s="11"/>
    </row>
    <row r="153" spans="30:30">
      <c r="AD153" s="11"/>
    </row>
    <row r="154" spans="30:30">
      <c r="AD154" s="11"/>
    </row>
    <row r="155" spans="30:30">
      <c r="AD155" s="11"/>
    </row>
    <row r="156" spans="30:30">
      <c r="AD156" s="11"/>
    </row>
    <row r="157" spans="30:30">
      <c r="AD157" s="11"/>
    </row>
    <row r="158" spans="30:30">
      <c r="AD158" s="11"/>
    </row>
    <row r="159" spans="30:30">
      <c r="AD159" s="11"/>
    </row>
    <row r="160" spans="30:30">
      <c r="AD160" s="11"/>
    </row>
    <row r="161" spans="30:30">
      <c r="AD161" s="11"/>
    </row>
    <row r="162" spans="30:30">
      <c r="AD162" s="11"/>
    </row>
    <row r="163" spans="30:30">
      <c r="AD163" s="11"/>
    </row>
    <row r="164" spans="30:30">
      <c r="AD164" s="11"/>
    </row>
    <row r="165" spans="30:30">
      <c r="AD165" s="11"/>
    </row>
    <row r="166" spans="30:30">
      <c r="AD166" s="11"/>
    </row>
    <row r="167" spans="30:30">
      <c r="AD167" s="11"/>
    </row>
    <row r="168" spans="30:30">
      <c r="AD168" s="11"/>
    </row>
    <row r="169" spans="30:30">
      <c r="AD169" s="11"/>
    </row>
    <row r="170" spans="30:30">
      <c r="AD170" s="11"/>
    </row>
    <row r="171" spans="30:30">
      <c r="AD171" s="11"/>
    </row>
    <row r="172" spans="30:30">
      <c r="AD172" s="11"/>
    </row>
    <row r="173" spans="30:30">
      <c r="AD173" s="11"/>
    </row>
    <row r="174" spans="30:30">
      <c r="AD174" s="11"/>
    </row>
    <row r="175" spans="30:30">
      <c r="AD175" s="11"/>
    </row>
    <row r="176" spans="30:30">
      <c r="AD176" s="11"/>
    </row>
    <row r="177" spans="30:30">
      <c r="AD177" s="11"/>
    </row>
    <row r="178" spans="30:30">
      <c r="AD178" s="11"/>
    </row>
    <row r="179" spans="30:30">
      <c r="AD179" s="11"/>
    </row>
    <row r="180" spans="30:30">
      <c r="AD180" s="11"/>
    </row>
    <row r="181" spans="30:30">
      <c r="AD181" s="11"/>
    </row>
    <row r="182" spans="30:30">
      <c r="AD182" s="11"/>
    </row>
    <row r="183" spans="30:30">
      <c r="AD183" s="11"/>
    </row>
    <row r="184" spans="30:30">
      <c r="AD184" s="11"/>
    </row>
    <row r="185" spans="30:30">
      <c r="AD185" s="11"/>
    </row>
    <row r="186" spans="30:30">
      <c r="AD186" s="11"/>
    </row>
    <row r="187" spans="30:30">
      <c r="AD187" s="11"/>
    </row>
    <row r="188" spans="30:30">
      <c r="AD188" s="11"/>
    </row>
    <row r="189" spans="30:30">
      <c r="AD189" s="11"/>
    </row>
    <row r="190" spans="30:30">
      <c r="AD190" s="11"/>
    </row>
    <row r="191" spans="30:30">
      <c r="AD191" s="11"/>
    </row>
    <row r="192" spans="30:30">
      <c r="AD192" s="11"/>
    </row>
    <row r="193" spans="30:30">
      <c r="AD193" s="11"/>
    </row>
    <row r="194" spans="30:30">
      <c r="AD194" s="11"/>
    </row>
    <row r="195" spans="30:30">
      <c r="AD195" s="11"/>
    </row>
    <row r="196" spans="30:30">
      <c r="AD196" s="11"/>
    </row>
    <row r="197" spans="30:30">
      <c r="AD197" s="11"/>
    </row>
    <row r="198" spans="30:30">
      <c r="AD198" s="11"/>
    </row>
    <row r="199" spans="30:30">
      <c r="AD199" s="11"/>
    </row>
    <row r="200" spans="30:30">
      <c r="AD200" s="11"/>
    </row>
    <row r="201" spans="30:30">
      <c r="AD201" s="11"/>
    </row>
    <row r="202" spans="30:30">
      <c r="AD202" s="11"/>
    </row>
    <row r="203" spans="30:30">
      <c r="AD203" s="11"/>
    </row>
    <row r="204" spans="30:30">
      <c r="AD204" s="11"/>
    </row>
    <row r="205" spans="30:30">
      <c r="AD205" s="11"/>
    </row>
    <row r="206" spans="30:30">
      <c r="AD206" s="11"/>
    </row>
    <row r="207" spans="30:30">
      <c r="AD207" s="15"/>
    </row>
    <row r="208" spans="30:30">
      <c r="AD208" s="15"/>
    </row>
    <row r="209" spans="30:30">
      <c r="AD209" s="15"/>
    </row>
    <row r="210" spans="30:30">
      <c r="AD210" s="15"/>
    </row>
    <row r="211" spans="30:30">
      <c r="AD211" s="15"/>
    </row>
    <row r="212" spans="30:30">
      <c r="AD212" s="15"/>
    </row>
    <row r="213" spans="30:30">
      <c r="AD213" s="15"/>
    </row>
    <row r="214" spans="30:30">
      <c r="AD214" s="15"/>
    </row>
    <row r="215" spans="30:30">
      <c r="AD215" s="15"/>
    </row>
    <row r="216" spans="30:30">
      <c r="AD216" s="15"/>
    </row>
    <row r="217" spans="30:30">
      <c r="AD217" s="15"/>
    </row>
    <row r="218" spans="30:30">
      <c r="AD218" s="15"/>
    </row>
    <row r="219" spans="30:30">
      <c r="AD219" s="15"/>
    </row>
    <row r="220" spans="30:30">
      <c r="AD220" s="15"/>
    </row>
    <row r="221" spans="30:30">
      <c r="AD221" s="15"/>
    </row>
    <row r="222" spans="30:30">
      <c r="AD222" s="15"/>
    </row>
    <row r="223" spans="30:30">
      <c r="AD223" s="15"/>
    </row>
    <row r="224" spans="30:30">
      <c r="AD224" s="15"/>
    </row>
    <row r="225" spans="30:30">
      <c r="AD225" s="15"/>
    </row>
    <row r="226" spans="30:30">
      <c r="AD226" s="15"/>
    </row>
    <row r="227" spans="30:30">
      <c r="AD227" s="15"/>
    </row>
    <row r="228" spans="30:30">
      <c r="AD228" s="15"/>
    </row>
    <row r="229" spans="30:30">
      <c r="AD229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B1:S304"/>
  <sheetViews>
    <sheetView showGridLines="0" tabSelected="1" topLeftCell="B1" workbookViewId="0">
      <selection activeCell="E14" sqref="E14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17.1640625" style="1" customWidth="1"/>
    <col min="5" max="5" width="52.1640625" style="84" bestFit="1" customWidth="1"/>
    <col min="6" max="7" width="3.1640625" style="1" customWidth="1"/>
    <col min="8" max="8" width="16.33203125" style="1" customWidth="1"/>
    <col min="9" max="9" width="66.6640625" style="84" customWidth="1"/>
    <col min="10" max="10" width="3.1640625" style="1" customWidth="1"/>
    <col min="11" max="11" width="2.83203125" style="1" customWidth="1"/>
    <col min="12" max="12" width="13.6640625" style="1" customWidth="1"/>
    <col min="13" max="13" width="48.6640625" style="1" customWidth="1"/>
    <col min="14" max="14" width="7" style="1" customWidth="1"/>
    <col min="15" max="15" width="6.5" style="1" customWidth="1"/>
    <col min="16" max="16" width="1.1640625" style="1" customWidth="1"/>
    <col min="17" max="18" width="9.33203125" style="1"/>
    <col min="19" max="19" width="18" style="1" customWidth="1"/>
    <col min="20" max="16384" width="9.33203125" style="1"/>
  </cols>
  <sheetData>
    <row r="1" spans="2:16" ht="6" customHeight="1"/>
    <row r="2" spans="2:16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  <c r="N2" s="2"/>
      <c r="O2" s="2"/>
    </row>
    <row r="3" spans="2:16" ht="30" customHeight="1" thickBot="1">
      <c r="B3" s="3"/>
      <c r="C3" s="3"/>
      <c r="D3" s="4"/>
      <c r="E3" s="86" t="s">
        <v>17</v>
      </c>
      <c r="F3" s="3"/>
      <c r="G3" s="3"/>
      <c r="H3" s="3"/>
      <c r="I3" s="99"/>
      <c r="J3" s="3"/>
      <c r="K3" s="3"/>
      <c r="L3" s="3"/>
      <c r="M3" s="3"/>
      <c r="N3" s="3"/>
      <c r="O3" s="3"/>
      <c r="P3" s="5"/>
    </row>
    <row r="4" spans="2:16" ht="14.25" thickTop="1" thickBot="1">
      <c r="B4" s="6"/>
      <c r="C4" s="24"/>
      <c r="D4" s="6"/>
      <c r="E4" s="87"/>
      <c r="F4" s="6"/>
      <c r="G4" s="6"/>
      <c r="H4" s="6"/>
      <c r="I4" s="88"/>
      <c r="J4" s="8"/>
      <c r="K4" s="8"/>
      <c r="L4" s="8"/>
      <c r="M4" s="8"/>
      <c r="N4" s="8"/>
      <c r="O4" s="8"/>
      <c r="P4" s="5"/>
    </row>
    <row r="5" spans="2:16" ht="13.5" thickBot="1">
      <c r="B5" s="8"/>
      <c r="C5" s="25"/>
      <c r="D5" s="8"/>
      <c r="E5" s="26" t="s">
        <v>9</v>
      </c>
      <c r="F5" s="8"/>
      <c r="G5" s="8"/>
      <c r="H5" s="8"/>
      <c r="I5" s="88"/>
      <c r="J5" s="8"/>
      <c r="K5" s="8"/>
      <c r="L5" s="8"/>
      <c r="M5" s="8"/>
      <c r="N5" s="8"/>
      <c r="O5" s="8"/>
      <c r="P5" s="5"/>
    </row>
    <row r="6" spans="2:16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8"/>
      <c r="O6" s="8"/>
      <c r="P6" s="5"/>
    </row>
    <row r="7" spans="2:16" ht="24">
      <c r="B7" s="8"/>
      <c r="C7" s="51"/>
      <c r="D7" s="41" t="s">
        <v>2</v>
      </c>
      <c r="E7" s="42" t="s">
        <v>91</v>
      </c>
      <c r="F7" s="43"/>
      <c r="G7" s="40"/>
      <c r="H7" s="41" t="s">
        <v>2</v>
      </c>
      <c r="I7" s="42" t="s">
        <v>68</v>
      </c>
      <c r="J7" s="43"/>
      <c r="K7" s="51"/>
      <c r="L7" s="41" t="s">
        <v>2</v>
      </c>
      <c r="M7" s="42" t="s">
        <v>95</v>
      </c>
      <c r="N7" s="43"/>
      <c r="O7" s="8"/>
      <c r="P7" s="5"/>
    </row>
    <row r="8" spans="2:16">
      <c r="B8" s="8"/>
      <c r="C8" s="52"/>
      <c r="D8" s="8"/>
      <c r="E8" s="88"/>
      <c r="F8" s="45"/>
      <c r="G8" s="44"/>
      <c r="H8" s="8"/>
      <c r="I8" s="88"/>
      <c r="J8" s="45"/>
      <c r="K8" s="52"/>
      <c r="L8" s="8"/>
      <c r="M8" s="8"/>
      <c r="N8" s="45"/>
      <c r="O8" s="8"/>
      <c r="P8" s="5"/>
    </row>
    <row r="9" spans="2:16">
      <c r="B9" s="8"/>
      <c r="C9" s="52"/>
      <c r="D9" s="75" t="s">
        <v>3</v>
      </c>
      <c r="E9" s="46" t="s">
        <v>4</v>
      </c>
      <c r="F9" s="45"/>
      <c r="G9" s="44"/>
      <c r="H9" s="75" t="s">
        <v>3</v>
      </c>
      <c r="I9" s="46" t="s">
        <v>4</v>
      </c>
      <c r="J9" s="45"/>
      <c r="K9" s="52"/>
      <c r="L9" s="46" t="s">
        <v>3</v>
      </c>
      <c r="M9" s="46" t="s">
        <v>4</v>
      </c>
      <c r="N9" s="45"/>
      <c r="O9" s="8"/>
      <c r="P9" s="5"/>
    </row>
    <row r="10" spans="2:16">
      <c r="B10" s="8"/>
      <c r="C10" s="52"/>
      <c r="D10" s="35" t="s">
        <v>14</v>
      </c>
      <c r="E10" s="91" t="str">
        <f>'Calendar Rule Data'!D16</f>
        <v>Budapest</v>
      </c>
      <c r="F10" s="45"/>
      <c r="G10" s="44"/>
      <c r="H10" s="35" t="s">
        <v>14</v>
      </c>
      <c r="I10" s="114" t="s">
        <v>88</v>
      </c>
      <c r="J10" s="45"/>
      <c r="K10" s="52"/>
      <c r="L10" s="35" t="s">
        <v>14</v>
      </c>
      <c r="M10" s="113" t="s">
        <v>86</v>
      </c>
      <c r="N10" s="45"/>
      <c r="O10" s="8"/>
      <c r="P10" s="5"/>
    </row>
    <row r="11" spans="2:16">
      <c r="B11" s="8"/>
      <c r="C11" s="52"/>
      <c r="D11" s="35" t="s">
        <v>14</v>
      </c>
      <c r="E11" s="91" t="str">
        <f>'Calendar Rule Data'!D36</f>
        <v>Sao Paulo</v>
      </c>
      <c r="F11" s="45"/>
      <c r="G11" s="44"/>
      <c r="H11" s="83" t="s">
        <v>19</v>
      </c>
      <c r="I11" s="89">
        <f>M17</f>
        <v>39664</v>
      </c>
      <c r="J11" s="82"/>
      <c r="K11" s="52"/>
      <c r="L11" s="35" t="s">
        <v>14</v>
      </c>
      <c r="M11" s="34" t="str">
        <f>'Calendar Rule Data'!D18</f>
        <v>Chicago</v>
      </c>
      <c r="N11" s="45"/>
      <c r="O11" s="8"/>
      <c r="P11" s="5"/>
    </row>
    <row r="12" spans="2:16">
      <c r="B12" s="8"/>
      <c r="C12" s="44"/>
      <c r="D12" s="35" t="s">
        <v>14</v>
      </c>
      <c r="E12" s="91" t="s">
        <v>18</v>
      </c>
      <c r="F12" s="45"/>
      <c r="G12" s="44"/>
      <c r="H12" s="35" t="s">
        <v>19</v>
      </c>
      <c r="I12" s="89">
        <v>39395</v>
      </c>
      <c r="J12" s="45"/>
      <c r="K12" s="44"/>
      <c r="L12" s="35" t="s">
        <v>20</v>
      </c>
      <c r="M12" s="36">
        <v>39580</v>
      </c>
      <c r="N12" s="45"/>
      <c r="O12" s="8"/>
      <c r="P12" s="5"/>
    </row>
    <row r="13" spans="2:16">
      <c r="B13" s="8"/>
      <c r="C13" s="44"/>
      <c r="D13" s="35" t="s">
        <v>14</v>
      </c>
      <c r="E13" s="91" t="str">
        <f>'Calendar Rule Data'!D14</f>
        <v>Brisbane</v>
      </c>
      <c r="F13" s="45"/>
      <c r="G13" s="44"/>
      <c r="H13" s="35" t="s">
        <v>19</v>
      </c>
      <c r="I13" s="89">
        <v>39807</v>
      </c>
      <c r="J13" s="47"/>
      <c r="K13" s="44"/>
      <c r="L13" s="35" t="s">
        <v>21</v>
      </c>
      <c r="M13" s="36">
        <v>40650</v>
      </c>
      <c r="N13" s="45"/>
      <c r="O13" s="8"/>
      <c r="P13" s="5"/>
    </row>
    <row r="14" spans="2:16">
      <c r="B14" s="8"/>
      <c r="C14" s="44"/>
      <c r="D14" s="8"/>
      <c r="E14" s="88"/>
      <c r="F14" s="45"/>
      <c r="G14" s="44"/>
      <c r="H14" s="8"/>
      <c r="I14" s="88"/>
      <c r="J14" s="45"/>
      <c r="K14" s="44"/>
      <c r="L14" s="8"/>
      <c r="M14" s="8"/>
      <c r="N14" s="45"/>
      <c r="O14" s="8"/>
      <c r="P14" s="5"/>
    </row>
    <row r="15" spans="2:16">
      <c r="B15" s="8"/>
      <c r="C15" s="44"/>
      <c r="D15" s="75" t="s">
        <v>5</v>
      </c>
      <c r="E15" s="46"/>
      <c r="F15" s="45"/>
      <c r="G15" s="44"/>
      <c r="H15" s="8"/>
      <c r="I15" s="46" t="s">
        <v>5</v>
      </c>
      <c r="J15" s="45"/>
      <c r="K15" s="44"/>
      <c r="L15" s="8"/>
      <c r="M15" s="46" t="s">
        <v>5</v>
      </c>
      <c r="N15" s="45"/>
      <c r="O15" s="8"/>
      <c r="P15" s="5"/>
    </row>
    <row r="16" spans="2:16">
      <c r="B16" s="8"/>
      <c r="C16" s="44"/>
      <c r="D16" s="53" t="b">
        <f t="array" ref="D16:D19">_xll.Orion.ExcelAPI.Cache.IsValidCalendar(E10:E13)</f>
        <v>1</v>
      </c>
      <c r="E16" s="92"/>
      <c r="F16" s="45"/>
      <c r="G16" s="44"/>
      <c r="H16" s="37"/>
      <c r="I16" s="89"/>
      <c r="J16" s="45"/>
      <c r="K16" s="44"/>
      <c r="L16" s="8"/>
      <c r="M16" s="39">
        <f t="array" ref="M16:M149">_xll.HLV5r3.Financial.Cache.HolidaysBetween( M10:M11, M12,M13)</f>
        <v>39608</v>
      </c>
      <c r="N16" s="45"/>
      <c r="O16" s="8"/>
      <c r="P16" s="5"/>
    </row>
    <row r="17" spans="2:16">
      <c r="B17" s="8"/>
      <c r="C17" s="44"/>
      <c r="D17" s="53" t="b">
        <v>1</v>
      </c>
      <c r="E17" s="92"/>
      <c r="F17" s="45"/>
      <c r="G17" s="44"/>
      <c r="H17" s="37"/>
      <c r="I17" s="89"/>
      <c r="J17" s="45"/>
      <c r="K17" s="52"/>
      <c r="L17" s="8"/>
      <c r="M17" s="39">
        <v>39664</v>
      </c>
      <c r="N17" s="45"/>
      <c r="O17" s="8"/>
      <c r="P17" s="5"/>
    </row>
    <row r="18" spans="2:16">
      <c r="B18" s="8"/>
      <c r="C18" s="44"/>
      <c r="D18" s="53" t="b">
        <v>1</v>
      </c>
      <c r="E18" s="92"/>
      <c r="F18" s="45"/>
      <c r="G18" s="44"/>
      <c r="H18" s="37"/>
      <c r="I18" s="89"/>
      <c r="J18" s="45"/>
      <c r="K18" s="52"/>
      <c r="L18" s="8"/>
      <c r="M18" s="39">
        <v>39727</v>
      </c>
      <c r="N18" s="45"/>
      <c r="O18" s="8"/>
      <c r="P18" s="5"/>
    </row>
    <row r="19" spans="2:16">
      <c r="B19" s="8"/>
      <c r="C19" s="44"/>
      <c r="D19" s="53" t="b">
        <v>1</v>
      </c>
      <c r="E19" s="92"/>
      <c r="F19" s="45"/>
      <c r="G19" s="44"/>
      <c r="H19" s="8"/>
      <c r="I19" s="46"/>
      <c r="J19" s="45"/>
      <c r="K19" s="52"/>
      <c r="L19" s="8"/>
      <c r="M19" s="39">
        <v>39807</v>
      </c>
      <c r="N19" s="45"/>
      <c r="O19" s="8"/>
      <c r="P19" s="5"/>
    </row>
    <row r="20" spans="2:16" ht="13.5" thickBot="1">
      <c r="B20" s="8"/>
      <c r="C20" s="48"/>
      <c r="D20" s="54"/>
      <c r="E20" s="103"/>
      <c r="F20" s="50"/>
      <c r="G20" s="55"/>
      <c r="H20" s="49"/>
      <c r="I20" s="96"/>
      <c r="J20" s="50"/>
      <c r="K20" s="52"/>
      <c r="L20" s="8"/>
      <c r="M20" s="39">
        <v>39808</v>
      </c>
      <c r="N20" s="45"/>
      <c r="O20" s="8"/>
      <c r="P20" s="5"/>
    </row>
    <row r="21" spans="2:16">
      <c r="B21" s="8"/>
      <c r="C21" s="40"/>
      <c r="D21" s="41" t="s">
        <v>2</v>
      </c>
      <c r="E21" s="42" t="s">
        <v>90</v>
      </c>
      <c r="F21" s="59"/>
      <c r="G21" s="60"/>
      <c r="H21" s="41" t="s">
        <v>2</v>
      </c>
      <c r="I21" s="42" t="s">
        <v>92</v>
      </c>
      <c r="J21" s="43"/>
      <c r="K21" s="52"/>
      <c r="L21" s="8"/>
      <c r="M21" s="39">
        <v>39814</v>
      </c>
      <c r="N21" s="45"/>
      <c r="O21" s="8"/>
      <c r="P21" s="5"/>
    </row>
    <row r="22" spans="2:16">
      <c r="B22" s="8"/>
      <c r="C22" s="44"/>
      <c r="D22" s="8"/>
      <c r="E22" s="88"/>
      <c r="F22" s="8"/>
      <c r="G22" s="52"/>
      <c r="H22" s="8"/>
      <c r="I22" s="88"/>
      <c r="J22" s="45"/>
      <c r="K22" s="52"/>
      <c r="L22" s="8"/>
      <c r="M22" s="39">
        <v>39832</v>
      </c>
      <c r="N22" s="45"/>
      <c r="O22" s="8"/>
      <c r="P22" s="5"/>
    </row>
    <row r="23" spans="2:16">
      <c r="B23" s="8"/>
      <c r="C23" s="44"/>
      <c r="D23" s="75" t="s">
        <v>3</v>
      </c>
      <c r="E23" s="46" t="s">
        <v>4</v>
      </c>
      <c r="F23" s="8"/>
      <c r="G23" s="52"/>
      <c r="H23" s="75" t="s">
        <v>3</v>
      </c>
      <c r="I23" s="46" t="s">
        <v>4</v>
      </c>
      <c r="J23" s="45"/>
      <c r="K23" s="52"/>
      <c r="L23" s="8"/>
      <c r="M23" s="39">
        <v>39839</v>
      </c>
      <c r="N23" s="45"/>
      <c r="O23" s="8"/>
      <c r="P23" s="5"/>
    </row>
    <row r="24" spans="2:16">
      <c r="B24" s="8"/>
      <c r="C24" s="44"/>
      <c r="D24" s="35" t="s">
        <v>19</v>
      </c>
      <c r="E24" s="89">
        <v>39362</v>
      </c>
      <c r="F24" s="8"/>
      <c r="G24" s="52"/>
      <c r="H24" s="53" t="s">
        <v>19</v>
      </c>
      <c r="I24" s="89">
        <v>39362</v>
      </c>
      <c r="J24" s="45"/>
      <c r="K24" s="52"/>
      <c r="L24" s="8"/>
      <c r="M24" s="39">
        <v>39860</v>
      </c>
      <c r="N24" s="45"/>
      <c r="O24" s="8"/>
      <c r="P24" s="5"/>
    </row>
    <row r="25" spans="2:16">
      <c r="B25" s="8"/>
      <c r="C25" s="44"/>
      <c r="D25" s="35" t="s">
        <v>14</v>
      </c>
      <c r="E25" s="91" t="str">
        <f>'Calendar Rule Data'!D39</f>
        <v>Stockholm</v>
      </c>
      <c r="F25" s="8"/>
      <c r="G25" s="52"/>
      <c r="H25" s="53" t="s">
        <v>14</v>
      </c>
      <c r="I25" s="91" t="str">
        <f>'Calendar Rule Data'!D39</f>
        <v>Stockholm</v>
      </c>
      <c r="J25" s="45"/>
      <c r="K25" s="52"/>
      <c r="L25" s="8"/>
      <c r="M25" s="39">
        <v>39913</v>
      </c>
      <c r="N25" s="45"/>
      <c r="O25" s="8"/>
      <c r="P25" s="5"/>
    </row>
    <row r="26" spans="2:16">
      <c r="B26" s="8"/>
      <c r="C26" s="44"/>
      <c r="D26" s="35" t="s">
        <v>14</v>
      </c>
      <c r="E26" s="91" t="str">
        <f>'Calendar Rule Data'!D15</f>
        <v>Brussels</v>
      </c>
      <c r="F26" s="8"/>
      <c r="G26" s="52"/>
      <c r="H26" s="53" t="s">
        <v>14</v>
      </c>
      <c r="I26" s="91" t="str">
        <f>'Calendar Rule Data'!D40</f>
        <v>Sydney</v>
      </c>
      <c r="J26" s="45"/>
      <c r="K26" s="52"/>
      <c r="L26" s="8"/>
      <c r="M26" s="39">
        <v>39914</v>
      </c>
      <c r="N26" s="45"/>
      <c r="O26" s="8"/>
      <c r="P26" s="5"/>
    </row>
    <row r="27" spans="2:16">
      <c r="B27" s="8"/>
      <c r="C27" s="44"/>
      <c r="D27" s="35" t="s">
        <v>14</v>
      </c>
      <c r="E27" s="91" t="str">
        <f>'Calendar Rule Data'!D28</f>
        <v>Milan</v>
      </c>
      <c r="F27" s="8"/>
      <c r="G27" s="52"/>
      <c r="H27" s="53" t="s">
        <v>49</v>
      </c>
      <c r="I27" s="90" t="str">
        <f>'Calendar Rule Data'!D65</f>
        <v>Calendar</v>
      </c>
      <c r="J27" s="45"/>
      <c r="K27" s="52"/>
      <c r="L27" s="8"/>
      <c r="M27" s="39">
        <v>39916</v>
      </c>
      <c r="N27" s="45"/>
      <c r="O27" s="8"/>
      <c r="P27" s="5"/>
    </row>
    <row r="28" spans="2:16">
      <c r="B28" s="8"/>
      <c r="C28" s="44"/>
      <c r="D28" s="35" t="s">
        <v>14</v>
      </c>
      <c r="E28" s="91" t="str">
        <f>'Calendar Rule Data'!D29</f>
        <v>Mumbai</v>
      </c>
      <c r="F28" s="8"/>
      <c r="G28" s="52"/>
      <c r="H28" s="53" t="s">
        <v>51</v>
      </c>
      <c r="I28" s="90" t="str">
        <f>'Calendar Rule Data'!G58</f>
        <v>6M</v>
      </c>
      <c r="J28" s="45"/>
      <c r="K28" s="52"/>
      <c r="L28" s="8"/>
      <c r="M28" s="39">
        <v>39928</v>
      </c>
      <c r="N28" s="45"/>
      <c r="O28" s="8"/>
      <c r="P28" s="5"/>
    </row>
    <row r="29" spans="2:16">
      <c r="B29" s="8"/>
      <c r="C29" s="44"/>
      <c r="D29" s="8"/>
      <c r="E29" s="88"/>
      <c r="F29" s="8"/>
      <c r="G29" s="52"/>
      <c r="H29" s="53" t="s">
        <v>24</v>
      </c>
      <c r="I29" s="91" t="str">
        <f>'Calendar Rule Data'!D54</f>
        <v>FOLLOWING</v>
      </c>
      <c r="J29" s="45"/>
      <c r="K29" s="52"/>
      <c r="L29" s="8"/>
      <c r="M29" s="39">
        <v>39958</v>
      </c>
      <c r="N29" s="45"/>
      <c r="O29" s="8"/>
      <c r="P29" s="5"/>
    </row>
    <row r="30" spans="2:16">
      <c r="B30" s="8"/>
      <c r="C30" s="44"/>
      <c r="D30" s="46"/>
      <c r="E30" s="46" t="s">
        <v>5</v>
      </c>
      <c r="F30" s="8"/>
      <c r="G30" s="52"/>
      <c r="H30" s="8"/>
      <c r="I30" s="46" t="s">
        <v>5</v>
      </c>
      <c r="J30" s="45"/>
      <c r="K30" s="52"/>
      <c r="L30" s="8"/>
      <c r="M30" s="39">
        <v>39972</v>
      </c>
      <c r="N30" s="45"/>
      <c r="O30" s="8"/>
      <c r="P30" s="5"/>
    </row>
    <row r="31" spans="2:16">
      <c r="B31" s="8"/>
      <c r="C31" s="44"/>
      <c r="D31" s="8"/>
      <c r="E31" s="92" t="b">
        <f>_xll.HLV5r3.Financial.Cache.IsHoliday(E25:E28, E24)</f>
        <v>1</v>
      </c>
      <c r="F31" s="8"/>
      <c r="G31" s="52"/>
      <c r="H31" s="8"/>
      <c r="I31" s="102">
        <f>_xll.HLV5r3.Financial.Cache.Advance(I25:I26,I24,I27,I28,I29)</f>
        <v>39545</v>
      </c>
      <c r="J31" s="45"/>
      <c r="K31" s="52"/>
      <c r="L31" s="8"/>
      <c r="M31" s="39">
        <v>39998</v>
      </c>
      <c r="N31" s="45"/>
      <c r="O31" s="8"/>
      <c r="P31" s="5"/>
    </row>
    <row r="32" spans="2:16" ht="13.5" thickBot="1">
      <c r="B32" s="8"/>
      <c r="C32" s="48"/>
      <c r="D32" s="49"/>
      <c r="E32" s="96"/>
      <c r="F32" s="49"/>
      <c r="G32" s="55"/>
      <c r="H32" s="49"/>
      <c r="I32" s="96" t="s">
        <v>121</v>
      </c>
      <c r="J32" s="50"/>
      <c r="K32" s="52"/>
      <c r="L32" s="8"/>
      <c r="M32" s="39">
        <v>40028</v>
      </c>
      <c r="N32" s="45"/>
      <c r="O32" s="8"/>
      <c r="P32" s="5"/>
    </row>
    <row r="33" spans="2:16">
      <c r="B33" s="8"/>
      <c r="C33" s="60"/>
      <c r="D33" s="41" t="s">
        <v>2</v>
      </c>
      <c r="E33" s="42" t="s">
        <v>93</v>
      </c>
      <c r="F33" s="43"/>
      <c r="G33" s="60"/>
      <c r="H33" s="41" t="s">
        <v>2</v>
      </c>
      <c r="I33" s="42" t="s">
        <v>94</v>
      </c>
      <c r="J33" s="43"/>
      <c r="K33" s="52"/>
      <c r="L33" s="8"/>
      <c r="M33" s="39">
        <v>40063</v>
      </c>
      <c r="N33" s="45"/>
      <c r="O33" s="8"/>
      <c r="P33" s="5"/>
    </row>
    <row r="34" spans="2:16">
      <c r="B34" s="8"/>
      <c r="C34" s="52"/>
      <c r="D34" s="8"/>
      <c r="E34" s="88"/>
      <c r="F34" s="45"/>
      <c r="G34" s="52"/>
      <c r="H34" s="8"/>
      <c r="I34" s="88"/>
      <c r="J34" s="45"/>
      <c r="K34" s="52"/>
      <c r="L34" s="8"/>
      <c r="M34" s="39">
        <v>40091</v>
      </c>
      <c r="N34" s="45"/>
      <c r="O34" s="8"/>
      <c r="P34" s="5"/>
    </row>
    <row r="35" spans="2:16">
      <c r="B35" s="8"/>
      <c r="C35" s="52"/>
      <c r="D35" s="75" t="s">
        <v>3</v>
      </c>
      <c r="E35" s="46" t="s">
        <v>4</v>
      </c>
      <c r="F35" s="45"/>
      <c r="G35" s="52"/>
      <c r="H35" s="75" t="s">
        <v>3</v>
      </c>
      <c r="I35" s="46" t="s">
        <v>4</v>
      </c>
      <c r="J35" s="45"/>
      <c r="K35" s="52"/>
      <c r="L35" s="8"/>
      <c r="M35" s="39">
        <v>40098</v>
      </c>
      <c r="N35" s="45"/>
      <c r="O35" s="8"/>
      <c r="P35" s="5"/>
    </row>
    <row r="36" spans="2:16">
      <c r="B36" s="8"/>
      <c r="C36" s="52"/>
      <c r="D36" s="53" t="s">
        <v>19</v>
      </c>
      <c r="E36" s="89">
        <v>39362</v>
      </c>
      <c r="F36" s="45"/>
      <c r="G36" s="52"/>
      <c r="H36" s="53" t="s">
        <v>19</v>
      </c>
      <c r="I36" s="89">
        <v>39362</v>
      </c>
      <c r="J36" s="45"/>
      <c r="K36" s="52"/>
      <c r="L36" s="8"/>
      <c r="M36" s="39">
        <v>40128</v>
      </c>
      <c r="N36" s="45"/>
      <c r="O36" s="8"/>
      <c r="P36" s="5"/>
    </row>
    <row r="37" spans="2:16">
      <c r="B37" s="8"/>
      <c r="C37" s="52"/>
      <c r="D37" s="53" t="s">
        <v>14</v>
      </c>
      <c r="E37" s="91" t="str">
        <f>'Calendar Rule Data'!D39</f>
        <v>Stockholm</v>
      </c>
      <c r="F37" s="45"/>
      <c r="G37" s="52"/>
      <c r="H37" s="53" t="s">
        <v>14</v>
      </c>
      <c r="I37" s="91" t="str">
        <f>'Calendar Rule Data'!D36</f>
        <v>Sao Paulo</v>
      </c>
      <c r="J37" s="45"/>
      <c r="K37" s="52"/>
      <c r="L37" s="8"/>
      <c r="M37" s="39">
        <v>40143</v>
      </c>
      <c r="N37" s="45"/>
      <c r="O37" s="8"/>
      <c r="P37" s="5"/>
    </row>
    <row r="38" spans="2:16">
      <c r="B38" s="8"/>
      <c r="C38" s="52"/>
      <c r="D38" s="53" t="s">
        <v>14</v>
      </c>
      <c r="E38" s="91" t="str">
        <f>'Calendar Rule Data'!D15</f>
        <v>Brussels</v>
      </c>
      <c r="F38" s="45"/>
      <c r="G38" s="52"/>
      <c r="H38" s="53" t="s">
        <v>14</v>
      </c>
      <c r="I38" s="91" t="str">
        <f>'Calendar Rule Data'!D19</f>
        <v>Copenhagen</v>
      </c>
      <c r="J38" s="45"/>
      <c r="K38" s="52"/>
      <c r="L38" s="8"/>
      <c r="M38" s="39">
        <v>40172</v>
      </c>
      <c r="N38" s="45"/>
      <c r="O38" s="8"/>
      <c r="P38" s="5"/>
    </row>
    <row r="39" spans="2:16">
      <c r="B39" s="8"/>
      <c r="C39" s="52"/>
      <c r="D39" s="53" t="s">
        <v>14</v>
      </c>
      <c r="E39" s="91" t="str">
        <f>'Calendar Rule Data'!D28</f>
        <v>Milan</v>
      </c>
      <c r="F39" s="45"/>
      <c r="G39" s="52"/>
      <c r="H39" s="53" t="s">
        <v>24</v>
      </c>
      <c r="I39" s="91" t="str">
        <f>'Calendar Rule Data'!D54</f>
        <v>FOLLOWING</v>
      </c>
      <c r="J39" s="45"/>
      <c r="K39" s="44"/>
      <c r="L39" s="8"/>
      <c r="M39" s="39">
        <v>40175</v>
      </c>
      <c r="N39" s="45"/>
      <c r="O39" s="10"/>
      <c r="P39" s="5"/>
    </row>
    <row r="40" spans="2:16">
      <c r="B40" s="8"/>
      <c r="C40" s="52"/>
      <c r="D40" s="53" t="s">
        <v>14</v>
      </c>
      <c r="E40" s="91" t="str">
        <f>'Calendar Rule Data'!D29</f>
        <v>Mumbai</v>
      </c>
      <c r="F40" s="45"/>
      <c r="G40" s="52"/>
      <c r="H40" s="8"/>
      <c r="I40" s="8"/>
      <c r="J40" s="45"/>
      <c r="K40" s="52"/>
      <c r="L40" s="8"/>
      <c r="M40" s="39">
        <v>40179</v>
      </c>
      <c r="N40" s="45"/>
      <c r="O40" s="8"/>
      <c r="P40" s="5"/>
    </row>
    <row r="41" spans="2:16">
      <c r="B41" s="8"/>
      <c r="C41" s="52"/>
      <c r="D41" s="8"/>
      <c r="E41" s="88"/>
      <c r="F41" s="45"/>
      <c r="G41" s="52"/>
      <c r="H41" s="8"/>
      <c r="I41" s="88"/>
      <c r="J41" s="45"/>
      <c r="K41" s="52"/>
      <c r="L41" s="8"/>
      <c r="M41" s="39">
        <v>40196</v>
      </c>
      <c r="N41" s="45"/>
      <c r="O41" s="8"/>
      <c r="P41" s="5"/>
    </row>
    <row r="42" spans="2:16">
      <c r="B42" s="8"/>
      <c r="C42" s="52"/>
      <c r="D42" s="8"/>
      <c r="E42" s="46" t="s">
        <v>5</v>
      </c>
      <c r="F42" s="45"/>
      <c r="G42" s="52"/>
      <c r="H42" s="8"/>
      <c r="I42" s="46" t="s">
        <v>5</v>
      </c>
      <c r="J42" s="45"/>
      <c r="K42" s="52"/>
      <c r="L42" s="8"/>
      <c r="M42" s="39">
        <v>40204</v>
      </c>
      <c r="N42" s="45"/>
      <c r="O42" s="8"/>
      <c r="P42" s="5"/>
    </row>
    <row r="43" spans="2:16">
      <c r="B43" s="8"/>
      <c r="C43" s="52"/>
      <c r="D43" s="8"/>
      <c r="E43" s="38" t="b">
        <f>_xll.HLV5r3.Financial.Cache.IsBusinessDay(E37:E40, E36)</f>
        <v>0</v>
      </c>
      <c r="F43" s="45"/>
      <c r="G43" s="52"/>
      <c r="H43" s="8"/>
      <c r="I43" s="102">
        <f>_xll.HLV5r3.Financial.Cache.Roll( I37:I38,I36, I39)</f>
        <v>39363</v>
      </c>
      <c r="J43" s="45"/>
      <c r="K43" s="52"/>
      <c r="L43" s="8"/>
      <c r="M43" s="39">
        <v>40224</v>
      </c>
      <c r="N43" s="45"/>
      <c r="O43" s="8"/>
      <c r="P43" s="5"/>
    </row>
    <row r="44" spans="2:16" ht="14.25" customHeight="1" thickBot="1">
      <c r="B44" s="8"/>
      <c r="C44" s="55"/>
      <c r="D44" s="49"/>
      <c r="E44" s="96"/>
      <c r="F44" s="50"/>
      <c r="G44" s="55"/>
      <c r="H44" s="49"/>
      <c r="I44" s="96"/>
      <c r="J44" s="50"/>
      <c r="K44" s="52"/>
      <c r="L44" s="8"/>
      <c r="M44" s="39">
        <v>40270</v>
      </c>
      <c r="N44" s="45"/>
      <c r="O44" s="8"/>
      <c r="P44" s="5"/>
    </row>
    <row r="45" spans="2:16" ht="13.5" thickBot="1">
      <c r="B45" s="8"/>
      <c r="C45" s="8"/>
      <c r="D45" s="8"/>
      <c r="E45" s="88"/>
      <c r="F45" s="8"/>
      <c r="G45" s="8"/>
      <c r="H45" s="8"/>
      <c r="I45" s="88"/>
      <c r="J45" s="8"/>
      <c r="K45" s="52"/>
      <c r="L45" s="8"/>
      <c r="M45" s="39">
        <v>40271</v>
      </c>
      <c r="N45" s="45"/>
      <c r="O45" s="8"/>
      <c r="P45" s="5"/>
    </row>
    <row r="46" spans="2:16">
      <c r="B46" s="8"/>
      <c r="C46" s="40"/>
      <c r="D46" s="41" t="s">
        <v>2</v>
      </c>
      <c r="E46" s="42" t="s">
        <v>109</v>
      </c>
      <c r="F46" s="43"/>
      <c r="G46" s="40"/>
      <c r="H46" s="41" t="s">
        <v>2</v>
      </c>
      <c r="I46" s="42" t="s">
        <v>110</v>
      </c>
      <c r="J46" s="43"/>
      <c r="K46" s="52"/>
      <c r="L46" s="8"/>
      <c r="M46" s="39">
        <v>40273</v>
      </c>
      <c r="N46" s="45"/>
      <c r="O46" s="8"/>
      <c r="P46" s="5"/>
    </row>
    <row r="47" spans="2:16">
      <c r="B47" s="8"/>
      <c r="C47" s="44"/>
      <c r="D47" s="8"/>
      <c r="E47" s="88"/>
      <c r="F47" s="45"/>
      <c r="G47" s="44"/>
      <c r="H47" s="8"/>
      <c r="I47" s="88"/>
      <c r="J47" s="45"/>
      <c r="K47" s="52"/>
      <c r="L47" s="8"/>
      <c r="M47" s="39">
        <v>40294</v>
      </c>
      <c r="N47" s="45"/>
      <c r="O47" s="8"/>
      <c r="P47" s="5"/>
    </row>
    <row r="48" spans="2:16">
      <c r="B48" s="8"/>
      <c r="C48" s="44"/>
      <c r="D48" s="75" t="s">
        <v>3</v>
      </c>
      <c r="E48" s="46" t="s">
        <v>4</v>
      </c>
      <c r="F48" s="45"/>
      <c r="G48" s="44"/>
      <c r="H48" s="75" t="s">
        <v>3</v>
      </c>
      <c r="I48" s="46" t="s">
        <v>4</v>
      </c>
      <c r="J48" s="45"/>
      <c r="K48" s="52"/>
      <c r="L48" s="8"/>
      <c r="M48" s="39">
        <v>40329</v>
      </c>
      <c r="N48" s="45"/>
      <c r="O48" s="8"/>
      <c r="P48" s="5"/>
    </row>
    <row r="49" spans="2:16">
      <c r="B49" s="8"/>
      <c r="C49" s="44"/>
      <c r="D49" s="53" t="s">
        <v>111</v>
      </c>
      <c r="E49" s="91" t="s">
        <v>112</v>
      </c>
      <c r="F49" s="45"/>
      <c r="G49" s="44"/>
      <c r="H49" s="53" t="s">
        <v>111</v>
      </c>
      <c r="I49" s="91" t="s">
        <v>112</v>
      </c>
      <c r="J49" s="45"/>
      <c r="K49" s="52"/>
      <c r="L49" s="8"/>
      <c r="M49" s="39">
        <v>40343</v>
      </c>
      <c r="N49" s="45"/>
      <c r="O49" s="8"/>
      <c r="P49" s="5"/>
    </row>
    <row r="50" spans="2:16">
      <c r="B50" s="8"/>
      <c r="C50" s="44"/>
      <c r="D50" s="8"/>
      <c r="E50" s="8"/>
      <c r="F50" s="45"/>
      <c r="G50" s="44"/>
      <c r="H50" s="8"/>
      <c r="I50" s="8"/>
      <c r="J50" s="45"/>
      <c r="K50" s="52"/>
      <c r="L50" s="8"/>
      <c r="M50" s="39">
        <v>40364</v>
      </c>
      <c r="N50" s="45"/>
      <c r="O50" s="8"/>
      <c r="P50" s="5"/>
    </row>
    <row r="51" spans="2:16">
      <c r="B51" s="8"/>
      <c r="C51" s="44"/>
      <c r="D51" s="8"/>
      <c r="E51" s="88"/>
      <c r="F51" s="45"/>
      <c r="G51" s="44"/>
      <c r="H51" s="8"/>
      <c r="I51" s="88"/>
      <c r="J51" s="45"/>
      <c r="K51" s="52"/>
      <c r="L51" s="8"/>
      <c r="M51" s="39">
        <v>40392</v>
      </c>
      <c r="N51" s="45"/>
      <c r="O51" s="8"/>
      <c r="P51" s="5"/>
    </row>
    <row r="52" spans="2:16">
      <c r="B52" s="8"/>
      <c r="C52" s="44"/>
      <c r="D52" s="8"/>
      <c r="E52" s="46" t="s">
        <v>5</v>
      </c>
      <c r="F52" s="45"/>
      <c r="G52" s="44"/>
      <c r="H52" s="8"/>
      <c r="I52" s="46" t="s">
        <v>5</v>
      </c>
      <c r="J52" s="45"/>
      <c r="K52" s="52"/>
      <c r="L52" s="8"/>
      <c r="M52" s="39">
        <v>40427</v>
      </c>
      <c r="N52" s="45"/>
      <c r="O52" s="8"/>
      <c r="P52" s="5"/>
    </row>
    <row r="53" spans="2:16">
      <c r="B53" s="8"/>
      <c r="C53" s="44"/>
      <c r="D53" s="8"/>
      <c r="E53" s="119">
        <f>_xll.HLV5r3.Financial.Cache.YearFraction(M16,M17,$E$49)</f>
        <v>0.15342465753424658</v>
      </c>
      <c r="F53" s="45"/>
      <c r="G53" s="44"/>
      <c r="H53" s="8"/>
      <c r="I53" s="119">
        <f t="array" ref="I53:I66">_xll.HLV5r3.Financial.Cache.YearFractions(M16:M29,M17:M30,I49)</f>
        <v>0.15342465753424658</v>
      </c>
      <c r="J53" s="45"/>
      <c r="K53" s="52"/>
      <c r="L53" s="8"/>
      <c r="M53" s="39">
        <v>40455</v>
      </c>
      <c r="N53" s="45"/>
      <c r="O53" s="8"/>
      <c r="P53" s="5"/>
    </row>
    <row r="54" spans="2:16">
      <c r="B54" s="8"/>
      <c r="C54" s="44"/>
      <c r="D54" s="8"/>
      <c r="E54" s="119">
        <f>_xll.HLV5r3.Financial.Cache.YearFraction(M17,M18,$E$49)</f>
        <v>0.17260273972602741</v>
      </c>
      <c r="F54" s="45"/>
      <c r="G54" s="44"/>
      <c r="H54" s="8"/>
      <c r="I54" s="119">
        <v>0.17260273972602741</v>
      </c>
      <c r="J54" s="45"/>
      <c r="K54" s="52"/>
      <c r="L54" s="8"/>
      <c r="M54" s="39">
        <v>40462</v>
      </c>
      <c r="N54" s="45"/>
      <c r="O54" s="8"/>
      <c r="P54" s="5"/>
    </row>
    <row r="55" spans="2:16">
      <c r="B55" s="8"/>
      <c r="C55" s="44"/>
      <c r="D55" s="8"/>
      <c r="E55" s="119">
        <f>_xll.HLV5r3.Financial.Cache.YearFraction(M18,M19,$E$49)</f>
        <v>0.21917808219178081</v>
      </c>
      <c r="F55" s="45"/>
      <c r="G55" s="44"/>
      <c r="H55" s="8"/>
      <c r="I55" s="119">
        <v>0.21917808219178081</v>
      </c>
      <c r="J55" s="45"/>
      <c r="K55" s="52"/>
      <c r="L55" s="8"/>
      <c r="M55" s="39">
        <v>40493</v>
      </c>
      <c r="N55" s="45"/>
      <c r="O55" s="8"/>
      <c r="P55" s="5"/>
    </row>
    <row r="56" spans="2:16">
      <c r="B56" s="8"/>
      <c r="C56" s="44"/>
      <c r="D56" s="8"/>
      <c r="E56" s="119">
        <f>_xll.HLV5r3.Financial.Cache.YearFraction(M19,M20,$E$49)</f>
        <v>2.7397260273972603E-3</v>
      </c>
      <c r="F56" s="45"/>
      <c r="G56" s="44"/>
      <c r="H56" s="8"/>
      <c r="I56" s="119">
        <v>2.7397260273972603E-3</v>
      </c>
      <c r="J56" s="45"/>
      <c r="K56" s="52"/>
      <c r="L56" s="8"/>
      <c r="M56" s="39">
        <v>40507</v>
      </c>
      <c r="N56" s="45"/>
      <c r="O56" s="8"/>
      <c r="P56" s="5"/>
    </row>
    <row r="57" spans="2:16">
      <c r="B57" s="8"/>
      <c r="C57" s="44"/>
      <c r="D57" s="8"/>
      <c r="E57" s="119">
        <f>_xll.HLV5r3.Financial.Cache.YearFraction(M20,M21,$E$49)</f>
        <v>1.643835616438356E-2</v>
      </c>
      <c r="F57" s="45"/>
      <c r="G57" s="44"/>
      <c r="H57" s="8"/>
      <c r="I57" s="119">
        <v>1.643835616438356E-2</v>
      </c>
      <c r="J57" s="45"/>
      <c r="K57" s="52"/>
      <c r="L57" s="8"/>
      <c r="M57" s="39">
        <v>40537</v>
      </c>
      <c r="N57" s="45"/>
      <c r="O57" s="8"/>
      <c r="P57" s="5"/>
    </row>
    <row r="58" spans="2:16">
      <c r="B58" s="8"/>
      <c r="C58" s="44"/>
      <c r="D58" s="8"/>
      <c r="E58" s="119">
        <f>_xll.HLV5r3.Financial.Cache.YearFraction(M21,M22,$E$49)</f>
        <v>4.9315068493150684E-2</v>
      </c>
      <c r="F58" s="45"/>
      <c r="G58" s="44"/>
      <c r="H58" s="8"/>
      <c r="I58" s="119">
        <v>4.9315068493150684E-2</v>
      </c>
      <c r="J58" s="45"/>
      <c r="K58" s="52"/>
      <c r="L58" s="8"/>
      <c r="M58" s="39">
        <v>40539</v>
      </c>
      <c r="N58" s="45"/>
      <c r="O58" s="8"/>
      <c r="P58" s="5"/>
    </row>
    <row r="59" spans="2:16">
      <c r="B59" s="8"/>
      <c r="C59" s="44"/>
      <c r="D59" s="8"/>
      <c r="E59" s="119">
        <f>_xll.HLV5r3.Financial.Cache.YearFraction(M22,M23,$E$49)</f>
        <v>1.9178082191780823E-2</v>
      </c>
      <c r="F59" s="45"/>
      <c r="G59" s="44"/>
      <c r="H59" s="8"/>
      <c r="I59" s="119">
        <v>1.9178082191780823E-2</v>
      </c>
      <c r="J59" s="45"/>
      <c r="K59" s="52"/>
      <c r="L59" s="8"/>
      <c r="M59" s="39">
        <v>40540</v>
      </c>
      <c r="N59" s="45"/>
      <c r="O59" s="8"/>
      <c r="P59" s="5"/>
    </row>
    <row r="60" spans="2:16">
      <c r="B60" s="8"/>
      <c r="C60" s="44"/>
      <c r="D60" s="8"/>
      <c r="E60" s="119">
        <f>_xll.HLV5r3.Financial.Cache.YearFraction(M23,M24,$E$49)</f>
        <v>5.7534246575342465E-2</v>
      </c>
      <c r="F60" s="45"/>
      <c r="G60" s="44"/>
      <c r="H60" s="8"/>
      <c r="I60" s="119">
        <v>5.7534246575342465E-2</v>
      </c>
      <c r="J60" s="45"/>
      <c r="K60" s="52"/>
      <c r="L60" s="8"/>
      <c r="M60" s="39">
        <v>40544</v>
      </c>
      <c r="N60" s="45"/>
      <c r="O60" s="8"/>
      <c r="P60" s="5"/>
    </row>
    <row r="61" spans="2:16">
      <c r="B61" s="8"/>
      <c r="C61" s="44"/>
      <c r="D61" s="8"/>
      <c r="E61" s="119">
        <f>_xll.HLV5r3.Financial.Cache.YearFraction(M24,M25,$E$49)</f>
        <v>0.14520547945205478</v>
      </c>
      <c r="F61" s="45"/>
      <c r="G61" s="44"/>
      <c r="H61" s="8"/>
      <c r="I61" s="119">
        <v>0.14520547945205478</v>
      </c>
      <c r="J61" s="45"/>
      <c r="K61" s="52"/>
      <c r="L61" s="8"/>
      <c r="M61" s="39">
        <v>40546</v>
      </c>
      <c r="N61" s="45"/>
      <c r="O61" s="8"/>
      <c r="P61" s="5"/>
    </row>
    <row r="62" spans="2:16">
      <c r="B62" s="8"/>
      <c r="C62" s="44"/>
      <c r="D62" s="8"/>
      <c r="E62" s="119">
        <f>_xll.HLV5r3.Financial.Cache.YearFraction(M25,M26,$E$49)</f>
        <v>2.7397260273972603E-3</v>
      </c>
      <c r="F62" s="45"/>
      <c r="G62" s="44"/>
      <c r="H62" s="8"/>
      <c r="I62" s="119">
        <v>2.7397260273972603E-3</v>
      </c>
      <c r="J62" s="45"/>
      <c r="K62" s="52"/>
      <c r="L62" s="8"/>
      <c r="M62" s="39">
        <v>40560</v>
      </c>
      <c r="N62" s="45"/>
      <c r="O62" s="8"/>
      <c r="P62" s="5"/>
    </row>
    <row r="63" spans="2:16">
      <c r="B63" s="8"/>
      <c r="C63" s="44"/>
      <c r="D63" s="8"/>
      <c r="E63" s="119">
        <f>_xll.HLV5r3.Financial.Cache.YearFraction(M26,M27,$E$49)</f>
        <v>5.4794520547945206E-3</v>
      </c>
      <c r="F63" s="45"/>
      <c r="G63" s="44"/>
      <c r="H63" s="8"/>
      <c r="I63" s="119">
        <v>5.4794520547945206E-3</v>
      </c>
      <c r="J63" s="45"/>
      <c r="K63" s="52"/>
      <c r="L63" s="8"/>
      <c r="M63" s="39">
        <v>40569</v>
      </c>
      <c r="N63" s="45"/>
      <c r="O63" s="8"/>
      <c r="P63" s="5"/>
    </row>
    <row r="64" spans="2:16">
      <c r="B64" s="8"/>
      <c r="C64" s="44"/>
      <c r="D64" s="8"/>
      <c r="E64" s="119">
        <f>_xll.HLV5r3.Financial.Cache.YearFraction(M27,M28,$E$49)</f>
        <v>3.287671232876712E-2</v>
      </c>
      <c r="F64" s="45"/>
      <c r="G64" s="44"/>
      <c r="H64" s="8"/>
      <c r="I64" s="119">
        <v>3.287671232876712E-2</v>
      </c>
      <c r="J64" s="45"/>
      <c r="K64" s="52"/>
      <c r="L64" s="8"/>
      <c r="M64" s="39">
        <v>40595</v>
      </c>
      <c r="N64" s="45"/>
      <c r="O64" s="8"/>
      <c r="P64" s="5"/>
    </row>
    <row r="65" spans="2:16">
      <c r="B65" s="8"/>
      <c r="C65" s="44"/>
      <c r="D65" s="8"/>
      <c r="E65" s="119">
        <f>_xll.HLV5r3.Financial.Cache.YearFraction(M28,M29,$E$49)</f>
        <v>8.2191780821917804E-2</v>
      </c>
      <c r="F65" s="45"/>
      <c r="G65" s="44"/>
      <c r="H65" s="8"/>
      <c r="I65" s="119">
        <v>8.2191780821917804E-2</v>
      </c>
      <c r="J65" s="45"/>
      <c r="K65" s="52"/>
      <c r="L65" s="8"/>
      <c r="M65" s="39" t="e">
        <v>#N/A</v>
      </c>
      <c r="N65" s="45"/>
      <c r="O65" s="8"/>
      <c r="P65" s="5"/>
    </row>
    <row r="66" spans="2:16">
      <c r="B66" s="8"/>
      <c r="C66" s="44"/>
      <c r="D66" s="8"/>
      <c r="E66" s="119">
        <f>_xll.HLV5r3.Financial.Cache.YearFraction(M29,M30,$E$49)</f>
        <v>3.8356164383561646E-2</v>
      </c>
      <c r="F66" s="45"/>
      <c r="G66" s="44"/>
      <c r="H66" s="8"/>
      <c r="I66" s="119">
        <v>3.8356164383561646E-2</v>
      </c>
      <c r="J66" s="45"/>
      <c r="K66" s="52"/>
      <c r="L66" s="8"/>
      <c r="M66" s="39" t="e">
        <v>#N/A</v>
      </c>
      <c r="N66" s="45"/>
      <c r="O66" s="8"/>
      <c r="P66" s="5"/>
    </row>
    <row r="67" spans="2:16" ht="13.5" thickBot="1">
      <c r="B67" s="8"/>
      <c r="C67" s="48"/>
      <c r="D67" s="49"/>
      <c r="E67" s="96"/>
      <c r="F67" s="50"/>
      <c r="G67" s="48"/>
      <c r="H67" s="49"/>
      <c r="I67" s="96"/>
      <c r="J67" s="50"/>
      <c r="K67" s="52"/>
      <c r="L67" s="8"/>
      <c r="M67" s="39" t="e">
        <v>#N/A</v>
      </c>
      <c r="N67" s="45"/>
      <c r="O67" s="8"/>
      <c r="P67" s="5"/>
    </row>
    <row r="68" spans="2:16">
      <c r="B68" s="8"/>
      <c r="C68" s="10"/>
      <c r="D68" s="8"/>
      <c r="E68" s="88"/>
      <c r="F68" s="8"/>
      <c r="G68" s="8"/>
      <c r="H68" s="8"/>
      <c r="I68" s="88"/>
      <c r="J68" s="8"/>
      <c r="K68" s="52"/>
      <c r="L68" s="8"/>
      <c r="M68" s="39" t="e">
        <v>#N/A</v>
      </c>
      <c r="N68" s="45"/>
      <c r="O68" s="8"/>
      <c r="P68" s="5"/>
    </row>
    <row r="69" spans="2:16">
      <c r="B69" s="8"/>
      <c r="C69" s="10"/>
      <c r="D69" s="8"/>
      <c r="E69" s="88"/>
      <c r="F69" s="8"/>
      <c r="G69" s="8"/>
      <c r="H69" s="8"/>
      <c r="I69" s="88"/>
      <c r="J69" s="8"/>
      <c r="K69" s="52"/>
      <c r="L69" s="8"/>
      <c r="M69" s="39" t="e">
        <v>#N/A</v>
      </c>
      <c r="N69" s="45"/>
      <c r="O69" s="8"/>
      <c r="P69" s="5"/>
    </row>
    <row r="70" spans="2:16">
      <c r="B70" s="8"/>
      <c r="C70" s="10"/>
      <c r="D70" s="8"/>
      <c r="E70" s="88"/>
      <c r="F70" s="8"/>
      <c r="G70" s="8"/>
      <c r="H70" s="8"/>
      <c r="I70" s="88"/>
      <c r="J70" s="8"/>
      <c r="K70" s="52"/>
      <c r="L70" s="8"/>
      <c r="M70" s="39" t="e">
        <v>#N/A</v>
      </c>
      <c r="N70" s="45"/>
      <c r="O70" s="8"/>
      <c r="P70" s="5"/>
    </row>
    <row r="71" spans="2:16">
      <c r="B71" s="8"/>
      <c r="C71" s="10"/>
      <c r="D71" s="8"/>
      <c r="E71" s="88"/>
      <c r="F71" s="8"/>
      <c r="G71" s="8"/>
      <c r="H71" s="8"/>
      <c r="I71" s="88"/>
      <c r="J71" s="8"/>
      <c r="K71" s="52"/>
      <c r="L71" s="8"/>
      <c r="M71" s="39" t="e">
        <v>#N/A</v>
      </c>
      <c r="N71" s="45"/>
      <c r="O71" s="8"/>
      <c r="P71" s="5"/>
    </row>
    <row r="72" spans="2:16">
      <c r="B72" s="8"/>
      <c r="C72" s="10"/>
      <c r="D72" s="8"/>
      <c r="E72" s="88"/>
      <c r="F72" s="8"/>
      <c r="G72" s="8"/>
      <c r="H72" s="8"/>
      <c r="I72" s="88"/>
      <c r="J72" s="8"/>
      <c r="K72" s="52"/>
      <c r="L72" s="8"/>
      <c r="M72" s="39" t="e">
        <v>#N/A</v>
      </c>
      <c r="N72" s="45"/>
      <c r="O72" s="8"/>
      <c r="P72" s="5"/>
    </row>
    <row r="73" spans="2:16">
      <c r="B73" s="8"/>
      <c r="C73" s="10"/>
      <c r="D73" s="8"/>
      <c r="E73" s="88"/>
      <c r="F73" s="8"/>
      <c r="G73" s="8"/>
      <c r="H73" s="8"/>
      <c r="I73" s="88"/>
      <c r="J73" s="8"/>
      <c r="K73" s="52"/>
      <c r="L73" s="8"/>
      <c r="M73" s="39" t="e">
        <v>#N/A</v>
      </c>
      <c r="N73" s="45"/>
      <c r="O73" s="8"/>
      <c r="P73" s="5"/>
    </row>
    <row r="74" spans="2:16">
      <c r="B74" s="8"/>
      <c r="C74" s="10"/>
      <c r="D74" s="8"/>
      <c r="E74" s="88"/>
      <c r="F74" s="8"/>
      <c r="G74" s="8"/>
      <c r="H74" s="8"/>
      <c r="I74" s="88"/>
      <c r="J74" s="8"/>
      <c r="K74" s="52"/>
      <c r="L74" s="8"/>
      <c r="M74" s="39" t="e">
        <v>#N/A</v>
      </c>
      <c r="N74" s="45"/>
      <c r="O74" s="8"/>
      <c r="P74" s="5"/>
    </row>
    <row r="75" spans="2:16">
      <c r="B75" s="8"/>
      <c r="C75" s="10"/>
      <c r="D75" s="8"/>
      <c r="E75" s="88"/>
      <c r="F75" s="8"/>
      <c r="G75" s="8"/>
      <c r="H75" s="8"/>
      <c r="I75" s="88"/>
      <c r="J75" s="8"/>
      <c r="K75" s="52"/>
      <c r="L75" s="8"/>
      <c r="M75" s="39" t="e">
        <v>#N/A</v>
      </c>
      <c r="N75" s="45"/>
      <c r="O75" s="8"/>
      <c r="P75" s="5"/>
    </row>
    <row r="76" spans="2:16">
      <c r="B76" s="8"/>
      <c r="C76" s="10"/>
      <c r="D76" s="8"/>
      <c r="E76" s="88"/>
      <c r="F76" s="8"/>
      <c r="G76" s="8"/>
      <c r="H76" s="8"/>
      <c r="I76" s="88"/>
      <c r="J76" s="8"/>
      <c r="K76" s="52"/>
      <c r="L76" s="8"/>
      <c r="M76" s="39" t="e">
        <v>#N/A</v>
      </c>
      <c r="N76" s="45"/>
      <c r="O76" s="8"/>
      <c r="P76" s="5"/>
    </row>
    <row r="77" spans="2:16">
      <c r="B77" s="8"/>
      <c r="C77" s="10"/>
      <c r="D77" s="8"/>
      <c r="E77" s="88"/>
      <c r="F77" s="8"/>
      <c r="G77" s="8"/>
      <c r="H77" s="8"/>
      <c r="I77" s="88"/>
      <c r="J77" s="8"/>
      <c r="K77" s="52"/>
      <c r="L77" s="8"/>
      <c r="M77" s="39" t="e">
        <v>#N/A</v>
      </c>
      <c r="N77" s="45"/>
      <c r="O77" s="8"/>
      <c r="P77" s="5"/>
    </row>
    <row r="78" spans="2:16">
      <c r="B78" s="8"/>
      <c r="C78" s="10"/>
      <c r="D78" s="8"/>
      <c r="E78" s="88"/>
      <c r="F78" s="8"/>
      <c r="G78" s="8"/>
      <c r="H78" s="8"/>
      <c r="I78" s="88"/>
      <c r="J78" s="8"/>
      <c r="K78" s="52"/>
      <c r="L78" s="8"/>
      <c r="M78" s="39" t="e">
        <v>#N/A</v>
      </c>
      <c r="N78" s="45"/>
      <c r="O78" s="8"/>
      <c r="P78" s="5"/>
    </row>
    <row r="79" spans="2:16">
      <c r="B79" s="8"/>
      <c r="C79" s="10"/>
      <c r="D79" s="8"/>
      <c r="E79" s="88"/>
      <c r="F79" s="8"/>
      <c r="G79" s="8"/>
      <c r="H79" s="8"/>
      <c r="I79" s="88"/>
      <c r="J79" s="8"/>
      <c r="K79" s="52"/>
      <c r="L79" s="8"/>
      <c r="M79" s="39" t="e">
        <v>#N/A</v>
      </c>
      <c r="N79" s="45"/>
      <c r="O79" s="8"/>
      <c r="P79" s="5"/>
    </row>
    <row r="80" spans="2:16">
      <c r="B80" s="8"/>
      <c r="C80" s="10"/>
      <c r="D80" s="8"/>
      <c r="E80" s="88"/>
      <c r="F80" s="8"/>
      <c r="G80" s="8"/>
      <c r="H80" s="8"/>
      <c r="I80" s="88"/>
      <c r="J80" s="8"/>
      <c r="K80" s="52"/>
      <c r="L80" s="8"/>
      <c r="M80" s="39" t="e">
        <v>#N/A</v>
      </c>
      <c r="N80" s="45"/>
      <c r="O80" s="8"/>
      <c r="P80" s="5"/>
    </row>
    <row r="81" spans="2:16">
      <c r="B81" s="8"/>
      <c r="C81" s="10"/>
      <c r="D81" s="8"/>
      <c r="E81" s="88"/>
      <c r="F81" s="8"/>
      <c r="G81" s="8"/>
      <c r="H81" s="8"/>
      <c r="I81" s="88"/>
      <c r="J81" s="8"/>
      <c r="K81" s="52"/>
      <c r="L81" s="8"/>
      <c r="M81" s="39" t="e">
        <v>#N/A</v>
      </c>
      <c r="N81" s="45"/>
      <c r="O81" s="8"/>
      <c r="P81" s="5"/>
    </row>
    <row r="82" spans="2:16">
      <c r="B82" s="8"/>
      <c r="C82" s="10"/>
      <c r="D82" s="8"/>
      <c r="E82" s="88"/>
      <c r="F82" s="8"/>
      <c r="G82" s="8"/>
      <c r="H82" s="8"/>
      <c r="I82" s="88"/>
      <c r="J82" s="8"/>
      <c r="K82" s="52"/>
      <c r="L82" s="8"/>
      <c r="M82" s="39" t="e">
        <v>#N/A</v>
      </c>
      <c r="N82" s="45"/>
      <c r="O82" s="8"/>
      <c r="P82" s="5"/>
    </row>
    <row r="83" spans="2:16">
      <c r="B83" s="8"/>
      <c r="C83" s="10"/>
      <c r="D83" s="8"/>
      <c r="E83" s="88"/>
      <c r="F83" s="8"/>
      <c r="G83" s="8"/>
      <c r="H83" s="8"/>
      <c r="I83" s="88"/>
      <c r="J83" s="8"/>
      <c r="K83" s="52"/>
      <c r="L83" s="8"/>
      <c r="M83" s="39" t="e">
        <v>#N/A</v>
      </c>
      <c r="N83" s="45"/>
      <c r="O83" s="8"/>
      <c r="P83" s="5"/>
    </row>
    <row r="84" spans="2:16">
      <c r="B84" s="8"/>
      <c r="C84" s="10"/>
      <c r="D84" s="8"/>
      <c r="E84" s="88"/>
      <c r="F84" s="8"/>
      <c r="G84" s="8"/>
      <c r="H84" s="8"/>
      <c r="I84" s="88"/>
      <c r="J84" s="8"/>
      <c r="K84" s="52"/>
      <c r="L84" s="8"/>
      <c r="M84" s="39" t="e">
        <v>#N/A</v>
      </c>
      <c r="N84" s="45"/>
      <c r="O84" s="8"/>
      <c r="P84" s="5"/>
    </row>
    <row r="85" spans="2:16">
      <c r="B85" s="8"/>
      <c r="C85" s="10"/>
      <c r="D85" s="8"/>
      <c r="E85" s="88"/>
      <c r="F85" s="8"/>
      <c r="G85" s="8"/>
      <c r="H85" s="8"/>
      <c r="I85" s="88"/>
      <c r="J85" s="8"/>
      <c r="K85" s="52"/>
      <c r="L85" s="8"/>
      <c r="M85" s="39" t="e">
        <v>#N/A</v>
      </c>
      <c r="N85" s="45"/>
      <c r="O85" s="8"/>
      <c r="P85" s="5"/>
    </row>
    <row r="86" spans="2:16">
      <c r="B86" s="8"/>
      <c r="C86" s="10"/>
      <c r="D86" s="8"/>
      <c r="E86" s="88"/>
      <c r="F86" s="8"/>
      <c r="G86" s="8"/>
      <c r="H86" s="8"/>
      <c r="I86" s="88"/>
      <c r="J86" s="8"/>
      <c r="K86" s="52"/>
      <c r="L86" s="8"/>
      <c r="M86" s="39" t="e">
        <v>#N/A</v>
      </c>
      <c r="N86" s="45"/>
      <c r="O86" s="8"/>
      <c r="P86" s="5"/>
    </row>
    <row r="87" spans="2:16">
      <c r="B87" s="8"/>
      <c r="C87" s="10"/>
      <c r="D87" s="8"/>
      <c r="E87" s="88"/>
      <c r="F87" s="8"/>
      <c r="G87" s="8"/>
      <c r="H87" s="8"/>
      <c r="I87" s="88"/>
      <c r="J87" s="8"/>
      <c r="K87" s="52"/>
      <c r="L87" s="8"/>
      <c r="M87" s="39" t="e">
        <v>#N/A</v>
      </c>
      <c r="N87" s="45"/>
      <c r="O87" s="8"/>
      <c r="P87" s="5"/>
    </row>
    <row r="88" spans="2:16">
      <c r="B88" s="8"/>
      <c r="C88" s="10"/>
      <c r="D88" s="8"/>
      <c r="E88" s="88"/>
      <c r="F88" s="8"/>
      <c r="G88" s="8"/>
      <c r="H88" s="8"/>
      <c r="I88" s="88"/>
      <c r="J88" s="8"/>
      <c r="K88" s="52"/>
      <c r="L88" s="8"/>
      <c r="M88" s="39" t="e">
        <v>#N/A</v>
      </c>
      <c r="N88" s="45"/>
      <c r="O88" s="8"/>
      <c r="P88" s="5"/>
    </row>
    <row r="89" spans="2:16">
      <c r="B89" s="8"/>
      <c r="C89" s="10"/>
      <c r="D89" s="8"/>
      <c r="E89" s="88"/>
      <c r="F89" s="8"/>
      <c r="G89" s="8"/>
      <c r="H89" s="8"/>
      <c r="I89" s="88"/>
      <c r="J89" s="8"/>
      <c r="K89" s="52"/>
      <c r="L89" s="8"/>
      <c r="M89" s="39" t="e">
        <v>#N/A</v>
      </c>
      <c r="N89" s="45"/>
      <c r="O89" s="8"/>
      <c r="P89" s="5"/>
    </row>
    <row r="90" spans="2:16">
      <c r="B90" s="8"/>
      <c r="C90" s="10"/>
      <c r="D90" s="8"/>
      <c r="E90" s="88"/>
      <c r="F90" s="8"/>
      <c r="G90" s="8"/>
      <c r="H90" s="8"/>
      <c r="I90" s="88"/>
      <c r="J90" s="8"/>
      <c r="K90" s="52"/>
      <c r="L90" s="8"/>
      <c r="M90" s="39" t="e">
        <v>#N/A</v>
      </c>
      <c r="N90" s="45"/>
      <c r="O90" s="8"/>
      <c r="P90" s="5"/>
    </row>
    <row r="91" spans="2:16">
      <c r="B91" s="8"/>
      <c r="C91" s="10"/>
      <c r="D91" s="8"/>
      <c r="E91" s="88"/>
      <c r="F91" s="8"/>
      <c r="G91" s="8"/>
      <c r="H91" s="8"/>
      <c r="I91" s="88"/>
      <c r="J91" s="8"/>
      <c r="K91" s="52"/>
      <c r="L91" s="8"/>
      <c r="M91" s="39" t="e">
        <v>#N/A</v>
      </c>
      <c r="N91" s="45"/>
      <c r="O91" s="8"/>
      <c r="P91" s="5"/>
    </row>
    <row r="92" spans="2:16">
      <c r="B92" s="8"/>
      <c r="C92" s="10"/>
      <c r="D92" s="8"/>
      <c r="E92" s="88"/>
      <c r="F92" s="8"/>
      <c r="G92" s="8"/>
      <c r="H92" s="8"/>
      <c r="I92" s="88"/>
      <c r="J92" s="8"/>
      <c r="K92" s="52"/>
      <c r="L92" s="8"/>
      <c r="M92" s="39" t="e">
        <v>#N/A</v>
      </c>
      <c r="N92" s="45"/>
      <c r="O92" s="8"/>
      <c r="P92" s="5"/>
    </row>
    <row r="93" spans="2:16">
      <c r="B93" s="8"/>
      <c r="C93" s="10"/>
      <c r="D93" s="8"/>
      <c r="E93" s="88"/>
      <c r="F93" s="8"/>
      <c r="G93" s="8"/>
      <c r="H93" s="8"/>
      <c r="I93" s="88"/>
      <c r="J93" s="8"/>
      <c r="K93" s="52"/>
      <c r="L93" s="8"/>
      <c r="M93" s="39" t="e">
        <v>#N/A</v>
      </c>
      <c r="N93" s="45"/>
      <c r="O93" s="8"/>
      <c r="P93" s="5"/>
    </row>
    <row r="94" spans="2:16">
      <c r="B94" s="8"/>
      <c r="C94" s="10"/>
      <c r="D94" s="8"/>
      <c r="E94" s="88"/>
      <c r="F94" s="8"/>
      <c r="G94" s="8"/>
      <c r="H94" s="8"/>
      <c r="I94" s="88"/>
      <c r="J94" s="8"/>
      <c r="K94" s="52"/>
      <c r="L94" s="8"/>
      <c r="M94" s="39" t="e">
        <v>#N/A</v>
      </c>
      <c r="N94" s="45"/>
      <c r="O94" s="8"/>
      <c r="P94" s="5"/>
    </row>
    <row r="95" spans="2:16">
      <c r="B95" s="8"/>
      <c r="C95" s="10"/>
      <c r="D95" s="8"/>
      <c r="E95" s="88"/>
      <c r="F95" s="8"/>
      <c r="G95" s="8"/>
      <c r="H95" s="8"/>
      <c r="I95" s="88"/>
      <c r="J95" s="8"/>
      <c r="K95" s="52"/>
      <c r="L95" s="8"/>
      <c r="M95" s="39" t="e">
        <v>#N/A</v>
      </c>
      <c r="N95" s="45"/>
      <c r="O95" s="8"/>
      <c r="P95" s="5"/>
    </row>
    <row r="96" spans="2:16">
      <c r="B96" s="8"/>
      <c r="C96" s="10"/>
      <c r="D96" s="8"/>
      <c r="E96" s="88"/>
      <c r="F96" s="8"/>
      <c r="G96" s="8"/>
      <c r="H96" s="8"/>
      <c r="I96" s="88"/>
      <c r="J96" s="8"/>
      <c r="K96" s="52"/>
      <c r="L96" s="8"/>
      <c r="M96" s="39" t="e">
        <v>#N/A</v>
      </c>
      <c r="N96" s="45"/>
      <c r="O96" s="8"/>
      <c r="P96" s="5"/>
    </row>
    <row r="97" spans="2:16">
      <c r="B97" s="8"/>
      <c r="C97" s="10"/>
      <c r="D97" s="8"/>
      <c r="E97" s="88"/>
      <c r="F97" s="8"/>
      <c r="G97" s="8"/>
      <c r="H97" s="8"/>
      <c r="I97" s="88"/>
      <c r="J97" s="8"/>
      <c r="K97" s="52"/>
      <c r="L97" s="8"/>
      <c r="M97" s="39" t="e">
        <v>#N/A</v>
      </c>
      <c r="N97" s="45"/>
      <c r="O97" s="8"/>
      <c r="P97" s="5"/>
    </row>
    <row r="98" spans="2:16">
      <c r="B98" s="8"/>
      <c r="C98" s="10"/>
      <c r="D98" s="8"/>
      <c r="E98" s="88"/>
      <c r="F98" s="8"/>
      <c r="G98" s="8"/>
      <c r="H98" s="8"/>
      <c r="I98" s="88"/>
      <c r="J98" s="8"/>
      <c r="K98" s="52"/>
      <c r="L98" s="8"/>
      <c r="M98" s="39" t="e">
        <v>#N/A</v>
      </c>
      <c r="N98" s="45"/>
      <c r="O98" s="8"/>
      <c r="P98" s="5"/>
    </row>
    <row r="99" spans="2:16">
      <c r="B99" s="8"/>
      <c r="C99" s="10"/>
      <c r="D99" s="8"/>
      <c r="E99" s="88"/>
      <c r="F99" s="8"/>
      <c r="G99" s="8"/>
      <c r="H99" s="8"/>
      <c r="I99" s="88"/>
      <c r="J99" s="23"/>
      <c r="K99" s="58"/>
      <c r="L99" s="8"/>
      <c r="M99" s="39" t="e">
        <v>#N/A</v>
      </c>
      <c r="N99" s="45"/>
      <c r="O99" s="23"/>
      <c r="P99" s="5"/>
    </row>
    <row r="100" spans="2:16">
      <c r="B100" s="8"/>
      <c r="C100" s="10"/>
      <c r="D100" s="8"/>
      <c r="E100" s="88"/>
      <c r="F100" s="8"/>
      <c r="G100" s="8"/>
      <c r="H100" s="8"/>
      <c r="I100" s="88"/>
      <c r="J100" s="8"/>
      <c r="K100" s="52"/>
      <c r="L100" s="8"/>
      <c r="M100" s="39" t="e">
        <v>#N/A</v>
      </c>
      <c r="N100" s="45"/>
      <c r="O100" s="8"/>
      <c r="P100" s="5"/>
    </row>
    <row r="101" spans="2:16">
      <c r="B101" s="8"/>
      <c r="C101" s="10"/>
      <c r="D101" s="8"/>
      <c r="E101" s="88"/>
      <c r="F101" s="8"/>
      <c r="G101" s="8"/>
      <c r="H101" s="8"/>
      <c r="I101" s="88"/>
      <c r="J101" s="8"/>
      <c r="K101" s="52"/>
      <c r="L101" s="8"/>
      <c r="M101" s="39" t="e">
        <v>#N/A</v>
      </c>
      <c r="N101" s="45"/>
      <c r="O101" s="8"/>
      <c r="P101" s="5"/>
    </row>
    <row r="102" spans="2:16">
      <c r="B102" s="8"/>
      <c r="C102" s="10"/>
      <c r="D102" s="8"/>
      <c r="E102" s="88"/>
      <c r="F102" s="8"/>
      <c r="G102" s="8"/>
      <c r="H102" s="8"/>
      <c r="I102" s="88"/>
      <c r="J102" s="8"/>
      <c r="K102" s="52"/>
      <c r="L102" s="8"/>
      <c r="M102" s="39" t="e">
        <v>#N/A</v>
      </c>
      <c r="N102" s="45"/>
      <c r="O102" s="8"/>
      <c r="P102" s="5"/>
    </row>
    <row r="103" spans="2:16">
      <c r="B103" s="8"/>
      <c r="C103" s="10"/>
      <c r="D103" s="8"/>
      <c r="E103" s="88"/>
      <c r="F103" s="8"/>
      <c r="G103" s="8"/>
      <c r="H103" s="8"/>
      <c r="I103" s="88"/>
      <c r="J103" s="8"/>
      <c r="K103" s="52"/>
      <c r="L103" s="8"/>
      <c r="M103" s="39" t="e">
        <v>#N/A</v>
      </c>
      <c r="N103" s="45"/>
      <c r="O103" s="8"/>
      <c r="P103" s="5"/>
    </row>
    <row r="104" spans="2:16">
      <c r="B104" s="8"/>
      <c r="C104" s="10"/>
      <c r="D104" s="8"/>
      <c r="E104" s="88"/>
      <c r="F104" s="8"/>
      <c r="G104" s="8"/>
      <c r="H104" s="8"/>
      <c r="I104" s="88"/>
      <c r="J104" s="8"/>
      <c r="K104" s="52"/>
      <c r="L104" s="8"/>
      <c r="M104" s="39" t="e">
        <v>#N/A</v>
      </c>
      <c r="N104" s="45"/>
      <c r="O104" s="8"/>
      <c r="P104" s="5"/>
    </row>
    <row r="105" spans="2:16">
      <c r="B105" s="8"/>
      <c r="C105" s="10"/>
      <c r="D105" s="8"/>
      <c r="E105" s="88"/>
      <c r="F105" s="8"/>
      <c r="G105" s="8"/>
      <c r="H105" s="8"/>
      <c r="I105" s="88"/>
      <c r="J105" s="8"/>
      <c r="K105" s="52"/>
      <c r="L105" s="8"/>
      <c r="M105" s="39" t="e">
        <v>#N/A</v>
      </c>
      <c r="N105" s="45"/>
      <c r="O105" s="8"/>
      <c r="P105" s="5"/>
    </row>
    <row r="106" spans="2:16">
      <c r="B106" s="8"/>
      <c r="C106" s="10"/>
      <c r="D106" s="8"/>
      <c r="E106" s="88"/>
      <c r="F106" s="8"/>
      <c r="G106" s="8"/>
      <c r="H106" s="8"/>
      <c r="I106" s="88"/>
      <c r="J106" s="8"/>
      <c r="K106" s="52"/>
      <c r="L106" s="8"/>
      <c r="M106" s="39" t="e">
        <v>#N/A</v>
      </c>
      <c r="N106" s="45"/>
      <c r="O106" s="8"/>
      <c r="P106" s="5"/>
    </row>
    <row r="107" spans="2:16">
      <c r="B107" s="8"/>
      <c r="C107" s="10"/>
      <c r="D107" s="8"/>
      <c r="E107" s="88"/>
      <c r="F107" s="8"/>
      <c r="G107" s="8"/>
      <c r="H107" s="8"/>
      <c r="I107" s="88"/>
      <c r="J107" s="8"/>
      <c r="K107" s="52"/>
      <c r="L107" s="8"/>
      <c r="M107" s="39" t="e">
        <v>#N/A</v>
      </c>
      <c r="N107" s="45"/>
      <c r="O107" s="8"/>
      <c r="P107" s="5"/>
    </row>
    <row r="108" spans="2:16">
      <c r="B108" s="8"/>
      <c r="C108" s="10"/>
      <c r="D108" s="8"/>
      <c r="E108" s="88"/>
      <c r="F108" s="8"/>
      <c r="G108" s="8"/>
      <c r="H108" s="8"/>
      <c r="I108" s="88"/>
      <c r="J108" s="8"/>
      <c r="K108" s="52"/>
      <c r="L108" s="8"/>
      <c r="M108" s="39" t="e">
        <v>#N/A</v>
      </c>
      <c r="N108" s="45"/>
      <c r="O108" s="8"/>
      <c r="P108" s="5"/>
    </row>
    <row r="109" spans="2:16">
      <c r="B109" s="8"/>
      <c r="C109" s="10"/>
      <c r="D109" s="8"/>
      <c r="E109" s="88"/>
      <c r="F109" s="8"/>
      <c r="G109" s="8"/>
      <c r="H109" s="8"/>
      <c r="I109" s="88"/>
      <c r="J109" s="8"/>
      <c r="K109" s="52"/>
      <c r="L109" s="8"/>
      <c r="M109" s="39" t="e">
        <v>#N/A</v>
      </c>
      <c r="N109" s="45"/>
      <c r="O109" s="8"/>
      <c r="P109" s="5"/>
    </row>
    <row r="110" spans="2:16">
      <c r="B110" s="8"/>
      <c r="C110" s="10"/>
      <c r="D110" s="8"/>
      <c r="E110" s="88"/>
      <c r="F110" s="8"/>
      <c r="G110" s="8"/>
      <c r="H110" s="8"/>
      <c r="I110" s="88"/>
      <c r="J110" s="8"/>
      <c r="K110" s="52"/>
      <c r="L110" s="8"/>
      <c r="M110" s="39" t="e">
        <v>#N/A</v>
      </c>
      <c r="N110" s="45"/>
      <c r="O110" s="8"/>
      <c r="P110" s="5"/>
    </row>
    <row r="111" spans="2:16">
      <c r="B111" s="8"/>
      <c r="C111" s="10"/>
      <c r="D111" s="8"/>
      <c r="E111" s="88"/>
      <c r="F111" s="8"/>
      <c r="G111" s="8"/>
      <c r="H111" s="8"/>
      <c r="I111" s="88"/>
      <c r="J111" s="8"/>
      <c r="K111" s="52"/>
      <c r="L111" s="8"/>
      <c r="M111" s="39" t="e">
        <v>#N/A</v>
      </c>
      <c r="N111" s="45"/>
      <c r="O111" s="8"/>
      <c r="P111" s="5"/>
    </row>
    <row r="112" spans="2:16">
      <c r="B112" s="8"/>
      <c r="C112" s="10"/>
      <c r="D112" s="8"/>
      <c r="E112" s="88"/>
      <c r="F112" s="8"/>
      <c r="G112" s="8"/>
      <c r="H112" s="8"/>
      <c r="I112" s="88"/>
      <c r="J112" s="8"/>
      <c r="K112" s="52"/>
      <c r="L112" s="8"/>
      <c r="M112" s="39" t="e">
        <v>#N/A</v>
      </c>
      <c r="N112" s="45"/>
      <c r="O112" s="8"/>
      <c r="P112" s="5"/>
    </row>
    <row r="113" spans="2:16">
      <c r="B113" s="8"/>
      <c r="C113" s="10"/>
      <c r="D113" s="8"/>
      <c r="E113" s="88"/>
      <c r="F113" s="8"/>
      <c r="G113" s="8"/>
      <c r="H113" s="8"/>
      <c r="I113" s="88"/>
      <c r="J113" s="8"/>
      <c r="K113" s="52"/>
      <c r="L113" s="8"/>
      <c r="M113" s="39" t="e">
        <v>#N/A</v>
      </c>
      <c r="N113" s="45"/>
      <c r="O113" s="8"/>
      <c r="P113" s="5"/>
    </row>
    <row r="114" spans="2:16">
      <c r="B114" s="8"/>
      <c r="C114" s="10"/>
      <c r="D114" s="8"/>
      <c r="E114" s="88"/>
      <c r="F114" s="8"/>
      <c r="G114" s="8"/>
      <c r="H114" s="8"/>
      <c r="I114" s="88"/>
      <c r="J114" s="8"/>
      <c r="K114" s="52"/>
      <c r="L114" s="8"/>
      <c r="M114" s="39" t="e">
        <v>#N/A</v>
      </c>
      <c r="N114" s="45"/>
      <c r="O114" s="8"/>
      <c r="P114" s="5"/>
    </row>
    <row r="115" spans="2:16">
      <c r="B115" s="8"/>
      <c r="C115" s="10"/>
      <c r="D115" s="8"/>
      <c r="E115" s="88"/>
      <c r="F115" s="8"/>
      <c r="G115" s="8"/>
      <c r="H115" s="8"/>
      <c r="I115" s="88"/>
      <c r="J115" s="8"/>
      <c r="K115" s="52"/>
      <c r="L115" s="8"/>
      <c r="M115" s="39" t="e">
        <v>#N/A</v>
      </c>
      <c r="N115" s="45"/>
      <c r="O115" s="8"/>
      <c r="P115" s="5"/>
    </row>
    <row r="116" spans="2:16">
      <c r="B116" s="8"/>
      <c r="C116" s="10"/>
      <c r="D116" s="8"/>
      <c r="E116" s="88"/>
      <c r="F116" s="8"/>
      <c r="G116" s="8"/>
      <c r="H116" s="8"/>
      <c r="I116" s="88"/>
      <c r="J116" s="8"/>
      <c r="K116" s="52"/>
      <c r="L116" s="8"/>
      <c r="M116" s="39" t="e">
        <v>#N/A</v>
      </c>
      <c r="N116" s="45"/>
      <c r="O116" s="8"/>
      <c r="P116" s="5"/>
    </row>
    <row r="117" spans="2:16">
      <c r="B117" s="8"/>
      <c r="C117" s="10"/>
      <c r="D117" s="8"/>
      <c r="E117" s="88"/>
      <c r="F117" s="8"/>
      <c r="G117" s="8"/>
      <c r="H117" s="8"/>
      <c r="I117" s="88"/>
      <c r="J117" s="8"/>
      <c r="K117" s="52"/>
      <c r="L117" s="8"/>
      <c r="M117" s="39" t="e">
        <v>#N/A</v>
      </c>
      <c r="N117" s="45"/>
      <c r="O117" s="8"/>
      <c r="P117" s="5"/>
    </row>
    <row r="118" spans="2:16">
      <c r="B118" s="8"/>
      <c r="C118" s="10"/>
      <c r="D118" s="8"/>
      <c r="E118" s="88"/>
      <c r="F118" s="8"/>
      <c r="G118" s="8"/>
      <c r="H118" s="8"/>
      <c r="I118" s="88"/>
      <c r="J118" s="8"/>
      <c r="K118" s="52"/>
      <c r="L118" s="8"/>
      <c r="M118" s="39" t="e">
        <v>#N/A</v>
      </c>
      <c r="N118" s="45"/>
      <c r="O118" s="8"/>
      <c r="P118" s="5"/>
    </row>
    <row r="119" spans="2:16">
      <c r="B119" s="8"/>
      <c r="C119" s="10"/>
      <c r="D119" s="8"/>
      <c r="E119" s="88"/>
      <c r="F119" s="8"/>
      <c r="G119" s="8"/>
      <c r="H119" s="8"/>
      <c r="I119" s="88"/>
      <c r="J119" s="8"/>
      <c r="K119" s="52"/>
      <c r="L119" s="8"/>
      <c r="M119" s="39" t="e">
        <v>#N/A</v>
      </c>
      <c r="N119" s="45"/>
      <c r="O119" s="8"/>
      <c r="P119" s="5"/>
    </row>
    <row r="120" spans="2:16">
      <c r="B120" s="8"/>
      <c r="C120" s="10"/>
      <c r="D120" s="8"/>
      <c r="E120" s="88"/>
      <c r="F120" s="8"/>
      <c r="G120" s="8"/>
      <c r="H120" s="8"/>
      <c r="I120" s="88"/>
      <c r="J120" s="8"/>
      <c r="K120" s="52"/>
      <c r="L120" s="8"/>
      <c r="M120" s="39" t="e">
        <v>#N/A</v>
      </c>
      <c r="N120" s="45"/>
      <c r="O120" s="8"/>
      <c r="P120" s="5"/>
    </row>
    <row r="121" spans="2:16">
      <c r="B121" s="8"/>
      <c r="C121" s="10"/>
      <c r="D121" s="8"/>
      <c r="E121" s="88"/>
      <c r="F121" s="8"/>
      <c r="G121" s="8"/>
      <c r="H121" s="8"/>
      <c r="I121" s="88"/>
      <c r="J121" s="8"/>
      <c r="K121" s="52"/>
      <c r="L121" s="8"/>
      <c r="M121" s="39" t="e">
        <v>#N/A</v>
      </c>
      <c r="N121" s="45"/>
      <c r="O121" s="8"/>
      <c r="P121" s="5"/>
    </row>
    <row r="122" spans="2:16">
      <c r="B122" s="8"/>
      <c r="C122" s="10"/>
      <c r="D122" s="8"/>
      <c r="E122" s="88"/>
      <c r="F122" s="8"/>
      <c r="G122" s="8"/>
      <c r="H122" s="8"/>
      <c r="I122" s="88"/>
      <c r="J122" s="8"/>
      <c r="K122" s="52"/>
      <c r="L122" s="8"/>
      <c r="M122" s="39" t="e">
        <v>#N/A</v>
      </c>
      <c r="N122" s="45"/>
      <c r="O122" s="8"/>
      <c r="P122" s="5"/>
    </row>
    <row r="123" spans="2:16">
      <c r="B123" s="8"/>
      <c r="C123" s="10"/>
      <c r="D123" s="8"/>
      <c r="E123" s="88"/>
      <c r="F123" s="8"/>
      <c r="G123" s="8"/>
      <c r="H123" s="8"/>
      <c r="I123" s="88"/>
      <c r="J123" s="8"/>
      <c r="K123" s="52"/>
      <c r="L123" s="8"/>
      <c r="M123" s="39" t="e">
        <v>#N/A</v>
      </c>
      <c r="N123" s="45"/>
      <c r="O123" s="8"/>
      <c r="P123" s="5"/>
    </row>
    <row r="124" spans="2:16">
      <c r="B124" s="8"/>
      <c r="C124" s="10"/>
      <c r="D124" s="8"/>
      <c r="E124" s="88"/>
      <c r="F124" s="8"/>
      <c r="G124" s="8"/>
      <c r="H124" s="8"/>
      <c r="I124" s="88"/>
      <c r="J124" s="8"/>
      <c r="K124" s="52"/>
      <c r="L124" s="8"/>
      <c r="M124" s="39" t="e">
        <v>#N/A</v>
      </c>
      <c r="N124" s="45"/>
      <c r="O124" s="8"/>
      <c r="P124" s="5"/>
    </row>
    <row r="125" spans="2:16">
      <c r="B125" s="8"/>
      <c r="C125" s="10"/>
      <c r="D125" s="8"/>
      <c r="E125" s="88"/>
      <c r="F125" s="8"/>
      <c r="G125" s="8"/>
      <c r="H125" s="8"/>
      <c r="I125" s="88"/>
      <c r="J125" s="8"/>
      <c r="K125" s="52"/>
      <c r="L125" s="8"/>
      <c r="M125" s="39" t="e">
        <v>#N/A</v>
      </c>
      <c r="N125" s="45"/>
      <c r="O125" s="8"/>
      <c r="P125" s="5"/>
    </row>
    <row r="126" spans="2:16">
      <c r="B126" s="8"/>
      <c r="C126" s="10"/>
      <c r="D126" s="8"/>
      <c r="E126" s="88"/>
      <c r="F126" s="8"/>
      <c r="G126" s="8"/>
      <c r="H126" s="8"/>
      <c r="I126" s="88"/>
      <c r="J126" s="8"/>
      <c r="K126" s="52"/>
      <c r="L126" s="8"/>
      <c r="M126" s="39" t="e">
        <v>#N/A</v>
      </c>
      <c r="N126" s="45"/>
      <c r="O126" s="8"/>
      <c r="P126" s="5"/>
    </row>
    <row r="127" spans="2:16">
      <c r="B127" s="8"/>
      <c r="C127" s="10"/>
      <c r="D127" s="8"/>
      <c r="E127" s="88"/>
      <c r="F127" s="8"/>
      <c r="G127" s="8"/>
      <c r="H127" s="8"/>
      <c r="I127" s="88"/>
      <c r="J127" s="8"/>
      <c r="K127" s="52"/>
      <c r="L127" s="8"/>
      <c r="M127" s="39" t="e">
        <v>#N/A</v>
      </c>
      <c r="N127" s="45"/>
      <c r="O127" s="8"/>
      <c r="P127" s="5"/>
    </row>
    <row r="128" spans="2:16">
      <c r="B128" s="8"/>
      <c r="C128" s="10"/>
      <c r="D128" s="8"/>
      <c r="E128" s="88"/>
      <c r="F128" s="8"/>
      <c r="G128" s="8"/>
      <c r="H128" s="8"/>
      <c r="I128" s="88"/>
      <c r="J128" s="8"/>
      <c r="K128" s="52"/>
      <c r="L128" s="8"/>
      <c r="M128" s="39" t="e">
        <v>#N/A</v>
      </c>
      <c r="N128" s="45"/>
      <c r="O128" s="8"/>
      <c r="P128" s="5"/>
    </row>
    <row r="129" spans="2:16">
      <c r="B129" s="8"/>
      <c r="C129" s="10"/>
      <c r="D129" s="8"/>
      <c r="E129" s="88"/>
      <c r="F129" s="8"/>
      <c r="G129" s="8"/>
      <c r="H129" s="8"/>
      <c r="I129" s="88"/>
      <c r="J129" s="8"/>
      <c r="K129" s="52"/>
      <c r="L129" s="8"/>
      <c r="M129" s="39" t="e">
        <v>#N/A</v>
      </c>
      <c r="N129" s="45"/>
      <c r="O129" s="8"/>
      <c r="P129" s="5"/>
    </row>
    <row r="130" spans="2:16">
      <c r="B130" s="8"/>
      <c r="C130" s="10"/>
      <c r="D130" s="8"/>
      <c r="E130" s="88"/>
      <c r="F130" s="8"/>
      <c r="G130" s="8"/>
      <c r="H130" s="8"/>
      <c r="I130" s="88"/>
      <c r="J130" s="8"/>
      <c r="K130" s="52"/>
      <c r="L130" s="8"/>
      <c r="M130" s="39" t="e">
        <v>#N/A</v>
      </c>
      <c r="N130" s="45"/>
      <c r="O130" s="8"/>
      <c r="P130" s="5"/>
    </row>
    <row r="131" spans="2:16">
      <c r="B131" s="8"/>
      <c r="C131" s="10"/>
      <c r="D131" s="8"/>
      <c r="E131" s="88"/>
      <c r="F131" s="8"/>
      <c r="G131" s="8"/>
      <c r="H131" s="8"/>
      <c r="I131" s="88"/>
      <c r="J131" s="8"/>
      <c r="K131" s="52"/>
      <c r="L131" s="8"/>
      <c r="M131" s="39" t="e">
        <v>#N/A</v>
      </c>
      <c r="N131" s="45"/>
      <c r="O131" s="8"/>
      <c r="P131" s="5"/>
    </row>
    <row r="132" spans="2:16">
      <c r="B132" s="8"/>
      <c r="C132" s="10"/>
      <c r="D132" s="8"/>
      <c r="E132" s="88"/>
      <c r="F132" s="8"/>
      <c r="G132" s="8"/>
      <c r="H132" s="8"/>
      <c r="I132" s="88"/>
      <c r="J132" s="8"/>
      <c r="K132" s="52"/>
      <c r="L132" s="8"/>
      <c r="M132" s="39" t="e">
        <v>#N/A</v>
      </c>
      <c r="N132" s="45"/>
      <c r="O132" s="8"/>
      <c r="P132" s="5"/>
    </row>
    <row r="133" spans="2:16">
      <c r="B133" s="8"/>
      <c r="C133" s="10"/>
      <c r="D133" s="8"/>
      <c r="E133" s="88"/>
      <c r="F133" s="8"/>
      <c r="G133" s="8"/>
      <c r="H133" s="8"/>
      <c r="I133" s="88"/>
      <c r="J133" s="8"/>
      <c r="K133" s="52"/>
      <c r="L133" s="8"/>
      <c r="M133" s="39" t="e">
        <v>#N/A</v>
      </c>
      <c r="N133" s="45"/>
      <c r="O133" s="8"/>
      <c r="P133" s="5"/>
    </row>
    <row r="134" spans="2:16">
      <c r="B134" s="8"/>
      <c r="C134" s="10"/>
      <c r="D134" s="8"/>
      <c r="E134" s="88"/>
      <c r="F134" s="8"/>
      <c r="G134" s="8"/>
      <c r="H134" s="8"/>
      <c r="I134" s="88"/>
      <c r="J134" s="8"/>
      <c r="K134" s="52"/>
      <c r="L134" s="8"/>
      <c r="M134" s="39" t="e">
        <v>#N/A</v>
      </c>
      <c r="N134" s="45"/>
      <c r="O134" s="8"/>
      <c r="P134" s="5"/>
    </row>
    <row r="135" spans="2:16">
      <c r="B135" s="8"/>
      <c r="C135" s="10"/>
      <c r="D135" s="8"/>
      <c r="E135" s="88"/>
      <c r="F135" s="8"/>
      <c r="G135" s="8"/>
      <c r="H135" s="8"/>
      <c r="I135" s="88"/>
      <c r="J135" s="8"/>
      <c r="K135" s="52"/>
      <c r="L135" s="8"/>
      <c r="M135" s="39" t="e">
        <v>#N/A</v>
      </c>
      <c r="N135" s="45"/>
      <c r="O135" s="8"/>
      <c r="P135" s="5"/>
    </row>
    <row r="136" spans="2:16">
      <c r="B136" s="8"/>
      <c r="C136" s="10"/>
      <c r="D136" s="8"/>
      <c r="E136" s="88"/>
      <c r="F136" s="8"/>
      <c r="G136" s="8"/>
      <c r="H136" s="8"/>
      <c r="I136" s="88"/>
      <c r="J136" s="8"/>
      <c r="K136" s="52"/>
      <c r="L136" s="8"/>
      <c r="M136" s="39" t="e">
        <v>#N/A</v>
      </c>
      <c r="N136" s="45"/>
      <c r="O136" s="8"/>
      <c r="P136" s="5"/>
    </row>
    <row r="137" spans="2:16">
      <c r="B137" s="8"/>
      <c r="C137" s="10"/>
      <c r="D137" s="8"/>
      <c r="E137" s="88"/>
      <c r="F137" s="8"/>
      <c r="G137" s="8"/>
      <c r="H137" s="8"/>
      <c r="I137" s="88"/>
      <c r="J137" s="8"/>
      <c r="K137" s="52"/>
      <c r="L137" s="8"/>
      <c r="M137" s="39" t="e">
        <v>#N/A</v>
      </c>
      <c r="N137" s="45"/>
      <c r="O137" s="8"/>
      <c r="P137" s="5"/>
    </row>
    <row r="138" spans="2:16">
      <c r="B138" s="8"/>
      <c r="C138" s="10"/>
      <c r="D138" s="8"/>
      <c r="E138" s="88"/>
      <c r="F138" s="8"/>
      <c r="G138" s="8"/>
      <c r="H138" s="8"/>
      <c r="I138" s="88"/>
      <c r="J138" s="8"/>
      <c r="K138" s="52"/>
      <c r="L138" s="8"/>
      <c r="M138" s="39" t="e">
        <v>#N/A</v>
      </c>
      <c r="N138" s="45"/>
      <c r="O138" s="8"/>
      <c r="P138" s="5"/>
    </row>
    <row r="139" spans="2:16">
      <c r="B139" s="8"/>
      <c r="C139" s="10"/>
      <c r="D139" s="8"/>
      <c r="E139" s="88"/>
      <c r="F139" s="8"/>
      <c r="G139" s="8"/>
      <c r="H139" s="8"/>
      <c r="I139" s="88"/>
      <c r="J139" s="8"/>
      <c r="K139" s="52"/>
      <c r="L139" s="8"/>
      <c r="M139" s="39" t="e">
        <v>#N/A</v>
      </c>
      <c r="N139" s="45"/>
      <c r="O139" s="8"/>
      <c r="P139" s="5"/>
    </row>
    <row r="140" spans="2:16">
      <c r="B140" s="8"/>
      <c r="C140" s="10"/>
      <c r="D140" s="8"/>
      <c r="E140" s="88"/>
      <c r="F140" s="8"/>
      <c r="G140" s="8"/>
      <c r="H140" s="8"/>
      <c r="I140" s="88"/>
      <c r="J140" s="8"/>
      <c r="K140" s="52"/>
      <c r="L140" s="8"/>
      <c r="M140" s="39" t="e">
        <v>#N/A</v>
      </c>
      <c r="N140" s="45"/>
      <c r="O140" s="8"/>
      <c r="P140" s="5"/>
    </row>
    <row r="141" spans="2:16">
      <c r="B141" s="8"/>
      <c r="C141" s="10"/>
      <c r="D141" s="8"/>
      <c r="E141" s="88"/>
      <c r="F141" s="8"/>
      <c r="G141" s="8"/>
      <c r="H141" s="8"/>
      <c r="I141" s="88"/>
      <c r="J141" s="8"/>
      <c r="K141" s="52"/>
      <c r="L141" s="8"/>
      <c r="M141" s="39" t="e">
        <v>#N/A</v>
      </c>
      <c r="N141" s="45"/>
      <c r="O141" s="8"/>
      <c r="P141" s="5"/>
    </row>
    <row r="142" spans="2:16">
      <c r="B142" s="8"/>
      <c r="C142" s="10"/>
      <c r="D142" s="8"/>
      <c r="E142" s="88"/>
      <c r="F142" s="8"/>
      <c r="G142" s="8"/>
      <c r="H142" s="8"/>
      <c r="I142" s="88"/>
      <c r="J142" s="8"/>
      <c r="K142" s="52"/>
      <c r="L142" s="8"/>
      <c r="M142" s="39" t="e">
        <v>#N/A</v>
      </c>
      <c r="N142" s="45"/>
      <c r="O142" s="8"/>
      <c r="P142" s="5"/>
    </row>
    <row r="143" spans="2:16">
      <c r="B143" s="8"/>
      <c r="C143" s="10"/>
      <c r="D143" s="8"/>
      <c r="E143" s="88"/>
      <c r="F143" s="8"/>
      <c r="G143" s="8"/>
      <c r="H143" s="8"/>
      <c r="I143" s="88"/>
      <c r="J143" s="8"/>
      <c r="K143" s="52"/>
      <c r="L143" s="8"/>
      <c r="M143" s="39" t="e">
        <v>#N/A</v>
      </c>
      <c r="N143" s="45"/>
      <c r="O143" s="8"/>
      <c r="P143" s="5"/>
    </row>
    <row r="144" spans="2:16">
      <c r="B144" s="8"/>
      <c r="C144" s="10"/>
      <c r="D144" s="8"/>
      <c r="E144" s="88"/>
      <c r="F144" s="8"/>
      <c r="G144" s="8"/>
      <c r="H144" s="8"/>
      <c r="I144" s="88"/>
      <c r="J144" s="8"/>
      <c r="K144" s="52"/>
      <c r="L144" s="8"/>
      <c r="M144" s="39" t="e">
        <v>#N/A</v>
      </c>
      <c r="N144" s="45"/>
      <c r="O144" s="8"/>
      <c r="P144" s="5"/>
    </row>
    <row r="145" spans="2:19">
      <c r="B145" s="8"/>
      <c r="C145" s="10"/>
      <c r="D145" s="8"/>
      <c r="E145" s="88"/>
      <c r="F145" s="8"/>
      <c r="G145" s="8"/>
      <c r="H145" s="8"/>
      <c r="I145" s="88"/>
      <c r="J145" s="8"/>
      <c r="K145" s="52"/>
      <c r="L145" s="8"/>
      <c r="M145" s="39" t="e">
        <v>#N/A</v>
      </c>
      <c r="N145" s="45"/>
      <c r="O145" s="8"/>
      <c r="P145" s="5"/>
    </row>
    <row r="146" spans="2:19">
      <c r="B146" s="8"/>
      <c r="C146" s="10"/>
      <c r="D146" s="8"/>
      <c r="E146" s="88"/>
      <c r="F146" s="8"/>
      <c r="G146" s="8"/>
      <c r="H146" s="8"/>
      <c r="I146" s="88"/>
      <c r="J146" s="8"/>
      <c r="K146" s="52"/>
      <c r="L146" s="8"/>
      <c r="M146" s="39" t="e">
        <v>#N/A</v>
      </c>
      <c r="N146" s="45"/>
      <c r="O146" s="8"/>
      <c r="P146" s="5"/>
    </row>
    <row r="147" spans="2:19">
      <c r="B147" s="8"/>
      <c r="C147" s="10"/>
      <c r="D147" s="8"/>
      <c r="E147" s="88"/>
      <c r="F147" s="8"/>
      <c r="G147" s="8"/>
      <c r="H147" s="8"/>
      <c r="I147" s="88"/>
      <c r="J147" s="8"/>
      <c r="K147" s="52"/>
      <c r="L147" s="8"/>
      <c r="M147" s="39" t="e">
        <v>#N/A</v>
      </c>
      <c r="N147" s="45"/>
      <c r="O147" s="8"/>
      <c r="P147" s="5"/>
    </row>
    <row r="148" spans="2:19">
      <c r="B148" s="12"/>
      <c r="C148" s="10"/>
      <c r="D148" s="8"/>
      <c r="E148" s="88"/>
      <c r="F148" s="8"/>
      <c r="G148" s="8"/>
      <c r="H148" s="8"/>
      <c r="I148" s="88"/>
      <c r="J148" s="8"/>
      <c r="K148" s="52"/>
      <c r="L148" s="8"/>
      <c r="M148" s="39" t="e">
        <v>#N/A</v>
      </c>
      <c r="N148" s="45"/>
      <c r="O148" s="8"/>
      <c r="P148" s="5"/>
    </row>
    <row r="149" spans="2:19">
      <c r="B149" s="10"/>
      <c r="C149" s="10"/>
      <c r="D149" s="8"/>
      <c r="E149" s="88"/>
      <c r="F149" s="8"/>
      <c r="G149" s="8"/>
      <c r="H149" s="8"/>
      <c r="I149" s="88"/>
      <c r="J149" s="8"/>
      <c r="K149" s="52"/>
      <c r="L149" s="8"/>
      <c r="M149" s="39" t="e">
        <v>#N/A</v>
      </c>
      <c r="N149" s="45"/>
      <c r="O149" s="8"/>
      <c r="P149" s="5"/>
    </row>
    <row r="150" spans="2:19" ht="13.5" thickBot="1">
      <c r="B150" s="8"/>
      <c r="C150" s="8"/>
      <c r="D150" s="8"/>
      <c r="E150" s="88"/>
      <c r="F150" s="8"/>
      <c r="G150" s="8"/>
      <c r="H150" s="8"/>
      <c r="I150" s="88"/>
      <c r="J150" s="8"/>
      <c r="K150" s="55"/>
      <c r="L150" s="49"/>
      <c r="M150" s="49"/>
      <c r="N150" s="50"/>
      <c r="O150" s="8"/>
      <c r="P150" s="5"/>
    </row>
    <row r="151" spans="2:19">
      <c r="B151" s="5"/>
      <c r="C151" s="5"/>
      <c r="F151" s="5"/>
      <c r="G151" s="5"/>
      <c r="J151" s="5"/>
      <c r="K151" s="56"/>
      <c r="L151" s="56"/>
      <c r="M151" s="56"/>
      <c r="N151" s="56"/>
      <c r="O151" s="5"/>
      <c r="P151" s="5"/>
    </row>
    <row r="160" spans="2:19">
      <c r="S160" s="14"/>
    </row>
    <row r="161" spans="19:19">
      <c r="S161" s="11"/>
    </row>
    <row r="162" spans="19:19">
      <c r="S162" s="11"/>
    </row>
    <row r="163" spans="19:19">
      <c r="S163" s="11"/>
    </row>
    <row r="164" spans="19:19">
      <c r="S164" s="11"/>
    </row>
    <row r="165" spans="19:19">
      <c r="S165" s="11"/>
    </row>
    <row r="166" spans="19:19">
      <c r="S166" s="11"/>
    </row>
    <row r="167" spans="19:19">
      <c r="S167" s="11"/>
    </row>
    <row r="168" spans="19:19">
      <c r="S168" s="11"/>
    </row>
    <row r="169" spans="19:19">
      <c r="S169" s="11"/>
    </row>
    <row r="170" spans="19:19">
      <c r="S170" s="11"/>
    </row>
    <row r="171" spans="19:19">
      <c r="S171" s="11"/>
    </row>
    <row r="172" spans="19:19">
      <c r="S172" s="11"/>
    </row>
    <row r="173" spans="19:19">
      <c r="S173" s="11"/>
    </row>
    <row r="174" spans="19:19">
      <c r="S174" s="11"/>
    </row>
    <row r="175" spans="19:19">
      <c r="S175" s="11"/>
    </row>
    <row r="176" spans="19:19">
      <c r="S176" s="11"/>
    </row>
    <row r="177" spans="19:19">
      <c r="S177" s="11"/>
    </row>
    <row r="178" spans="19:19">
      <c r="S178" s="11"/>
    </row>
    <row r="179" spans="19:19">
      <c r="S179" s="11"/>
    </row>
    <row r="180" spans="19:19">
      <c r="S180" s="11"/>
    </row>
    <row r="181" spans="19:19">
      <c r="S181" s="11"/>
    </row>
    <row r="182" spans="19:19">
      <c r="S182" s="11"/>
    </row>
    <row r="183" spans="19:19">
      <c r="S183" s="11"/>
    </row>
    <row r="184" spans="19:19">
      <c r="S184" s="11"/>
    </row>
    <row r="185" spans="19:19">
      <c r="S185" s="11"/>
    </row>
    <row r="186" spans="19:19">
      <c r="S186" s="11"/>
    </row>
    <row r="187" spans="19:19">
      <c r="S187" s="11"/>
    </row>
    <row r="188" spans="19:19">
      <c r="S188" s="11"/>
    </row>
    <row r="189" spans="19:19">
      <c r="S189" s="11"/>
    </row>
    <row r="190" spans="19:19">
      <c r="S190" s="11"/>
    </row>
    <row r="191" spans="19:19">
      <c r="S191" s="11"/>
    </row>
    <row r="192" spans="19:19">
      <c r="S192" s="11"/>
    </row>
    <row r="193" spans="19:19">
      <c r="S193" s="11"/>
    </row>
    <row r="194" spans="19:19">
      <c r="S194" s="11"/>
    </row>
    <row r="195" spans="19:19">
      <c r="S195" s="11"/>
    </row>
    <row r="196" spans="19:19">
      <c r="S196" s="11"/>
    </row>
    <row r="197" spans="19:19">
      <c r="S197" s="11"/>
    </row>
    <row r="198" spans="19:19">
      <c r="S198" s="11"/>
    </row>
    <row r="199" spans="19:19">
      <c r="S199" s="11"/>
    </row>
    <row r="200" spans="19:19">
      <c r="S200" s="11"/>
    </row>
    <row r="201" spans="19:19">
      <c r="S201" s="11"/>
    </row>
    <row r="202" spans="19:19">
      <c r="S202" s="11"/>
    </row>
    <row r="203" spans="19:19">
      <c r="S203" s="11"/>
    </row>
    <row r="204" spans="19:19">
      <c r="S204" s="11"/>
    </row>
    <row r="205" spans="19:19">
      <c r="S205" s="11"/>
    </row>
    <row r="206" spans="19:19">
      <c r="S206" s="11"/>
    </row>
    <row r="207" spans="19:19">
      <c r="S207" s="11"/>
    </row>
    <row r="208" spans="19:19">
      <c r="S208" s="11"/>
    </row>
    <row r="209" spans="19:19">
      <c r="S209" s="11"/>
    </row>
    <row r="210" spans="19:19">
      <c r="S210" s="11"/>
    </row>
    <row r="211" spans="19:19">
      <c r="S211" s="11"/>
    </row>
    <row r="212" spans="19:19">
      <c r="S212" s="11"/>
    </row>
    <row r="213" spans="19:19">
      <c r="S213" s="11"/>
    </row>
    <row r="214" spans="19:19">
      <c r="S214" s="11"/>
    </row>
    <row r="215" spans="19:19">
      <c r="S215" s="11"/>
    </row>
    <row r="216" spans="19:19">
      <c r="S216" s="11"/>
    </row>
    <row r="217" spans="19:19">
      <c r="S217" s="11"/>
    </row>
    <row r="218" spans="19:19">
      <c r="S218" s="11"/>
    </row>
    <row r="219" spans="19:19">
      <c r="S219" s="11"/>
    </row>
    <row r="220" spans="19:19">
      <c r="S220" s="11"/>
    </row>
    <row r="221" spans="19:19">
      <c r="S221" s="11"/>
    </row>
    <row r="222" spans="19:19">
      <c r="S222" s="11"/>
    </row>
    <row r="223" spans="19:19">
      <c r="S223" s="11"/>
    </row>
    <row r="224" spans="19:19">
      <c r="S224" s="11"/>
    </row>
    <row r="225" spans="19:19">
      <c r="S225" s="11"/>
    </row>
    <row r="226" spans="19:19">
      <c r="S226" s="11"/>
    </row>
    <row r="227" spans="19:19">
      <c r="S227" s="11"/>
    </row>
    <row r="228" spans="19:19">
      <c r="S228" s="11"/>
    </row>
    <row r="229" spans="19:19">
      <c r="S229" s="11"/>
    </row>
    <row r="230" spans="19:19">
      <c r="S230" s="11"/>
    </row>
    <row r="231" spans="19:19">
      <c r="S231" s="11"/>
    </row>
    <row r="232" spans="19:19">
      <c r="S232" s="11"/>
    </row>
    <row r="233" spans="19:19">
      <c r="S233" s="11"/>
    </row>
    <row r="234" spans="19:19">
      <c r="S234" s="11"/>
    </row>
    <row r="235" spans="19:19">
      <c r="S235" s="11"/>
    </row>
    <row r="236" spans="19:19">
      <c r="S236" s="11"/>
    </row>
    <row r="237" spans="19:19">
      <c r="S237" s="11"/>
    </row>
    <row r="238" spans="19:19">
      <c r="S238" s="11"/>
    </row>
    <row r="239" spans="19:19">
      <c r="S239" s="11"/>
    </row>
    <row r="240" spans="19:19">
      <c r="S240" s="11"/>
    </row>
    <row r="241" spans="19:19">
      <c r="S241" s="11"/>
    </row>
    <row r="242" spans="19:19">
      <c r="S242" s="11"/>
    </row>
    <row r="243" spans="19:19">
      <c r="S243" s="11"/>
    </row>
    <row r="244" spans="19:19">
      <c r="S244" s="11"/>
    </row>
    <row r="245" spans="19:19">
      <c r="S245" s="11"/>
    </row>
    <row r="246" spans="19:19">
      <c r="S246" s="11"/>
    </row>
    <row r="247" spans="19:19">
      <c r="S247" s="11"/>
    </row>
    <row r="248" spans="19:19">
      <c r="S248" s="11"/>
    </row>
    <row r="249" spans="19:19">
      <c r="S249" s="11"/>
    </row>
    <row r="250" spans="19:19">
      <c r="S250" s="11"/>
    </row>
    <row r="251" spans="19:19">
      <c r="S251" s="11"/>
    </row>
    <row r="252" spans="19:19">
      <c r="S252" s="11"/>
    </row>
    <row r="253" spans="19:19">
      <c r="S253" s="11"/>
    </row>
    <row r="254" spans="19:19">
      <c r="S254" s="11"/>
    </row>
    <row r="255" spans="19:19">
      <c r="S255" s="11"/>
    </row>
    <row r="256" spans="19:19">
      <c r="S256" s="11"/>
    </row>
    <row r="257" spans="19:19">
      <c r="S257" s="11"/>
    </row>
    <row r="258" spans="19:19">
      <c r="S258" s="11"/>
    </row>
    <row r="259" spans="19:19">
      <c r="S259" s="11"/>
    </row>
    <row r="260" spans="19:19">
      <c r="S260" s="11"/>
    </row>
    <row r="261" spans="19:19">
      <c r="S261" s="11"/>
    </row>
    <row r="262" spans="19:19">
      <c r="S262" s="11"/>
    </row>
    <row r="263" spans="19:19">
      <c r="S263" s="11"/>
    </row>
    <row r="264" spans="19:19">
      <c r="S264" s="11"/>
    </row>
    <row r="265" spans="19:19">
      <c r="S265" s="11"/>
    </row>
    <row r="266" spans="19:19">
      <c r="S266" s="11"/>
    </row>
    <row r="267" spans="19:19">
      <c r="S267" s="11"/>
    </row>
    <row r="268" spans="19:19">
      <c r="S268" s="11"/>
    </row>
    <row r="269" spans="19:19">
      <c r="S269" s="11"/>
    </row>
    <row r="270" spans="19:19">
      <c r="S270" s="11"/>
    </row>
    <row r="271" spans="19:19">
      <c r="S271" s="11"/>
    </row>
    <row r="272" spans="19:19">
      <c r="S272" s="11"/>
    </row>
    <row r="273" spans="19:19">
      <c r="S273" s="11"/>
    </row>
    <row r="274" spans="19:19">
      <c r="S274" s="11"/>
    </row>
    <row r="275" spans="19:19">
      <c r="S275" s="11"/>
    </row>
    <row r="276" spans="19:19">
      <c r="S276" s="11"/>
    </row>
    <row r="277" spans="19:19">
      <c r="S277" s="11"/>
    </row>
    <row r="278" spans="19:19">
      <c r="S278" s="11"/>
    </row>
    <row r="279" spans="19:19">
      <c r="S279" s="11"/>
    </row>
    <row r="280" spans="19:19">
      <c r="S280" s="11"/>
    </row>
    <row r="281" spans="19:19">
      <c r="S281" s="11"/>
    </row>
    <row r="282" spans="19:19">
      <c r="S282" s="15"/>
    </row>
    <row r="283" spans="19:19">
      <c r="S283" s="15"/>
    </row>
    <row r="284" spans="19:19">
      <c r="S284" s="15"/>
    </row>
    <row r="285" spans="19:19">
      <c r="S285" s="15"/>
    </row>
    <row r="286" spans="19:19">
      <c r="S286" s="15"/>
    </row>
    <row r="287" spans="19:19">
      <c r="S287" s="15"/>
    </row>
    <row r="288" spans="19:19">
      <c r="S288" s="15"/>
    </row>
    <row r="289" spans="19:19">
      <c r="S289" s="15"/>
    </row>
    <row r="290" spans="19:19">
      <c r="S290" s="15"/>
    </row>
    <row r="291" spans="19:19">
      <c r="S291" s="15"/>
    </row>
    <row r="292" spans="19:19">
      <c r="S292" s="15"/>
    </row>
    <row r="293" spans="19:19">
      <c r="S293" s="15"/>
    </row>
    <row r="294" spans="19:19">
      <c r="S294" s="15"/>
    </row>
    <row r="295" spans="19:19">
      <c r="S295" s="15"/>
    </row>
    <row r="296" spans="19:19">
      <c r="S296" s="15"/>
    </row>
    <row r="297" spans="19:19">
      <c r="S297" s="15"/>
    </row>
    <row r="298" spans="19:19">
      <c r="S298" s="15"/>
    </row>
    <row r="299" spans="19:19">
      <c r="S299" s="15"/>
    </row>
    <row r="300" spans="19:19">
      <c r="S300" s="15"/>
    </row>
    <row r="301" spans="19:19">
      <c r="S301" s="15"/>
    </row>
    <row r="302" spans="19:19">
      <c r="S302" s="15"/>
    </row>
    <row r="303" spans="19:19">
      <c r="S303" s="15"/>
    </row>
    <row r="304" spans="19:19">
      <c r="S304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B1:Q97"/>
  <sheetViews>
    <sheetView showGridLines="0" workbookViewId="0">
      <selection activeCell="E32" sqref="E32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2.1640625" style="1" customWidth="1"/>
    <col min="5" max="5" width="67.5" style="84" customWidth="1"/>
    <col min="6" max="6" width="6.5" style="1" customWidth="1"/>
    <col min="7" max="7" width="3.1640625" style="1" customWidth="1"/>
    <col min="8" max="8" width="25.6640625" style="1" customWidth="1"/>
    <col min="9" max="9" width="49.164062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5" width="9.33203125" style="1"/>
    <col min="16" max="17" width="26.83203125" style="1" bestFit="1" customWidth="1"/>
    <col min="18" max="16384" width="9.33203125" style="1"/>
  </cols>
  <sheetData>
    <row r="1" spans="2:17" ht="6" customHeight="1"/>
    <row r="2" spans="2:17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7" ht="30" customHeight="1" thickBot="1">
      <c r="B3" s="3"/>
      <c r="C3" s="3"/>
      <c r="D3" s="4"/>
      <c r="E3" s="86" t="s">
        <v>52</v>
      </c>
      <c r="F3" s="3"/>
      <c r="G3" s="3"/>
      <c r="H3" s="3"/>
      <c r="I3" s="99"/>
      <c r="J3" s="3"/>
      <c r="K3" s="3"/>
      <c r="L3" s="3"/>
      <c r="M3" s="3"/>
      <c r="N3" s="5"/>
    </row>
    <row r="4" spans="2:17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7" ht="13.5" thickBot="1">
      <c r="B5" s="8"/>
      <c r="C5" s="25"/>
      <c r="D5" s="8"/>
      <c r="E5" s="26" t="s">
        <v>9</v>
      </c>
      <c r="F5" s="8"/>
      <c r="G5" s="8"/>
      <c r="H5" s="78">
        <f ca="1">_xll.HLV5r3.Financial.Cache.AddPeriod(TODAY(),"1D",E19,E16,E12)</f>
        <v>43130</v>
      </c>
      <c r="I5" s="88"/>
      <c r="J5" s="8"/>
      <c r="K5" s="8"/>
      <c r="L5" s="8"/>
      <c r="M5" s="8"/>
      <c r="N5" s="5"/>
    </row>
    <row r="6" spans="2:17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7" ht="24">
      <c r="B7" s="8"/>
      <c r="C7" s="51"/>
      <c r="D7" s="41" t="s">
        <v>2</v>
      </c>
      <c r="E7" s="121" t="s">
        <v>104</v>
      </c>
      <c r="F7" s="43"/>
      <c r="G7" s="60"/>
      <c r="H7" s="41" t="s">
        <v>2</v>
      </c>
      <c r="I7" s="121" t="s">
        <v>108</v>
      </c>
      <c r="J7" s="76"/>
      <c r="K7" s="43"/>
      <c r="L7" s="75"/>
      <c r="M7" s="75"/>
      <c r="N7" s="5"/>
    </row>
    <row r="8" spans="2:17">
      <c r="B8" s="8"/>
      <c r="C8" s="52"/>
      <c r="D8" s="8"/>
      <c r="E8" s="88"/>
      <c r="F8" s="45"/>
      <c r="G8" s="52"/>
      <c r="H8" s="75"/>
      <c r="I8" s="46"/>
      <c r="J8" s="75"/>
      <c r="K8" s="45"/>
      <c r="L8" s="75"/>
      <c r="M8" s="75"/>
      <c r="N8" s="5"/>
      <c r="P8" s="124">
        <f t="array" ref="P8:P94">_xll.HLV5r3.Financial.Cache.BusinessDaysBetween(E18:E19,E29,E30)</f>
        <v>39087</v>
      </c>
      <c r="Q8" s="124">
        <f t="array" ref="Q8:Q94">_xll.Orion.ExcelAPI.Cache.BusinessDaysBetween(D22:D22,E29,E30)</f>
        <v>39087</v>
      </c>
    </row>
    <row r="9" spans="2:17">
      <c r="B9" s="8"/>
      <c r="C9" s="52"/>
      <c r="D9" s="75" t="s">
        <v>3</v>
      </c>
      <c r="E9" s="46" t="s">
        <v>4</v>
      </c>
      <c r="F9" s="45"/>
      <c r="G9" s="52"/>
      <c r="H9" s="75" t="s">
        <v>3</v>
      </c>
      <c r="I9" s="46" t="s">
        <v>4</v>
      </c>
      <c r="J9" s="75"/>
      <c r="K9" s="45"/>
      <c r="L9" s="75"/>
      <c r="M9" s="75"/>
      <c r="N9" s="5"/>
      <c r="P9" s="124">
        <v>39090</v>
      </c>
      <c r="Q9" s="124">
        <v>39090</v>
      </c>
    </row>
    <row r="10" spans="2:17">
      <c r="B10" s="8"/>
      <c r="C10" s="52"/>
      <c r="D10" s="35" t="s">
        <v>19</v>
      </c>
      <c r="E10" s="89">
        <v>39731</v>
      </c>
      <c r="F10" s="45"/>
      <c r="G10" s="52"/>
      <c r="H10" s="35" t="s">
        <v>54</v>
      </c>
      <c r="I10" s="120" t="s">
        <v>113</v>
      </c>
      <c r="J10" s="75"/>
      <c r="K10" s="45"/>
      <c r="L10" s="75"/>
      <c r="M10" s="75"/>
      <c r="N10" s="5"/>
      <c r="P10" s="124">
        <v>39091</v>
      </c>
      <c r="Q10" s="124">
        <v>39091</v>
      </c>
    </row>
    <row r="11" spans="2:17">
      <c r="B11" s="8"/>
      <c r="C11" s="52"/>
      <c r="D11" s="35" t="s">
        <v>19</v>
      </c>
      <c r="E11" s="89">
        <v>39736</v>
      </c>
      <c r="F11" s="45"/>
      <c r="G11" s="52"/>
      <c r="H11" s="35" t="s">
        <v>33</v>
      </c>
      <c r="I11" s="100">
        <v>2</v>
      </c>
      <c r="J11" s="75"/>
      <c r="K11" s="45"/>
      <c r="L11" s="75"/>
      <c r="M11" s="75"/>
      <c r="N11" s="5"/>
      <c r="P11" s="124">
        <v>39092</v>
      </c>
      <c r="Q11" s="124">
        <v>39092</v>
      </c>
    </row>
    <row r="12" spans="2:17">
      <c r="B12" s="8"/>
      <c r="C12" s="52"/>
      <c r="D12" s="53" t="s">
        <v>49</v>
      </c>
      <c r="E12" s="90" t="str">
        <f>'Calendar Rule Data'!D65</f>
        <v>Calendar</v>
      </c>
      <c r="F12" s="45"/>
      <c r="G12" s="52"/>
      <c r="H12" s="35" t="s">
        <v>33</v>
      </c>
      <c r="I12" s="100">
        <v>4</v>
      </c>
      <c r="J12" s="75"/>
      <c r="K12" s="45"/>
      <c r="L12" s="75"/>
      <c r="M12" s="75"/>
      <c r="N12" s="5"/>
      <c r="P12" s="124">
        <v>39093</v>
      </c>
      <c r="Q12" s="124">
        <v>39093</v>
      </c>
    </row>
    <row r="13" spans="2:17">
      <c r="B13" s="8"/>
      <c r="C13" s="52"/>
      <c r="D13" s="53" t="s">
        <v>49</v>
      </c>
      <c r="E13" s="90" t="str">
        <f>'Calendar Rule Data'!D65</f>
        <v>Calendar</v>
      </c>
      <c r="F13" s="45"/>
      <c r="G13" s="52"/>
      <c r="H13" t="s">
        <v>33</v>
      </c>
      <c r="I13" s="101">
        <v>6</v>
      </c>
      <c r="J13" s="75"/>
      <c r="K13" s="45"/>
      <c r="L13" s="75"/>
      <c r="M13" s="75"/>
      <c r="N13" s="5"/>
      <c r="P13" s="124">
        <v>39094</v>
      </c>
      <c r="Q13" s="124">
        <v>39094</v>
      </c>
    </row>
    <row r="14" spans="2:17">
      <c r="B14" s="8"/>
      <c r="C14" s="44"/>
      <c r="D14" s="35" t="s">
        <v>53</v>
      </c>
      <c r="E14" s="89" t="str">
        <f>'Calendar Rule Data'!G58</f>
        <v>6M</v>
      </c>
      <c r="F14" s="45"/>
      <c r="G14" s="52"/>
      <c r="H14" t="s">
        <v>32</v>
      </c>
      <c r="I14" s="101">
        <v>2008</v>
      </c>
      <c r="J14" s="75"/>
      <c r="K14" s="45"/>
      <c r="L14" s="75"/>
      <c r="M14" s="75"/>
      <c r="N14" s="5"/>
      <c r="P14" s="124">
        <v>39097</v>
      </c>
      <c r="Q14" s="124">
        <v>39097</v>
      </c>
    </row>
    <row r="15" spans="2:17">
      <c r="B15" s="8"/>
      <c r="C15" s="44"/>
      <c r="D15" s="35" t="s">
        <v>53</v>
      </c>
      <c r="E15" s="89" t="str">
        <f>'Calendar Rule Data'!G57</f>
        <v>3M</v>
      </c>
      <c r="F15" s="45"/>
      <c r="G15" s="52"/>
      <c r="H15" s="53" t="s">
        <v>19</v>
      </c>
      <c r="I15" s="89">
        <v>39731</v>
      </c>
      <c r="J15" s="75"/>
      <c r="K15" s="45"/>
      <c r="L15" s="75"/>
      <c r="M15" s="75"/>
      <c r="N15" s="5"/>
      <c r="P15" s="124">
        <v>39098</v>
      </c>
      <c r="Q15" s="124">
        <v>39098</v>
      </c>
    </row>
    <row r="16" spans="2:17">
      <c r="B16" s="8"/>
      <c r="C16" s="44"/>
      <c r="D16" s="53" t="s">
        <v>24</v>
      </c>
      <c r="E16" s="91" t="str">
        <f>'Calendar Rule Data'!D56</f>
        <v>MODFOLLOWING</v>
      </c>
      <c r="F16" s="45"/>
      <c r="G16" s="52"/>
      <c r="H16" s="53" t="s">
        <v>117</v>
      </c>
      <c r="I16" s="92" t="b">
        <v>1</v>
      </c>
      <c r="J16" s="75"/>
      <c r="K16" s="47"/>
      <c r="L16" s="75"/>
      <c r="M16" s="75"/>
      <c r="N16" s="5"/>
      <c r="P16" s="124">
        <v>39099</v>
      </c>
      <c r="Q16" s="124">
        <v>39099</v>
      </c>
    </row>
    <row r="17" spans="2:17">
      <c r="B17" s="8"/>
      <c r="C17" s="44"/>
      <c r="D17" s="53" t="s">
        <v>24</v>
      </c>
      <c r="E17" s="91" t="str">
        <f>'Calendar Rule Data'!D56</f>
        <v>MODFOLLOWING</v>
      </c>
      <c r="F17" s="45"/>
      <c r="G17" s="52"/>
      <c r="H17" s="53"/>
      <c r="I17" s="92"/>
      <c r="J17" s="75"/>
      <c r="K17" s="47"/>
      <c r="L17" s="75"/>
      <c r="M17" s="75"/>
      <c r="N17" s="5"/>
      <c r="P17" s="124">
        <v>39100</v>
      </c>
      <c r="Q17" s="124">
        <v>39100</v>
      </c>
    </row>
    <row r="18" spans="2:17">
      <c r="B18" s="8"/>
      <c r="C18" s="44"/>
      <c r="D18" s="53" t="s">
        <v>14</v>
      </c>
      <c r="E18" s="92" t="str">
        <f>'Calendar Rule Data'!D11</f>
        <v>Amsterdam</v>
      </c>
      <c r="F18" s="45"/>
      <c r="G18" s="52"/>
      <c r="H18" s="53"/>
      <c r="I18" s="92"/>
      <c r="J18" s="75"/>
      <c r="K18" s="45"/>
      <c r="L18" s="75"/>
      <c r="M18" s="75"/>
      <c r="N18" s="5"/>
      <c r="P18" s="124">
        <v>39101</v>
      </c>
      <c r="Q18" s="124">
        <v>39101</v>
      </c>
    </row>
    <row r="19" spans="2:17">
      <c r="B19" s="8"/>
      <c r="C19" s="44"/>
      <c r="D19" s="53" t="s">
        <v>14</v>
      </c>
      <c r="E19" s="92" t="str">
        <f>'Calendar Rule Data'!D12</f>
        <v>Auckland</v>
      </c>
      <c r="F19" s="45"/>
      <c r="G19" s="52"/>
      <c r="H19" s="53"/>
      <c r="I19" s="92"/>
      <c r="J19" s="75"/>
      <c r="K19" s="47"/>
      <c r="L19" s="75"/>
      <c r="M19" s="75"/>
      <c r="N19" s="5"/>
      <c r="P19" s="124">
        <v>39104</v>
      </c>
      <c r="Q19" s="124">
        <v>39104</v>
      </c>
    </row>
    <row r="20" spans="2:17">
      <c r="B20" s="8"/>
      <c r="C20" s="44"/>
      <c r="D20" s="75"/>
      <c r="E20" s="88"/>
      <c r="F20" s="45"/>
      <c r="G20" s="52"/>
      <c r="H20" s="75"/>
      <c r="I20" s="46"/>
      <c r="J20" s="75"/>
      <c r="K20" s="47"/>
      <c r="L20" s="75"/>
      <c r="M20" s="75"/>
      <c r="N20" s="5"/>
      <c r="P20" s="124">
        <v>39105</v>
      </c>
      <c r="Q20" s="124">
        <v>39105</v>
      </c>
    </row>
    <row r="21" spans="2:17">
      <c r="B21" s="8"/>
      <c r="C21" s="44"/>
      <c r="D21" s="75"/>
      <c r="E21" s="46" t="s">
        <v>5</v>
      </c>
      <c r="F21" s="45"/>
      <c r="G21" s="52"/>
      <c r="H21" s="46" t="s">
        <v>5</v>
      </c>
      <c r="I21" s="46" t="s">
        <v>5</v>
      </c>
      <c r="J21" s="75"/>
      <c r="K21" s="47"/>
      <c r="L21" s="75"/>
      <c r="M21" s="75"/>
      <c r="N21" s="5"/>
      <c r="P21" s="124">
        <v>39106</v>
      </c>
      <c r="Q21" s="124">
        <v>39106</v>
      </c>
    </row>
    <row r="22" spans="2:17">
      <c r="B22" s="8"/>
      <c r="C22" s="44"/>
      <c r="D22" s="75" t="s">
        <v>118</v>
      </c>
      <c r="E22" s="78">
        <f t="array" ref="E22:E23">_xll.HLV5r3.Financial.Cache.AddPeriods( E10:E11,E12,E14, E16,E18:E19)</f>
        <v>39917</v>
      </c>
      <c r="F22" s="45"/>
      <c r="G22" s="52"/>
      <c r="H22" s="78" t="str">
        <f>_xll.Orion.ExcelAPI.Cache.GetNextFuturesCode(I10,I15,I16)</f>
        <v>Z8</v>
      </c>
      <c r="I22" s="78">
        <f t="array" ref="I22:I24">_xll.HLV5r3.Financial.Cache.LastTradingDayByMonth(I10,I11:I13,I14)</f>
        <v>39486</v>
      </c>
      <c r="J22" s="75"/>
      <c r="K22" s="47"/>
      <c r="L22" s="75"/>
      <c r="M22" s="75"/>
      <c r="N22" s="5"/>
      <c r="P22" s="124">
        <v>39107</v>
      </c>
      <c r="Q22" s="124">
        <v>39107</v>
      </c>
    </row>
    <row r="23" spans="2:17">
      <c r="B23" s="8"/>
      <c r="C23" s="44"/>
      <c r="D23" s="75"/>
      <c r="E23" s="78">
        <v>39918</v>
      </c>
      <c r="F23" s="45"/>
      <c r="G23" s="52"/>
      <c r="H23" s="78">
        <f>_xll.Orion.ExcelAPI.Cache.GetLastFuturesTradingDay(E10,I10&amp;H22)</f>
        <v>39794</v>
      </c>
      <c r="I23" s="78">
        <v>39549</v>
      </c>
      <c r="J23" s="75"/>
      <c r="K23" s="45"/>
      <c r="L23" s="75"/>
      <c r="M23" s="75"/>
      <c r="N23" s="5"/>
      <c r="P23" s="124">
        <v>39108</v>
      </c>
      <c r="Q23" s="124">
        <v>39108</v>
      </c>
    </row>
    <row r="24" spans="2:17" ht="11.25" customHeight="1">
      <c r="B24" s="8"/>
      <c r="C24" s="44"/>
      <c r="D24" s="75"/>
      <c r="E24" s="46"/>
      <c r="F24" s="45"/>
      <c r="G24" s="52"/>
      <c r="H24" s="78"/>
      <c r="I24" s="78">
        <v>39612</v>
      </c>
      <c r="J24" s="75"/>
      <c r="K24" s="45"/>
      <c r="L24" s="75"/>
      <c r="M24" s="75"/>
      <c r="N24" s="5"/>
      <c r="P24" s="124">
        <v>39111</v>
      </c>
      <c r="Q24" s="124">
        <v>39111</v>
      </c>
    </row>
    <row r="25" spans="2:17" ht="13.5" thickBot="1">
      <c r="B25" s="8"/>
      <c r="C25" s="48"/>
      <c r="D25" s="77"/>
      <c r="E25" s="93"/>
      <c r="F25" s="50"/>
      <c r="G25" s="55"/>
      <c r="H25" s="77"/>
      <c r="I25" s="93"/>
      <c r="J25" s="49"/>
      <c r="K25" s="50"/>
      <c r="L25" s="75"/>
      <c r="M25" s="75"/>
      <c r="N25" s="5"/>
      <c r="P25" s="124">
        <v>39112</v>
      </c>
      <c r="Q25" s="124">
        <v>39112</v>
      </c>
    </row>
    <row r="26" spans="2:17" ht="36">
      <c r="B26" s="8"/>
      <c r="C26" s="40"/>
      <c r="D26" s="41" t="s">
        <v>2</v>
      </c>
      <c r="E26" s="121" t="s">
        <v>103</v>
      </c>
      <c r="F26" s="43"/>
      <c r="G26" s="60"/>
      <c r="H26" s="41" t="s">
        <v>2</v>
      </c>
      <c r="I26" s="121" t="s">
        <v>107</v>
      </c>
      <c r="J26" s="76"/>
      <c r="K26" s="43"/>
      <c r="L26" s="75"/>
      <c r="M26" s="75"/>
      <c r="N26" s="5"/>
      <c r="P26" s="124">
        <v>39113</v>
      </c>
      <c r="Q26" s="124">
        <v>39113</v>
      </c>
    </row>
    <row r="27" spans="2:17">
      <c r="B27" s="8"/>
      <c r="C27" s="44"/>
      <c r="D27" s="75"/>
      <c r="E27" s="46"/>
      <c r="F27" s="45"/>
      <c r="G27" s="52"/>
      <c r="H27" s="75"/>
      <c r="I27" s="46"/>
      <c r="J27" s="75"/>
      <c r="K27" s="45"/>
      <c r="L27" s="75"/>
      <c r="M27" s="75"/>
      <c r="N27" s="5"/>
      <c r="P27" s="124">
        <v>39114</v>
      </c>
      <c r="Q27" s="124">
        <v>39114</v>
      </c>
    </row>
    <row r="28" spans="2:17">
      <c r="B28" s="8"/>
      <c r="C28" s="44"/>
      <c r="D28" s="75" t="s">
        <v>3</v>
      </c>
      <c r="E28" s="46" t="s">
        <v>4</v>
      </c>
      <c r="F28" s="45"/>
      <c r="G28" s="52"/>
      <c r="H28" s="75" t="s">
        <v>3</v>
      </c>
      <c r="I28" s="46" t="s">
        <v>4</v>
      </c>
      <c r="J28" s="75"/>
      <c r="K28" s="45"/>
      <c r="L28" s="75"/>
      <c r="M28" s="75"/>
      <c r="N28" s="5"/>
      <c r="P28" s="124">
        <v>39115</v>
      </c>
      <c r="Q28" s="124">
        <v>39115</v>
      </c>
    </row>
    <row r="29" spans="2:17">
      <c r="B29" s="8"/>
      <c r="C29" s="44"/>
      <c r="D29" s="35" t="s">
        <v>58</v>
      </c>
      <c r="E29" s="89">
        <v>39087</v>
      </c>
      <c r="F29" s="45"/>
      <c r="G29" s="52"/>
      <c r="H29" s="83" t="s">
        <v>76</v>
      </c>
      <c r="I29" s="97" t="s">
        <v>59</v>
      </c>
      <c r="J29" s="75"/>
      <c r="K29" s="45"/>
      <c r="L29" s="75"/>
      <c r="M29" s="75"/>
      <c r="N29" s="5"/>
      <c r="P29" s="124">
        <v>39118</v>
      </c>
      <c r="Q29" s="124">
        <v>39118</v>
      </c>
    </row>
    <row r="30" spans="2:17">
      <c r="B30" s="8"/>
      <c r="C30" s="44"/>
      <c r="D30" s="53" t="s">
        <v>57</v>
      </c>
      <c r="E30" s="89">
        <v>40183</v>
      </c>
      <c r="F30" s="45"/>
      <c r="G30" s="52"/>
      <c r="H30" s="53" t="s">
        <v>32</v>
      </c>
      <c r="I30" s="101">
        <v>2008</v>
      </c>
      <c r="J30" s="75"/>
      <c r="K30" s="45"/>
      <c r="L30" s="75"/>
      <c r="M30" s="75"/>
      <c r="N30" s="5"/>
      <c r="P30" s="124">
        <v>39119</v>
      </c>
      <c r="Q30" s="124">
        <v>39119</v>
      </c>
    </row>
    <row r="31" spans="2:17">
      <c r="B31" s="8"/>
      <c r="C31" s="44"/>
      <c r="D31" s="53" t="s">
        <v>51</v>
      </c>
      <c r="E31" s="94" t="str">
        <f>'Calendar Rule Data'!G57</f>
        <v>3M</v>
      </c>
      <c r="F31" s="45"/>
      <c r="G31" s="52"/>
      <c r="H31" s="53" t="s">
        <v>32</v>
      </c>
      <c r="I31" s="101">
        <v>2009</v>
      </c>
      <c r="J31" s="75"/>
      <c r="K31" s="45"/>
      <c r="L31" s="75"/>
      <c r="M31" s="75"/>
      <c r="N31" s="5"/>
      <c r="P31" s="124">
        <v>39120</v>
      </c>
      <c r="Q31" s="124">
        <v>39120</v>
      </c>
    </row>
    <row r="32" spans="2:17" ht="12.75" customHeight="1">
      <c r="B32" s="8"/>
      <c r="C32" s="44"/>
      <c r="D32" s="53" t="s">
        <v>67</v>
      </c>
      <c r="E32" s="108" t="s">
        <v>77</v>
      </c>
      <c r="F32" s="45"/>
      <c r="G32" s="52"/>
      <c r="H32" s="53" t="s">
        <v>55</v>
      </c>
      <c r="I32" s="97" t="b">
        <v>0</v>
      </c>
      <c r="J32" s="75"/>
      <c r="K32" s="45"/>
      <c r="L32" s="75"/>
      <c r="M32" s="75"/>
      <c r="N32" s="5"/>
      <c r="P32" s="124">
        <v>39121</v>
      </c>
      <c r="Q32" s="124">
        <v>39121</v>
      </c>
    </row>
    <row r="33" spans="2:17" ht="13.5" customHeight="1">
      <c r="B33" s="8"/>
      <c r="C33" s="44"/>
      <c r="D33" s="53" t="s">
        <v>56</v>
      </c>
      <c r="E33" s="89">
        <v>39107</v>
      </c>
      <c r="F33" s="45"/>
      <c r="G33" s="52"/>
      <c r="H33" s="75"/>
      <c r="I33" s="46"/>
      <c r="J33" s="75"/>
      <c r="K33" s="45"/>
      <c r="L33" s="75"/>
      <c r="M33" s="75"/>
      <c r="N33" s="5"/>
      <c r="P33" s="124">
        <v>39122</v>
      </c>
      <c r="Q33" s="124">
        <v>39122</v>
      </c>
    </row>
    <row r="34" spans="2:17">
      <c r="B34" s="8"/>
      <c r="C34" s="44"/>
      <c r="D34" s="53" t="s">
        <v>60</v>
      </c>
      <c r="E34" s="95" t="str">
        <f>'Calendar Rule Data'!D71</f>
        <v>ShortFinal</v>
      </c>
      <c r="F34" s="45"/>
      <c r="G34" s="52"/>
      <c r="H34" s="75"/>
      <c r="I34" s="46"/>
      <c r="J34" s="75"/>
      <c r="K34" s="45"/>
      <c r="L34" s="75"/>
      <c r="M34" s="75"/>
      <c r="N34" s="5"/>
      <c r="P34" s="124">
        <v>39125</v>
      </c>
      <c r="Q34" s="124">
        <v>39125</v>
      </c>
    </row>
    <row r="35" spans="2:17">
      <c r="B35" s="8"/>
      <c r="C35" s="44"/>
      <c r="D35" s="75"/>
      <c r="E35" s="46"/>
      <c r="F35" s="45"/>
      <c r="G35" s="52"/>
      <c r="H35" s="75"/>
      <c r="I35" s="46" t="s">
        <v>5</v>
      </c>
      <c r="J35" s="75"/>
      <c r="K35" s="45"/>
      <c r="L35" s="75"/>
      <c r="M35" s="75"/>
      <c r="N35" s="5"/>
      <c r="P35" s="124">
        <v>39126</v>
      </c>
      <c r="Q35" s="124">
        <v>39126</v>
      </c>
    </row>
    <row r="36" spans="2:17">
      <c r="B36" s="8"/>
      <c r="C36" s="44"/>
      <c r="D36" s="75"/>
      <c r="E36" s="46" t="s">
        <v>5</v>
      </c>
      <c r="F36" s="45"/>
      <c r="G36" s="52"/>
      <c r="H36" s="75"/>
      <c r="I36" s="78">
        <f t="array" ref="I36:I59">_xll.HLV5r3.Financial.Cache.LastTradingDayByYear( I29,I30:I31,I32)</f>
        <v>39461</v>
      </c>
      <c r="J36" s="75"/>
      <c r="K36" s="79"/>
      <c r="L36" s="75"/>
      <c r="M36" s="75"/>
      <c r="N36" s="5"/>
      <c r="P36" s="124">
        <v>39127</v>
      </c>
      <c r="Q36" s="124">
        <v>39127</v>
      </c>
    </row>
    <row r="37" spans="2:17">
      <c r="B37" s="8"/>
      <c r="C37" s="44"/>
      <c r="D37" s="75"/>
      <c r="E37" s="78">
        <f t="array" ref="E37:E59">_xll.HLV5r3.Financial.Cache.GetUnadjustedCalculationPeriodDates( E29,E30,E31,E32,E33,E34)</f>
        <v>39087</v>
      </c>
      <c r="F37" s="45"/>
      <c r="G37" s="52"/>
      <c r="H37" s="75"/>
      <c r="I37" s="78">
        <v>39496</v>
      </c>
      <c r="J37" s="75"/>
      <c r="K37" s="79"/>
      <c r="L37" s="75"/>
      <c r="M37" s="75"/>
      <c r="N37" s="5"/>
      <c r="P37" s="124">
        <v>39128</v>
      </c>
      <c r="Q37" s="124">
        <v>39128</v>
      </c>
    </row>
    <row r="38" spans="2:17">
      <c r="B38" s="8"/>
      <c r="C38" s="80"/>
      <c r="D38" s="75"/>
      <c r="E38" s="78">
        <v>39107</v>
      </c>
      <c r="F38" s="79"/>
      <c r="G38" s="52"/>
      <c r="H38" s="75"/>
      <c r="I38" s="78">
        <v>39524</v>
      </c>
      <c r="J38" s="75"/>
      <c r="K38" s="79"/>
      <c r="L38" s="75"/>
      <c r="M38" s="75"/>
      <c r="N38" s="5"/>
      <c r="P38" s="124">
        <v>39129</v>
      </c>
      <c r="Q38" s="124">
        <v>39129</v>
      </c>
    </row>
    <row r="39" spans="2:17">
      <c r="B39" s="8"/>
      <c r="C39" s="80"/>
      <c r="D39" s="75"/>
      <c r="E39" s="78">
        <v>39197</v>
      </c>
      <c r="F39" s="79"/>
      <c r="G39" s="52"/>
      <c r="H39" s="75"/>
      <c r="I39" s="78">
        <v>39552</v>
      </c>
      <c r="J39" s="75"/>
      <c r="K39" s="79"/>
      <c r="L39" s="75"/>
      <c r="M39" s="75"/>
      <c r="N39" s="5"/>
      <c r="P39" s="124">
        <v>39132</v>
      </c>
      <c r="Q39" s="124">
        <v>39132</v>
      </c>
    </row>
    <row r="40" spans="2:17">
      <c r="B40" s="8"/>
      <c r="C40" s="52"/>
      <c r="D40" s="75"/>
      <c r="E40" s="78">
        <v>39288</v>
      </c>
      <c r="F40" s="45"/>
      <c r="G40" s="52"/>
      <c r="H40" s="75"/>
      <c r="I40" s="78">
        <v>39587</v>
      </c>
      <c r="J40" s="75"/>
      <c r="K40" s="79"/>
      <c r="L40" s="75"/>
      <c r="M40" s="75"/>
      <c r="N40" s="5"/>
      <c r="P40" s="124">
        <v>39133</v>
      </c>
      <c r="Q40" s="124">
        <v>39133</v>
      </c>
    </row>
    <row r="41" spans="2:17">
      <c r="B41" s="8"/>
      <c r="C41" s="52"/>
      <c r="D41" s="75"/>
      <c r="E41" s="78">
        <v>39380</v>
      </c>
      <c r="F41" s="45"/>
      <c r="G41" s="80"/>
      <c r="H41" s="75"/>
      <c r="I41" s="78">
        <v>39615</v>
      </c>
      <c r="J41" s="75"/>
      <c r="K41" s="79"/>
      <c r="L41" s="75"/>
      <c r="M41" s="75"/>
      <c r="N41" s="5"/>
      <c r="P41" s="124">
        <v>39134</v>
      </c>
      <c r="Q41" s="124">
        <v>39134</v>
      </c>
    </row>
    <row r="42" spans="2:17">
      <c r="B42" s="8"/>
      <c r="C42" s="52"/>
      <c r="D42" s="75"/>
      <c r="E42" s="78">
        <v>39472</v>
      </c>
      <c r="F42" s="45"/>
      <c r="G42" s="80"/>
      <c r="H42" s="75"/>
      <c r="I42" s="78">
        <v>39643</v>
      </c>
      <c r="J42" s="75"/>
      <c r="K42" s="79"/>
      <c r="L42" s="75"/>
      <c r="M42" s="75"/>
      <c r="N42" s="5"/>
      <c r="P42" s="124">
        <v>39135</v>
      </c>
      <c r="Q42" s="124">
        <v>39135</v>
      </c>
    </row>
    <row r="43" spans="2:17">
      <c r="B43" s="8"/>
      <c r="C43" s="52"/>
      <c r="D43" s="75"/>
      <c r="E43" s="78">
        <v>39563</v>
      </c>
      <c r="F43" s="45"/>
      <c r="G43" s="80"/>
      <c r="H43" s="75"/>
      <c r="I43" s="78">
        <v>39678</v>
      </c>
      <c r="J43" s="75"/>
      <c r="K43" s="79"/>
      <c r="L43" s="75"/>
      <c r="M43" s="75"/>
      <c r="N43" s="5"/>
      <c r="P43" s="124">
        <v>39136</v>
      </c>
      <c r="Q43" s="124">
        <v>39136</v>
      </c>
    </row>
    <row r="44" spans="2:17">
      <c r="B44" s="8"/>
      <c r="C44" s="52"/>
      <c r="D44" s="75"/>
      <c r="E44" s="78">
        <v>39654</v>
      </c>
      <c r="F44" s="45"/>
      <c r="G44" s="80"/>
      <c r="H44" s="75"/>
      <c r="I44" s="78">
        <v>39706</v>
      </c>
      <c r="J44" s="75"/>
      <c r="K44" s="79"/>
      <c r="L44" s="75"/>
      <c r="M44" s="75"/>
      <c r="N44" s="5"/>
      <c r="P44" s="124">
        <v>39139</v>
      </c>
      <c r="Q44" s="124">
        <v>39139</v>
      </c>
    </row>
    <row r="45" spans="2:17">
      <c r="B45" s="8"/>
      <c r="C45" s="52"/>
      <c r="D45" s="75"/>
      <c r="E45" s="78">
        <v>39746</v>
      </c>
      <c r="F45" s="45"/>
      <c r="G45" s="80"/>
      <c r="H45" s="75"/>
      <c r="I45" s="78">
        <v>39734</v>
      </c>
      <c r="J45" s="75"/>
      <c r="K45" s="79"/>
      <c r="L45" s="75"/>
      <c r="M45" s="75"/>
      <c r="N45" s="5"/>
      <c r="P45" s="124">
        <v>39140</v>
      </c>
      <c r="Q45" s="124">
        <v>39140</v>
      </c>
    </row>
    <row r="46" spans="2:17">
      <c r="B46" s="8"/>
      <c r="C46" s="52"/>
      <c r="D46" s="75"/>
      <c r="E46" s="78">
        <v>39838</v>
      </c>
      <c r="F46" s="45"/>
      <c r="G46" s="80"/>
      <c r="H46" s="75"/>
      <c r="I46" s="78">
        <v>39769</v>
      </c>
      <c r="J46" s="75"/>
      <c r="K46" s="79"/>
      <c r="L46" s="75"/>
      <c r="M46" s="75"/>
      <c r="N46" s="5"/>
      <c r="P46" s="124">
        <v>39141</v>
      </c>
      <c r="Q46" s="124">
        <v>39141</v>
      </c>
    </row>
    <row r="47" spans="2:17">
      <c r="B47" s="8"/>
      <c r="C47" s="52"/>
      <c r="D47" s="75"/>
      <c r="E47" s="78">
        <v>39928</v>
      </c>
      <c r="F47" s="45"/>
      <c r="G47" s="80"/>
      <c r="H47" s="75"/>
      <c r="I47" s="78">
        <v>39797</v>
      </c>
      <c r="J47" s="75"/>
      <c r="K47" s="79"/>
      <c r="L47" s="75"/>
      <c r="M47" s="75"/>
      <c r="N47" s="5"/>
      <c r="P47" s="124">
        <v>39142</v>
      </c>
      <c r="Q47" s="124">
        <v>39142</v>
      </c>
    </row>
    <row r="48" spans="2:17">
      <c r="B48" s="8"/>
      <c r="C48" s="52"/>
      <c r="D48" s="75"/>
      <c r="E48" s="78">
        <v>40019</v>
      </c>
      <c r="F48" s="45"/>
      <c r="G48" s="80"/>
      <c r="H48" s="75"/>
      <c r="I48" s="78">
        <v>39832</v>
      </c>
      <c r="J48" s="75"/>
      <c r="K48" s="79"/>
      <c r="L48" s="75"/>
      <c r="M48" s="75"/>
      <c r="N48" s="5"/>
      <c r="P48" s="124">
        <v>39143</v>
      </c>
      <c r="Q48" s="124">
        <v>39143</v>
      </c>
    </row>
    <row r="49" spans="2:17">
      <c r="B49" s="8"/>
      <c r="C49" s="52"/>
      <c r="D49" s="75"/>
      <c r="E49" s="78">
        <v>40111</v>
      </c>
      <c r="F49" s="45"/>
      <c r="G49" s="80"/>
      <c r="H49" s="75"/>
      <c r="I49" s="78">
        <v>39860</v>
      </c>
      <c r="J49" s="75"/>
      <c r="K49" s="79"/>
      <c r="L49" s="75"/>
      <c r="M49" s="75"/>
      <c r="N49" s="5"/>
      <c r="P49" s="124">
        <v>39146</v>
      </c>
      <c r="Q49" s="124">
        <v>39146</v>
      </c>
    </row>
    <row r="50" spans="2:17" ht="14.25" customHeight="1">
      <c r="B50" s="8"/>
      <c r="C50" s="52"/>
      <c r="D50" s="75"/>
      <c r="E50" s="78" t="e">
        <v>#N/A</v>
      </c>
      <c r="F50" s="45"/>
      <c r="G50" s="80"/>
      <c r="H50" s="75"/>
      <c r="I50" s="78">
        <v>39888</v>
      </c>
      <c r="J50" s="75"/>
      <c r="K50" s="79"/>
      <c r="L50" s="75"/>
      <c r="M50" s="75"/>
      <c r="N50" s="5"/>
      <c r="P50" s="124">
        <v>39147</v>
      </c>
      <c r="Q50" s="124">
        <v>39147</v>
      </c>
    </row>
    <row r="51" spans="2:17">
      <c r="B51" s="8"/>
      <c r="C51" s="52"/>
      <c r="D51" s="75"/>
      <c r="E51" s="78" t="e">
        <v>#N/A</v>
      </c>
      <c r="F51" s="45"/>
      <c r="G51" s="52"/>
      <c r="H51" s="75"/>
      <c r="I51" s="78">
        <v>39916</v>
      </c>
      <c r="J51" s="75"/>
      <c r="K51" s="79"/>
      <c r="L51" s="75"/>
      <c r="M51" s="75"/>
      <c r="N51" s="5"/>
      <c r="P51" s="124">
        <v>39148</v>
      </c>
      <c r="Q51" s="124">
        <v>39148</v>
      </c>
    </row>
    <row r="52" spans="2:17">
      <c r="B52" s="8"/>
      <c r="C52" s="52"/>
      <c r="D52" s="8"/>
      <c r="E52" s="78" t="e">
        <v>#N/A</v>
      </c>
      <c r="F52" s="45"/>
      <c r="G52" s="52"/>
      <c r="H52" s="8"/>
      <c r="I52" s="78">
        <v>39951</v>
      </c>
      <c r="J52" s="8"/>
      <c r="K52" s="45"/>
      <c r="L52" s="75"/>
      <c r="M52" s="75"/>
      <c r="N52" s="5"/>
      <c r="P52" s="124">
        <v>39149</v>
      </c>
      <c r="Q52" s="124">
        <v>39149</v>
      </c>
    </row>
    <row r="53" spans="2:17">
      <c r="B53" s="8"/>
      <c r="C53" s="52"/>
      <c r="D53" s="8"/>
      <c r="E53" s="78" t="e">
        <v>#N/A</v>
      </c>
      <c r="F53" s="45"/>
      <c r="G53" s="52"/>
      <c r="H53" s="8"/>
      <c r="I53" s="78">
        <v>39979</v>
      </c>
      <c r="J53" s="8"/>
      <c r="K53" s="45"/>
      <c r="L53" s="75"/>
      <c r="M53" s="75"/>
      <c r="N53" s="5"/>
      <c r="P53" s="124">
        <v>39150</v>
      </c>
      <c r="Q53" s="124">
        <v>39150</v>
      </c>
    </row>
    <row r="54" spans="2:17">
      <c r="B54" s="8"/>
      <c r="C54" s="52"/>
      <c r="D54" s="8"/>
      <c r="E54" s="78" t="e">
        <v>#N/A</v>
      </c>
      <c r="F54" s="45"/>
      <c r="G54" s="52"/>
      <c r="H54" s="8"/>
      <c r="I54" s="78">
        <v>40007</v>
      </c>
      <c r="J54" s="8"/>
      <c r="K54" s="45"/>
      <c r="L54" s="75"/>
      <c r="M54" s="75"/>
      <c r="N54" s="5"/>
      <c r="P54" s="124">
        <v>39153</v>
      </c>
      <c r="Q54" s="124">
        <v>39153</v>
      </c>
    </row>
    <row r="55" spans="2:17">
      <c r="B55" s="8"/>
      <c r="C55" s="44"/>
      <c r="D55" s="8"/>
      <c r="E55" s="78" t="e">
        <v>#N/A</v>
      </c>
      <c r="F55" s="45"/>
      <c r="G55" s="52"/>
      <c r="H55" s="8"/>
      <c r="I55" s="78">
        <v>40042</v>
      </c>
      <c r="J55" s="8"/>
      <c r="K55" s="45"/>
      <c r="L55" s="75"/>
      <c r="M55" s="75"/>
      <c r="N55" s="5"/>
      <c r="P55" s="124">
        <v>39154</v>
      </c>
      <c r="Q55" s="124">
        <v>39154</v>
      </c>
    </row>
    <row r="56" spans="2:17">
      <c r="B56" s="8"/>
      <c r="C56" s="44"/>
      <c r="D56" s="8"/>
      <c r="E56" s="78" t="e">
        <v>#N/A</v>
      </c>
      <c r="F56" s="45"/>
      <c r="G56" s="52"/>
      <c r="H56" s="8"/>
      <c r="I56" s="78">
        <v>40070</v>
      </c>
      <c r="J56" s="8"/>
      <c r="K56" s="45"/>
      <c r="L56" s="75"/>
      <c r="M56" s="75"/>
      <c r="N56" s="5"/>
      <c r="P56" s="124">
        <v>39155</v>
      </c>
      <c r="Q56" s="124">
        <v>39155</v>
      </c>
    </row>
    <row r="57" spans="2:17">
      <c r="B57" s="8"/>
      <c r="C57" s="44"/>
      <c r="D57" s="8"/>
      <c r="E57" s="78" t="e">
        <v>#N/A</v>
      </c>
      <c r="F57" s="45"/>
      <c r="G57" s="52"/>
      <c r="H57" s="8"/>
      <c r="I57" s="78">
        <v>40105</v>
      </c>
      <c r="J57" s="8"/>
      <c r="K57" s="45"/>
      <c r="L57" s="75"/>
      <c r="M57" s="75"/>
      <c r="N57" s="5"/>
      <c r="P57" s="124">
        <v>39156</v>
      </c>
      <c r="Q57" s="124">
        <v>39156</v>
      </c>
    </row>
    <row r="58" spans="2:17">
      <c r="B58" s="8"/>
      <c r="C58" s="44"/>
      <c r="D58" s="8"/>
      <c r="E58" s="78" t="e">
        <v>#N/A</v>
      </c>
      <c r="F58" s="45"/>
      <c r="G58" s="52"/>
      <c r="H58" s="8"/>
      <c r="I58" s="78">
        <v>40133</v>
      </c>
      <c r="J58" s="8"/>
      <c r="K58" s="45"/>
      <c r="L58" s="75"/>
      <c r="M58" s="75"/>
      <c r="N58" s="5"/>
      <c r="P58" s="124">
        <v>39157</v>
      </c>
      <c r="Q58" s="124">
        <v>39157</v>
      </c>
    </row>
    <row r="59" spans="2:17">
      <c r="B59" s="8"/>
      <c r="C59" s="44"/>
      <c r="D59" s="8"/>
      <c r="E59" s="78" t="e">
        <v>#N/A</v>
      </c>
      <c r="F59" s="45"/>
      <c r="G59" s="52"/>
      <c r="H59" s="8"/>
      <c r="I59" s="78">
        <v>40161</v>
      </c>
      <c r="J59" s="8"/>
      <c r="K59" s="45"/>
      <c r="L59" s="75"/>
      <c r="M59" s="75"/>
      <c r="N59" s="5"/>
      <c r="P59" s="124">
        <v>39160</v>
      </c>
      <c r="Q59" s="124">
        <v>39160</v>
      </c>
    </row>
    <row r="60" spans="2:17" ht="13.5" thickBot="1">
      <c r="B60" s="8"/>
      <c r="C60" s="48"/>
      <c r="D60" s="49"/>
      <c r="E60" s="96"/>
      <c r="F60" s="50"/>
      <c r="G60" s="55"/>
      <c r="H60" s="49"/>
      <c r="I60" s="96"/>
      <c r="J60" s="49"/>
      <c r="K60" s="50"/>
      <c r="L60" s="75"/>
      <c r="M60" s="75"/>
      <c r="N60" s="5"/>
      <c r="P60" s="124">
        <v>39161</v>
      </c>
      <c r="Q60" s="124">
        <v>39161</v>
      </c>
    </row>
    <row r="61" spans="2:17" ht="36">
      <c r="B61" s="8"/>
      <c r="C61" s="40"/>
      <c r="D61" s="41" t="s">
        <v>2</v>
      </c>
      <c r="E61" s="121" t="s">
        <v>105</v>
      </c>
      <c r="F61" s="43"/>
      <c r="G61" s="8"/>
      <c r="H61" s="41" t="s">
        <v>2</v>
      </c>
      <c r="I61" s="121" t="s">
        <v>106</v>
      </c>
      <c r="J61" s="8"/>
      <c r="K61" s="8"/>
      <c r="L61" s="75"/>
      <c r="M61" s="75"/>
      <c r="N61" s="5"/>
      <c r="P61" s="124">
        <v>39162</v>
      </c>
      <c r="Q61" s="124">
        <v>39162</v>
      </c>
    </row>
    <row r="62" spans="2:17">
      <c r="B62" s="8"/>
      <c r="C62" s="44"/>
      <c r="D62" s="75"/>
      <c r="E62" s="46"/>
      <c r="F62" s="45"/>
      <c r="G62" s="44"/>
      <c r="H62" s="75"/>
      <c r="I62" s="46"/>
      <c r="J62" s="45"/>
      <c r="K62" s="8"/>
      <c r="L62" s="75"/>
      <c r="M62" s="75"/>
      <c r="N62" s="5"/>
      <c r="P62" s="124">
        <v>39163</v>
      </c>
      <c r="Q62" s="124">
        <v>39163</v>
      </c>
    </row>
    <row r="63" spans="2:17">
      <c r="B63" s="8"/>
      <c r="C63" s="44"/>
      <c r="D63" s="75" t="s">
        <v>3</v>
      </c>
      <c r="E63" s="46" t="s">
        <v>4</v>
      </c>
      <c r="F63" s="45"/>
      <c r="G63" s="44"/>
      <c r="H63" s="75" t="s">
        <v>3</v>
      </c>
      <c r="I63" s="46" t="s">
        <v>4</v>
      </c>
      <c r="J63" s="45"/>
      <c r="K63" s="8"/>
      <c r="L63" s="75"/>
      <c r="M63" s="75"/>
      <c r="N63" s="5"/>
      <c r="P63" s="124">
        <v>39164</v>
      </c>
      <c r="Q63" s="124">
        <v>39164</v>
      </c>
    </row>
    <row r="64" spans="2:17">
      <c r="B64" s="8"/>
      <c r="C64" s="44"/>
      <c r="D64" s="35" t="s">
        <v>58</v>
      </c>
      <c r="E64" s="89">
        <v>39087</v>
      </c>
      <c r="F64" s="45"/>
      <c r="G64" s="44"/>
      <c r="H64" s="35" t="s">
        <v>58</v>
      </c>
      <c r="I64" s="89">
        <v>39087</v>
      </c>
      <c r="J64" s="45"/>
      <c r="K64" s="8"/>
      <c r="L64" s="75"/>
      <c r="M64" s="75"/>
      <c r="N64" s="5"/>
      <c r="P64" s="124">
        <v>39167</v>
      </c>
      <c r="Q64" s="124">
        <v>39167</v>
      </c>
    </row>
    <row r="65" spans="2:17">
      <c r="B65" s="8"/>
      <c r="C65" s="44"/>
      <c r="D65" s="53" t="s">
        <v>57</v>
      </c>
      <c r="E65" s="89">
        <v>40183</v>
      </c>
      <c r="F65" s="45"/>
      <c r="G65" s="44"/>
      <c r="H65" s="53" t="s">
        <v>79</v>
      </c>
      <c r="I65" s="89" t="s">
        <v>80</v>
      </c>
      <c r="J65" s="45"/>
      <c r="K65" s="8"/>
      <c r="L65" s="75"/>
      <c r="M65" s="75"/>
      <c r="N65" s="5"/>
      <c r="P65" s="124">
        <v>39168</v>
      </c>
      <c r="Q65" s="124">
        <v>39168</v>
      </c>
    </row>
    <row r="66" spans="2:17">
      <c r="B66" s="8"/>
      <c r="C66" s="44"/>
      <c r="D66" s="53" t="s">
        <v>66</v>
      </c>
      <c r="E66" s="97" t="str">
        <f>'Calendar Rule Data'!G56</f>
        <v>2M</v>
      </c>
      <c r="F66" s="45"/>
      <c r="G66" s="44"/>
      <c r="H66" s="53" t="s">
        <v>81</v>
      </c>
      <c r="I66" s="89">
        <v>40183</v>
      </c>
      <c r="J66" s="45"/>
      <c r="K66" s="8"/>
      <c r="L66" s="75"/>
      <c r="M66" s="75"/>
      <c r="N66" s="5"/>
      <c r="P66" s="124">
        <v>39169</v>
      </c>
      <c r="Q66" s="124">
        <v>39169</v>
      </c>
    </row>
    <row r="67" spans="2:17">
      <c r="B67" s="8"/>
      <c r="C67" s="44"/>
      <c r="D67" s="53" t="s">
        <v>51</v>
      </c>
      <c r="E67" s="94" t="str">
        <f>'Calendar Rule Data'!G57</f>
        <v>3M</v>
      </c>
      <c r="F67" s="45"/>
      <c r="G67" s="44"/>
      <c r="H67" s="53" t="s">
        <v>82</v>
      </c>
      <c r="I67" s="94">
        <v>12</v>
      </c>
      <c r="J67" s="45"/>
      <c r="K67" s="8"/>
      <c r="L67" s="75"/>
      <c r="M67" s="75"/>
      <c r="N67" s="5"/>
      <c r="P67" s="124">
        <v>39170</v>
      </c>
      <c r="Q67" s="124">
        <v>39170</v>
      </c>
    </row>
    <row r="68" spans="2:17">
      <c r="B68" s="8"/>
      <c r="C68" s="44"/>
      <c r="D68" s="53" t="s">
        <v>67</v>
      </c>
      <c r="E68" s="98">
        <v>26</v>
      </c>
      <c r="F68" s="45"/>
      <c r="G68" s="44"/>
      <c r="H68" s="75"/>
      <c r="I68" s="46"/>
      <c r="J68" s="45"/>
      <c r="K68" s="8"/>
      <c r="L68" s="75"/>
      <c r="M68" s="75"/>
      <c r="N68" s="5"/>
      <c r="P68" s="124">
        <v>39171</v>
      </c>
      <c r="Q68" s="124">
        <v>39171</v>
      </c>
    </row>
    <row r="69" spans="2:17">
      <c r="B69" s="8"/>
      <c r="C69" s="44"/>
      <c r="D69" s="81" t="s">
        <v>60</v>
      </c>
      <c r="E69" s="95" t="str">
        <f>'Calendar Rule Data'!D73</f>
        <v>LongFinal</v>
      </c>
      <c r="F69" s="45"/>
      <c r="G69" s="44"/>
      <c r="H69" s="75"/>
      <c r="I69" s="46"/>
      <c r="J69" s="45"/>
      <c r="K69" s="8"/>
      <c r="L69" s="75"/>
      <c r="M69" s="75"/>
      <c r="N69" s="5"/>
      <c r="P69" s="124">
        <v>39174</v>
      </c>
      <c r="Q69" s="124">
        <v>39174</v>
      </c>
    </row>
    <row r="70" spans="2:17">
      <c r="B70" s="8"/>
      <c r="C70" s="44"/>
      <c r="D70" s="75"/>
      <c r="E70" s="46"/>
      <c r="F70" s="45"/>
      <c r="G70" s="44"/>
      <c r="H70" s="75"/>
      <c r="I70" s="46"/>
      <c r="J70" s="45"/>
      <c r="K70" s="8"/>
      <c r="L70" s="75"/>
      <c r="M70" s="75"/>
      <c r="N70" s="5"/>
      <c r="P70" s="124">
        <v>39175</v>
      </c>
      <c r="Q70" s="124">
        <v>39175</v>
      </c>
    </row>
    <row r="71" spans="2:17">
      <c r="B71" s="8"/>
      <c r="C71" s="44"/>
      <c r="D71" s="75"/>
      <c r="E71" s="46" t="s">
        <v>5</v>
      </c>
      <c r="F71" s="45"/>
      <c r="G71" s="44"/>
      <c r="H71" s="75"/>
      <c r="I71" s="46" t="s">
        <v>5</v>
      </c>
      <c r="J71" s="45"/>
      <c r="K71" s="8"/>
      <c r="L71" s="75"/>
      <c r="M71" s="75"/>
      <c r="N71" s="5"/>
      <c r="P71" s="124">
        <v>39176</v>
      </c>
      <c r="Q71" s="124">
        <v>39176</v>
      </c>
    </row>
    <row r="72" spans="2:17">
      <c r="B72" s="8"/>
      <c r="C72" s="44"/>
      <c r="D72" s="75"/>
      <c r="E72" s="78">
        <f t="array" ref="E72:E94">_xll.HLV5r3.Financial.Cache.UnadjustedCalculationDatesFromFirstRegularInterval( E64,E65,E66,E67,E68,E69)</f>
        <v>39087</v>
      </c>
      <c r="F72" s="45"/>
      <c r="G72" s="44"/>
      <c r="H72" s="75"/>
      <c r="I72" s="78">
        <f t="array" ref="I72:I94">_xll.HLV5r3.Financial.Cache.GetCentralBankDates(I64, I65, I67, I66)</f>
        <v>39120</v>
      </c>
      <c r="J72" s="45"/>
      <c r="K72" s="8"/>
      <c r="L72" s="75"/>
      <c r="M72" s="75"/>
      <c r="N72" s="5"/>
      <c r="P72" s="124">
        <v>39177</v>
      </c>
      <c r="Q72" s="124">
        <v>39177</v>
      </c>
    </row>
    <row r="73" spans="2:17">
      <c r="B73" s="8"/>
      <c r="C73" s="80"/>
      <c r="D73" s="75"/>
      <c r="E73" s="78">
        <v>39167</v>
      </c>
      <c r="F73" s="79"/>
      <c r="G73" s="80"/>
      <c r="H73" s="75"/>
      <c r="I73" s="78">
        <v>39148</v>
      </c>
      <c r="J73" s="79"/>
      <c r="K73" s="8"/>
      <c r="L73" s="75"/>
      <c r="M73" s="75"/>
      <c r="N73" s="5"/>
      <c r="P73" s="124">
        <v>39182</v>
      </c>
      <c r="Q73" s="124">
        <v>39182</v>
      </c>
    </row>
    <row r="74" spans="2:17">
      <c r="B74" s="8"/>
      <c r="C74" s="80"/>
      <c r="D74" s="75"/>
      <c r="E74" s="78">
        <v>39259</v>
      </c>
      <c r="F74" s="79"/>
      <c r="G74" s="80"/>
      <c r="H74" s="75"/>
      <c r="I74" s="78">
        <v>39176</v>
      </c>
      <c r="J74" s="79"/>
      <c r="K74" s="8"/>
      <c r="L74" s="75"/>
      <c r="M74" s="75"/>
      <c r="N74" s="5"/>
      <c r="P74" s="124">
        <v>39183</v>
      </c>
      <c r="Q74" s="124">
        <v>39183</v>
      </c>
    </row>
    <row r="75" spans="2:17">
      <c r="B75" s="8"/>
      <c r="C75" s="52"/>
      <c r="D75" s="75"/>
      <c r="E75" s="78">
        <v>39351</v>
      </c>
      <c r="F75" s="45"/>
      <c r="G75" s="52"/>
      <c r="H75" s="75"/>
      <c r="I75" s="78">
        <v>39204</v>
      </c>
      <c r="J75" s="45"/>
      <c r="K75" s="8"/>
      <c r="L75" s="75"/>
      <c r="M75" s="75"/>
      <c r="N75" s="5"/>
      <c r="P75" s="124">
        <v>39184</v>
      </c>
      <c r="Q75" s="124">
        <v>39184</v>
      </c>
    </row>
    <row r="76" spans="2:17">
      <c r="B76" s="8"/>
      <c r="C76" s="52"/>
      <c r="D76" s="75"/>
      <c r="E76" s="78">
        <v>39442</v>
      </c>
      <c r="F76" s="45"/>
      <c r="G76" s="52"/>
      <c r="H76" s="75"/>
      <c r="I76" s="78">
        <v>39239</v>
      </c>
      <c r="J76" s="45"/>
      <c r="K76" s="8"/>
      <c r="L76" s="75"/>
      <c r="M76" s="75"/>
      <c r="N76" s="5"/>
      <c r="P76" s="124">
        <v>39185</v>
      </c>
      <c r="Q76" s="124">
        <v>39185</v>
      </c>
    </row>
    <row r="77" spans="2:17">
      <c r="B77" s="8"/>
      <c r="C77" s="52"/>
      <c r="D77" s="75"/>
      <c r="E77" s="78">
        <v>39533</v>
      </c>
      <c r="F77" s="45"/>
      <c r="G77" s="52"/>
      <c r="H77" s="75"/>
      <c r="I77" s="78">
        <v>39267</v>
      </c>
      <c r="J77" s="45"/>
      <c r="K77" s="8"/>
      <c r="L77" s="75"/>
      <c r="M77" s="75"/>
      <c r="N77" s="5"/>
      <c r="P77" s="124">
        <v>39188</v>
      </c>
      <c r="Q77" s="124">
        <v>39188</v>
      </c>
    </row>
    <row r="78" spans="2:17">
      <c r="B78" s="8"/>
      <c r="C78" s="52"/>
      <c r="D78" s="75"/>
      <c r="E78" s="78">
        <v>39625</v>
      </c>
      <c r="F78" s="45"/>
      <c r="G78" s="52"/>
      <c r="H78" s="75"/>
      <c r="I78" s="78">
        <v>39295</v>
      </c>
      <c r="J78" s="45"/>
      <c r="K78" s="8"/>
      <c r="L78" s="75"/>
      <c r="M78" s="75"/>
      <c r="N78" s="5"/>
      <c r="P78" s="124">
        <v>39189</v>
      </c>
      <c r="Q78" s="124">
        <v>39189</v>
      </c>
    </row>
    <row r="79" spans="2:17">
      <c r="B79" s="8"/>
      <c r="C79" s="52"/>
      <c r="D79" s="75"/>
      <c r="E79" s="78">
        <v>39717</v>
      </c>
      <c r="F79" s="45"/>
      <c r="G79" s="52"/>
      <c r="H79" s="75"/>
      <c r="I79" s="78">
        <v>39330</v>
      </c>
      <c r="J79" s="45"/>
      <c r="K79" s="8"/>
      <c r="L79" s="75"/>
      <c r="M79" s="75"/>
      <c r="N79" s="5"/>
      <c r="P79" s="124">
        <v>39190</v>
      </c>
      <c r="Q79" s="124">
        <v>39190</v>
      </c>
    </row>
    <row r="80" spans="2:17">
      <c r="B80" s="8"/>
      <c r="C80" s="52"/>
      <c r="D80" s="75"/>
      <c r="E80" s="78">
        <v>39808</v>
      </c>
      <c r="F80" s="45"/>
      <c r="G80" s="52"/>
      <c r="H80" s="75"/>
      <c r="I80" s="78">
        <v>39358</v>
      </c>
      <c r="J80" s="45"/>
      <c r="K80" s="8"/>
      <c r="L80" s="75"/>
      <c r="M80" s="75"/>
      <c r="N80" s="5"/>
      <c r="P80" s="124">
        <v>39191</v>
      </c>
      <c r="Q80" s="124">
        <v>39191</v>
      </c>
    </row>
    <row r="81" spans="2:17">
      <c r="B81" s="8"/>
      <c r="C81" s="52"/>
      <c r="D81" s="75"/>
      <c r="E81" s="78">
        <v>39898</v>
      </c>
      <c r="F81" s="45"/>
      <c r="G81" s="52"/>
      <c r="H81" s="75"/>
      <c r="I81" s="78">
        <v>39393</v>
      </c>
      <c r="J81" s="45"/>
      <c r="K81" s="8"/>
      <c r="L81" s="75"/>
      <c r="M81" s="75"/>
      <c r="N81" s="5"/>
      <c r="P81" s="124">
        <v>39192</v>
      </c>
      <c r="Q81" s="124">
        <v>39192</v>
      </c>
    </row>
    <row r="82" spans="2:17">
      <c r="B82" s="8"/>
      <c r="C82" s="52"/>
      <c r="D82" s="75"/>
      <c r="E82" s="78">
        <v>39990</v>
      </c>
      <c r="F82" s="45"/>
      <c r="G82" s="52"/>
      <c r="H82" s="75"/>
      <c r="I82" s="78">
        <v>39421</v>
      </c>
      <c r="J82" s="45"/>
      <c r="K82" s="8"/>
      <c r="L82" s="75"/>
      <c r="M82" s="75"/>
      <c r="N82" s="5"/>
      <c r="P82" s="124">
        <v>39195</v>
      </c>
      <c r="Q82" s="124">
        <v>39195</v>
      </c>
    </row>
    <row r="83" spans="2:17">
      <c r="B83" s="8"/>
      <c r="C83" s="52"/>
      <c r="D83" s="75"/>
      <c r="E83" s="78">
        <v>40082</v>
      </c>
      <c r="F83" s="45"/>
      <c r="G83" s="52"/>
      <c r="H83" s="75"/>
      <c r="I83" s="78">
        <v>39421</v>
      </c>
      <c r="J83" s="45"/>
      <c r="K83" s="8"/>
      <c r="L83" s="75"/>
      <c r="M83" s="75"/>
      <c r="N83" s="5"/>
      <c r="P83" s="124">
        <v>39196</v>
      </c>
      <c r="Q83" s="124">
        <v>39196</v>
      </c>
    </row>
    <row r="84" spans="2:17">
      <c r="B84" s="8"/>
      <c r="C84" s="52"/>
      <c r="D84" s="75"/>
      <c r="E84" s="78" t="e">
        <v>#N/A</v>
      </c>
      <c r="F84" s="45"/>
      <c r="G84" s="52"/>
      <c r="H84" s="75"/>
      <c r="I84" s="78">
        <v>39512</v>
      </c>
      <c r="J84" s="45"/>
      <c r="K84" s="8"/>
      <c r="L84" s="75"/>
      <c r="M84" s="75"/>
      <c r="N84" s="5"/>
      <c r="P84" s="124">
        <v>39197</v>
      </c>
      <c r="Q84" s="124">
        <v>39197</v>
      </c>
    </row>
    <row r="85" spans="2:17">
      <c r="B85" s="8"/>
      <c r="C85" s="52"/>
      <c r="D85" s="75"/>
      <c r="E85" s="78" t="e">
        <v>#N/A</v>
      </c>
      <c r="F85" s="45"/>
      <c r="G85" s="52"/>
      <c r="H85" s="75"/>
      <c r="I85" s="78">
        <v>39603</v>
      </c>
      <c r="J85" s="45"/>
      <c r="K85" s="8"/>
      <c r="L85" s="75"/>
      <c r="M85" s="75"/>
      <c r="N85" s="5"/>
      <c r="P85" s="124">
        <v>39198</v>
      </c>
      <c r="Q85" s="124">
        <v>39198</v>
      </c>
    </row>
    <row r="86" spans="2:17">
      <c r="B86" s="8"/>
      <c r="C86" s="52"/>
      <c r="D86" s="75"/>
      <c r="E86" s="78" t="e">
        <v>#N/A</v>
      </c>
      <c r="F86" s="45"/>
      <c r="G86" s="52"/>
      <c r="H86" s="75"/>
      <c r="I86" s="78">
        <v>39694</v>
      </c>
      <c r="J86" s="45"/>
      <c r="K86" s="8"/>
      <c r="L86" s="75"/>
      <c r="M86" s="75"/>
      <c r="N86" s="5"/>
      <c r="P86" s="124">
        <v>39199</v>
      </c>
      <c r="Q86" s="124">
        <v>39199</v>
      </c>
    </row>
    <row r="87" spans="2:17">
      <c r="B87" s="8"/>
      <c r="C87" s="52"/>
      <c r="D87" s="8"/>
      <c r="E87" s="78" t="e">
        <v>#N/A</v>
      </c>
      <c r="F87" s="45"/>
      <c r="G87" s="52"/>
      <c r="H87" s="8"/>
      <c r="I87" s="78">
        <v>39785</v>
      </c>
      <c r="J87" s="45"/>
      <c r="K87" s="8"/>
      <c r="L87" s="75"/>
      <c r="M87" s="75"/>
      <c r="N87" s="5"/>
      <c r="P87" s="124">
        <v>39203</v>
      </c>
      <c r="Q87" s="124">
        <v>39202</v>
      </c>
    </row>
    <row r="88" spans="2:17">
      <c r="B88" s="8"/>
      <c r="C88" s="52"/>
      <c r="D88" s="8"/>
      <c r="E88" s="78" t="e">
        <v>#N/A</v>
      </c>
      <c r="F88" s="45"/>
      <c r="G88" s="52"/>
      <c r="H88" s="8"/>
      <c r="I88" s="78">
        <v>39876</v>
      </c>
      <c r="J88" s="45"/>
      <c r="K88" s="8"/>
      <c r="L88" s="75"/>
      <c r="M88" s="75"/>
      <c r="N88" s="5"/>
      <c r="P88" s="124">
        <v>39204</v>
      </c>
      <c r="Q88" s="124">
        <v>39203</v>
      </c>
    </row>
    <row r="89" spans="2:17">
      <c r="B89" s="8"/>
      <c r="C89" s="52"/>
      <c r="D89" s="8"/>
      <c r="E89" s="78" t="e">
        <v>#N/A</v>
      </c>
      <c r="F89" s="45"/>
      <c r="G89" s="52"/>
      <c r="H89" s="8"/>
      <c r="I89" s="78">
        <v>39967</v>
      </c>
      <c r="J89" s="45"/>
      <c r="K89" s="8"/>
      <c r="L89" s="75"/>
      <c r="M89" s="75"/>
      <c r="N89" s="5"/>
      <c r="P89" s="124">
        <v>39205</v>
      </c>
      <c r="Q89" s="124">
        <v>39204</v>
      </c>
    </row>
    <row r="90" spans="2:17">
      <c r="B90" s="8"/>
      <c r="C90" s="44"/>
      <c r="D90" s="8"/>
      <c r="E90" s="78" t="e">
        <v>#N/A</v>
      </c>
      <c r="F90" s="45"/>
      <c r="G90" s="44"/>
      <c r="H90" s="8"/>
      <c r="I90" s="78">
        <v>40058</v>
      </c>
      <c r="J90" s="45"/>
      <c r="K90" s="8"/>
      <c r="L90" s="75"/>
      <c r="M90" s="75"/>
      <c r="N90" s="5"/>
      <c r="P90" s="124">
        <v>39206</v>
      </c>
      <c r="Q90" s="124">
        <v>39205</v>
      </c>
    </row>
    <row r="91" spans="2:17">
      <c r="B91" s="8"/>
      <c r="C91" s="44"/>
      <c r="D91" s="8"/>
      <c r="E91" s="78" t="e">
        <v>#N/A</v>
      </c>
      <c r="F91" s="45"/>
      <c r="G91" s="44"/>
      <c r="H91" s="8"/>
      <c r="I91" s="78">
        <v>40149</v>
      </c>
      <c r="J91" s="45"/>
      <c r="K91" s="8"/>
      <c r="L91" s="75"/>
      <c r="M91" s="75"/>
      <c r="N91" s="5"/>
      <c r="P91" s="124">
        <v>39209</v>
      </c>
      <c r="Q91" s="124">
        <v>39206</v>
      </c>
    </row>
    <row r="92" spans="2:17">
      <c r="B92" s="8"/>
      <c r="C92" s="44"/>
      <c r="D92" s="8"/>
      <c r="E92" s="78" t="e">
        <v>#N/A</v>
      </c>
      <c r="F92" s="45"/>
      <c r="G92" s="44"/>
      <c r="H92" s="8"/>
      <c r="I92" s="78" t="e">
        <v>#N/A</v>
      </c>
      <c r="J92" s="45"/>
      <c r="K92" s="8"/>
      <c r="L92" s="75"/>
      <c r="M92" s="75"/>
      <c r="N92" s="5"/>
      <c r="P92" s="124">
        <v>39210</v>
      </c>
      <c r="Q92" s="124">
        <v>39210</v>
      </c>
    </row>
    <row r="93" spans="2:17">
      <c r="B93" s="8"/>
      <c r="C93" s="44"/>
      <c r="D93" s="8"/>
      <c r="E93" s="78" t="e">
        <v>#N/A</v>
      </c>
      <c r="F93" s="45"/>
      <c r="G93" s="44"/>
      <c r="H93" s="8"/>
      <c r="I93" s="78" t="e">
        <v>#N/A</v>
      </c>
      <c r="J93" s="45"/>
      <c r="K93" s="8"/>
      <c r="L93" s="75"/>
      <c r="M93" s="75"/>
      <c r="N93" s="5"/>
      <c r="P93" s="124">
        <v>39211</v>
      </c>
      <c r="Q93" s="124">
        <v>39211</v>
      </c>
    </row>
    <row r="94" spans="2:17">
      <c r="B94" s="8"/>
      <c r="C94" s="44"/>
      <c r="D94" s="8"/>
      <c r="E94" s="78" t="e">
        <v>#N/A</v>
      </c>
      <c r="F94" s="45"/>
      <c r="G94" s="44"/>
      <c r="H94" s="8"/>
      <c r="I94" s="78" t="e">
        <v>#N/A</v>
      </c>
      <c r="J94" s="45"/>
      <c r="K94" s="8"/>
      <c r="L94" s="75"/>
      <c r="M94" s="75"/>
      <c r="N94" s="5"/>
      <c r="P94" s="124">
        <v>39212</v>
      </c>
      <c r="Q94" s="124">
        <v>39212</v>
      </c>
    </row>
    <row r="95" spans="2:17" ht="13.5" thickBot="1">
      <c r="B95" s="8"/>
      <c r="C95" s="48"/>
      <c r="D95" s="49"/>
      <c r="E95" s="96"/>
      <c r="F95" s="50"/>
      <c r="G95" s="48"/>
      <c r="H95" s="49"/>
      <c r="I95" s="96"/>
      <c r="J95" s="50"/>
      <c r="K95" s="8"/>
      <c r="L95" s="75"/>
      <c r="M95" s="75"/>
      <c r="N95" s="5"/>
    </row>
    <row r="96" spans="2:17">
      <c r="B96" s="8"/>
      <c r="C96" s="10"/>
      <c r="D96" s="8"/>
      <c r="E96" s="88"/>
      <c r="F96" s="8"/>
      <c r="G96" s="8"/>
      <c r="H96" s="8"/>
      <c r="I96" s="88"/>
      <c r="J96" s="8"/>
      <c r="K96" s="8"/>
      <c r="L96" s="75"/>
      <c r="M96" s="75"/>
      <c r="N96" s="5"/>
    </row>
    <row r="97" spans="16:16">
      <c r="P97" s="11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Q317"/>
  <sheetViews>
    <sheetView showGridLines="0" workbookViewId="0">
      <selection activeCell="I139" sqref="I139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4.83203125" style="1" customWidth="1"/>
    <col min="5" max="5" width="62.5" style="84" customWidth="1"/>
    <col min="6" max="6" width="11" style="1" customWidth="1"/>
    <col min="7" max="7" width="8.1640625" style="1" customWidth="1"/>
    <col min="8" max="8" width="25.6640625" style="1" customWidth="1"/>
    <col min="9" max="9" width="39.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6" width="9.33203125" style="1"/>
    <col min="17" max="17" width="18" style="1" customWidth="1"/>
    <col min="18" max="16384" width="9.33203125" style="1"/>
  </cols>
  <sheetData>
    <row r="1" spans="2:14" ht="6" customHeight="1"/>
    <row r="2" spans="2:14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4" ht="30" customHeight="1" thickBot="1">
      <c r="B3" s="3"/>
      <c r="C3" s="3"/>
      <c r="D3" s="4"/>
      <c r="E3" s="86" t="s">
        <v>52</v>
      </c>
      <c r="F3" s="3"/>
      <c r="G3" s="3"/>
      <c r="H3" s="3"/>
      <c r="I3" s="99"/>
      <c r="J3" s="3"/>
      <c r="K3" s="3"/>
      <c r="L3" s="3"/>
      <c r="M3" s="3"/>
      <c r="N3" s="5"/>
    </row>
    <row r="4" spans="2:14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4" ht="13.5" thickBot="1">
      <c r="B5" s="8"/>
      <c r="C5" s="25"/>
      <c r="D5" s="8"/>
      <c r="E5" s="26" t="s">
        <v>9</v>
      </c>
      <c r="F5" s="8"/>
      <c r="G5" s="8"/>
      <c r="H5" s="8"/>
      <c r="I5" s="88"/>
      <c r="J5" s="8"/>
      <c r="K5" s="8"/>
      <c r="L5" s="8"/>
      <c r="M5" s="8"/>
      <c r="N5" s="5"/>
    </row>
    <row r="6" spans="2:14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4" ht="36">
      <c r="B7" s="8"/>
      <c r="C7" s="51"/>
      <c r="D7" s="41" t="s">
        <v>2</v>
      </c>
      <c r="E7" s="121" t="s">
        <v>96</v>
      </c>
      <c r="F7" s="43"/>
      <c r="G7" s="60"/>
      <c r="H7" s="41" t="s">
        <v>2</v>
      </c>
      <c r="I7" s="121" t="s">
        <v>97</v>
      </c>
      <c r="J7" s="76"/>
      <c r="K7" s="43"/>
      <c r="L7" s="75"/>
      <c r="M7" s="75"/>
      <c r="N7" s="5"/>
    </row>
    <row r="8" spans="2:14">
      <c r="B8" s="8"/>
      <c r="C8" s="52"/>
      <c r="D8" s="8"/>
      <c r="E8" s="46"/>
      <c r="F8" s="45"/>
      <c r="G8" s="52"/>
      <c r="H8" s="75"/>
      <c r="I8" s="46"/>
      <c r="J8" s="75"/>
      <c r="K8" s="45"/>
      <c r="L8" s="75"/>
      <c r="M8" s="75"/>
      <c r="N8" s="5"/>
    </row>
    <row r="9" spans="2:14">
      <c r="B9" s="8"/>
      <c r="C9" s="52"/>
      <c r="D9" s="75" t="s">
        <v>3</v>
      </c>
      <c r="E9" s="46" t="s">
        <v>4</v>
      </c>
      <c r="F9" s="45"/>
      <c r="G9" s="52"/>
      <c r="H9" s="75" t="s">
        <v>3</v>
      </c>
      <c r="I9" s="46" t="s">
        <v>4</v>
      </c>
      <c r="J9" s="75"/>
      <c r="K9" s="45"/>
      <c r="L9" s="75"/>
      <c r="M9" s="75"/>
      <c r="N9" s="5"/>
    </row>
    <row r="10" spans="2:14">
      <c r="B10" s="8"/>
      <c r="C10" s="52"/>
      <c r="D10" s="83" t="s">
        <v>70</v>
      </c>
      <c r="E10" s="104">
        <v>7.0000000000000007E-2</v>
      </c>
      <c r="F10" s="45"/>
      <c r="G10" s="52"/>
      <c r="H10" s="83" t="s">
        <v>70</v>
      </c>
      <c r="I10" s="104">
        <v>1E-3</v>
      </c>
      <c r="J10" s="75"/>
      <c r="K10" s="45"/>
      <c r="L10" s="75"/>
      <c r="M10" s="75"/>
      <c r="N10" s="5"/>
    </row>
    <row r="11" spans="2:14">
      <c r="B11" s="8"/>
      <c r="C11" s="52"/>
      <c r="D11" s="83" t="s">
        <v>71</v>
      </c>
      <c r="E11" s="104">
        <v>1E-3</v>
      </c>
      <c r="F11" s="45"/>
      <c r="G11" s="52"/>
      <c r="H11" s="83" t="s">
        <v>71</v>
      </c>
      <c r="I11" s="104">
        <v>1E-3</v>
      </c>
      <c r="J11" s="75"/>
      <c r="K11" s="45"/>
      <c r="L11" s="75"/>
      <c r="M11" s="75"/>
      <c r="N11" s="5"/>
    </row>
    <row r="12" spans="2:14">
      <c r="B12" s="8"/>
      <c r="C12" s="52"/>
      <c r="D12" s="53" t="s">
        <v>72</v>
      </c>
      <c r="E12" s="90">
        <v>4</v>
      </c>
      <c r="F12" s="45"/>
      <c r="G12" s="52"/>
      <c r="H12" s="53" t="s">
        <v>72</v>
      </c>
      <c r="I12" s="90">
        <v>4</v>
      </c>
      <c r="J12" s="75"/>
      <c r="K12" s="45"/>
      <c r="L12" s="75"/>
      <c r="M12" s="75"/>
      <c r="N12" s="5"/>
    </row>
    <row r="13" spans="2:14">
      <c r="B13" s="8"/>
      <c r="C13" s="52"/>
      <c r="D13" s="53" t="s">
        <v>73</v>
      </c>
      <c r="E13" s="90">
        <v>12</v>
      </c>
      <c r="F13" s="45"/>
      <c r="G13" s="52"/>
      <c r="H13" s="53" t="s">
        <v>73</v>
      </c>
      <c r="I13" s="90">
        <v>12</v>
      </c>
      <c r="J13" s="75"/>
      <c r="K13" s="45"/>
      <c r="L13" s="75"/>
      <c r="M13" s="75"/>
      <c r="N13" s="5"/>
    </row>
    <row r="14" spans="2:14">
      <c r="B14" s="8"/>
      <c r="C14" s="44"/>
      <c r="D14" s="75"/>
      <c r="E14" s="88"/>
      <c r="F14" s="45"/>
      <c r="G14" s="52"/>
      <c r="H14" s="75"/>
      <c r="I14" s="46"/>
      <c r="J14" s="75"/>
      <c r="K14" s="47"/>
      <c r="L14" s="75"/>
      <c r="M14" s="75"/>
      <c r="N14" s="5"/>
    </row>
    <row r="15" spans="2:14">
      <c r="B15" s="8"/>
      <c r="C15" s="44"/>
      <c r="D15" s="75"/>
      <c r="E15" s="46" t="s">
        <v>5</v>
      </c>
      <c r="F15" s="45"/>
      <c r="G15" s="52"/>
      <c r="H15" s="75"/>
      <c r="I15" s="46" t="s">
        <v>5</v>
      </c>
      <c r="J15" s="75"/>
      <c r="K15" s="47"/>
      <c r="L15" s="75"/>
      <c r="M15" s="75"/>
      <c r="N15" s="5"/>
    </row>
    <row r="16" spans="2:14">
      <c r="B16" s="8"/>
      <c r="C16" s="44"/>
      <c r="D16" s="75"/>
      <c r="E16" s="106">
        <f t="array" ref="E16:E34">_xll.HLV5r3.Financial.Cache.GetStrikeSchedule( E10, E11, E12, E13)</f>
        <v>7.0000000000000007E-2</v>
      </c>
      <c r="F16" s="45"/>
      <c r="G16" s="52"/>
      <c r="H16" s="75"/>
      <c r="I16" s="106">
        <f t="array" ref="I16:I34">_xll.HLV5r3.Financial.Cache.GetStrikeSchedule( I10, I11, I12, I13)</f>
        <v>1E-3</v>
      </c>
      <c r="J16" s="75"/>
      <c r="K16" s="47"/>
      <c r="L16" s="75"/>
      <c r="M16" s="75"/>
      <c r="N16" s="5"/>
    </row>
    <row r="17" spans="2:14">
      <c r="B17" s="8"/>
      <c r="C17" s="44"/>
      <c r="D17" s="75"/>
      <c r="E17" s="105">
        <v>7.0000000000000007E-2</v>
      </c>
      <c r="F17" s="45"/>
      <c r="G17" s="52"/>
      <c r="H17" s="75"/>
      <c r="I17" s="105">
        <v>1E-3</v>
      </c>
      <c r="J17" s="75"/>
      <c r="K17" s="47"/>
      <c r="L17" s="75"/>
      <c r="M17" s="75"/>
      <c r="N17" s="5"/>
    </row>
    <row r="18" spans="2:14">
      <c r="B18" s="8"/>
      <c r="C18" s="44"/>
      <c r="D18" s="75"/>
      <c r="E18" s="105">
        <v>7.0000000000000007E-2</v>
      </c>
      <c r="F18" s="45"/>
      <c r="G18" s="52"/>
      <c r="H18" s="75"/>
      <c r="I18" s="105">
        <v>1E-3</v>
      </c>
      <c r="J18" s="75"/>
      <c r="K18" s="47"/>
      <c r="L18" s="75"/>
      <c r="M18" s="75"/>
      <c r="N18" s="5"/>
    </row>
    <row r="19" spans="2:14">
      <c r="B19" s="8"/>
      <c r="C19" s="44"/>
      <c r="D19" s="75"/>
      <c r="E19" s="105">
        <v>7.0000000000000007E-2</v>
      </c>
      <c r="F19" s="45"/>
      <c r="G19" s="52"/>
      <c r="H19" s="75"/>
      <c r="I19" s="105">
        <v>1E-3</v>
      </c>
      <c r="J19" s="75"/>
      <c r="K19" s="47"/>
      <c r="L19" s="75"/>
      <c r="M19" s="75"/>
      <c r="N19" s="5"/>
    </row>
    <row r="20" spans="2:14">
      <c r="B20" s="8"/>
      <c r="C20" s="44"/>
      <c r="D20" s="75"/>
      <c r="E20" s="105">
        <v>7.1000000000000008E-2</v>
      </c>
      <c r="F20" s="45"/>
      <c r="G20" s="52"/>
      <c r="H20" s="75"/>
      <c r="I20" s="105">
        <v>2E-3</v>
      </c>
      <c r="J20" s="75"/>
      <c r="K20" s="47"/>
      <c r="L20" s="75"/>
      <c r="M20" s="75"/>
      <c r="N20" s="5"/>
    </row>
    <row r="21" spans="2:14">
      <c r="B21" s="8"/>
      <c r="C21" s="44"/>
      <c r="D21" s="75"/>
      <c r="E21" s="105">
        <v>7.1000000000000008E-2</v>
      </c>
      <c r="F21" s="45"/>
      <c r="G21" s="52"/>
      <c r="H21" s="75"/>
      <c r="I21" s="105">
        <v>2E-3</v>
      </c>
      <c r="J21" s="75"/>
      <c r="K21" s="47"/>
      <c r="L21" s="75"/>
      <c r="M21" s="75"/>
      <c r="N21" s="5"/>
    </row>
    <row r="22" spans="2:14">
      <c r="B22" s="8"/>
      <c r="C22" s="44"/>
      <c r="D22" s="75"/>
      <c r="E22" s="105">
        <v>7.1000000000000008E-2</v>
      </c>
      <c r="F22" s="45"/>
      <c r="G22" s="52"/>
      <c r="H22" s="75"/>
      <c r="I22" s="105">
        <v>2E-3</v>
      </c>
      <c r="J22" s="75"/>
      <c r="K22" s="47"/>
      <c r="L22" s="75"/>
      <c r="M22" s="75"/>
      <c r="N22" s="5"/>
    </row>
    <row r="23" spans="2:14">
      <c r="B23" s="8"/>
      <c r="C23" s="44"/>
      <c r="D23" s="75"/>
      <c r="E23" s="105">
        <v>7.1000000000000008E-2</v>
      </c>
      <c r="F23" s="45"/>
      <c r="G23" s="52"/>
      <c r="H23" s="75"/>
      <c r="I23" s="105">
        <v>2E-3</v>
      </c>
      <c r="J23" s="75"/>
      <c r="K23" s="47"/>
      <c r="L23" s="75"/>
      <c r="M23" s="75"/>
      <c r="N23" s="5"/>
    </row>
    <row r="24" spans="2:14">
      <c r="B24" s="8"/>
      <c r="C24" s="44"/>
      <c r="D24" s="75"/>
      <c r="E24" s="105">
        <v>7.2000000000000008E-2</v>
      </c>
      <c r="F24" s="45"/>
      <c r="G24" s="52"/>
      <c r="H24" s="75"/>
      <c r="I24" s="105">
        <v>3.0000000000000001E-3</v>
      </c>
      <c r="J24" s="75"/>
      <c r="K24" s="47"/>
      <c r="L24" s="75"/>
      <c r="M24" s="75"/>
      <c r="N24" s="5"/>
    </row>
    <row r="25" spans="2:14">
      <c r="B25" s="8"/>
      <c r="C25" s="44"/>
      <c r="D25" s="75"/>
      <c r="E25" s="105">
        <v>7.2000000000000008E-2</v>
      </c>
      <c r="F25" s="45"/>
      <c r="G25" s="52"/>
      <c r="H25" s="75"/>
      <c r="I25" s="105">
        <v>3.0000000000000001E-3</v>
      </c>
      <c r="J25" s="75"/>
      <c r="K25" s="47"/>
      <c r="L25" s="75"/>
      <c r="M25" s="75"/>
      <c r="N25" s="5"/>
    </row>
    <row r="26" spans="2:14">
      <c r="B26" s="8"/>
      <c r="C26" s="44"/>
      <c r="D26" s="75"/>
      <c r="E26" s="105">
        <v>7.2000000000000008E-2</v>
      </c>
      <c r="F26" s="45"/>
      <c r="G26" s="52"/>
      <c r="H26" s="75"/>
      <c r="I26" s="105">
        <v>3.0000000000000001E-3</v>
      </c>
      <c r="J26" s="75"/>
      <c r="K26" s="47"/>
      <c r="L26" s="75"/>
      <c r="M26" s="75"/>
      <c r="N26" s="5"/>
    </row>
    <row r="27" spans="2:14">
      <c r="B27" s="8"/>
      <c r="C27" s="44"/>
      <c r="D27" s="75"/>
      <c r="E27" s="105">
        <v>7.2000000000000008E-2</v>
      </c>
      <c r="F27" s="45"/>
      <c r="G27" s="52"/>
      <c r="H27" s="75"/>
      <c r="I27" s="105">
        <v>3.0000000000000001E-3</v>
      </c>
      <c r="J27" s="75"/>
      <c r="K27" s="47"/>
      <c r="L27" s="75"/>
      <c r="M27" s="75"/>
      <c r="N27" s="5"/>
    </row>
    <row r="28" spans="2:14">
      <c r="B28" s="8"/>
      <c r="C28" s="44"/>
      <c r="D28" s="75"/>
      <c r="E28" s="105" t="e">
        <v>#N/A</v>
      </c>
      <c r="F28" s="45"/>
      <c r="G28" s="52"/>
      <c r="H28" s="75"/>
      <c r="I28" s="105" t="e">
        <v>#N/A</v>
      </c>
      <c r="J28" s="75"/>
      <c r="K28" s="47"/>
      <c r="L28" s="75"/>
      <c r="M28" s="75"/>
      <c r="N28" s="5"/>
    </row>
    <row r="29" spans="2:14">
      <c r="B29" s="8"/>
      <c r="C29" s="44"/>
      <c r="D29" s="75"/>
      <c r="E29" s="105" t="e">
        <v>#N/A</v>
      </c>
      <c r="F29" s="45"/>
      <c r="G29" s="52"/>
      <c r="H29" s="75"/>
      <c r="I29" s="105" t="e">
        <v>#N/A</v>
      </c>
      <c r="J29" s="75"/>
      <c r="K29" s="47"/>
      <c r="L29" s="75"/>
      <c r="M29" s="75"/>
      <c r="N29" s="5"/>
    </row>
    <row r="30" spans="2:14">
      <c r="B30" s="8"/>
      <c r="C30" s="44"/>
      <c r="D30" s="75"/>
      <c r="E30" s="105" t="e">
        <v>#N/A</v>
      </c>
      <c r="F30" s="45"/>
      <c r="G30" s="52"/>
      <c r="H30" s="75"/>
      <c r="I30" s="105" t="e">
        <v>#N/A</v>
      </c>
      <c r="J30" s="75"/>
      <c r="K30" s="47"/>
      <c r="L30" s="75"/>
      <c r="M30" s="75"/>
      <c r="N30" s="5"/>
    </row>
    <row r="31" spans="2:14">
      <c r="B31" s="8"/>
      <c r="C31" s="44"/>
      <c r="D31" s="75"/>
      <c r="E31" s="105" t="e">
        <v>#N/A</v>
      </c>
      <c r="F31" s="45"/>
      <c r="G31" s="52"/>
      <c r="H31" s="75"/>
      <c r="I31" s="105" t="e">
        <v>#N/A</v>
      </c>
      <c r="J31" s="75"/>
      <c r="K31" s="47"/>
      <c r="L31" s="75"/>
      <c r="M31" s="75"/>
      <c r="N31" s="5"/>
    </row>
    <row r="32" spans="2:14">
      <c r="B32" s="8"/>
      <c r="C32" s="44"/>
      <c r="D32" s="75"/>
      <c r="E32" s="105" t="e">
        <v>#N/A</v>
      </c>
      <c r="F32" s="45"/>
      <c r="G32" s="52"/>
      <c r="H32" s="75"/>
      <c r="I32" s="105" t="e">
        <v>#N/A</v>
      </c>
      <c r="J32" s="75"/>
      <c r="K32" s="47"/>
      <c r="L32" s="75"/>
      <c r="M32" s="75"/>
      <c r="N32" s="5"/>
    </row>
    <row r="33" spans="2:14">
      <c r="B33" s="8"/>
      <c r="C33" s="44"/>
      <c r="D33" s="75"/>
      <c r="E33" s="105" t="e">
        <v>#N/A</v>
      </c>
      <c r="F33" s="45"/>
      <c r="G33" s="52"/>
      <c r="H33" s="75"/>
      <c r="I33" s="105" t="e">
        <v>#N/A</v>
      </c>
      <c r="J33" s="75"/>
      <c r="K33" s="47"/>
      <c r="L33" s="75"/>
      <c r="M33" s="75"/>
      <c r="N33" s="5"/>
    </row>
    <row r="34" spans="2:14">
      <c r="B34" s="8"/>
      <c r="C34" s="44"/>
      <c r="D34" s="75"/>
      <c r="E34" s="105" t="e">
        <v>#N/A</v>
      </c>
      <c r="F34" s="45"/>
      <c r="G34" s="52"/>
      <c r="H34" s="75"/>
      <c r="I34" s="105" t="e">
        <v>#N/A</v>
      </c>
      <c r="J34" s="75"/>
      <c r="K34" s="45"/>
      <c r="L34" s="75"/>
      <c r="M34" s="75"/>
      <c r="N34" s="5"/>
    </row>
    <row r="35" spans="2:14" ht="11.25" customHeight="1">
      <c r="B35" s="8"/>
      <c r="C35" s="44"/>
      <c r="D35" s="75"/>
      <c r="E35" s="46"/>
      <c r="F35" s="45"/>
      <c r="G35" s="52"/>
      <c r="H35" s="75"/>
      <c r="I35" s="46"/>
      <c r="J35" s="75"/>
      <c r="K35" s="45"/>
      <c r="L35" s="75"/>
      <c r="M35" s="75"/>
      <c r="N35" s="5"/>
    </row>
    <row r="36" spans="2:14" ht="13.5" thickBot="1">
      <c r="B36" s="8"/>
      <c r="C36" s="48"/>
      <c r="D36" s="77"/>
      <c r="E36" s="93"/>
      <c r="F36" s="50"/>
      <c r="G36" s="55"/>
      <c r="H36" s="77"/>
      <c r="I36" s="93"/>
      <c r="J36" s="49"/>
      <c r="K36" s="50"/>
      <c r="L36" s="75"/>
      <c r="M36" s="75"/>
      <c r="N36" s="5"/>
    </row>
    <row r="37" spans="2:14" ht="36">
      <c r="B37" s="8"/>
      <c r="C37" s="51"/>
      <c r="D37" s="41" t="s">
        <v>2</v>
      </c>
      <c r="E37" s="121" t="s">
        <v>98</v>
      </c>
      <c r="F37" s="43"/>
      <c r="G37" s="60"/>
      <c r="H37" s="41" t="s">
        <v>2</v>
      </c>
      <c r="I37" s="121" t="s">
        <v>99</v>
      </c>
      <c r="J37" s="76"/>
      <c r="K37" s="43"/>
      <c r="L37" s="75"/>
      <c r="M37" s="75"/>
      <c r="N37" s="5"/>
    </row>
    <row r="38" spans="2:14">
      <c r="B38" s="8"/>
      <c r="C38" s="52"/>
      <c r="D38" s="8"/>
      <c r="E38" s="88"/>
      <c r="F38" s="45"/>
      <c r="G38" s="52"/>
      <c r="H38" s="75"/>
      <c r="I38" s="46"/>
      <c r="J38" s="75"/>
      <c r="K38" s="45"/>
      <c r="L38" s="75"/>
      <c r="M38" s="75"/>
      <c r="N38" s="5"/>
    </row>
    <row r="39" spans="2:14">
      <c r="B39" s="8"/>
      <c r="C39" s="52"/>
      <c r="D39" s="75" t="s">
        <v>3</v>
      </c>
      <c r="E39" s="46" t="s">
        <v>4</v>
      </c>
      <c r="F39" s="45"/>
      <c r="G39" s="52"/>
      <c r="H39" s="75" t="s">
        <v>3</v>
      </c>
      <c r="I39" s="46" t="s">
        <v>4</v>
      </c>
      <c r="J39" s="75"/>
      <c r="K39" s="45"/>
      <c r="L39" s="75"/>
      <c r="M39" s="75"/>
      <c r="N39" s="5"/>
    </row>
    <row r="40" spans="2:14">
      <c r="B40" s="8"/>
      <c r="C40" s="52"/>
      <c r="D40" s="83" t="s">
        <v>70</v>
      </c>
      <c r="E40" s="116">
        <v>100000000</v>
      </c>
      <c r="F40" s="45"/>
      <c r="G40" s="52"/>
      <c r="H40" s="83" t="s">
        <v>70</v>
      </c>
      <c r="I40" s="116">
        <v>100000000</v>
      </c>
      <c r="J40" s="75"/>
      <c r="K40" s="45"/>
      <c r="L40" s="75"/>
      <c r="M40" s="75"/>
      <c r="N40" s="5"/>
    </row>
    <row r="41" spans="2:14">
      <c r="B41" s="8"/>
      <c r="C41" s="52"/>
      <c r="D41" s="83" t="s">
        <v>71</v>
      </c>
      <c r="E41" s="116">
        <v>10000000</v>
      </c>
      <c r="F41" s="45"/>
      <c r="G41" s="52"/>
      <c r="H41" s="83" t="s">
        <v>71</v>
      </c>
      <c r="I41" s="116">
        <v>-10000000</v>
      </c>
      <c r="J41" s="75"/>
      <c r="K41" s="45"/>
      <c r="L41" s="75"/>
      <c r="M41" s="75"/>
      <c r="N41" s="5"/>
    </row>
    <row r="42" spans="2:14">
      <c r="B42" s="8"/>
      <c r="C42" s="52"/>
      <c r="D42" s="53" t="s">
        <v>72</v>
      </c>
      <c r="E42" s="90">
        <v>4</v>
      </c>
      <c r="F42" s="45"/>
      <c r="G42" s="52"/>
      <c r="H42" s="53" t="s">
        <v>72</v>
      </c>
      <c r="I42" s="90">
        <v>2</v>
      </c>
      <c r="J42" s="75"/>
      <c r="K42" s="45"/>
      <c r="L42" s="75"/>
      <c r="M42" s="75"/>
      <c r="N42" s="5"/>
    </row>
    <row r="43" spans="2:14" ht="12.75" customHeight="1">
      <c r="B43" s="8"/>
      <c r="C43" s="52"/>
      <c r="D43" s="53" t="s">
        <v>73</v>
      </c>
      <c r="E43" s="90">
        <v>16</v>
      </c>
      <c r="F43" s="45"/>
      <c r="G43" s="52"/>
      <c r="H43" s="53" t="s">
        <v>73</v>
      </c>
      <c r="I43" s="90">
        <v>16</v>
      </c>
      <c r="J43" s="75"/>
      <c r="K43" s="45"/>
      <c r="L43" s="75"/>
      <c r="M43" s="75"/>
      <c r="N43" s="5"/>
    </row>
    <row r="44" spans="2:14" ht="13.5" customHeight="1">
      <c r="B44" s="8"/>
      <c r="C44" s="44"/>
      <c r="D44" s="75"/>
      <c r="E44" s="88"/>
      <c r="F44" s="45"/>
      <c r="G44" s="52"/>
      <c r="H44" s="75"/>
      <c r="I44" s="88"/>
      <c r="J44" s="75"/>
      <c r="K44" s="47"/>
      <c r="L44" s="75"/>
      <c r="M44" s="75"/>
      <c r="N44" s="5"/>
    </row>
    <row r="45" spans="2:14">
      <c r="B45" s="8"/>
      <c r="C45" s="44"/>
      <c r="D45" s="75"/>
      <c r="E45" s="46" t="s">
        <v>5</v>
      </c>
      <c r="F45" s="45"/>
      <c r="G45" s="52"/>
      <c r="H45" s="75"/>
      <c r="I45" s="46" t="s">
        <v>5</v>
      </c>
      <c r="J45" s="75"/>
      <c r="K45" s="47"/>
      <c r="L45" s="75"/>
      <c r="M45" s="75"/>
      <c r="N45" s="5"/>
    </row>
    <row r="46" spans="2:14">
      <c r="B46" s="8"/>
      <c r="C46" s="44"/>
      <c r="D46" s="75"/>
      <c r="E46" s="107">
        <f t="array" ref="E46:E64">_xll.HLV5r3.Financial.Cache.GetNotionalSchedule( E40, E41, E42, E43)</f>
        <v>100000000</v>
      </c>
      <c r="F46" s="45"/>
      <c r="G46" s="52"/>
      <c r="H46" s="75"/>
      <c r="I46" s="107">
        <f t="array" ref="I46:I64">_xll.HLV5r3.Financial.Cache.GetNotionalSchedule( I40, I41, I42, I43)</f>
        <v>100000000</v>
      </c>
      <c r="J46" s="75"/>
      <c r="K46" s="47"/>
      <c r="L46" s="75"/>
      <c r="M46" s="75"/>
      <c r="N46" s="5"/>
    </row>
    <row r="47" spans="2:14">
      <c r="B47" s="8"/>
      <c r="C47" s="44"/>
      <c r="D47" s="75"/>
      <c r="E47" s="107">
        <v>100000000</v>
      </c>
      <c r="F47" s="45"/>
      <c r="G47" s="52"/>
      <c r="H47" s="75"/>
      <c r="I47" s="107">
        <v>100000000</v>
      </c>
      <c r="J47" s="75"/>
      <c r="K47" s="47"/>
      <c r="L47" s="75"/>
      <c r="M47" s="75"/>
      <c r="N47" s="5"/>
    </row>
    <row r="48" spans="2:14">
      <c r="B48" s="8"/>
      <c r="C48" s="44"/>
      <c r="D48" s="75"/>
      <c r="E48" s="107">
        <v>100000000</v>
      </c>
      <c r="F48" s="45"/>
      <c r="G48" s="52"/>
      <c r="H48" s="75"/>
      <c r="I48" s="107">
        <v>90000000</v>
      </c>
      <c r="J48" s="75"/>
      <c r="K48" s="47"/>
      <c r="L48" s="75"/>
      <c r="M48" s="75"/>
      <c r="N48" s="5"/>
    </row>
    <row r="49" spans="2:14">
      <c r="B49" s="8"/>
      <c r="C49" s="44"/>
      <c r="D49" s="75"/>
      <c r="E49" s="107">
        <v>100000000</v>
      </c>
      <c r="F49" s="45"/>
      <c r="G49" s="52"/>
      <c r="H49" s="75"/>
      <c r="I49" s="107">
        <v>90000000</v>
      </c>
      <c r="J49" s="75"/>
      <c r="K49" s="47"/>
      <c r="L49" s="75"/>
      <c r="M49" s="75"/>
      <c r="N49" s="5"/>
    </row>
    <row r="50" spans="2:14">
      <c r="B50" s="8"/>
      <c r="C50" s="44"/>
      <c r="D50" s="75"/>
      <c r="E50" s="107">
        <v>110000000</v>
      </c>
      <c r="F50" s="45"/>
      <c r="G50" s="52"/>
      <c r="H50" s="75"/>
      <c r="I50" s="107">
        <v>80000000</v>
      </c>
      <c r="J50" s="75"/>
      <c r="K50" s="47"/>
      <c r="L50" s="75"/>
      <c r="M50" s="75"/>
      <c r="N50" s="5"/>
    </row>
    <row r="51" spans="2:14">
      <c r="B51" s="8"/>
      <c r="C51" s="44"/>
      <c r="D51" s="75"/>
      <c r="E51" s="107">
        <v>110000000</v>
      </c>
      <c r="F51" s="45"/>
      <c r="G51" s="52"/>
      <c r="H51" s="75"/>
      <c r="I51" s="107">
        <v>80000000</v>
      </c>
      <c r="J51" s="75"/>
      <c r="K51" s="47"/>
      <c r="L51" s="75"/>
      <c r="M51" s="75"/>
      <c r="N51" s="5"/>
    </row>
    <row r="52" spans="2:14">
      <c r="B52" s="8"/>
      <c r="C52" s="44"/>
      <c r="D52" s="75"/>
      <c r="E52" s="107">
        <v>110000000</v>
      </c>
      <c r="F52" s="45"/>
      <c r="G52" s="52"/>
      <c r="H52" s="75"/>
      <c r="I52" s="107">
        <v>70000000</v>
      </c>
      <c r="J52" s="75"/>
      <c r="K52" s="47"/>
      <c r="L52" s="75"/>
      <c r="M52" s="75"/>
      <c r="N52" s="5"/>
    </row>
    <row r="53" spans="2:14">
      <c r="B53" s="8"/>
      <c r="C53" s="44"/>
      <c r="D53" s="75"/>
      <c r="E53" s="107">
        <v>110000000</v>
      </c>
      <c r="F53" s="45"/>
      <c r="G53" s="52"/>
      <c r="H53" s="75"/>
      <c r="I53" s="107">
        <v>70000000</v>
      </c>
      <c r="J53" s="75"/>
      <c r="K53" s="47"/>
      <c r="L53" s="75"/>
      <c r="M53" s="75"/>
      <c r="N53" s="5"/>
    </row>
    <row r="54" spans="2:14">
      <c r="B54" s="8"/>
      <c r="C54" s="44"/>
      <c r="D54" s="75"/>
      <c r="E54" s="107">
        <v>120000000</v>
      </c>
      <c r="F54" s="45"/>
      <c r="G54" s="52"/>
      <c r="H54" s="75"/>
      <c r="I54" s="107">
        <v>60000000</v>
      </c>
      <c r="J54" s="75"/>
      <c r="K54" s="47"/>
      <c r="L54" s="75"/>
      <c r="M54" s="75"/>
      <c r="N54" s="5"/>
    </row>
    <row r="55" spans="2:14">
      <c r="B55" s="8"/>
      <c r="C55" s="44"/>
      <c r="D55" s="75"/>
      <c r="E55" s="107">
        <v>120000000</v>
      </c>
      <c r="F55" s="45"/>
      <c r="G55" s="52"/>
      <c r="H55" s="75"/>
      <c r="I55" s="107">
        <v>60000000</v>
      </c>
      <c r="J55" s="75"/>
      <c r="K55" s="47"/>
      <c r="L55" s="75"/>
      <c r="M55" s="75"/>
      <c r="N55" s="5"/>
    </row>
    <row r="56" spans="2:14">
      <c r="B56" s="8"/>
      <c r="C56" s="44"/>
      <c r="D56" s="75"/>
      <c r="E56" s="107">
        <v>120000000</v>
      </c>
      <c r="F56" s="45"/>
      <c r="G56" s="52"/>
      <c r="H56" s="75"/>
      <c r="I56" s="107">
        <v>50000000</v>
      </c>
      <c r="J56" s="75"/>
      <c r="K56" s="47"/>
      <c r="L56" s="75"/>
      <c r="M56" s="75"/>
      <c r="N56" s="5"/>
    </row>
    <row r="57" spans="2:14">
      <c r="B57" s="8"/>
      <c r="C57" s="44"/>
      <c r="D57" s="75"/>
      <c r="E57" s="107">
        <v>120000000</v>
      </c>
      <c r="F57" s="45"/>
      <c r="G57" s="52"/>
      <c r="H57" s="75"/>
      <c r="I57" s="107">
        <v>50000000</v>
      </c>
      <c r="J57" s="75"/>
      <c r="K57" s="47"/>
      <c r="L57" s="75"/>
      <c r="M57" s="75"/>
      <c r="N57" s="5"/>
    </row>
    <row r="58" spans="2:14">
      <c r="B58" s="8"/>
      <c r="C58" s="44"/>
      <c r="D58" s="75"/>
      <c r="E58" s="107">
        <v>130000000</v>
      </c>
      <c r="F58" s="45"/>
      <c r="G58" s="52"/>
      <c r="H58" s="75"/>
      <c r="I58" s="107">
        <v>40000000</v>
      </c>
      <c r="J58" s="75"/>
      <c r="K58" s="47"/>
      <c r="L58" s="75"/>
      <c r="M58" s="75"/>
      <c r="N58" s="5"/>
    </row>
    <row r="59" spans="2:14">
      <c r="B59" s="8"/>
      <c r="C59" s="44"/>
      <c r="D59" s="75"/>
      <c r="E59" s="107">
        <v>130000000</v>
      </c>
      <c r="F59" s="45"/>
      <c r="G59" s="52"/>
      <c r="H59" s="75"/>
      <c r="I59" s="107">
        <v>40000000</v>
      </c>
      <c r="J59" s="75"/>
      <c r="K59" s="47"/>
      <c r="L59" s="75"/>
      <c r="M59" s="75"/>
      <c r="N59" s="5"/>
    </row>
    <row r="60" spans="2:14">
      <c r="B60" s="8"/>
      <c r="C60" s="44"/>
      <c r="D60" s="75"/>
      <c r="E60" s="107">
        <v>130000000</v>
      </c>
      <c r="F60" s="45"/>
      <c r="G60" s="52"/>
      <c r="H60" s="75"/>
      <c r="I60" s="107">
        <v>30000000</v>
      </c>
      <c r="J60" s="75"/>
      <c r="K60" s="47"/>
      <c r="L60" s="75"/>
      <c r="M60" s="75"/>
      <c r="N60" s="5"/>
    </row>
    <row r="61" spans="2:14" ht="14.25" customHeight="1">
      <c r="B61" s="8"/>
      <c r="C61" s="44"/>
      <c r="D61" s="75"/>
      <c r="E61" s="107">
        <v>130000000</v>
      </c>
      <c r="F61" s="45"/>
      <c r="G61" s="52"/>
      <c r="H61" s="75"/>
      <c r="I61" s="107">
        <v>30000000</v>
      </c>
      <c r="J61" s="75"/>
      <c r="K61" s="47"/>
      <c r="L61" s="75"/>
      <c r="M61" s="75"/>
      <c r="N61" s="5"/>
    </row>
    <row r="62" spans="2:14">
      <c r="B62" s="8"/>
      <c r="C62" s="44"/>
      <c r="D62" s="75"/>
      <c r="E62" s="107" t="e">
        <v>#N/A</v>
      </c>
      <c r="F62" s="45"/>
      <c r="G62" s="52"/>
      <c r="H62" s="75"/>
      <c r="I62" s="107" t="e">
        <v>#N/A</v>
      </c>
      <c r="J62" s="75"/>
      <c r="K62" s="47"/>
      <c r="L62" s="75"/>
      <c r="M62" s="75"/>
      <c r="N62" s="5"/>
    </row>
    <row r="63" spans="2:14">
      <c r="B63" s="8"/>
      <c r="C63" s="44"/>
      <c r="D63" s="75"/>
      <c r="E63" s="107" t="e">
        <v>#N/A</v>
      </c>
      <c r="F63" s="45"/>
      <c r="G63" s="52"/>
      <c r="H63" s="75"/>
      <c r="I63" s="107" t="e">
        <v>#N/A</v>
      </c>
      <c r="J63" s="75"/>
      <c r="K63" s="47"/>
      <c r="L63" s="75"/>
      <c r="M63" s="75"/>
      <c r="N63" s="5"/>
    </row>
    <row r="64" spans="2:14">
      <c r="B64" s="8"/>
      <c r="C64" s="44"/>
      <c r="D64" s="75"/>
      <c r="E64" s="107" t="e">
        <v>#N/A</v>
      </c>
      <c r="F64" s="45"/>
      <c r="G64" s="52"/>
      <c r="H64" s="75"/>
      <c r="I64" s="107" t="e">
        <v>#N/A</v>
      </c>
      <c r="J64" s="75"/>
      <c r="K64" s="45"/>
      <c r="L64" s="75"/>
      <c r="M64" s="75"/>
      <c r="N64" s="5"/>
    </row>
    <row r="65" spans="2:14">
      <c r="B65" s="8"/>
      <c r="C65" s="44"/>
      <c r="D65" s="75"/>
      <c r="E65" s="46"/>
      <c r="F65" s="45"/>
      <c r="G65" s="52"/>
      <c r="H65" s="75"/>
      <c r="I65" s="46"/>
      <c r="J65" s="75"/>
      <c r="K65" s="45"/>
      <c r="L65" s="75"/>
      <c r="M65" s="75"/>
      <c r="N65" s="5"/>
    </row>
    <row r="66" spans="2:14" ht="13.5" thickBot="1">
      <c r="B66" s="8"/>
      <c r="C66" s="44"/>
      <c r="D66" s="75"/>
      <c r="E66" s="93"/>
      <c r="F66" s="45"/>
      <c r="G66" s="52"/>
      <c r="H66" s="75"/>
      <c r="I66" s="46"/>
      <c r="J66" s="8"/>
      <c r="K66" s="45"/>
      <c r="L66" s="75"/>
      <c r="M66" s="75"/>
      <c r="N66" s="5"/>
    </row>
    <row r="67" spans="2:14" ht="24">
      <c r="B67" s="8"/>
      <c r="C67" s="40"/>
      <c r="D67" s="41" t="s">
        <v>2</v>
      </c>
      <c r="E67" s="121" t="s">
        <v>101</v>
      </c>
      <c r="F67" s="42"/>
      <c r="G67" s="42"/>
      <c r="H67" s="42"/>
      <c r="I67" s="42"/>
      <c r="J67" s="59"/>
      <c r="K67" s="43"/>
      <c r="L67" s="75"/>
      <c r="M67" s="75"/>
      <c r="N67" s="5"/>
    </row>
    <row r="68" spans="2:14">
      <c r="B68" s="8"/>
      <c r="C68" s="44"/>
      <c r="D68" s="75"/>
      <c r="E68" s="46"/>
      <c r="F68" s="46"/>
      <c r="G68" s="46"/>
      <c r="H68" s="46"/>
      <c r="I68" s="88"/>
      <c r="J68" s="8"/>
      <c r="K68" s="45"/>
      <c r="L68" s="75"/>
      <c r="M68" s="75"/>
      <c r="N68" s="5"/>
    </row>
    <row r="69" spans="2:14">
      <c r="B69" s="8"/>
      <c r="C69" s="44"/>
      <c r="D69" s="75" t="s">
        <v>3</v>
      </c>
      <c r="E69" s="46" t="s">
        <v>4</v>
      </c>
      <c r="F69" s="46"/>
      <c r="G69" s="46"/>
      <c r="H69" s="46"/>
      <c r="I69" s="88"/>
      <c r="J69" s="8"/>
      <c r="K69" s="45"/>
      <c r="L69" s="75"/>
      <c r="M69" s="75"/>
      <c r="N69" s="5"/>
    </row>
    <row r="70" spans="2:14">
      <c r="B70" s="8"/>
      <c r="C70" s="44"/>
      <c r="D70" s="83" t="s">
        <v>74</v>
      </c>
      <c r="E70" s="115">
        <v>39087</v>
      </c>
      <c r="F70" s="46"/>
      <c r="G70" s="46"/>
      <c r="H70" s="46"/>
      <c r="I70" s="46" t="s">
        <v>5</v>
      </c>
      <c r="J70" s="8"/>
      <c r="K70" s="45"/>
      <c r="L70" s="75"/>
      <c r="M70" s="75"/>
      <c r="N70" s="5"/>
    </row>
    <row r="71" spans="2:14">
      <c r="B71" s="8"/>
      <c r="C71" s="44"/>
      <c r="D71" s="83" t="s">
        <v>14</v>
      </c>
      <c r="E71" s="116" t="str">
        <f>'Calendar Rule Data'!J8</f>
        <v>Brisbane</v>
      </c>
      <c r="F71" s="46"/>
      <c r="G71" s="46"/>
      <c r="H71" s="46"/>
      <c r="I71" s="78">
        <f t="array" ref="I71:I93">_xll.HLV5r3.Financial.Cache.GetMetaDatesSchedule( E73:G84, E70, E71, E72)</f>
        <v>39198</v>
      </c>
      <c r="J71" s="8"/>
      <c r="K71" s="45"/>
      <c r="L71" s="75"/>
      <c r="M71" s="75"/>
      <c r="N71" s="5"/>
    </row>
    <row r="72" spans="2:14">
      <c r="B72" s="8"/>
      <c r="C72" s="44"/>
      <c r="D72" s="53" t="s">
        <v>24</v>
      </c>
      <c r="E72" s="90" t="s">
        <v>23</v>
      </c>
      <c r="F72" s="46"/>
      <c r="G72" s="46"/>
      <c r="H72" s="46"/>
      <c r="I72" s="78">
        <v>39289</v>
      </c>
      <c r="J72" s="8"/>
      <c r="K72" s="45"/>
      <c r="L72" s="75"/>
      <c r="M72" s="75"/>
      <c r="N72" s="5"/>
    </row>
    <row r="73" spans="2:14">
      <c r="B73" s="8"/>
      <c r="C73" s="44"/>
      <c r="D73" s="53" t="s">
        <v>75</v>
      </c>
      <c r="E73" s="90" t="s">
        <v>41</v>
      </c>
      <c r="F73" s="90" t="s">
        <v>41</v>
      </c>
      <c r="G73" s="90">
        <v>26</v>
      </c>
      <c r="H73" s="46"/>
      <c r="I73" s="78">
        <v>39381</v>
      </c>
      <c r="J73" s="8"/>
      <c r="K73" s="45"/>
      <c r="L73" s="75"/>
      <c r="M73" s="75"/>
      <c r="N73" s="5"/>
    </row>
    <row r="74" spans="2:14">
      <c r="B74" s="8"/>
      <c r="C74" s="44"/>
      <c r="D74" s="53" t="s">
        <v>75</v>
      </c>
      <c r="E74" s="90" t="s">
        <v>41</v>
      </c>
      <c r="F74" s="90" t="s">
        <v>41</v>
      </c>
      <c r="G74" s="90">
        <v>26</v>
      </c>
      <c r="H74" s="46"/>
      <c r="I74" s="78">
        <v>39476</v>
      </c>
      <c r="J74" s="8"/>
      <c r="K74" s="45"/>
      <c r="L74" s="75"/>
      <c r="M74" s="75"/>
      <c r="N74" s="5"/>
    </row>
    <row r="75" spans="2:14">
      <c r="B75" s="8"/>
      <c r="C75" s="44"/>
      <c r="D75" s="53" t="s">
        <v>75</v>
      </c>
      <c r="E75" s="90" t="s">
        <v>41</v>
      </c>
      <c r="F75" s="90" t="s">
        <v>41</v>
      </c>
      <c r="G75" s="90">
        <v>26</v>
      </c>
      <c r="H75" s="46"/>
      <c r="I75" s="78">
        <v>39566</v>
      </c>
      <c r="J75" s="8"/>
      <c r="K75" s="45"/>
      <c r="L75" s="75"/>
      <c r="M75" s="75"/>
      <c r="N75" s="5"/>
    </row>
    <row r="76" spans="2:14">
      <c r="B76" s="8"/>
      <c r="C76" s="44"/>
      <c r="D76" s="53" t="s">
        <v>75</v>
      </c>
      <c r="E76" s="90" t="s">
        <v>41</v>
      </c>
      <c r="F76" s="90" t="s">
        <v>41</v>
      </c>
      <c r="G76" s="90">
        <v>26</v>
      </c>
      <c r="H76" s="46"/>
      <c r="I76" s="78">
        <v>39657</v>
      </c>
      <c r="J76" s="8"/>
      <c r="K76" s="45"/>
      <c r="L76" s="75"/>
      <c r="M76" s="75"/>
      <c r="N76" s="5"/>
    </row>
    <row r="77" spans="2:14">
      <c r="B77" s="8"/>
      <c r="C77" s="44"/>
      <c r="D77" s="53" t="s">
        <v>75</v>
      </c>
      <c r="E77" s="90" t="s">
        <v>41</v>
      </c>
      <c r="F77" s="90" t="s">
        <v>41</v>
      </c>
      <c r="G77" s="90">
        <v>26</v>
      </c>
      <c r="H77" s="46"/>
      <c r="I77" s="78">
        <v>39748</v>
      </c>
      <c r="J77" s="8"/>
      <c r="K77" s="45"/>
      <c r="L77" s="75"/>
      <c r="M77" s="75"/>
      <c r="N77" s="5"/>
    </row>
    <row r="78" spans="2:14">
      <c r="B78" s="8"/>
      <c r="C78" s="44"/>
      <c r="D78" s="53" t="s">
        <v>75</v>
      </c>
      <c r="E78" s="90" t="s">
        <v>41</v>
      </c>
      <c r="F78" s="90" t="s">
        <v>41</v>
      </c>
      <c r="G78" s="90">
        <v>26</v>
      </c>
      <c r="H78" s="46"/>
      <c r="I78" s="78">
        <v>39840</v>
      </c>
      <c r="J78" s="8"/>
      <c r="K78" s="45"/>
      <c r="L78" s="75"/>
      <c r="M78" s="75"/>
      <c r="N78" s="5"/>
    </row>
    <row r="79" spans="2:14">
      <c r="B79" s="8"/>
      <c r="C79" s="44"/>
      <c r="D79" s="53" t="s">
        <v>75</v>
      </c>
      <c r="E79" s="90" t="s">
        <v>41</v>
      </c>
      <c r="F79" s="90" t="s">
        <v>41</v>
      </c>
      <c r="G79" s="90">
        <v>26</v>
      </c>
      <c r="H79" s="46"/>
      <c r="I79" s="78">
        <v>39930</v>
      </c>
      <c r="J79" s="8"/>
      <c r="K79" s="45"/>
      <c r="L79" s="75"/>
      <c r="M79" s="75"/>
      <c r="N79" s="5"/>
    </row>
    <row r="80" spans="2:14">
      <c r="B80" s="8"/>
      <c r="C80" s="80"/>
      <c r="D80" s="53" t="s">
        <v>75</v>
      </c>
      <c r="E80" s="90" t="s">
        <v>41</v>
      </c>
      <c r="F80" s="90" t="s">
        <v>41</v>
      </c>
      <c r="G80" s="90">
        <v>26</v>
      </c>
      <c r="H80" s="46"/>
      <c r="I80" s="78">
        <v>40021</v>
      </c>
      <c r="J80" s="8"/>
      <c r="K80" s="45"/>
      <c r="L80" s="75"/>
      <c r="M80" s="75"/>
      <c r="N80" s="5"/>
    </row>
    <row r="81" spans="2:14">
      <c r="B81" s="8"/>
      <c r="C81" s="80"/>
      <c r="D81" s="53" t="s">
        <v>75</v>
      </c>
      <c r="E81" s="90" t="s">
        <v>41</v>
      </c>
      <c r="F81" s="90" t="s">
        <v>41</v>
      </c>
      <c r="G81" s="90">
        <v>26</v>
      </c>
      <c r="H81" s="46"/>
      <c r="I81" s="78">
        <v>40112</v>
      </c>
      <c r="J81" s="8"/>
      <c r="K81" s="45"/>
      <c r="L81" s="75"/>
      <c r="M81" s="75"/>
      <c r="N81" s="5"/>
    </row>
    <row r="82" spans="2:14">
      <c r="B82" s="8"/>
      <c r="C82" s="52"/>
      <c r="D82" s="53" t="s">
        <v>75</v>
      </c>
      <c r="E82" s="90" t="s">
        <v>41</v>
      </c>
      <c r="F82" s="90" t="s">
        <v>41</v>
      </c>
      <c r="G82" s="90">
        <v>26</v>
      </c>
      <c r="H82" s="46"/>
      <c r="I82" s="78">
        <v>40205</v>
      </c>
      <c r="J82" s="8"/>
      <c r="K82" s="45"/>
      <c r="L82" s="75"/>
      <c r="M82" s="75"/>
      <c r="N82" s="5"/>
    </row>
    <row r="83" spans="2:14">
      <c r="B83" s="8"/>
      <c r="C83" s="52"/>
      <c r="D83" s="53" t="s">
        <v>75</v>
      </c>
      <c r="E83" s="90" t="s">
        <v>41</v>
      </c>
      <c r="F83" s="90" t="s">
        <v>41</v>
      </c>
      <c r="G83" s="90">
        <v>26</v>
      </c>
      <c r="H83" s="46"/>
      <c r="I83" s="78" t="e">
        <v>#N/A</v>
      </c>
      <c r="J83" s="8"/>
      <c r="K83" s="45"/>
      <c r="L83" s="75"/>
      <c r="M83" s="75"/>
      <c r="N83" s="5"/>
    </row>
    <row r="84" spans="2:14">
      <c r="B84" s="8"/>
      <c r="C84" s="52"/>
      <c r="D84" s="53" t="s">
        <v>75</v>
      </c>
      <c r="E84" s="90" t="s">
        <v>41</v>
      </c>
      <c r="F84" s="90" t="s">
        <v>41</v>
      </c>
      <c r="G84" s="90">
        <v>26</v>
      </c>
      <c r="H84" s="46"/>
      <c r="I84" s="78" t="e">
        <v>#N/A</v>
      </c>
      <c r="J84" s="8"/>
      <c r="K84" s="45"/>
      <c r="L84" s="75"/>
      <c r="M84" s="75"/>
      <c r="N84" s="5"/>
    </row>
    <row r="85" spans="2:14">
      <c r="B85" s="8"/>
      <c r="C85" s="52"/>
      <c r="D85" s="75"/>
      <c r="E85" s="46"/>
      <c r="F85" s="46"/>
      <c r="G85" s="46"/>
      <c r="H85" s="46"/>
      <c r="I85" s="78" t="e">
        <v>#N/A</v>
      </c>
      <c r="J85" s="8"/>
      <c r="K85" s="45"/>
      <c r="L85" s="75"/>
      <c r="M85" s="75"/>
      <c r="N85" s="5"/>
    </row>
    <row r="86" spans="2:14">
      <c r="B86" s="8"/>
      <c r="C86" s="52"/>
      <c r="D86" s="75"/>
      <c r="E86" s="46"/>
      <c r="F86" s="46"/>
      <c r="G86" s="46"/>
      <c r="H86" s="46"/>
      <c r="I86" s="78" t="e">
        <v>#N/A</v>
      </c>
      <c r="J86" s="8"/>
      <c r="K86" s="45"/>
      <c r="L86" s="75"/>
      <c r="M86" s="75"/>
      <c r="N86" s="5"/>
    </row>
    <row r="87" spans="2:14">
      <c r="B87" s="8"/>
      <c r="C87" s="52"/>
      <c r="D87" s="75"/>
      <c r="E87" s="46"/>
      <c r="F87" s="46"/>
      <c r="G87" s="46"/>
      <c r="H87" s="46"/>
      <c r="I87" s="78" t="e">
        <v>#N/A</v>
      </c>
      <c r="J87" s="8"/>
      <c r="K87" s="45"/>
      <c r="L87" s="75"/>
      <c r="M87" s="75"/>
      <c r="N87" s="5"/>
    </row>
    <row r="88" spans="2:14">
      <c r="B88" s="8"/>
      <c r="C88" s="52"/>
      <c r="D88" s="75"/>
      <c r="E88" s="46"/>
      <c r="F88" s="46"/>
      <c r="G88" s="46"/>
      <c r="H88" s="46"/>
      <c r="I88" s="78" t="e">
        <v>#N/A</v>
      </c>
      <c r="J88" s="8"/>
      <c r="K88" s="45"/>
      <c r="L88" s="75"/>
      <c r="M88" s="75"/>
      <c r="N88" s="5"/>
    </row>
    <row r="89" spans="2:14">
      <c r="B89" s="8"/>
      <c r="C89" s="52"/>
      <c r="D89" s="75"/>
      <c r="E89" s="46"/>
      <c r="F89" s="46"/>
      <c r="G89" s="46"/>
      <c r="H89" s="46"/>
      <c r="I89" s="78" t="e">
        <v>#N/A</v>
      </c>
      <c r="J89" s="8"/>
      <c r="K89" s="45"/>
      <c r="L89" s="75"/>
      <c r="M89" s="75"/>
      <c r="N89" s="5"/>
    </row>
    <row r="90" spans="2:14">
      <c r="B90" s="8"/>
      <c r="C90" s="52"/>
      <c r="D90" s="75"/>
      <c r="E90" s="46"/>
      <c r="F90" s="46"/>
      <c r="G90" s="46"/>
      <c r="H90" s="46"/>
      <c r="I90" s="78" t="e">
        <v>#N/A</v>
      </c>
      <c r="J90" s="8"/>
      <c r="K90" s="45"/>
      <c r="L90" s="75"/>
      <c r="M90" s="75"/>
      <c r="N90" s="5"/>
    </row>
    <row r="91" spans="2:14">
      <c r="B91" s="8"/>
      <c r="C91" s="52"/>
      <c r="D91" s="75"/>
      <c r="E91" s="46"/>
      <c r="F91" s="46"/>
      <c r="G91" s="46"/>
      <c r="H91" s="46"/>
      <c r="I91" s="78" t="e">
        <v>#N/A</v>
      </c>
      <c r="J91" s="8"/>
      <c r="K91" s="45"/>
      <c r="L91" s="75"/>
      <c r="M91" s="75"/>
      <c r="N91" s="5"/>
    </row>
    <row r="92" spans="2:14">
      <c r="B92" s="8"/>
      <c r="C92" s="52"/>
      <c r="D92" s="75"/>
      <c r="E92" s="46"/>
      <c r="F92" s="46"/>
      <c r="G92" s="46"/>
      <c r="H92" s="46"/>
      <c r="I92" s="78" t="e">
        <v>#N/A</v>
      </c>
      <c r="J92" s="8"/>
      <c r="K92" s="45"/>
      <c r="L92" s="75"/>
      <c r="M92" s="75"/>
      <c r="N92" s="5"/>
    </row>
    <row r="93" spans="2:14">
      <c r="B93" s="8"/>
      <c r="C93" s="52"/>
      <c r="D93" s="75"/>
      <c r="E93" s="46"/>
      <c r="F93" s="46"/>
      <c r="G93" s="46"/>
      <c r="H93" s="46"/>
      <c r="I93" s="78" t="e">
        <v>#N/A</v>
      </c>
      <c r="J93" s="8"/>
      <c r="K93" s="45"/>
      <c r="L93" s="75"/>
      <c r="M93" s="75"/>
      <c r="N93" s="5"/>
    </row>
    <row r="94" spans="2:14">
      <c r="B94" s="8"/>
      <c r="C94" s="52"/>
      <c r="D94" s="8"/>
      <c r="E94" s="46"/>
      <c r="F94" s="46"/>
      <c r="G94" s="46"/>
      <c r="H94" s="46"/>
      <c r="I94" s="88"/>
      <c r="J94" s="8"/>
      <c r="K94" s="45"/>
      <c r="L94" s="75"/>
      <c r="M94" s="75"/>
      <c r="N94" s="5"/>
    </row>
    <row r="95" spans="2:14">
      <c r="B95" s="8"/>
      <c r="C95" s="52"/>
      <c r="D95" s="8"/>
      <c r="E95" s="46"/>
      <c r="F95" s="46"/>
      <c r="G95" s="46"/>
      <c r="H95" s="46"/>
      <c r="I95" s="88"/>
      <c r="J95" s="8"/>
      <c r="K95" s="45"/>
      <c r="L95" s="75"/>
      <c r="M95" s="75"/>
      <c r="N95" s="5"/>
    </row>
    <row r="96" spans="2:14" ht="13.5" thickBot="1">
      <c r="B96" s="8"/>
      <c r="C96" s="55"/>
      <c r="D96" s="49"/>
      <c r="E96" s="93"/>
      <c r="F96" s="93"/>
      <c r="G96" s="93"/>
      <c r="H96" s="93"/>
      <c r="I96" s="96"/>
      <c r="J96" s="49"/>
      <c r="K96" s="50"/>
      <c r="L96" s="75"/>
      <c r="M96" s="75"/>
      <c r="N96" s="5"/>
    </row>
    <row r="97" spans="2:14" ht="36">
      <c r="B97" s="8"/>
      <c r="C97" s="60"/>
      <c r="D97" s="41" t="s">
        <v>2</v>
      </c>
      <c r="E97" s="121" t="s">
        <v>100</v>
      </c>
      <c r="F97" s="111"/>
      <c r="G97" s="111"/>
      <c r="H97" s="111"/>
      <c r="I97" s="112"/>
      <c r="J97" s="59"/>
      <c r="K97" s="43"/>
      <c r="L97" s="75"/>
      <c r="M97" s="75"/>
      <c r="N97" s="5"/>
    </row>
    <row r="98" spans="2:14">
      <c r="B98" s="8"/>
      <c r="C98" s="44"/>
      <c r="D98" s="75"/>
      <c r="E98" s="46"/>
      <c r="F98" s="46"/>
      <c r="G98" s="46"/>
      <c r="H98" s="46"/>
      <c r="I98" s="46" t="s">
        <v>5</v>
      </c>
      <c r="J98" s="8"/>
      <c r="K98" s="45"/>
      <c r="L98" s="75"/>
      <c r="M98" s="75"/>
      <c r="N98" s="5"/>
    </row>
    <row r="99" spans="2:14">
      <c r="B99" s="8"/>
      <c r="C99" s="44"/>
      <c r="D99" s="75" t="s">
        <v>3</v>
      </c>
      <c r="E99" s="46" t="s">
        <v>4</v>
      </c>
      <c r="F99" s="46"/>
      <c r="G99" s="46"/>
      <c r="H99" s="46"/>
      <c r="I99" s="88"/>
      <c r="J99" s="8"/>
      <c r="K99" s="45"/>
      <c r="L99" s="75"/>
      <c r="M99" s="75"/>
      <c r="N99" s="5"/>
    </row>
    <row r="100" spans="2:14">
      <c r="B100" s="8"/>
      <c r="C100" s="44"/>
      <c r="D100" s="83" t="s">
        <v>74</v>
      </c>
      <c r="E100" s="122">
        <f ca="1">TODAY()</f>
        <v>43129</v>
      </c>
      <c r="F100" s="46"/>
      <c r="G100" s="46"/>
      <c r="H100" s="46"/>
      <c r="I100" s="110">
        <f t="array" aca="1" ref="I100:I134" ca="1">_xll.HLV5r3.Financial.Cache.AdjustedDatesFromTerminationDate( E100, E101, E102,E103, E104, E105)</f>
        <v>43129</v>
      </c>
      <c r="J100" s="8"/>
      <c r="K100" s="45"/>
      <c r="L100" s="75"/>
      <c r="M100" s="75"/>
      <c r="N100" s="5"/>
    </row>
    <row r="101" spans="2:14">
      <c r="B101" s="8"/>
      <c r="C101" s="44"/>
      <c r="D101" s="83" t="s">
        <v>83</v>
      </c>
      <c r="E101" s="122">
        <f ca="1">DATE(YEAR(E100)+10, MONTH(E100), DAY(E100))</f>
        <v>46781</v>
      </c>
      <c r="F101" s="46"/>
      <c r="G101" s="46"/>
      <c r="H101" s="46"/>
      <c r="I101" s="110">
        <f ca="1"/>
        <v>43298</v>
      </c>
      <c r="J101" s="8"/>
      <c r="K101" s="45"/>
      <c r="L101" s="75"/>
      <c r="M101" s="75"/>
      <c r="N101" s="5"/>
    </row>
    <row r="102" spans="2:14">
      <c r="B102" s="8"/>
      <c r="C102" s="44"/>
      <c r="D102" s="83" t="s">
        <v>84</v>
      </c>
      <c r="E102" s="122" t="s">
        <v>22</v>
      </c>
      <c r="F102" s="46"/>
      <c r="G102" s="46"/>
      <c r="H102" s="46"/>
      <c r="I102" s="110">
        <f ca="1"/>
        <v>43482</v>
      </c>
      <c r="J102" s="8"/>
      <c r="K102" s="45"/>
      <c r="L102" s="75"/>
      <c r="M102" s="75"/>
      <c r="N102" s="5"/>
    </row>
    <row r="103" spans="2:14">
      <c r="B103" s="8"/>
      <c r="C103" s="44"/>
      <c r="D103" s="83" t="s">
        <v>85</v>
      </c>
      <c r="E103" s="123">
        <v>17</v>
      </c>
      <c r="F103" s="46"/>
      <c r="G103" s="46"/>
      <c r="H103" s="46"/>
      <c r="I103" s="110">
        <f ca="1"/>
        <v>43663</v>
      </c>
      <c r="J103" s="8"/>
      <c r="K103" s="45"/>
      <c r="L103" s="75"/>
      <c r="M103" s="75"/>
      <c r="N103" s="5"/>
    </row>
    <row r="104" spans="2:14">
      <c r="B104" s="8"/>
      <c r="C104" s="44"/>
      <c r="D104" s="83" t="s">
        <v>14</v>
      </c>
      <c r="E104" s="122" t="s">
        <v>86</v>
      </c>
      <c r="F104" s="8"/>
      <c r="G104" s="8"/>
      <c r="H104" s="8"/>
      <c r="I104" s="110">
        <f ca="1"/>
        <v>43847</v>
      </c>
      <c r="J104" s="8"/>
      <c r="K104" s="45"/>
      <c r="L104" s="75"/>
      <c r="M104" s="75"/>
      <c r="N104" s="5"/>
    </row>
    <row r="105" spans="2:14">
      <c r="B105" s="8"/>
      <c r="C105" s="44"/>
      <c r="D105" s="83" t="s">
        <v>87</v>
      </c>
      <c r="E105" s="90" t="s">
        <v>23</v>
      </c>
      <c r="F105" s="8"/>
      <c r="G105" s="8"/>
      <c r="H105" s="8"/>
      <c r="I105" s="110">
        <f ca="1"/>
        <v>44029</v>
      </c>
      <c r="J105" s="8"/>
      <c r="K105" s="45"/>
      <c r="L105" s="75"/>
      <c r="M105" s="75"/>
      <c r="N105" s="5"/>
    </row>
    <row r="106" spans="2:14">
      <c r="B106" s="8"/>
      <c r="C106" s="52"/>
      <c r="D106" s="10"/>
      <c r="E106" s="88"/>
      <c r="F106" s="8"/>
      <c r="G106" s="8"/>
      <c r="H106" s="8"/>
      <c r="I106" s="110">
        <f ca="1"/>
        <v>44214</v>
      </c>
      <c r="J106" s="8"/>
      <c r="K106" s="45"/>
      <c r="L106" s="75"/>
      <c r="M106" s="75"/>
      <c r="N106" s="5"/>
    </row>
    <row r="107" spans="2:14">
      <c r="B107" s="8"/>
      <c r="C107" s="44"/>
      <c r="D107" s="8"/>
      <c r="E107" s="88"/>
      <c r="F107" s="8"/>
      <c r="G107" s="8"/>
      <c r="H107" s="8"/>
      <c r="I107" s="110">
        <f ca="1"/>
        <v>44396</v>
      </c>
      <c r="J107" s="8"/>
      <c r="K107" s="45"/>
      <c r="L107" s="75"/>
      <c r="M107" s="75"/>
      <c r="N107" s="5"/>
    </row>
    <row r="108" spans="2:14">
      <c r="B108" s="8"/>
      <c r="C108" s="44"/>
      <c r="D108" s="8"/>
      <c r="E108" s="88"/>
      <c r="F108" s="8"/>
      <c r="G108" s="8"/>
      <c r="H108" s="8"/>
      <c r="I108" s="110">
        <f ca="1"/>
        <v>44578</v>
      </c>
      <c r="J108" s="8"/>
      <c r="K108" s="45"/>
      <c r="L108" s="75"/>
      <c r="M108" s="75"/>
      <c r="N108" s="5"/>
    </row>
    <row r="109" spans="2:14">
      <c r="B109" s="8"/>
      <c r="C109" s="44"/>
      <c r="D109" s="8"/>
      <c r="E109" s="88"/>
      <c r="F109" s="8"/>
      <c r="G109" s="8"/>
      <c r="H109" s="8"/>
      <c r="I109" s="110">
        <f ca="1"/>
        <v>44760</v>
      </c>
      <c r="J109" s="8"/>
      <c r="K109" s="45"/>
      <c r="L109" s="75"/>
      <c r="M109" s="75"/>
      <c r="N109" s="5"/>
    </row>
    <row r="110" spans="2:14">
      <c r="B110" s="8"/>
      <c r="C110" s="44"/>
      <c r="D110" s="8"/>
      <c r="E110" s="88"/>
      <c r="F110" s="8"/>
      <c r="G110" s="8"/>
      <c r="H110" s="8"/>
      <c r="I110" s="110">
        <f ca="1"/>
        <v>44943</v>
      </c>
      <c r="J110" s="8"/>
      <c r="K110" s="45"/>
      <c r="L110" s="75"/>
      <c r="M110" s="75"/>
      <c r="N110" s="5"/>
    </row>
    <row r="111" spans="2:14">
      <c r="B111" s="8"/>
      <c r="C111" s="44"/>
      <c r="D111" s="8"/>
      <c r="E111" s="88"/>
      <c r="F111" s="8"/>
      <c r="G111" s="8"/>
      <c r="H111" s="8"/>
      <c r="I111" s="110">
        <f ca="1"/>
        <v>45124</v>
      </c>
      <c r="J111" s="8"/>
      <c r="K111" s="45"/>
      <c r="L111" s="75"/>
      <c r="M111" s="75"/>
      <c r="N111" s="5"/>
    </row>
    <row r="112" spans="2:14">
      <c r="B112" s="8"/>
      <c r="C112" s="44"/>
      <c r="D112" s="8"/>
      <c r="E112" s="88"/>
      <c r="F112" s="8"/>
      <c r="G112" s="8"/>
      <c r="H112" s="8"/>
      <c r="I112" s="110">
        <f ca="1"/>
        <v>45308</v>
      </c>
      <c r="J112" s="8"/>
      <c r="K112" s="45"/>
      <c r="L112" s="75"/>
      <c r="M112" s="75"/>
      <c r="N112" s="5"/>
    </row>
    <row r="113" spans="2:14">
      <c r="B113" s="8"/>
      <c r="C113" s="44"/>
      <c r="D113" s="8"/>
      <c r="E113" s="88"/>
      <c r="F113" s="8"/>
      <c r="G113" s="8"/>
      <c r="H113" s="8"/>
      <c r="I113" s="110">
        <f ca="1"/>
        <v>45490</v>
      </c>
      <c r="J113" s="8"/>
      <c r="K113" s="57"/>
      <c r="L113" s="75"/>
      <c r="M113" s="75"/>
      <c r="N113" s="5"/>
    </row>
    <row r="114" spans="2:14">
      <c r="B114" s="8"/>
      <c r="C114" s="44"/>
      <c r="D114" s="8"/>
      <c r="E114" s="88"/>
      <c r="F114" s="8"/>
      <c r="G114" s="8"/>
      <c r="H114" s="8"/>
      <c r="I114" s="110">
        <f ca="1"/>
        <v>45674</v>
      </c>
      <c r="J114" s="8"/>
      <c r="K114" s="45"/>
      <c r="L114" s="75"/>
      <c r="M114" s="75"/>
      <c r="N114" s="5"/>
    </row>
    <row r="115" spans="2:14">
      <c r="B115" s="8"/>
      <c r="C115" s="44"/>
      <c r="D115" s="8"/>
      <c r="E115" s="88"/>
      <c r="F115" s="8"/>
      <c r="G115" s="8"/>
      <c r="H115" s="8"/>
      <c r="I115" s="110">
        <f ca="1"/>
        <v>45855</v>
      </c>
      <c r="J115" s="8"/>
      <c r="K115" s="45"/>
      <c r="L115" s="75"/>
      <c r="M115" s="75"/>
      <c r="N115" s="5"/>
    </row>
    <row r="116" spans="2:14">
      <c r="B116" s="8"/>
      <c r="C116" s="44"/>
      <c r="D116" s="8"/>
      <c r="E116" s="88"/>
      <c r="F116" s="8"/>
      <c r="G116" s="8"/>
      <c r="H116" s="8"/>
      <c r="I116" s="110">
        <f ca="1"/>
        <v>46041</v>
      </c>
      <c r="J116" s="8"/>
      <c r="K116" s="45"/>
      <c r="L116" s="75"/>
      <c r="M116" s="75"/>
      <c r="N116" s="5"/>
    </row>
    <row r="117" spans="2:14">
      <c r="B117" s="8"/>
      <c r="C117" s="44"/>
      <c r="D117" s="8"/>
      <c r="E117" s="88"/>
      <c r="F117" s="8"/>
      <c r="G117" s="8"/>
      <c r="H117" s="8"/>
      <c r="I117" s="110">
        <f ca="1"/>
        <v>46220</v>
      </c>
      <c r="J117" s="8"/>
      <c r="K117" s="45"/>
      <c r="L117" s="75"/>
      <c r="M117" s="75"/>
      <c r="N117" s="5"/>
    </row>
    <row r="118" spans="2:14">
      <c r="B118" s="8"/>
      <c r="C118" s="44"/>
      <c r="D118" s="8"/>
      <c r="E118" s="88"/>
      <c r="F118" s="8"/>
      <c r="G118" s="8"/>
      <c r="H118" s="8"/>
      <c r="I118" s="110">
        <f ca="1"/>
        <v>46405</v>
      </c>
      <c r="J118" s="8"/>
      <c r="K118" s="45"/>
      <c r="L118" s="75"/>
      <c r="M118" s="75"/>
      <c r="N118" s="5"/>
    </row>
    <row r="119" spans="2:14">
      <c r="B119" s="8"/>
      <c r="C119" s="44"/>
      <c r="D119" s="8"/>
      <c r="E119" s="88"/>
      <c r="F119" s="8"/>
      <c r="G119" s="8"/>
      <c r="H119" s="8"/>
      <c r="I119" s="110">
        <f ca="1"/>
        <v>46587</v>
      </c>
      <c r="J119" s="8"/>
      <c r="K119" s="45"/>
      <c r="L119" s="75"/>
      <c r="M119" s="75"/>
      <c r="N119" s="5"/>
    </row>
    <row r="120" spans="2:14">
      <c r="B120" s="8"/>
      <c r="C120" s="44"/>
      <c r="D120" s="8"/>
      <c r="E120" s="88"/>
      <c r="F120" s="8"/>
      <c r="G120" s="8"/>
      <c r="H120" s="8"/>
      <c r="I120" s="110">
        <f ca="1"/>
        <v>46783</v>
      </c>
      <c r="J120" s="8"/>
      <c r="K120" s="45"/>
      <c r="L120" s="75"/>
      <c r="M120" s="75"/>
      <c r="N120" s="5"/>
    </row>
    <row r="121" spans="2:14">
      <c r="B121" s="8"/>
      <c r="C121" s="44"/>
      <c r="D121" s="8"/>
      <c r="E121" s="88"/>
      <c r="F121" s="8"/>
      <c r="G121" s="8"/>
      <c r="H121" s="8"/>
      <c r="I121" s="110" t="e">
        <f ca="1"/>
        <v>#N/A</v>
      </c>
      <c r="J121" s="8"/>
      <c r="K121" s="45"/>
      <c r="L121" s="75"/>
      <c r="M121" s="75"/>
      <c r="N121" s="5"/>
    </row>
    <row r="122" spans="2:14">
      <c r="B122" s="8"/>
      <c r="C122" s="44"/>
      <c r="D122" s="8"/>
      <c r="E122" s="88"/>
      <c r="F122" s="8"/>
      <c r="G122" s="8"/>
      <c r="H122" s="8"/>
      <c r="I122" s="110" t="e">
        <f ca="1"/>
        <v>#N/A</v>
      </c>
      <c r="J122" s="8"/>
      <c r="K122" s="45"/>
      <c r="L122" s="75"/>
      <c r="M122" s="75"/>
      <c r="N122" s="5"/>
    </row>
    <row r="123" spans="2:14">
      <c r="B123" s="8"/>
      <c r="C123" s="44"/>
      <c r="D123" s="8"/>
      <c r="E123" s="88"/>
      <c r="F123" s="8"/>
      <c r="G123" s="8"/>
      <c r="H123" s="8"/>
      <c r="I123" s="110" t="e">
        <f ca="1"/>
        <v>#N/A</v>
      </c>
      <c r="J123" s="8"/>
      <c r="K123" s="45"/>
      <c r="L123" s="75"/>
      <c r="M123" s="75"/>
      <c r="N123" s="5"/>
    </row>
    <row r="124" spans="2:14">
      <c r="B124" s="8"/>
      <c r="C124" s="44"/>
      <c r="D124" s="8"/>
      <c r="E124" s="88"/>
      <c r="F124" s="8"/>
      <c r="G124" s="8"/>
      <c r="H124" s="8"/>
      <c r="I124" s="110" t="e">
        <f ca="1"/>
        <v>#N/A</v>
      </c>
      <c r="J124" s="8"/>
      <c r="K124" s="45"/>
      <c r="L124" s="75"/>
      <c r="M124" s="75"/>
      <c r="N124" s="5"/>
    </row>
    <row r="125" spans="2:14">
      <c r="B125" s="8"/>
      <c r="C125" s="44"/>
      <c r="D125" s="8"/>
      <c r="E125" s="88"/>
      <c r="F125" s="8"/>
      <c r="G125" s="8"/>
      <c r="H125" s="8"/>
      <c r="I125" s="110" t="e">
        <f ca="1"/>
        <v>#N/A</v>
      </c>
      <c r="J125" s="8"/>
      <c r="K125" s="45"/>
      <c r="L125" s="75"/>
      <c r="M125" s="75"/>
      <c r="N125" s="5"/>
    </row>
    <row r="126" spans="2:14">
      <c r="B126" s="8"/>
      <c r="C126" s="44"/>
      <c r="D126" s="8"/>
      <c r="E126" s="88"/>
      <c r="F126" s="8"/>
      <c r="G126" s="8"/>
      <c r="H126" s="8"/>
      <c r="I126" s="110" t="e">
        <f ca="1"/>
        <v>#N/A</v>
      </c>
      <c r="J126" s="8"/>
      <c r="K126" s="45"/>
      <c r="L126" s="75"/>
      <c r="M126" s="75"/>
      <c r="N126" s="5"/>
    </row>
    <row r="127" spans="2:14">
      <c r="B127" s="8"/>
      <c r="C127" s="44"/>
      <c r="D127" s="8"/>
      <c r="E127" s="88"/>
      <c r="F127" s="8"/>
      <c r="G127" s="8"/>
      <c r="H127" s="8"/>
      <c r="I127" s="110" t="e">
        <f ca="1"/>
        <v>#N/A</v>
      </c>
      <c r="J127" s="8"/>
      <c r="K127" s="45"/>
      <c r="L127" s="75"/>
      <c r="M127" s="75"/>
      <c r="N127" s="5"/>
    </row>
    <row r="128" spans="2:14">
      <c r="B128" s="8"/>
      <c r="C128" s="44"/>
      <c r="D128" s="8"/>
      <c r="E128" s="88"/>
      <c r="F128" s="8"/>
      <c r="G128" s="8"/>
      <c r="H128" s="8"/>
      <c r="I128" s="110" t="e">
        <f ca="1"/>
        <v>#N/A</v>
      </c>
      <c r="J128" s="8"/>
      <c r="K128" s="45"/>
      <c r="L128" s="75"/>
      <c r="M128" s="75"/>
      <c r="N128" s="5"/>
    </row>
    <row r="129" spans="2:14">
      <c r="B129" s="8"/>
      <c r="C129" s="44"/>
      <c r="D129" s="8"/>
      <c r="E129" s="88"/>
      <c r="F129" s="8"/>
      <c r="G129" s="8"/>
      <c r="H129" s="8"/>
      <c r="I129" s="110" t="e">
        <f ca="1"/>
        <v>#N/A</v>
      </c>
      <c r="J129" s="8"/>
      <c r="K129" s="45"/>
      <c r="L129" s="75"/>
      <c r="M129" s="75"/>
      <c r="N129" s="5"/>
    </row>
    <row r="130" spans="2:14">
      <c r="B130" s="8"/>
      <c r="C130" s="44"/>
      <c r="D130" s="8"/>
      <c r="E130" s="88"/>
      <c r="F130" s="8"/>
      <c r="G130" s="8"/>
      <c r="H130" s="8"/>
      <c r="I130" s="110" t="e">
        <f ca="1"/>
        <v>#N/A</v>
      </c>
      <c r="J130" s="8"/>
      <c r="K130" s="45"/>
      <c r="L130" s="75"/>
      <c r="M130" s="75"/>
      <c r="N130" s="5"/>
    </row>
    <row r="131" spans="2:14">
      <c r="B131" s="8"/>
      <c r="C131" s="44"/>
      <c r="D131" s="8"/>
      <c r="E131" s="88"/>
      <c r="F131" s="8"/>
      <c r="G131" s="8"/>
      <c r="H131" s="8"/>
      <c r="I131" s="110" t="e">
        <f ca="1"/>
        <v>#N/A</v>
      </c>
      <c r="J131" s="8"/>
      <c r="K131" s="45"/>
      <c r="L131" s="75"/>
      <c r="M131" s="75"/>
      <c r="N131" s="5"/>
    </row>
    <row r="132" spans="2:14">
      <c r="B132" s="8"/>
      <c r="C132" s="44"/>
      <c r="D132" s="8"/>
      <c r="E132" s="88"/>
      <c r="F132" s="8"/>
      <c r="G132" s="8"/>
      <c r="H132" s="8"/>
      <c r="I132" s="110" t="e">
        <f ca="1"/>
        <v>#N/A</v>
      </c>
      <c r="J132" s="8"/>
      <c r="K132" s="45"/>
      <c r="L132" s="75"/>
      <c r="M132" s="75"/>
      <c r="N132" s="5"/>
    </row>
    <row r="133" spans="2:14">
      <c r="B133" s="8"/>
      <c r="C133" s="44"/>
      <c r="D133" s="8"/>
      <c r="E133" s="88"/>
      <c r="F133" s="8"/>
      <c r="G133" s="8"/>
      <c r="H133" s="8"/>
      <c r="I133" s="110" t="e">
        <f ca="1"/>
        <v>#N/A</v>
      </c>
      <c r="J133" s="8"/>
      <c r="K133" s="45"/>
      <c r="L133" s="75"/>
      <c r="M133" s="75"/>
      <c r="N133" s="5"/>
    </row>
    <row r="134" spans="2:14">
      <c r="B134" s="8"/>
      <c r="C134" s="44"/>
      <c r="D134" s="8"/>
      <c r="E134" s="88"/>
      <c r="F134" s="8"/>
      <c r="G134" s="8"/>
      <c r="H134" s="8"/>
      <c r="I134" s="110" t="e">
        <f ca="1"/>
        <v>#N/A</v>
      </c>
      <c r="J134" s="8"/>
      <c r="K134" s="45"/>
      <c r="L134" s="75"/>
      <c r="M134" s="75"/>
      <c r="N134" s="5"/>
    </row>
    <row r="135" spans="2:14" ht="13.5" thickBot="1">
      <c r="B135" s="8"/>
      <c r="C135" s="48"/>
      <c r="D135" s="49"/>
      <c r="E135" s="96"/>
      <c r="F135" s="49"/>
      <c r="G135" s="49"/>
      <c r="H135" s="49"/>
      <c r="I135" s="96"/>
      <c r="J135" s="49"/>
      <c r="K135" s="50"/>
      <c r="L135" s="75"/>
      <c r="M135" s="75"/>
      <c r="N135" s="5"/>
    </row>
    <row r="136" spans="2:14" ht="36">
      <c r="B136" s="8"/>
      <c r="C136" s="60"/>
      <c r="D136" s="41" t="s">
        <v>2</v>
      </c>
      <c r="E136" s="121" t="s">
        <v>102</v>
      </c>
      <c r="F136" s="111"/>
      <c r="G136" s="111"/>
      <c r="H136" s="111"/>
      <c r="I136" s="112"/>
      <c r="J136" s="59"/>
      <c r="K136" s="43"/>
      <c r="L136" s="75"/>
      <c r="M136" s="75"/>
      <c r="N136" s="5"/>
    </row>
    <row r="137" spans="2:14">
      <c r="B137" s="8"/>
      <c r="C137" s="44"/>
      <c r="D137" s="75"/>
      <c r="E137" s="46"/>
      <c r="F137" s="46"/>
      <c r="G137" s="46"/>
      <c r="H137" s="46"/>
      <c r="I137" s="46" t="s">
        <v>5</v>
      </c>
      <c r="J137" s="8"/>
      <c r="K137" s="45"/>
      <c r="L137" s="75"/>
      <c r="M137" s="75"/>
      <c r="N137" s="5"/>
    </row>
    <row r="138" spans="2:14">
      <c r="B138" s="8"/>
      <c r="C138" s="44"/>
      <c r="D138" s="75" t="s">
        <v>3</v>
      </c>
      <c r="E138" s="46" t="s">
        <v>4</v>
      </c>
      <c r="F138" s="46"/>
      <c r="G138" s="46"/>
      <c r="H138" s="46"/>
      <c r="I138" s="88"/>
      <c r="J138" s="8"/>
      <c r="K138" s="45"/>
      <c r="L138" s="75"/>
      <c r="M138" s="75"/>
      <c r="N138" s="5"/>
    </row>
    <row r="139" spans="2:14">
      <c r="B139" s="8"/>
      <c r="C139" s="44"/>
      <c r="D139" s="83" t="s">
        <v>74</v>
      </c>
      <c r="E139" s="122">
        <f ca="1">TODAY()</f>
        <v>43129</v>
      </c>
      <c r="F139" s="46"/>
      <c r="G139" s="46"/>
      <c r="H139" s="46"/>
      <c r="I139" s="110">
        <f t="array" aca="1" ref="I139:I173" ca="1">_xll.HLV5r3.Financial.Cache.AdjustedDatesFromEffectiveDate( E139, E140, E141, E142, E143, E144)</f>
        <v>43129</v>
      </c>
      <c r="J139" s="8"/>
      <c r="K139" s="45"/>
      <c r="L139" s="75"/>
      <c r="M139" s="75"/>
      <c r="N139" s="5"/>
    </row>
    <row r="140" spans="2:14">
      <c r="B140" s="8"/>
      <c r="C140" s="44"/>
      <c r="D140" s="83" t="s">
        <v>83</v>
      </c>
      <c r="E140" s="122">
        <f ca="1">DATE(YEAR(E139)+10, MONTH(E139), DAY(E139))</f>
        <v>46781</v>
      </c>
      <c r="F140" s="46"/>
      <c r="G140" s="46"/>
      <c r="H140" s="46"/>
      <c r="I140" s="110">
        <f ca="1"/>
        <v>43298</v>
      </c>
      <c r="J140" s="8"/>
      <c r="K140" s="45"/>
      <c r="L140" s="75"/>
      <c r="M140" s="75"/>
      <c r="N140" s="5"/>
    </row>
    <row r="141" spans="2:14">
      <c r="B141" s="8"/>
      <c r="C141" s="44"/>
      <c r="D141" s="83" t="s">
        <v>84</v>
      </c>
      <c r="E141" s="122" t="s">
        <v>22</v>
      </c>
      <c r="F141" s="46"/>
      <c r="G141" s="46"/>
      <c r="H141" s="46"/>
      <c r="I141" s="110">
        <f ca="1"/>
        <v>43482</v>
      </c>
      <c r="J141" s="8"/>
      <c r="K141" s="45"/>
      <c r="L141" s="75"/>
      <c r="M141" s="75"/>
      <c r="N141" s="5"/>
    </row>
    <row r="142" spans="2:14">
      <c r="B142" s="8"/>
      <c r="C142" s="44"/>
      <c r="D142" s="83" t="s">
        <v>85</v>
      </c>
      <c r="E142" s="123">
        <v>17</v>
      </c>
      <c r="F142" s="46"/>
      <c r="G142" s="46"/>
      <c r="H142" s="46"/>
      <c r="I142" s="110">
        <f ca="1"/>
        <v>43663</v>
      </c>
      <c r="J142" s="8"/>
      <c r="K142" s="45"/>
      <c r="L142" s="75"/>
      <c r="M142" s="75"/>
      <c r="N142" s="5"/>
    </row>
    <row r="143" spans="2:14">
      <c r="B143" s="8"/>
      <c r="C143" s="44"/>
      <c r="D143" s="83" t="s">
        <v>14</v>
      </c>
      <c r="E143" s="122" t="s">
        <v>86</v>
      </c>
      <c r="F143" s="8"/>
      <c r="G143" s="8"/>
      <c r="H143" s="8"/>
      <c r="I143" s="110">
        <f ca="1"/>
        <v>43847</v>
      </c>
      <c r="J143" s="8"/>
      <c r="K143" s="45"/>
      <c r="L143" s="75"/>
      <c r="M143" s="75"/>
      <c r="N143" s="5"/>
    </row>
    <row r="144" spans="2:14">
      <c r="B144" s="8"/>
      <c r="C144" s="44"/>
      <c r="D144" s="83" t="s">
        <v>87</v>
      </c>
      <c r="E144" s="90" t="s">
        <v>23</v>
      </c>
      <c r="F144" s="8"/>
      <c r="G144" s="8"/>
      <c r="H144" s="8"/>
      <c r="I144" s="110">
        <f ca="1"/>
        <v>44029</v>
      </c>
      <c r="J144" s="8"/>
      <c r="K144" s="45"/>
      <c r="L144" s="75"/>
      <c r="M144" s="75"/>
      <c r="N144" s="5"/>
    </row>
    <row r="145" spans="2:14">
      <c r="B145" s="8"/>
      <c r="C145" s="52"/>
      <c r="D145" s="10"/>
      <c r="E145" s="88"/>
      <c r="F145" s="8"/>
      <c r="G145" s="8"/>
      <c r="H145" s="8"/>
      <c r="I145" s="110">
        <f ca="1"/>
        <v>44214</v>
      </c>
      <c r="J145" s="8"/>
      <c r="K145" s="45"/>
      <c r="L145" s="75"/>
      <c r="M145" s="75"/>
      <c r="N145" s="5"/>
    </row>
    <row r="146" spans="2:14">
      <c r="B146" s="8"/>
      <c r="C146" s="44"/>
      <c r="D146" s="8"/>
      <c r="E146" s="88"/>
      <c r="F146" s="8"/>
      <c r="G146" s="8"/>
      <c r="H146" s="8"/>
      <c r="I146" s="110">
        <f ca="1"/>
        <v>44396</v>
      </c>
      <c r="J146" s="8"/>
      <c r="K146" s="45"/>
      <c r="L146" s="75"/>
      <c r="M146" s="75"/>
      <c r="N146" s="5"/>
    </row>
    <row r="147" spans="2:14">
      <c r="B147" s="8"/>
      <c r="C147" s="44"/>
      <c r="D147" s="8"/>
      <c r="E147" s="88"/>
      <c r="F147" s="8"/>
      <c r="G147" s="8"/>
      <c r="H147" s="8"/>
      <c r="I147" s="110">
        <f ca="1"/>
        <v>44578</v>
      </c>
      <c r="J147" s="8"/>
      <c r="K147" s="45"/>
      <c r="L147" s="75"/>
      <c r="M147" s="75"/>
      <c r="N147" s="5"/>
    </row>
    <row r="148" spans="2:14">
      <c r="B148" s="8"/>
      <c r="C148" s="44"/>
      <c r="D148" s="8"/>
      <c r="E148" s="88"/>
      <c r="F148" s="8"/>
      <c r="G148" s="8"/>
      <c r="H148" s="8"/>
      <c r="I148" s="110">
        <f ca="1"/>
        <v>44760</v>
      </c>
      <c r="J148" s="8"/>
      <c r="K148" s="45"/>
      <c r="L148" s="75"/>
      <c r="M148" s="75"/>
      <c r="N148" s="5"/>
    </row>
    <row r="149" spans="2:14">
      <c r="B149" s="8"/>
      <c r="C149" s="44"/>
      <c r="D149" s="8"/>
      <c r="E149" s="88"/>
      <c r="F149" s="8"/>
      <c r="G149" s="8"/>
      <c r="H149" s="8"/>
      <c r="I149" s="110">
        <f ca="1"/>
        <v>44943</v>
      </c>
      <c r="J149" s="8"/>
      <c r="K149" s="45"/>
      <c r="L149" s="75"/>
      <c r="M149" s="75"/>
      <c r="N149" s="5"/>
    </row>
    <row r="150" spans="2:14">
      <c r="B150" s="8"/>
      <c r="C150" s="44"/>
      <c r="D150" s="8"/>
      <c r="E150" s="88"/>
      <c r="F150" s="8"/>
      <c r="G150" s="8"/>
      <c r="H150" s="8"/>
      <c r="I150" s="110">
        <f ca="1"/>
        <v>45124</v>
      </c>
      <c r="J150" s="8"/>
      <c r="K150" s="45"/>
      <c r="L150" s="75"/>
      <c r="M150" s="75"/>
      <c r="N150" s="5"/>
    </row>
    <row r="151" spans="2:14">
      <c r="B151" s="8"/>
      <c r="C151" s="44"/>
      <c r="D151" s="8"/>
      <c r="E151" s="88"/>
      <c r="F151" s="8"/>
      <c r="G151" s="8"/>
      <c r="H151" s="8"/>
      <c r="I151" s="110">
        <f ca="1"/>
        <v>45308</v>
      </c>
      <c r="J151" s="8"/>
      <c r="K151" s="45"/>
      <c r="L151" s="75"/>
      <c r="M151" s="75"/>
      <c r="N151" s="5"/>
    </row>
    <row r="152" spans="2:14">
      <c r="B152" s="8"/>
      <c r="C152" s="44"/>
      <c r="D152" s="8"/>
      <c r="E152" s="88"/>
      <c r="F152" s="8"/>
      <c r="G152" s="8"/>
      <c r="H152" s="8"/>
      <c r="I152" s="110">
        <f ca="1"/>
        <v>45490</v>
      </c>
      <c r="J152" s="8"/>
      <c r="K152" s="57"/>
      <c r="L152" s="75"/>
      <c r="M152" s="75"/>
      <c r="N152" s="5"/>
    </row>
    <row r="153" spans="2:14">
      <c r="B153" s="8"/>
      <c r="C153" s="44"/>
      <c r="D153" s="8"/>
      <c r="E153" s="88"/>
      <c r="F153" s="8"/>
      <c r="G153" s="8"/>
      <c r="H153" s="8"/>
      <c r="I153" s="110">
        <f ca="1"/>
        <v>45674</v>
      </c>
      <c r="J153" s="8"/>
      <c r="K153" s="45"/>
      <c r="L153" s="75"/>
      <c r="M153" s="75"/>
      <c r="N153" s="5"/>
    </row>
    <row r="154" spans="2:14">
      <c r="B154" s="8"/>
      <c r="C154" s="44"/>
      <c r="D154" s="8"/>
      <c r="E154" s="88"/>
      <c r="F154" s="8"/>
      <c r="G154" s="8"/>
      <c r="H154" s="8"/>
      <c r="I154" s="110">
        <f ca="1"/>
        <v>45855</v>
      </c>
      <c r="J154" s="8"/>
      <c r="K154" s="45"/>
      <c r="L154" s="75"/>
      <c r="M154" s="75"/>
      <c r="N154" s="5"/>
    </row>
    <row r="155" spans="2:14">
      <c r="B155" s="8"/>
      <c r="C155" s="44"/>
      <c r="D155" s="8"/>
      <c r="E155" s="88"/>
      <c r="F155" s="8"/>
      <c r="G155" s="8"/>
      <c r="H155" s="8"/>
      <c r="I155" s="110">
        <f ca="1"/>
        <v>46041</v>
      </c>
      <c r="J155" s="8"/>
      <c r="K155" s="45"/>
      <c r="L155" s="75"/>
      <c r="M155" s="75"/>
      <c r="N155" s="5"/>
    </row>
    <row r="156" spans="2:14">
      <c r="B156" s="8"/>
      <c r="C156" s="44"/>
      <c r="D156" s="8"/>
      <c r="E156" s="88"/>
      <c r="F156" s="8"/>
      <c r="G156" s="8"/>
      <c r="H156" s="8"/>
      <c r="I156" s="110">
        <f ca="1"/>
        <v>46220</v>
      </c>
      <c r="J156" s="8"/>
      <c r="K156" s="45"/>
      <c r="L156" s="75"/>
      <c r="M156" s="75"/>
      <c r="N156" s="5"/>
    </row>
    <row r="157" spans="2:14">
      <c r="B157" s="8"/>
      <c r="C157" s="44"/>
      <c r="D157" s="8"/>
      <c r="E157" s="88"/>
      <c r="F157" s="8"/>
      <c r="G157" s="8"/>
      <c r="H157" s="8"/>
      <c r="I157" s="110">
        <f ca="1"/>
        <v>46405</v>
      </c>
      <c r="J157" s="8"/>
      <c r="K157" s="45"/>
      <c r="L157" s="75"/>
      <c r="M157" s="75"/>
      <c r="N157" s="5"/>
    </row>
    <row r="158" spans="2:14">
      <c r="B158" s="8"/>
      <c r="C158" s="44"/>
      <c r="D158" s="8"/>
      <c r="E158" s="88"/>
      <c r="F158" s="8"/>
      <c r="G158" s="8"/>
      <c r="H158" s="8"/>
      <c r="I158" s="110">
        <f ca="1"/>
        <v>46587</v>
      </c>
      <c r="J158" s="8"/>
      <c r="K158" s="45"/>
      <c r="L158" s="75"/>
      <c r="M158" s="75"/>
      <c r="N158" s="5"/>
    </row>
    <row r="159" spans="2:14">
      <c r="B159" s="8"/>
      <c r="C159" s="44"/>
      <c r="D159" s="8"/>
      <c r="E159" s="88"/>
      <c r="F159" s="8"/>
      <c r="G159" s="8"/>
      <c r="H159" s="8"/>
      <c r="I159" s="110">
        <f ca="1"/>
        <v>46783</v>
      </c>
      <c r="J159" s="8"/>
      <c r="K159" s="45"/>
      <c r="L159" s="75"/>
      <c r="M159" s="75"/>
      <c r="N159" s="5"/>
    </row>
    <row r="160" spans="2:14">
      <c r="B160" s="8"/>
      <c r="C160" s="44"/>
      <c r="D160" s="8"/>
      <c r="E160" s="88"/>
      <c r="F160" s="8"/>
      <c r="G160" s="8"/>
      <c r="H160" s="8"/>
      <c r="I160" s="110" t="e">
        <f ca="1"/>
        <v>#N/A</v>
      </c>
      <c r="J160" s="8"/>
      <c r="K160" s="45"/>
      <c r="L160" s="75"/>
      <c r="M160" s="75"/>
      <c r="N160" s="5"/>
    </row>
    <row r="161" spans="2:17">
      <c r="B161" s="12"/>
      <c r="C161" s="44"/>
      <c r="D161" s="8"/>
      <c r="E161" s="88"/>
      <c r="F161" s="8"/>
      <c r="G161" s="8"/>
      <c r="H161" s="8"/>
      <c r="I161" s="110" t="e">
        <f ca="1"/>
        <v>#N/A</v>
      </c>
      <c r="J161" s="8"/>
      <c r="K161" s="45"/>
      <c r="L161" s="75"/>
      <c r="M161" s="75"/>
      <c r="N161" s="5"/>
    </row>
    <row r="162" spans="2:17">
      <c r="B162" s="10"/>
      <c r="C162" s="44"/>
      <c r="D162" s="8"/>
      <c r="E162" s="88"/>
      <c r="F162" s="8"/>
      <c r="G162" s="8"/>
      <c r="H162" s="8"/>
      <c r="I162" s="110" t="e">
        <f ca="1"/>
        <v>#N/A</v>
      </c>
      <c r="J162" s="8"/>
      <c r="K162" s="45"/>
      <c r="L162" s="75"/>
      <c r="M162" s="75"/>
      <c r="N162" s="5"/>
    </row>
    <row r="163" spans="2:17">
      <c r="B163" s="8"/>
      <c r="C163" s="44"/>
      <c r="D163" s="8"/>
      <c r="E163" s="88"/>
      <c r="F163" s="8"/>
      <c r="G163" s="8"/>
      <c r="H163" s="8"/>
      <c r="I163" s="110" t="e">
        <f ca="1"/>
        <v>#N/A</v>
      </c>
      <c r="J163" s="8"/>
      <c r="K163" s="45"/>
      <c r="L163" s="75"/>
      <c r="M163" s="75"/>
      <c r="N163" s="5"/>
    </row>
    <row r="164" spans="2:17">
      <c r="B164" s="8"/>
      <c r="C164" s="44"/>
      <c r="D164" s="8"/>
      <c r="E164" s="88"/>
      <c r="F164" s="8"/>
      <c r="G164" s="8"/>
      <c r="H164" s="8"/>
      <c r="I164" s="110" t="e">
        <f ca="1"/>
        <v>#N/A</v>
      </c>
      <c r="J164" s="8"/>
      <c r="K164" s="45"/>
      <c r="L164" s="75"/>
      <c r="M164" s="75"/>
      <c r="N164" s="5"/>
    </row>
    <row r="165" spans="2:17">
      <c r="B165" s="8"/>
      <c r="C165" s="44"/>
      <c r="D165" s="8"/>
      <c r="E165" s="88"/>
      <c r="F165" s="8"/>
      <c r="G165" s="8"/>
      <c r="H165" s="8"/>
      <c r="I165" s="110" t="e">
        <f ca="1"/>
        <v>#N/A</v>
      </c>
      <c r="J165" s="8"/>
      <c r="K165" s="45"/>
      <c r="L165" s="75"/>
      <c r="M165" s="75"/>
    </row>
    <row r="166" spans="2:17">
      <c r="B166" s="8"/>
      <c r="C166" s="44"/>
      <c r="D166" s="8"/>
      <c r="E166" s="88"/>
      <c r="F166" s="8"/>
      <c r="G166" s="8"/>
      <c r="H166" s="8"/>
      <c r="I166" s="110" t="e">
        <f ca="1"/>
        <v>#N/A</v>
      </c>
      <c r="J166" s="8"/>
      <c r="K166" s="45"/>
      <c r="L166" s="75"/>
      <c r="M166" s="75"/>
    </row>
    <row r="167" spans="2:17">
      <c r="B167" s="8"/>
      <c r="C167" s="44"/>
      <c r="D167" s="8"/>
      <c r="E167" s="88"/>
      <c r="F167" s="8"/>
      <c r="G167" s="8"/>
      <c r="H167" s="8"/>
      <c r="I167" s="110" t="e">
        <f ca="1"/>
        <v>#N/A</v>
      </c>
      <c r="J167" s="8"/>
      <c r="K167" s="45"/>
      <c r="L167" s="75"/>
      <c r="M167" s="75"/>
    </row>
    <row r="168" spans="2:17">
      <c r="B168" s="8"/>
      <c r="C168" s="44"/>
      <c r="D168" s="8"/>
      <c r="E168" s="88"/>
      <c r="F168" s="8"/>
      <c r="G168" s="8"/>
      <c r="H168" s="8"/>
      <c r="I168" s="110" t="e">
        <f ca="1"/>
        <v>#N/A</v>
      </c>
      <c r="J168" s="8"/>
      <c r="K168" s="45"/>
      <c r="L168" s="75"/>
      <c r="M168" s="75"/>
    </row>
    <row r="169" spans="2:17">
      <c r="B169" s="8"/>
      <c r="C169" s="44"/>
      <c r="D169" s="8"/>
      <c r="E169" s="88"/>
      <c r="F169" s="8"/>
      <c r="G169" s="8"/>
      <c r="H169" s="8"/>
      <c r="I169" s="110" t="e">
        <f ca="1"/>
        <v>#N/A</v>
      </c>
      <c r="J169" s="8"/>
      <c r="K169" s="45"/>
      <c r="L169" s="75"/>
      <c r="M169" s="75"/>
    </row>
    <row r="170" spans="2:17">
      <c r="B170" s="8"/>
      <c r="C170" s="44"/>
      <c r="D170" s="8"/>
      <c r="E170" s="88"/>
      <c r="F170" s="8"/>
      <c r="G170" s="8"/>
      <c r="H170" s="8"/>
      <c r="I170" s="110" t="e">
        <f ca="1"/>
        <v>#N/A</v>
      </c>
      <c r="J170" s="8"/>
      <c r="K170" s="45"/>
      <c r="L170" s="75"/>
      <c r="M170" s="75"/>
    </row>
    <row r="171" spans="2:17">
      <c r="B171" s="8"/>
      <c r="C171" s="44"/>
      <c r="D171" s="8"/>
      <c r="E171" s="88"/>
      <c r="F171" s="8"/>
      <c r="G171" s="8"/>
      <c r="H171" s="8"/>
      <c r="I171" s="110" t="e">
        <f ca="1"/>
        <v>#N/A</v>
      </c>
      <c r="J171" s="8"/>
      <c r="K171" s="45"/>
      <c r="L171" s="75"/>
      <c r="M171" s="75"/>
    </row>
    <row r="172" spans="2:17">
      <c r="B172" s="8"/>
      <c r="C172" s="44"/>
      <c r="D172" s="8"/>
      <c r="E172" s="88"/>
      <c r="F172" s="8"/>
      <c r="G172" s="8"/>
      <c r="H172" s="8"/>
      <c r="I172" s="110" t="e">
        <f ca="1"/>
        <v>#N/A</v>
      </c>
      <c r="J172" s="8"/>
      <c r="K172" s="45"/>
      <c r="L172" s="75"/>
      <c r="M172" s="75"/>
    </row>
    <row r="173" spans="2:17">
      <c r="B173" s="8"/>
      <c r="C173" s="44"/>
      <c r="D173" s="8"/>
      <c r="E173" s="88"/>
      <c r="F173" s="8"/>
      <c r="G173" s="8"/>
      <c r="H173" s="8"/>
      <c r="I173" s="110" t="e">
        <f ca="1"/>
        <v>#N/A</v>
      </c>
      <c r="J173" s="8"/>
      <c r="K173" s="45"/>
      <c r="L173" s="75"/>
      <c r="M173" s="75"/>
      <c r="Q173" s="14"/>
    </row>
    <row r="174" spans="2:17" ht="13.5" thickBot="1">
      <c r="B174" s="8"/>
      <c r="C174" s="48"/>
      <c r="D174" s="49"/>
      <c r="E174" s="96"/>
      <c r="F174" s="49"/>
      <c r="G174" s="49"/>
      <c r="H174" s="49"/>
      <c r="I174" s="96"/>
      <c r="J174" s="49"/>
      <c r="K174" s="50"/>
      <c r="L174" s="75"/>
      <c r="M174" s="75"/>
      <c r="Q174" s="11"/>
    </row>
    <row r="175" spans="2:17">
      <c r="Q175" s="11"/>
    </row>
    <row r="176" spans="2:17">
      <c r="Q176" s="11"/>
    </row>
    <row r="177" spans="17:17">
      <c r="Q177" s="11"/>
    </row>
    <row r="178" spans="17:17">
      <c r="Q178" s="11"/>
    </row>
    <row r="179" spans="17:17">
      <c r="Q179" s="11"/>
    </row>
    <row r="180" spans="17:17">
      <c r="Q180" s="11"/>
    </row>
    <row r="181" spans="17:17">
      <c r="Q181" s="11"/>
    </row>
    <row r="182" spans="17:17">
      <c r="Q182" s="11"/>
    </row>
    <row r="183" spans="17:17">
      <c r="Q183" s="11"/>
    </row>
    <row r="184" spans="17:17">
      <c r="Q184" s="11"/>
    </row>
    <row r="185" spans="17:17">
      <c r="Q185" s="11"/>
    </row>
    <row r="186" spans="17:17">
      <c r="Q186" s="11"/>
    </row>
    <row r="187" spans="17:17">
      <c r="Q187" s="11"/>
    </row>
    <row r="188" spans="17:17">
      <c r="Q188" s="11"/>
    </row>
    <row r="189" spans="17:17">
      <c r="Q189" s="11"/>
    </row>
    <row r="190" spans="17:17">
      <c r="Q190" s="11"/>
    </row>
    <row r="191" spans="17:17">
      <c r="Q191" s="11"/>
    </row>
    <row r="192" spans="17:17">
      <c r="Q192" s="11"/>
    </row>
    <row r="193" spans="17:17">
      <c r="Q193" s="11"/>
    </row>
    <row r="194" spans="17:17">
      <c r="Q194" s="11"/>
    </row>
    <row r="195" spans="17:17">
      <c r="Q195" s="11"/>
    </row>
    <row r="196" spans="17:17">
      <c r="Q196" s="11"/>
    </row>
    <row r="197" spans="17:17">
      <c r="Q197" s="11"/>
    </row>
    <row r="198" spans="17:17">
      <c r="Q198" s="11"/>
    </row>
    <row r="199" spans="17:17">
      <c r="Q199" s="11"/>
    </row>
    <row r="200" spans="17:17">
      <c r="Q200" s="11"/>
    </row>
    <row r="201" spans="17:17">
      <c r="Q201" s="11"/>
    </row>
    <row r="202" spans="17:17">
      <c r="Q202" s="11"/>
    </row>
    <row r="203" spans="17:17">
      <c r="Q203" s="11"/>
    </row>
    <row r="204" spans="17:17">
      <c r="Q204" s="11"/>
    </row>
    <row r="205" spans="17:17">
      <c r="Q205" s="11"/>
    </row>
    <row r="206" spans="17:17">
      <c r="Q206" s="11"/>
    </row>
    <row r="207" spans="17:17">
      <c r="Q207" s="11"/>
    </row>
    <row r="208" spans="17:17">
      <c r="Q208" s="11"/>
    </row>
    <row r="209" spans="17:17">
      <c r="Q209" s="11"/>
    </row>
    <row r="210" spans="17:17">
      <c r="Q210" s="11"/>
    </row>
    <row r="211" spans="17:17">
      <c r="Q211" s="11"/>
    </row>
    <row r="212" spans="17:17">
      <c r="Q212" s="11"/>
    </row>
    <row r="213" spans="17:17">
      <c r="Q213" s="11"/>
    </row>
    <row r="214" spans="17:17">
      <c r="Q214" s="11"/>
    </row>
    <row r="215" spans="17:17">
      <c r="Q215" s="11"/>
    </row>
    <row r="216" spans="17:17">
      <c r="Q216" s="11"/>
    </row>
    <row r="217" spans="17:17">
      <c r="Q217" s="11"/>
    </row>
    <row r="218" spans="17:17">
      <c r="Q218" s="11"/>
    </row>
    <row r="219" spans="17:17">
      <c r="Q219" s="11"/>
    </row>
    <row r="220" spans="17:17">
      <c r="Q220" s="11"/>
    </row>
    <row r="221" spans="17:17">
      <c r="Q221" s="11"/>
    </row>
    <row r="222" spans="17:17">
      <c r="Q222" s="11"/>
    </row>
    <row r="223" spans="17:17">
      <c r="Q223" s="11"/>
    </row>
    <row r="224" spans="17:17">
      <c r="Q224" s="11"/>
    </row>
    <row r="225" spans="17:17">
      <c r="Q225" s="11"/>
    </row>
    <row r="226" spans="17:17">
      <c r="Q226" s="11"/>
    </row>
    <row r="227" spans="17:17">
      <c r="Q227" s="11"/>
    </row>
    <row r="228" spans="17:17">
      <c r="Q228" s="11"/>
    </row>
    <row r="229" spans="17:17">
      <c r="Q229" s="11"/>
    </row>
    <row r="230" spans="17:17">
      <c r="Q230" s="11"/>
    </row>
    <row r="231" spans="17:17">
      <c r="Q231" s="11"/>
    </row>
    <row r="232" spans="17:17">
      <c r="Q232" s="11"/>
    </row>
    <row r="233" spans="17:17">
      <c r="Q233" s="11"/>
    </row>
    <row r="234" spans="17:17">
      <c r="Q234" s="11"/>
    </row>
    <row r="235" spans="17:17">
      <c r="Q235" s="11"/>
    </row>
    <row r="236" spans="17:17">
      <c r="Q236" s="11"/>
    </row>
    <row r="237" spans="17:17">
      <c r="Q237" s="11"/>
    </row>
    <row r="238" spans="17:17">
      <c r="Q238" s="11"/>
    </row>
    <row r="239" spans="17:17">
      <c r="Q239" s="11"/>
    </row>
    <row r="240" spans="17:17">
      <c r="Q240" s="11"/>
    </row>
    <row r="241" spans="17:17">
      <c r="Q241" s="11"/>
    </row>
    <row r="242" spans="17:17">
      <c r="Q242" s="11"/>
    </row>
    <row r="243" spans="17:17">
      <c r="Q243" s="11"/>
    </row>
    <row r="244" spans="17:17">
      <c r="Q244" s="11"/>
    </row>
    <row r="245" spans="17:17">
      <c r="Q245" s="11"/>
    </row>
    <row r="246" spans="17:17">
      <c r="Q246" s="11"/>
    </row>
    <row r="247" spans="17:17">
      <c r="Q247" s="11"/>
    </row>
    <row r="248" spans="17:17">
      <c r="Q248" s="11"/>
    </row>
    <row r="249" spans="17:17">
      <c r="Q249" s="11"/>
    </row>
    <row r="250" spans="17:17">
      <c r="Q250" s="11"/>
    </row>
    <row r="251" spans="17:17">
      <c r="Q251" s="11"/>
    </row>
    <row r="252" spans="17:17">
      <c r="Q252" s="11"/>
    </row>
    <row r="253" spans="17:17">
      <c r="Q253" s="11"/>
    </row>
    <row r="254" spans="17:17">
      <c r="Q254" s="11"/>
    </row>
    <row r="255" spans="17:17">
      <c r="Q255" s="11"/>
    </row>
    <row r="256" spans="17:17">
      <c r="Q256" s="11"/>
    </row>
    <row r="257" spans="17:17">
      <c r="Q257" s="11"/>
    </row>
    <row r="258" spans="17:17">
      <c r="Q258" s="11"/>
    </row>
    <row r="259" spans="17:17">
      <c r="Q259" s="11"/>
    </row>
    <row r="260" spans="17:17">
      <c r="Q260" s="11"/>
    </row>
    <row r="261" spans="17:17">
      <c r="Q261" s="11"/>
    </row>
    <row r="262" spans="17:17">
      <c r="Q262" s="11"/>
    </row>
    <row r="263" spans="17:17">
      <c r="Q263" s="11"/>
    </row>
    <row r="264" spans="17:17">
      <c r="Q264" s="11"/>
    </row>
    <row r="265" spans="17:17">
      <c r="Q265" s="11"/>
    </row>
    <row r="266" spans="17:17">
      <c r="Q266" s="11"/>
    </row>
    <row r="267" spans="17:17">
      <c r="Q267" s="11"/>
    </row>
    <row r="268" spans="17:17">
      <c r="Q268" s="11"/>
    </row>
    <row r="269" spans="17:17">
      <c r="Q269" s="11"/>
    </row>
    <row r="270" spans="17:17">
      <c r="Q270" s="11"/>
    </row>
    <row r="271" spans="17:17">
      <c r="Q271" s="11"/>
    </row>
    <row r="272" spans="17:17">
      <c r="Q272" s="11"/>
    </row>
    <row r="273" spans="17:17">
      <c r="Q273" s="11"/>
    </row>
    <row r="274" spans="17:17">
      <c r="Q274" s="11"/>
    </row>
    <row r="275" spans="17:17">
      <c r="Q275" s="11"/>
    </row>
    <row r="276" spans="17:17">
      <c r="Q276" s="11"/>
    </row>
    <row r="277" spans="17:17">
      <c r="Q277" s="11"/>
    </row>
    <row r="278" spans="17:17">
      <c r="Q278" s="11"/>
    </row>
    <row r="279" spans="17:17">
      <c r="Q279" s="11"/>
    </row>
    <row r="280" spans="17:17">
      <c r="Q280" s="11"/>
    </row>
    <row r="281" spans="17:17">
      <c r="Q281" s="11"/>
    </row>
    <row r="282" spans="17:17">
      <c r="Q282" s="11"/>
    </row>
    <row r="283" spans="17:17">
      <c r="Q283" s="11"/>
    </row>
    <row r="284" spans="17:17">
      <c r="Q284" s="11"/>
    </row>
    <row r="285" spans="17:17">
      <c r="Q285" s="11"/>
    </row>
    <row r="286" spans="17:17">
      <c r="Q286" s="11"/>
    </row>
    <row r="287" spans="17:17">
      <c r="Q287" s="11"/>
    </row>
    <row r="288" spans="17:17">
      <c r="Q288" s="11"/>
    </row>
    <row r="289" spans="17:17">
      <c r="Q289" s="11"/>
    </row>
    <row r="290" spans="17:17">
      <c r="Q290" s="11"/>
    </row>
    <row r="291" spans="17:17">
      <c r="Q291" s="11"/>
    </row>
    <row r="292" spans="17:17">
      <c r="Q292" s="11"/>
    </row>
    <row r="293" spans="17:17">
      <c r="Q293" s="11"/>
    </row>
    <row r="294" spans="17:17">
      <c r="Q294" s="11"/>
    </row>
    <row r="295" spans="17:17">
      <c r="Q295" s="15"/>
    </row>
    <row r="296" spans="17:17">
      <c r="Q296" s="15"/>
    </row>
    <row r="297" spans="17:17">
      <c r="Q297" s="15"/>
    </row>
    <row r="298" spans="17:17">
      <c r="Q298" s="15"/>
    </row>
    <row r="299" spans="17:17">
      <c r="Q299" s="15"/>
    </row>
    <row r="300" spans="17:17">
      <c r="Q300" s="15"/>
    </row>
    <row r="301" spans="17:17">
      <c r="Q301" s="15"/>
    </row>
    <row r="302" spans="17:17">
      <c r="Q302" s="15"/>
    </row>
    <row r="303" spans="17:17">
      <c r="Q303" s="15"/>
    </row>
    <row r="304" spans="17:17">
      <c r="Q304" s="15"/>
    </row>
    <row r="305" spans="17:17">
      <c r="Q305" s="15"/>
    </row>
    <row r="306" spans="17:17">
      <c r="Q306" s="15"/>
    </row>
    <row r="307" spans="17:17">
      <c r="Q307" s="15"/>
    </row>
    <row r="308" spans="17:17">
      <c r="Q308" s="15"/>
    </row>
    <row r="309" spans="17:17">
      <c r="Q309" s="15"/>
    </row>
    <row r="310" spans="17:17">
      <c r="Q310" s="15"/>
    </row>
    <row r="311" spans="17:17">
      <c r="Q311" s="15"/>
    </row>
    <row r="312" spans="17:17">
      <c r="Q312" s="15"/>
    </row>
    <row r="313" spans="17:17">
      <c r="Q313" s="15"/>
    </row>
    <row r="314" spans="17:17">
      <c r="Q314" s="15"/>
    </row>
    <row r="315" spans="17:17">
      <c r="Q315" s="15"/>
    </row>
    <row r="316" spans="17:17">
      <c r="Q316" s="15"/>
    </row>
    <row r="317" spans="17:17">
      <c r="Q317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E376"/>
  <sheetViews>
    <sheetView workbookViewId="0">
      <selection activeCell="A4" sqref="A4"/>
    </sheetView>
  </sheetViews>
  <sheetFormatPr defaultRowHeight="11.25"/>
  <cols>
    <col min="1" max="3" width="24" customWidth="1"/>
    <col min="4" max="4" width="39.5" bestFit="1" customWidth="1"/>
    <col min="5" max="5" width="73.83203125" bestFit="1" customWidth="1"/>
  </cols>
  <sheetData>
    <row r="3" spans="1:5" ht="12.75">
      <c r="A3" s="46" t="s">
        <v>114</v>
      </c>
      <c r="B3" s="46" t="s">
        <v>115</v>
      </c>
      <c r="C3" s="46" t="s">
        <v>116</v>
      </c>
      <c r="D3" s="46" t="s">
        <v>119</v>
      </c>
      <c r="E3" s="46" t="s">
        <v>120</v>
      </c>
    </row>
    <row r="4" spans="1:5">
      <c r="A4" s="106" t="str">
        <f t="array" ref="A4:A32">_xll.HLV5r3.Financial.Cache.SupportedDayCounters()</f>
        <v>1/1</v>
      </c>
      <c r="B4" s="106" t="str">
        <f t="array" ref="B4:B120">_xll.HLV5r3.Financial.Cache.SupportedBusinessCenters()</f>
        <v>AEAD</v>
      </c>
      <c r="C4" s="106" t="str">
        <f t="array" ref="C4:C32">_xll.HLV5r3.Financial.Cache.SupportedCentralBanks()</f>
        <v>RBA</v>
      </c>
      <c r="D4" s="106" t="str">
        <f t="array" ref="D4:D289">_xll.HLV5r3.Financial.Cache.SupportedFloatingRates()</f>
        <v>AUD-AONIA-OIS-COMPOUND</v>
      </c>
      <c r="E4" s="106" t="str">
        <f t="array" ref="E4:E376">_xll.HLV5r3.Financial.Cache.SupportedProductTaxonomyTypes()</f>
        <v>Commodity:Agricultural:Dairy:Exotic</v>
      </c>
    </row>
    <row r="5" spans="1:5">
      <c r="A5" s="105" t="str">
        <v>ACT/ACT.ISDA</v>
      </c>
      <c r="B5" s="105" t="str">
        <v>AEDU</v>
      </c>
      <c r="C5" s="105" t="str">
        <v>BOJ</v>
      </c>
      <c r="D5" s="106" t="str">
        <v>AUD-AONIA-OIS-COMPOUND-SwapMarker</v>
      </c>
      <c r="E5" s="106" t="str">
        <v>Commodity:Agricultural:Dairy:LoanLease:Cash</v>
      </c>
    </row>
    <row r="6" spans="1:5">
      <c r="A6" s="105" t="str">
        <v>ACT/ACT.ICMA</v>
      </c>
      <c r="B6" s="105" t="str">
        <v>ARBA</v>
      </c>
      <c r="C6" s="105" t="str">
        <v>BHK</v>
      </c>
      <c r="D6" s="106" t="str">
        <v>AUD-BBR-AUBBSW</v>
      </c>
      <c r="E6" s="106" t="str">
        <v>Commodity:Agricultural:Dairy:LoanLease:Physical</v>
      </c>
    </row>
    <row r="7" spans="1:5">
      <c r="A7" s="105" t="str">
        <v>ACT/ACT.ISMA</v>
      </c>
      <c r="B7" s="105" t="str">
        <v>ATVI</v>
      </c>
      <c r="C7" s="105" t="str">
        <v>BNZ</v>
      </c>
      <c r="D7" s="106" t="str">
        <v>AUD-BBR-BBSW</v>
      </c>
      <c r="E7" s="106" t="str">
        <v>Commodity:Agricultural:Dairy:Option:Cash</v>
      </c>
    </row>
    <row r="8" spans="1:5">
      <c r="A8" s="105" t="str">
        <v>ACT/ACT.AFB</v>
      </c>
      <c r="B8" s="105" t="str">
        <v>AUME</v>
      </c>
      <c r="C8" s="105" t="str">
        <v>BOE</v>
      </c>
      <c r="D8" s="106" t="str">
        <v>AUD-BBR-BBSW-Bloomberg</v>
      </c>
      <c r="E8" s="106" t="str">
        <v>Commodity:Agricultural:Dairy:Option:Physical</v>
      </c>
    </row>
    <row r="9" spans="1:5">
      <c r="A9" s="105" t="str">
        <v>ACT/365.FIXED</v>
      </c>
      <c r="B9" s="105" t="str">
        <v>AUSY</v>
      </c>
      <c r="C9" s="105" t="str">
        <v>ECB</v>
      </c>
      <c r="D9" s="106" t="str">
        <v>AUD-BBR-BBSY-BID</v>
      </c>
      <c r="E9" s="106" t="str">
        <v>Commodity:Agricultural:Dairy:SpotFwd:Physical</v>
      </c>
    </row>
    <row r="10" spans="1:5">
      <c r="A10" s="105" t="str">
        <v>ACT/360</v>
      </c>
      <c r="B10" s="105" t="str">
        <v>AUAD</v>
      </c>
      <c r="C10" s="105" t="str">
        <v>FOMC</v>
      </c>
      <c r="D10" s="106" t="str">
        <v>AUD-BBR-ISDC</v>
      </c>
      <c r="E10" s="106" t="str">
        <v>Commodity:Agricultural:Dairy:Swap:Cash</v>
      </c>
    </row>
    <row r="11" spans="1:5">
      <c r="A11" s="105" t="str">
        <v>30/360</v>
      </c>
      <c r="B11" s="105" t="str">
        <v>AUBR</v>
      </c>
      <c r="C11" s="105" t="e">
        <v>#N/A</v>
      </c>
      <c r="D11" s="106" t="str">
        <v>AUD-LIBOR-BBA</v>
      </c>
      <c r="E11" s="106" t="str">
        <v>Commodity:Agricultural:Forestry:Exotic</v>
      </c>
    </row>
    <row r="12" spans="1:5">
      <c r="A12" s="105" t="str">
        <v>30E/360</v>
      </c>
      <c r="B12" s="105" t="str">
        <v>AUPE</v>
      </c>
      <c r="C12" s="105" t="e">
        <v>#N/A</v>
      </c>
      <c r="D12" s="106" t="str">
        <v>AUD-LIBOR-BBA-Bloomberg</v>
      </c>
      <c r="E12" s="106" t="str">
        <v>Commodity:Agricultural:Forestry:LoanLease:Cash</v>
      </c>
    </row>
    <row r="13" spans="1:5">
      <c r="A13" s="105" t="str">
        <v>30E/360.ISDA</v>
      </c>
      <c r="B13" s="105" t="str">
        <v>AUHO</v>
      </c>
      <c r="C13" s="105" t="e">
        <v>#N/A</v>
      </c>
      <c r="D13" s="106" t="str">
        <v>AUD-LIBOR-Reference Banks</v>
      </c>
      <c r="E13" s="106" t="str">
        <v>Commodity:Agricultural:Forestry:LoanLease:Physical</v>
      </c>
    </row>
    <row r="14" spans="1:5">
      <c r="A14" s="105" t="str">
        <v>BUS/252</v>
      </c>
      <c r="B14" s="105" t="str">
        <v>BEBR</v>
      </c>
      <c r="C14" s="105" t="e">
        <v>#N/A</v>
      </c>
      <c r="D14" s="106" t="str">
        <v>AUD-Swap Rate-Reuters</v>
      </c>
      <c r="E14" s="106" t="str">
        <v>Commodity:Agricultural:Forestry:Option:Cash</v>
      </c>
    </row>
    <row r="15" spans="1:5">
      <c r="A15" s="105" t="e">
        <v>#N/A</v>
      </c>
      <c r="B15" s="105" t="str">
        <v>BMHA</v>
      </c>
      <c r="C15" s="105" t="e">
        <v>#N/A</v>
      </c>
      <c r="D15" s="106" t="str">
        <v>CAD-BA-ISDD</v>
      </c>
      <c r="E15" s="106" t="str">
        <v>Commodity:Agricultural:Forestry:Option:Physical</v>
      </c>
    </row>
    <row r="16" spans="1:5">
      <c r="A16" s="105" t="e">
        <v>#N/A</v>
      </c>
      <c r="B16" s="105" t="str">
        <v>BRSP</v>
      </c>
      <c r="C16" s="105" t="e">
        <v>#N/A</v>
      </c>
      <c r="D16" s="106" t="str">
        <v>CAD-BA-CDOR</v>
      </c>
      <c r="E16" s="106" t="str">
        <v>Commodity:Agricultural:Forestry:SpotFwd:Physical</v>
      </c>
    </row>
    <row r="17" spans="1:5">
      <c r="A17" s="105" t="e">
        <v>#N/A</v>
      </c>
      <c r="B17" s="105" t="str">
        <v>CAMO</v>
      </c>
      <c r="C17" s="105" t="e">
        <v>#N/A</v>
      </c>
      <c r="D17" s="106" t="str">
        <v>CAD-BA-CDOR-Bloomberg</v>
      </c>
      <c r="E17" s="106" t="str">
        <v>Commodity:Agricultural:Forestry:Swap:Cash</v>
      </c>
    </row>
    <row r="18" spans="1:5">
      <c r="A18" s="105" t="e">
        <v>#N/A</v>
      </c>
      <c r="B18" s="105" t="str">
        <v>CATO</v>
      </c>
      <c r="C18" s="105" t="e">
        <v>#N/A</v>
      </c>
      <c r="D18" s="106" t="str">
        <v>CAD-BA-Reuters</v>
      </c>
      <c r="E18" s="106" t="str">
        <v>Commodity:Agricultural:GrainsOilSeeds:Exotic</v>
      </c>
    </row>
    <row r="19" spans="1:5">
      <c r="A19" s="105" t="e">
        <v>#N/A</v>
      </c>
      <c r="B19" s="105" t="str">
        <v>CAVA</v>
      </c>
      <c r="C19" s="105" t="e">
        <v>#N/A</v>
      </c>
      <c r="D19" s="106" t="str">
        <v>CAD-BA-Telerate</v>
      </c>
      <c r="E19" s="106" t="str">
        <v>Commodity:Agricultural:GrainsOilSeeds:LoanLease:Cash</v>
      </c>
    </row>
    <row r="20" spans="1:5">
      <c r="A20" s="105" t="e">
        <v>#N/A</v>
      </c>
      <c r="B20" s="105" t="str">
        <v>CHGE</v>
      </c>
      <c r="C20" s="105" t="e">
        <v>#N/A</v>
      </c>
      <c r="D20" s="106" t="str">
        <v>CAD-BA-Reference Banks</v>
      </c>
      <c r="E20" s="106" t="str">
        <v>Commodity:Agricultural:GrainsOilSeeds:LoanLease:Physical</v>
      </c>
    </row>
    <row r="21" spans="1:5">
      <c r="A21" s="105" t="e">
        <v>#N/A</v>
      </c>
      <c r="B21" s="105" t="str">
        <v>CHZU</v>
      </c>
      <c r="C21" s="105" t="e">
        <v>#N/A</v>
      </c>
      <c r="D21" s="106" t="str">
        <v>CAD-TBILL-ISDD</v>
      </c>
      <c r="E21" s="106" t="str">
        <v>Commodity:Agricultural:GrainsOilSeeds:Option:Cash</v>
      </c>
    </row>
    <row r="22" spans="1:5">
      <c r="A22" s="105" t="e">
        <v>#N/A</v>
      </c>
      <c r="B22" s="105" t="str">
        <v>CLSA</v>
      </c>
      <c r="C22" s="105" t="e">
        <v>#N/A</v>
      </c>
      <c r="D22" s="106" t="str">
        <v>CAD-TBILL-Reuters</v>
      </c>
      <c r="E22" s="106" t="str">
        <v>Commodity:Agricultural:GrainsOilSeeds:Option:Physical</v>
      </c>
    </row>
    <row r="23" spans="1:5">
      <c r="A23" s="106" t="e">
        <v>#N/A</v>
      </c>
      <c r="B23" s="106" t="str">
        <v>CNBE</v>
      </c>
      <c r="C23" s="106" t="e">
        <v>#N/A</v>
      </c>
      <c r="D23" s="106" t="str">
        <v>CAD-TBILL-Telerate</v>
      </c>
      <c r="E23" s="106" t="str">
        <v>Commodity:Agricultural:GrainsOilSeeds:SpotFwd:Physical</v>
      </c>
    </row>
    <row r="24" spans="1:5">
      <c r="A24" s="105" t="e">
        <v>#N/A</v>
      </c>
      <c r="B24" s="105" t="str">
        <v>CZPR</v>
      </c>
      <c r="C24" s="105" t="e">
        <v>#N/A</v>
      </c>
      <c r="D24" s="106" t="str">
        <v>CAD-TBILL-Reference Banks</v>
      </c>
      <c r="E24" s="106" t="str">
        <v>Commodity:Agricultural:GrainsOilSeeds:Swap:Cash</v>
      </c>
    </row>
    <row r="25" spans="1:5">
      <c r="A25" s="105" t="e">
        <v>#N/A</v>
      </c>
      <c r="B25" s="105" t="str">
        <v>DEDU</v>
      </c>
      <c r="C25" s="105" t="e">
        <v>#N/A</v>
      </c>
      <c r="D25" s="106" t="str">
        <v>CAD-LIBOR-BBA</v>
      </c>
      <c r="E25" s="106" t="str">
        <v>Commodity:Agricultural:Livestock:Exotic</v>
      </c>
    </row>
    <row r="26" spans="1:5">
      <c r="A26" s="105" t="e">
        <v>#N/A</v>
      </c>
      <c r="B26" s="105" t="str">
        <v>DEFR</v>
      </c>
      <c r="C26" s="105" t="e">
        <v>#N/A</v>
      </c>
      <c r="D26" s="106" t="str">
        <v>CAD-LIBOR-BBA-Bloomberg</v>
      </c>
      <c r="E26" s="106" t="str">
        <v>Commodity:Agricultural:Livestock:LoanLease:Cash</v>
      </c>
    </row>
    <row r="27" spans="1:5">
      <c r="A27" s="105" t="e">
        <v>#N/A</v>
      </c>
      <c r="B27" s="105" t="str">
        <v>DEST</v>
      </c>
      <c r="C27" s="105" t="e">
        <v>#N/A</v>
      </c>
      <c r="D27" s="106" t="str">
        <v>CAD-LIBOR-BBA-SwapMarker</v>
      </c>
      <c r="E27" s="106" t="str">
        <v>Commodity:Agricultural:Livestock:LoanLease:Physical</v>
      </c>
    </row>
    <row r="28" spans="1:5">
      <c r="A28" s="105" t="e">
        <v>#N/A</v>
      </c>
      <c r="B28" s="105" t="str">
        <v>DKCO</v>
      </c>
      <c r="C28" s="105" t="e">
        <v>#N/A</v>
      </c>
      <c r="D28" s="106" t="str">
        <v>CAD-LIBOR-Reference Banks</v>
      </c>
      <c r="E28" s="106" t="str">
        <v>Commodity:Agricultural:Livestock:Option:Cash</v>
      </c>
    </row>
    <row r="29" spans="1:5">
      <c r="A29" s="105" t="e">
        <v>#N/A</v>
      </c>
      <c r="B29" s="105" t="str">
        <v>EETA</v>
      </c>
      <c r="C29" s="105" t="e">
        <v>#N/A</v>
      </c>
      <c r="D29" s="106" t="str">
        <v>CAD-REPO-CORRA</v>
      </c>
      <c r="E29" s="106" t="str">
        <v>Commodity:Agricultural:Livestock:Option:Physical</v>
      </c>
    </row>
    <row r="30" spans="1:5">
      <c r="A30" s="105" t="e">
        <v>#N/A</v>
      </c>
      <c r="B30" s="105" t="str">
        <v>ESAS</v>
      </c>
      <c r="C30" s="105" t="e">
        <v>#N/A</v>
      </c>
      <c r="D30" s="106" t="str">
        <v>CAD-CORRA-OIS-COMPOUND</v>
      </c>
      <c r="E30" s="106" t="str">
        <v>Commodity:Agricultural:Livestock:SpotFwd:Physical</v>
      </c>
    </row>
    <row r="31" spans="1:5">
      <c r="A31" s="105" t="e">
        <v>#N/A</v>
      </c>
      <c r="B31" s="105" t="str">
        <v>ESBA</v>
      </c>
      <c r="C31" s="105" t="e">
        <v>#N/A</v>
      </c>
      <c r="D31" s="106" t="str">
        <v>CAD-ISDA-Swap Rate</v>
      </c>
      <c r="E31" s="106" t="str">
        <v>Commodity:Agricultural:Livestock:Swap:Cash</v>
      </c>
    </row>
    <row r="32" spans="1:5">
      <c r="A32" s="105" t="e">
        <v>#N/A</v>
      </c>
      <c r="B32" s="105" t="str">
        <v>ESMA</v>
      </c>
      <c r="C32" s="105" t="e">
        <v>#N/A</v>
      </c>
      <c r="D32" s="106" t="str">
        <v>CL-CLICP-Bloomberg</v>
      </c>
      <c r="E32" s="106" t="str">
        <v>Commodity:Agricultural:Softs:Exotic</v>
      </c>
    </row>
    <row r="33" spans="2:5">
      <c r="B33" s="105" t="str">
        <v>EUTA</v>
      </c>
      <c r="C33" s="105"/>
      <c r="D33" s="106" t="str">
        <v>CZK-PRIBOR-PRBO</v>
      </c>
      <c r="E33" s="106" t="str">
        <v>Commodity:Agricultural:Softs:LoanLease:Cash</v>
      </c>
    </row>
    <row r="34" spans="2:5">
      <c r="B34" s="105" t="str">
        <v>FIHE</v>
      </c>
      <c r="C34" s="105"/>
      <c r="D34" s="106" t="str">
        <v>CZK-PRIBOR-Reference Banks</v>
      </c>
      <c r="E34" s="106" t="str">
        <v>Commodity:Agricultural:Softs:LoanLease:Physical</v>
      </c>
    </row>
    <row r="35" spans="2:5">
      <c r="B35" s="105" t="str">
        <v>FRPA</v>
      </c>
      <c r="C35" s="105"/>
      <c r="D35" s="106" t="str">
        <v>DKK-CIBOR-DKNA13</v>
      </c>
      <c r="E35" s="106" t="str">
        <v>Commodity:Agricultural:Softs:Option:Cash</v>
      </c>
    </row>
    <row r="36" spans="2:5">
      <c r="B36" s="105" t="str">
        <v>GBLO</v>
      </c>
      <c r="C36" s="105"/>
      <c r="D36" s="106" t="str">
        <v>DKK-CIBOR-DKNA13-Bloomberg</v>
      </c>
      <c r="E36" s="106" t="str">
        <v>Commodity:Agricultural:Softs:Option:Physical</v>
      </c>
    </row>
    <row r="37" spans="2:5">
      <c r="B37" s="105" t="str">
        <v>GRAT</v>
      </c>
      <c r="C37" s="105"/>
      <c r="D37" s="106" t="str">
        <v>DKK-CIBOR2-DKNA13</v>
      </c>
      <c r="E37" s="106" t="str">
        <v>Commodity:Agricultural:Softs:SpotFwd:Physical</v>
      </c>
    </row>
    <row r="38" spans="2:5">
      <c r="B38" s="105" t="str">
        <v>HKHK</v>
      </c>
      <c r="C38" s="105"/>
      <c r="D38" s="106" t="str">
        <v>DKK-CITA-DKNA14-COMPOUND</v>
      </c>
      <c r="E38" s="106" t="str">
        <v>Commodity:Agricultural:Softs:Swap:Cash</v>
      </c>
    </row>
    <row r="39" spans="2:5">
      <c r="B39" s="105" t="str">
        <v>HUBU</v>
      </c>
      <c r="C39" s="105"/>
      <c r="D39" s="106" t="str">
        <v>DKK-CIBOR-Reference Banks</v>
      </c>
      <c r="E39" s="106" t="str">
        <v>Commodity:Energy:Coal:Exotic</v>
      </c>
    </row>
    <row r="40" spans="2:5">
      <c r="B40" s="105" t="str">
        <v>IDJA</v>
      </c>
      <c r="C40" s="105"/>
      <c r="D40" s="106" t="str">
        <v>DKK-DKKOIS-OIS-COMPOUND</v>
      </c>
      <c r="E40" s="106" t="str">
        <v>Commodity:Energy:Coal:LoanLease:Cash</v>
      </c>
    </row>
    <row r="41" spans="2:5">
      <c r="B41" s="105" t="str">
        <v>IEDU</v>
      </c>
      <c r="C41" s="105"/>
      <c r="D41" s="106" t="str">
        <v>EUR-EURIBOR-Reuters</v>
      </c>
      <c r="E41" s="106" t="str">
        <v>Commodity:Energy:Coal:LoanLease:Physical</v>
      </c>
    </row>
    <row r="42" spans="2:5">
      <c r="B42" s="105" t="str">
        <v>ILTA</v>
      </c>
      <c r="C42" s="105"/>
      <c r="D42" s="106" t="str">
        <v>EUR-EURIBOR-Telerate</v>
      </c>
      <c r="E42" s="106" t="str">
        <v>Commodity:Energy:Coal:Option:Cash</v>
      </c>
    </row>
    <row r="43" spans="2:5">
      <c r="B43" s="105" t="str">
        <v>INMU</v>
      </c>
      <c r="C43" s="105"/>
      <c r="D43" s="106" t="str">
        <v>EUR-EURIBOR-Act/365</v>
      </c>
      <c r="E43" s="106" t="str">
        <v>Commodity:Energy:Coal:Option:Physical</v>
      </c>
    </row>
    <row r="44" spans="2:5">
      <c r="B44" s="105" t="str">
        <v>ISRE</v>
      </c>
      <c r="C44" s="105"/>
      <c r="D44" s="106" t="str">
        <v>EUR-EURIBOR-Act/365-Bloomberg</v>
      </c>
      <c r="E44" s="106" t="str">
        <v>Commodity:Energy:Coal:SpotFwd:Physical</v>
      </c>
    </row>
    <row r="45" spans="2:5">
      <c r="B45" s="105" t="str">
        <v>ITMI</v>
      </c>
      <c r="C45" s="105"/>
      <c r="D45" s="106" t="str">
        <v>EUR-EURIBOR-Reference Banks</v>
      </c>
      <c r="E45" s="106" t="str">
        <v>Commodity:Energy:Coal:Swap:Cash</v>
      </c>
    </row>
    <row r="46" spans="2:5">
      <c r="B46" s="105" t="str">
        <v>ITRO</v>
      </c>
      <c r="C46" s="105"/>
      <c r="D46" s="106" t="str">
        <v>EUR-LIBOR-BBA</v>
      </c>
      <c r="E46" s="106" t="str">
        <v>Commodity:Energy:Elec:Exotic</v>
      </c>
    </row>
    <row r="47" spans="2:5">
      <c r="B47" s="105" t="str">
        <v>JPTO</v>
      </c>
      <c r="C47" s="105"/>
      <c r="D47" s="106" t="str">
        <v>EUR-LIBOR-BBA-Bloomberg</v>
      </c>
      <c r="E47" s="106" t="str">
        <v>Commodity:Energy:Elec:LoanLease:Cash</v>
      </c>
    </row>
    <row r="48" spans="2:5">
      <c r="B48" s="105" t="str">
        <v>KRSE</v>
      </c>
      <c r="C48" s="105"/>
      <c r="D48" s="106" t="str">
        <v>EUR-LIBOR-Reference Banks</v>
      </c>
      <c r="E48" s="106" t="str">
        <v>Commodity:Energy:Elec:LoanLease:Physical</v>
      </c>
    </row>
    <row r="49" spans="2:5">
      <c r="B49" s="105" t="str">
        <v>KYGE</v>
      </c>
      <c r="C49" s="105"/>
      <c r="D49" s="106" t="str">
        <v>EUR-EONIA-OIS-COMPOUND</v>
      </c>
      <c r="E49" s="106" t="str">
        <v>Commodity:Energy:Elec:Option:Cash</v>
      </c>
    </row>
    <row r="50" spans="2:5">
      <c r="B50" s="105" t="str">
        <v>LBBE</v>
      </c>
      <c r="C50" s="105"/>
      <c r="D50" s="106" t="str">
        <v>EUR-EONIA-OIS-COMPOUND-Bloomberg</v>
      </c>
      <c r="E50" s="106" t="str">
        <v>Commodity:Energy:Elec:Option:Physical</v>
      </c>
    </row>
    <row r="51" spans="2:5">
      <c r="B51" s="105" t="str">
        <v>LULU</v>
      </c>
      <c r="C51" s="105"/>
      <c r="D51" s="106" t="str">
        <v>EUR-EURONIA-OIS-COMPOUND</v>
      </c>
      <c r="E51" s="106" t="str">
        <v>Commodity:Energy:Elec:SpotFwd:Physical</v>
      </c>
    </row>
    <row r="52" spans="2:5">
      <c r="B52" s="105" t="str">
        <v>MOMA</v>
      </c>
      <c r="C52" s="105"/>
      <c r="D52" s="106" t="str">
        <v>EUR-TAM-CDC</v>
      </c>
      <c r="E52" s="106" t="str">
        <v>Commodity:Energy:Elec:Swap:Cash</v>
      </c>
    </row>
    <row r="53" spans="2:5">
      <c r="B53" s="105" t="str">
        <v>MXMC</v>
      </c>
      <c r="C53" s="105"/>
      <c r="D53" s="106" t="str">
        <v>EUR-TMM-CDC-COMPOUND</v>
      </c>
      <c r="E53" s="106" t="str">
        <v>Commodity:Energy:Elec:Transmission</v>
      </c>
    </row>
    <row r="54" spans="2:5">
      <c r="B54" s="105" t="str">
        <v>MYKL</v>
      </c>
      <c r="C54" s="105"/>
      <c r="D54" s="106" t="str">
        <v>EUR-EONIA-AVERAGE</v>
      </c>
      <c r="E54" s="106" t="str">
        <v>Commodity:Energy:InterEnergy:Exotic</v>
      </c>
    </row>
    <row r="55" spans="2:5">
      <c r="B55" s="105" t="str">
        <v>NLAM</v>
      </c>
      <c r="C55" s="105"/>
      <c r="D55" s="106" t="str">
        <v>EUR-TEC10-CNO</v>
      </c>
      <c r="E55" s="106" t="str">
        <v>Commodity:Energy:InterEnergy:LoanLease:Cash</v>
      </c>
    </row>
    <row r="56" spans="2:5">
      <c r="B56" s="105" t="str">
        <v>NOOS</v>
      </c>
      <c r="C56" s="105"/>
      <c r="D56" s="106" t="str">
        <v>EUR-TEC10-CNO-SwapMarker</v>
      </c>
      <c r="E56" s="106" t="str">
        <v>Commodity:Energy:InterEnergy:LoanLease:Physical</v>
      </c>
    </row>
    <row r="57" spans="2:5">
      <c r="B57" s="105" t="str">
        <v>NYFD</v>
      </c>
      <c r="C57" s="105"/>
      <c r="D57" s="106" t="str">
        <v>EUR-TEC10-Reference Banks</v>
      </c>
      <c r="E57" s="106" t="str">
        <v>Commodity:Energy:InterEnergy:Option:Cash</v>
      </c>
    </row>
    <row r="58" spans="2:5">
      <c r="B58" s="105" t="str">
        <v>NYSE</v>
      </c>
      <c r="C58" s="105"/>
      <c r="D58" s="106" t="str">
        <v>EUR-TEC5-CNO</v>
      </c>
      <c r="E58" s="106" t="str">
        <v>Commodity:Energy:InterEnergy:Option:Physical</v>
      </c>
    </row>
    <row r="59" spans="2:5">
      <c r="B59" s="105" t="str">
        <v>NZAU</v>
      </c>
      <c r="C59" s="105"/>
      <c r="D59" s="106" t="str">
        <v>EUR-TEC5-CNO-SwapMarker</v>
      </c>
      <c r="E59" s="106" t="str">
        <v>Commodity:Energy:InterEnergy:SpotFwd:Physical</v>
      </c>
    </row>
    <row r="60" spans="2:5">
      <c r="B60" s="105" t="str">
        <v>NZWE</v>
      </c>
      <c r="C60" s="105"/>
      <c r="D60" s="106" t="str">
        <v>EUR-TEC5-Reference Banks</v>
      </c>
      <c r="E60" s="106" t="str">
        <v>Commodity:Energy:InterEnergy:Swap:Cash</v>
      </c>
    </row>
    <row r="61" spans="2:5">
      <c r="B61" s="105" t="str">
        <v>PAPC</v>
      </c>
      <c r="C61" s="105"/>
      <c r="D61" s="106" t="str">
        <v>EUR-Annual Swap Rate-10:00</v>
      </c>
      <c r="E61" s="106" t="str">
        <v>Commodity:Energy:NatGas:Exotic</v>
      </c>
    </row>
    <row r="62" spans="2:5">
      <c r="B62" s="105" t="str">
        <v>PHMA</v>
      </c>
      <c r="C62" s="105"/>
      <c r="D62" s="106" t="str">
        <v>EUR-Annual Swap Rate-10:00-Bloomberg</v>
      </c>
      <c r="E62" s="106" t="str">
        <v>Commodity:Energy:NatGas:LoanLease:Cash</v>
      </c>
    </row>
    <row r="63" spans="2:5">
      <c r="B63" s="105" t="str">
        <v>PLWA</v>
      </c>
      <c r="C63" s="105"/>
      <c r="D63" s="106" t="str">
        <v>EUR-Annual Swap Rate-10:00-SwapMarker</v>
      </c>
      <c r="E63" s="106" t="str">
        <v>Commodity:Energy:NatGas:LoanLease:Physical</v>
      </c>
    </row>
    <row r="64" spans="2:5">
      <c r="B64" s="105" t="str">
        <v>PTLI</v>
      </c>
      <c r="C64" s="105"/>
      <c r="D64" s="106" t="str">
        <v>EUR-Annual Swap Rate-11:00</v>
      </c>
      <c r="E64" s="106" t="str">
        <v>Commodity:Energy:NatGas:Option:Cash</v>
      </c>
    </row>
    <row r="65" spans="2:5">
      <c r="B65" s="105" t="str">
        <v>RUMO</v>
      </c>
      <c r="C65" s="105"/>
      <c r="D65" s="106" t="str">
        <v>EUR-Annual Swap Rate-11:00-Bloomberg</v>
      </c>
      <c r="E65" s="106" t="str">
        <v>Commodity:Energy:NatGas:Option:Physical</v>
      </c>
    </row>
    <row r="66" spans="2:5">
      <c r="B66" s="105" t="str">
        <v>SARI</v>
      </c>
      <c r="C66" s="105"/>
      <c r="D66" s="106" t="str">
        <v>EUR-Annual Swap Rate-11:00-SwapMarker</v>
      </c>
      <c r="E66" s="106" t="str">
        <v>Commodity:Energy:NatGas:SpotFwd:Physical</v>
      </c>
    </row>
    <row r="67" spans="2:5">
      <c r="B67" s="105" t="str">
        <v>SEST</v>
      </c>
      <c r="C67" s="105"/>
      <c r="D67" s="106" t="str">
        <v>EUR-Annual Swap Rate-3 Month</v>
      </c>
      <c r="E67" s="106" t="str">
        <v>Commodity:Energy:NatGas:Swap:Cash</v>
      </c>
    </row>
    <row r="68" spans="2:5">
      <c r="B68" s="105" t="str">
        <v>SGSI</v>
      </c>
      <c r="C68" s="105"/>
      <c r="D68" s="106" t="str">
        <v>EUR-Annual Swap Rate-3 Month-SwapMarker</v>
      </c>
      <c r="E68" s="106" t="str">
        <v>Commodity:Energy:NatGas:Transport</v>
      </c>
    </row>
    <row r="69" spans="2:5">
      <c r="B69" s="105" t="str">
        <v>SKBR</v>
      </c>
      <c r="C69" s="105"/>
      <c r="D69" s="106" t="str">
        <v>EUR-ISDA-EURIBOR Swap Rate-11:00</v>
      </c>
      <c r="E69" s="106" t="str">
        <v>Commodity:Energy:Oil:Exotic</v>
      </c>
    </row>
    <row r="70" spans="2:5">
      <c r="B70" s="105" t="str">
        <v>THBA</v>
      </c>
      <c r="C70" s="105"/>
      <c r="D70" s="106" t="str">
        <v>EUR-ISDA-EURIBOR Swap Rate-12:00</v>
      </c>
      <c r="E70" s="106" t="str">
        <v>Commodity:Energy:Oil:LoanLease:Cash</v>
      </c>
    </row>
    <row r="71" spans="2:5">
      <c r="B71" s="105" t="str">
        <v>TRAN</v>
      </c>
      <c r="C71" s="105"/>
      <c r="D71" s="106" t="str">
        <v>EUR-ISDA-LIBOR Swap Rate-10:00</v>
      </c>
      <c r="E71" s="106" t="str">
        <v>Commodity:Energy:Oil:LoanLease:Physical</v>
      </c>
    </row>
    <row r="72" spans="2:5">
      <c r="B72" s="105" t="str">
        <v>TWTA</v>
      </c>
      <c r="C72" s="105"/>
      <c r="D72" s="106" t="str">
        <v>EUR-ISDA-LIBOR Swap Rate-11:00</v>
      </c>
      <c r="E72" s="106" t="str">
        <v>Commodity:Energy:Oil:Option:Cash</v>
      </c>
    </row>
    <row r="73" spans="2:5">
      <c r="B73" s="105" t="str">
        <v>USCH</v>
      </c>
      <c r="C73" s="105"/>
      <c r="D73" s="106" t="str">
        <v>EUR-EONIA-Swap-Index</v>
      </c>
      <c r="E73" s="106" t="str">
        <v>Commodity:Energy:Oil:Option:Physical</v>
      </c>
    </row>
    <row r="74" spans="2:5">
      <c r="B74" s="105" t="str">
        <v>USGS</v>
      </c>
      <c r="C74" s="105"/>
      <c r="D74" s="106" t="str">
        <v>EUR-Annual Swap Rate-Reference Banks</v>
      </c>
      <c r="E74" s="106" t="str">
        <v>Commodity:Energy:Oil:SpotFwd:Physical</v>
      </c>
    </row>
    <row r="75" spans="2:5">
      <c r="B75" s="105" t="str">
        <v>USLA</v>
      </c>
      <c r="C75" s="105"/>
      <c r="D75" s="106" t="str">
        <v>GRD-ATHIBOR-ATHIBOR</v>
      </c>
      <c r="E75" s="106" t="str">
        <v>Commodity:Energy:Oil:Swap:Cash</v>
      </c>
    </row>
    <row r="76" spans="2:5">
      <c r="B76" s="105" t="str">
        <v>USNY</v>
      </c>
      <c r="C76" s="105"/>
      <c r="D76" s="106" t="str">
        <v>GRD-ATHIBOR-Telerate</v>
      </c>
      <c r="E76" s="106" t="str">
        <v>Commodity:Environmental:Emissions:Exotic</v>
      </c>
    </row>
    <row r="77" spans="2:5">
      <c r="B77" s="105" t="str">
        <v>USSE</v>
      </c>
      <c r="C77" s="105"/>
      <c r="D77" s="106" t="str">
        <v>GRD-ATHIBOR-Reference Banks</v>
      </c>
      <c r="E77" s="106" t="str">
        <v>Commodity:Environmental:Emissions:LoanLease:Cash</v>
      </c>
    </row>
    <row r="78" spans="2:5">
      <c r="B78" s="105" t="str">
        <v>VECA</v>
      </c>
      <c r="C78" s="105"/>
      <c r="D78" s="106" t="str">
        <v>GRD-ATHIMID-Reuters</v>
      </c>
      <c r="E78" s="106" t="str">
        <v>Commodity:Environmental:Emissions:LoanLease:Physical</v>
      </c>
    </row>
    <row r="79" spans="2:5">
      <c r="B79" s="105" t="str">
        <v>ZAJO</v>
      </c>
      <c r="C79" s="105"/>
      <c r="D79" s="106" t="str">
        <v>GRD-ATHIMID-Reference Banks</v>
      </c>
      <c r="E79" s="106" t="str">
        <v>Commodity:Environmental:Emissions:Option:Cash</v>
      </c>
    </row>
    <row r="80" spans="2:5">
      <c r="B80" s="105" t="e">
        <v>#N/A</v>
      </c>
      <c r="C80" s="105"/>
      <c r="D80" s="106" t="str">
        <v>HKD-HIBOR-ISDC</v>
      </c>
      <c r="E80" s="106" t="str">
        <v>Commodity:Environmental:Emissions:Option:Physical</v>
      </c>
    </row>
    <row r="81" spans="2:5">
      <c r="B81" s="105" t="e">
        <v>#N/A</v>
      </c>
      <c r="C81" s="105"/>
      <c r="D81" s="106" t="str">
        <v>HKD-HIBOR-HIBOR=</v>
      </c>
      <c r="E81" s="106" t="str">
        <v>Commodity:Environmental:Emissions:SpotFwd:Physical</v>
      </c>
    </row>
    <row r="82" spans="2:5">
      <c r="B82" s="105" t="e">
        <v>#N/A</v>
      </c>
      <c r="C82" s="105"/>
      <c r="D82" s="106" t="str">
        <v>HKD-HIBOR-HIBOR-Bloomberg</v>
      </c>
      <c r="E82" s="106" t="str">
        <v>Commodity:Environmental:Emissions:Swap:Cash</v>
      </c>
    </row>
    <row r="83" spans="2:5">
      <c r="B83" s="105" t="e">
        <v>#N/A</v>
      </c>
      <c r="C83" s="105"/>
      <c r="D83" s="106" t="str">
        <v>HKD-HIBOR-HKAB</v>
      </c>
      <c r="E83" s="106" t="str">
        <v>Commodity:Environmental:Weather:Exotic</v>
      </c>
    </row>
    <row r="84" spans="2:5">
      <c r="B84" s="105" t="e">
        <v>#N/A</v>
      </c>
      <c r="C84" s="105"/>
      <c r="D84" s="106" t="str">
        <v>HKD-HIBOR-HKAB-Bloomberg</v>
      </c>
      <c r="E84" s="106" t="str">
        <v>Commodity:Environmental:Weather:LoanLease:Cash</v>
      </c>
    </row>
    <row r="85" spans="2:5">
      <c r="B85" s="105" t="e">
        <v>#N/A</v>
      </c>
      <c r="C85" s="105"/>
      <c r="D85" s="106" t="str">
        <v>HKD-HIBOR-Reference Banks</v>
      </c>
      <c r="E85" s="106" t="str">
        <v>Commodity:Environmental:Weather:Option:Cash</v>
      </c>
    </row>
    <row r="86" spans="2:5">
      <c r="B86" s="105" t="e">
        <v>#N/A</v>
      </c>
      <c r="C86" s="105"/>
      <c r="D86" s="106" t="str">
        <v>HKD-HONIX-OIS-COMPOUND</v>
      </c>
      <c r="E86" s="106" t="str">
        <v>Commodity:Environmental:Weather:Swap:Cash</v>
      </c>
    </row>
    <row r="87" spans="2:5">
      <c r="B87" s="105" t="e">
        <v>#N/A</v>
      </c>
      <c r="C87" s="105"/>
      <c r="D87" s="106" t="str">
        <v>HKD-ISDA-Swap Rate-11:00</v>
      </c>
      <c r="E87" s="106" t="str">
        <v>Commodity:Freight:Exotic</v>
      </c>
    </row>
    <row r="88" spans="2:5">
      <c r="B88" s="105" t="e">
        <v>#N/A</v>
      </c>
      <c r="C88" s="105"/>
      <c r="D88" s="106" t="str">
        <v>HKD-ISDA-Swap Rate-4:00</v>
      </c>
      <c r="E88" s="106" t="str">
        <v>Commodity:Freight:LoanLease:Cash</v>
      </c>
    </row>
    <row r="89" spans="2:5">
      <c r="B89" s="105" t="e">
        <v>#N/A</v>
      </c>
      <c r="C89" s="105"/>
      <c r="D89" s="106" t="str">
        <v>HUF-BUBOR-Reuters</v>
      </c>
      <c r="E89" s="106" t="str">
        <v>Commodity:Freight:LoanLease:Physical</v>
      </c>
    </row>
    <row r="90" spans="2:5">
      <c r="B90" s="105" t="e">
        <v>#N/A</v>
      </c>
      <c r="C90" s="105"/>
      <c r="D90" s="106" t="str">
        <v>HUF-BUBOR-Reference Banks</v>
      </c>
      <c r="E90" s="106" t="str">
        <v>Commodity:Freight:Option:Cash</v>
      </c>
    </row>
    <row r="91" spans="2:5">
      <c r="B91" s="105" t="e">
        <v>#N/A</v>
      </c>
      <c r="C91" s="105"/>
      <c r="D91" s="106" t="str">
        <v>INR-MIBOR-OIS-COMPOUND</v>
      </c>
      <c r="E91" s="106" t="str">
        <v>Commodity:Freight:Option:Physical</v>
      </c>
    </row>
    <row r="92" spans="2:5">
      <c r="B92" s="105" t="e">
        <v>#N/A</v>
      </c>
      <c r="C92" s="105"/>
      <c r="D92" s="106" t="str">
        <v>INR-MITOR-OIS-COMPOUND</v>
      </c>
      <c r="E92" s="106" t="str">
        <v>Commodity:Freight:SpotFwd:Physical</v>
      </c>
    </row>
    <row r="93" spans="2:5">
      <c r="B93" s="105" t="e">
        <v>#N/A</v>
      </c>
      <c r="C93" s="105"/>
      <c r="D93" s="106" t="str">
        <v>INR-MIFOR</v>
      </c>
      <c r="E93" s="106" t="str">
        <v>Commodity:Freight:Swap:Cash</v>
      </c>
    </row>
    <row r="94" spans="2:5">
      <c r="B94" s="105" t="e">
        <v>#N/A</v>
      </c>
      <c r="C94" s="105"/>
      <c r="D94" s="106" t="str">
        <v>INR-MIOIS</v>
      </c>
      <c r="E94" s="106" t="str">
        <v>Commodity:Index:Exotic</v>
      </c>
    </row>
    <row r="95" spans="2:5">
      <c r="B95" s="105" t="e">
        <v>#N/A</v>
      </c>
      <c r="C95" s="105"/>
      <c r="D95" s="106" t="str">
        <v>INR-BMK</v>
      </c>
      <c r="E95" s="106" t="str">
        <v>Commodity:Index:Option:Cash</v>
      </c>
    </row>
    <row r="96" spans="2:5">
      <c r="B96" s="105" t="e">
        <v>#N/A</v>
      </c>
      <c r="C96" s="105"/>
      <c r="D96" s="106" t="str">
        <v>INR-INBMK-REUTERS</v>
      </c>
      <c r="E96" s="106" t="str">
        <v>Commodity:Index:Swap:Cash</v>
      </c>
    </row>
    <row r="97" spans="2:5">
      <c r="B97" s="105" t="e">
        <v>#N/A</v>
      </c>
      <c r="C97" s="105"/>
      <c r="D97" s="106" t="str">
        <v>INR-CMT</v>
      </c>
      <c r="E97" s="106" t="str">
        <v>Commodity:Metals:NonPrecious:Exotic</v>
      </c>
    </row>
    <row r="98" spans="2:5">
      <c r="B98" s="105" t="e">
        <v>#N/A</v>
      </c>
      <c r="C98" s="105"/>
      <c r="D98" s="106" t="str">
        <v>INR-Reference Banks</v>
      </c>
      <c r="E98" s="106" t="str">
        <v>Commodity:Metals:NonPrecious:LoanLease:Cash</v>
      </c>
    </row>
    <row r="99" spans="2:5">
      <c r="B99" s="105" t="e">
        <v>#N/A</v>
      </c>
      <c r="C99" s="105"/>
      <c r="D99" s="106" t="str">
        <v>IDR-IDRFIX</v>
      </c>
      <c r="E99" s="106" t="str">
        <v>Commodity:Metals:NonPrecious:LoanLease:Physical</v>
      </c>
    </row>
    <row r="100" spans="2:5">
      <c r="B100" s="105" t="e">
        <v>#N/A</v>
      </c>
      <c r="C100" s="105"/>
      <c r="D100" s="106" t="str">
        <v>IDR-IDMA-Bloomberg</v>
      </c>
      <c r="E100" s="106" t="str">
        <v>Commodity:Metals:NonPrecious:Option:Cash</v>
      </c>
    </row>
    <row r="101" spans="2:5">
      <c r="B101" s="105" t="e">
        <v>#N/A</v>
      </c>
      <c r="C101" s="105"/>
      <c r="D101" s="106" t="str">
        <v>IDR-SBI-Reuters</v>
      </c>
      <c r="E101" s="106" t="str">
        <v>Commodity:Metals:NonPrecious:Option:Physical</v>
      </c>
    </row>
    <row r="102" spans="2:5">
      <c r="B102" s="105" t="e">
        <v>#N/A</v>
      </c>
      <c r="C102" s="105"/>
      <c r="D102" s="106" t="str">
        <v>IDR-SOR-Reuters</v>
      </c>
      <c r="E102" s="106" t="str">
        <v>Commodity:Metals:NonPrecious:SpotFwd:Physical</v>
      </c>
    </row>
    <row r="103" spans="2:5">
      <c r="B103" s="105" t="e">
        <v>#N/A</v>
      </c>
      <c r="C103" s="105"/>
      <c r="D103" s="106" t="str">
        <v>IDR-SOR-Telerate</v>
      </c>
      <c r="E103" s="106" t="str">
        <v>Commodity:Metals:NonPrecious:Swap:Cash</v>
      </c>
    </row>
    <row r="104" spans="2:5">
      <c r="B104" s="105" t="e">
        <v>#N/A</v>
      </c>
      <c r="C104" s="105"/>
      <c r="D104" s="106" t="str">
        <v>IDR-SOR-Reference Banks</v>
      </c>
      <c r="E104" s="106" t="str">
        <v>Commodity:Metals:Precious:Exotic</v>
      </c>
    </row>
    <row r="105" spans="2:5">
      <c r="B105" s="105" t="e">
        <v>#N/A</v>
      </c>
      <c r="C105" s="105"/>
      <c r="D105" s="106" t="str">
        <v>ILS-TELBOR01-Reuters</v>
      </c>
      <c r="E105" s="106" t="str">
        <v>Commodity:Metals:Precious:LoanLease:Cash</v>
      </c>
    </row>
    <row r="106" spans="2:5">
      <c r="B106" s="105" t="e">
        <v>#N/A</v>
      </c>
      <c r="C106" s="105"/>
      <c r="D106" s="106" t="str">
        <v>ILS-TELBOR-Reference Banks</v>
      </c>
      <c r="E106" s="106" t="str">
        <v>Commodity:Metals:Precious:LoanLease:Physical</v>
      </c>
    </row>
    <row r="107" spans="2:5">
      <c r="B107" s="105" t="e">
        <v>#N/A</v>
      </c>
      <c r="C107" s="105"/>
      <c r="D107" s="106" t="str">
        <v>JPY-BBSF-Bloomberg-10:00</v>
      </c>
      <c r="E107" s="106" t="str">
        <v>Commodity:Metals:Precious:Option:Cash</v>
      </c>
    </row>
    <row r="108" spans="2:5">
      <c r="B108" s="105" t="e">
        <v>#N/A</v>
      </c>
      <c r="C108" s="105"/>
      <c r="D108" s="106" t="str">
        <v>JPY-BBSF-Bloomberg-15:00</v>
      </c>
      <c r="E108" s="106" t="str">
        <v>Commodity:Metals:Precious:Option:Physical</v>
      </c>
    </row>
    <row r="109" spans="2:5">
      <c r="B109" s="105" t="e">
        <v>#N/A</v>
      </c>
      <c r="C109" s="105"/>
      <c r="D109" s="106" t="str">
        <v>JPY-LIBOR-FRASETT</v>
      </c>
      <c r="E109" s="106" t="str">
        <v>Commodity:Metals:Precious:SpotFwd:Physical</v>
      </c>
    </row>
    <row r="110" spans="2:5">
      <c r="B110" s="105" t="e">
        <v>#N/A</v>
      </c>
      <c r="C110" s="105"/>
      <c r="D110" s="106" t="str">
        <v>JPY-LIBOR-ISDA</v>
      </c>
      <c r="E110" s="106" t="str">
        <v>Commodity:Metals:Precious:Swap:Cash</v>
      </c>
    </row>
    <row r="111" spans="2:5">
      <c r="B111" s="105" t="e">
        <v>#N/A</v>
      </c>
      <c r="C111" s="105"/>
      <c r="D111" s="106" t="str">
        <v>JPY-LIBOR-BBA</v>
      </c>
      <c r="E111" s="106" t="str">
        <v>Commodity:MultiCommodityExotic</v>
      </c>
    </row>
    <row r="112" spans="2:5">
      <c r="B112" s="105" t="e">
        <v>#N/A</v>
      </c>
      <c r="C112" s="105"/>
      <c r="D112" s="106" t="str">
        <v>JPY-LIBOR-BBA-Bloomberg</v>
      </c>
      <c r="E112" s="106" t="str">
        <v>Credit:Exotic:Corporate:Refobonly</v>
      </c>
    </row>
    <row r="113" spans="2:5">
      <c r="B113" s="105" t="e">
        <v>#N/A</v>
      </c>
      <c r="C113" s="105"/>
      <c r="D113" s="106" t="str">
        <v>JPY-LIBOR-Reference Banks</v>
      </c>
      <c r="E113" s="106" t="str">
        <v>Credit:Exotic:Other</v>
      </c>
    </row>
    <row r="114" spans="2:5">
      <c r="B114" s="105" t="e">
        <v>#N/A</v>
      </c>
      <c r="C114" s="105"/>
      <c r="D114" s="106" t="str">
        <v>JPY-MUTANCALL-TONAR</v>
      </c>
      <c r="E114" s="106" t="str">
        <v>Credit:Exotic:StructuredCDS:ContingentCDS</v>
      </c>
    </row>
    <row r="115" spans="2:5">
      <c r="B115" s="105" t="e">
        <v>#N/A</v>
      </c>
      <c r="C115" s="105"/>
      <c r="D115" s="106" t="str">
        <v>JPY-TIBOR-TIBM (10 Banks)</v>
      </c>
      <c r="E115" s="106" t="str">
        <v>Credit:Exotic:StructuredCDS:FirsttoDefaultNthtoDefault</v>
      </c>
    </row>
    <row r="116" spans="2:5">
      <c r="B116" s="105" t="e">
        <v>#N/A</v>
      </c>
      <c r="C116" s="105"/>
      <c r="D116" s="106" t="str">
        <v>JPY-TIBOR-TIBM (5 Banks)</v>
      </c>
      <c r="E116" s="106" t="str">
        <v>Credit:Exotic:StructuredCDS:LongformBespoke</v>
      </c>
    </row>
    <row r="117" spans="2:5">
      <c r="B117" s="105" t="e">
        <v>#N/A</v>
      </c>
      <c r="C117" s="105"/>
      <c r="D117" s="106" t="str">
        <v>JPY-TIBOR-TIBM (All Banks)</v>
      </c>
      <c r="E117" s="106" t="str">
        <v>Credit:Exotic:StructuredCDS:StandardTermsBespoke</v>
      </c>
    </row>
    <row r="118" spans="2:5">
      <c r="B118" s="105" t="e">
        <v>#N/A</v>
      </c>
      <c r="C118" s="105"/>
      <c r="D118" s="106" t="str">
        <v>JPY-TIBOR-TIBM (All Banks)-Bloomberg</v>
      </c>
      <c r="E118" s="106" t="str">
        <v>Credit:Index:ABX:ABXHE</v>
      </c>
    </row>
    <row r="119" spans="2:5">
      <c r="B119" t="e">
        <v>#N/A</v>
      </c>
      <c r="D119" s="106" t="str">
        <v>JPY-TIBOR-ZTIBOR</v>
      </c>
      <c r="E119" s="106" t="str">
        <v>Credit:Index:CDX:CDXEmergingMarkets</v>
      </c>
    </row>
    <row r="120" spans="2:5">
      <c r="B120" t="e">
        <v>#N/A</v>
      </c>
      <c r="D120" s="106" t="str">
        <v>JPY-TIBOR-TIBM-Reference Banks</v>
      </c>
      <c r="E120" s="106" t="str">
        <v>Credit:Index:CDX:CDXEmergingMarketsDiversified</v>
      </c>
    </row>
    <row r="121" spans="2:5">
      <c r="D121" s="106" t="str">
        <v>JPY-TSR-Reuters-10:00</v>
      </c>
      <c r="E121" s="106" t="str">
        <v>Credit:Index:CDX:CDXHY</v>
      </c>
    </row>
    <row r="122" spans="2:5">
      <c r="D122" s="106" t="str">
        <v>JPY-TSR-Telerate-10:00</v>
      </c>
      <c r="E122" s="106" t="str">
        <v>Credit:Index:CDX:CDXIG</v>
      </c>
    </row>
    <row r="123" spans="2:5">
      <c r="D123" s="106" t="str">
        <v>JPY-ISDA-Swap Rate-10:00</v>
      </c>
      <c r="E123" s="106" t="str">
        <v>Credit:Index:CDX:CDXXO</v>
      </c>
    </row>
    <row r="124" spans="2:5">
      <c r="D124" s="106" t="str">
        <v>JPY-TSR-Reuters-15:00</v>
      </c>
      <c r="E124" s="106" t="str">
        <v>Credit:Index:CDX:StandardLCDXBullet</v>
      </c>
    </row>
    <row r="125" spans="2:5">
      <c r="D125" s="106" t="str">
        <v>JPY-TSR-Telerate-15:00</v>
      </c>
      <c r="E125" s="106" t="str">
        <v>Credit:Index:CMBX:CMBX</v>
      </c>
    </row>
    <row r="126" spans="2:5">
      <c r="D126" s="106" t="str">
        <v>JPY-ISDA-Swap Rate-15:00</v>
      </c>
      <c r="E126" s="106" t="str">
        <v>Credit:Index:IOS:IOS</v>
      </c>
    </row>
    <row r="127" spans="2:5">
      <c r="D127" s="106" t="str">
        <v>JPY-TSR-Reference Banks</v>
      </c>
      <c r="E127" s="106" t="str">
        <v>Credit:Index:iTraxx:iTraxxAsiaExJapan</v>
      </c>
    </row>
    <row r="128" spans="2:5">
      <c r="D128" s="106" t="str">
        <v>JPY-TONA-OIS-COMPOUND</v>
      </c>
      <c r="E128" s="106" t="str">
        <v>Credit:Index:iTraxx:iTraxxAustralia</v>
      </c>
    </row>
    <row r="129" spans="4:5">
      <c r="D129" s="106" t="str">
        <v>JPY-TIBOR-17096</v>
      </c>
      <c r="E129" s="106" t="str">
        <v>Credit:Index:iTraxx:iTraxxEurope</v>
      </c>
    </row>
    <row r="130" spans="4:5">
      <c r="D130" s="106" t="str">
        <v>JPY-TIBOR-17097</v>
      </c>
      <c r="E130" s="106" t="str">
        <v>Credit:Index:iTraxx:iTraxxJapan</v>
      </c>
    </row>
    <row r="131" spans="4:5">
      <c r="D131" s="106" t="str">
        <v>KRW-CD-KSDA-Bloomberg</v>
      </c>
      <c r="E131" s="106" t="str">
        <v>Credit:Index:iTraxx:iTraxxLevX</v>
      </c>
    </row>
    <row r="132" spans="4:5">
      <c r="D132" s="106" t="str">
        <v>KRW-CD-3220</v>
      </c>
      <c r="E132" s="106" t="str">
        <v>Credit:Index:iTraxx:ItraxxSDI</v>
      </c>
    </row>
    <row r="133" spans="4:5">
      <c r="D133" s="106" t="str">
        <v>MYR-KLIBOR-BNM</v>
      </c>
      <c r="E133" s="106" t="str">
        <v>Credit:Index:iTraxx:iTraxxSovX</v>
      </c>
    </row>
    <row r="134" spans="4:5">
      <c r="D134" s="106" t="str">
        <v>MYR-KLIBOR-Reference Banks</v>
      </c>
      <c r="E134" s="106" t="str">
        <v>Credit:Index:LCDX:LCDX</v>
      </c>
    </row>
    <row r="135" spans="4:5">
      <c r="D135" s="106" t="str">
        <v>MXN-TIIE-Banxico</v>
      </c>
      <c r="E135" s="106" t="str">
        <v>Credit:Index:MBX:MBX</v>
      </c>
    </row>
    <row r="136" spans="4:5">
      <c r="D136" s="106" t="str">
        <v>MXN-TIIE-Banxico-Bloomberg</v>
      </c>
      <c r="E136" s="106" t="str">
        <v>Credit:Index:MCDX:MCDX</v>
      </c>
    </row>
    <row r="137" spans="4:5">
      <c r="D137" s="106" t="str">
        <v>MXN-TIIE-Banxico-Reference Banks</v>
      </c>
      <c r="E137" s="106" t="str">
        <v>Credit:Index:PO:PO</v>
      </c>
    </row>
    <row r="138" spans="4:5">
      <c r="D138" s="106" t="str">
        <v>NZD-BBR-BID</v>
      </c>
      <c r="E138" s="106" t="str">
        <v>Credit:Index:PrimeX:PrimeX</v>
      </c>
    </row>
    <row r="139" spans="4:5">
      <c r="D139" s="106" t="str">
        <v>NZD-BBR-ISDC</v>
      </c>
      <c r="E139" s="106" t="str">
        <v>Credit:Index:TRX:TRX</v>
      </c>
    </row>
    <row r="140" spans="4:5">
      <c r="D140" s="106" t="str">
        <v>NZD-BBR-FRA</v>
      </c>
      <c r="E140" s="106" t="str">
        <v>Credit:IndexTranche:ABX:ABXTranche</v>
      </c>
    </row>
    <row r="141" spans="4:5">
      <c r="D141" s="106" t="str">
        <v>NZD-BBR-Telerate</v>
      </c>
      <c r="E141" s="106" t="str">
        <v>Credit:IndexTranche:CDX:CDXEmergingMarketsDiversifiedTranche</v>
      </c>
    </row>
    <row r="142" spans="4:5">
      <c r="D142" s="106" t="str">
        <v>NZD-BBR-Reference Banks</v>
      </c>
      <c r="E142" s="106" t="str">
        <v>Credit:IndexTranche:CDX:CDXTrancheHY</v>
      </c>
    </row>
    <row r="143" spans="4:5">
      <c r="D143" s="106" t="str">
        <v>NZD-NZIONA-OIS-COMPOUND</v>
      </c>
      <c r="E143" s="106" t="str">
        <v>Credit:IndexTranche:CDX:CDXTrancheIG</v>
      </c>
    </row>
    <row r="144" spans="4:5">
      <c r="D144" s="106" t="str">
        <v>NOK-NIBOR-NIBR</v>
      </c>
      <c r="E144" s="106" t="str">
        <v>Credit:IndexTranche:CDX:CDXTrancheXO</v>
      </c>
    </row>
    <row r="145" spans="4:5">
      <c r="D145" s="106" t="str">
        <v>NOK-NIBOR-NIBR-Reference Banks</v>
      </c>
      <c r="E145" s="106" t="str">
        <v>Credit:IndexTranche:CDX:StandardCDXTrancheHY</v>
      </c>
    </row>
    <row r="146" spans="4:5">
      <c r="D146" s="106" t="str">
        <v>NOK-NIBOR-Reference Banks</v>
      </c>
      <c r="E146" s="106" t="str">
        <v>Credit:IndexTranche:CDX:StandardCDXTrancheIG</v>
      </c>
    </row>
    <row r="147" spans="4:5">
      <c r="D147" s="106" t="str">
        <v>PLN-WIBOR-WIBO</v>
      </c>
      <c r="E147" s="106" t="str">
        <v>Credit:IndexTranche:CDXStructuredTranche:CDXBlendedTranche</v>
      </c>
    </row>
    <row r="148" spans="4:5">
      <c r="D148" s="106" t="str">
        <v>PLN-WIBOR-Reference Banks</v>
      </c>
      <c r="E148" s="106" t="str">
        <v>Credit:IndexTranche:CDXStructuredTranche:CDXRiskyZeroTranche</v>
      </c>
    </row>
    <row r="149" spans="4:5">
      <c r="D149" s="106" t="str">
        <v>PLZ-WIBOR-WIBO</v>
      </c>
      <c r="E149" s="106" t="str">
        <v>Credit:IndexTranche:iTraxx:iTraxxAsiaExJapanTranche</v>
      </c>
    </row>
    <row r="150" spans="4:5">
      <c r="D150" s="106" t="str">
        <v>PLZ-WIBOR-Reference Banks</v>
      </c>
      <c r="E150" s="106" t="str">
        <v>Credit:IndexTranche:iTraxx:iTraxxAustraliaTranche</v>
      </c>
    </row>
    <row r="151" spans="4:5">
      <c r="D151" s="106" t="str">
        <v>SAR-SRIOR-SUAA</v>
      </c>
      <c r="E151" s="106" t="str">
        <v>Credit:IndexTranche:iTraxx:iTraxxEuropeTranche</v>
      </c>
    </row>
    <row r="152" spans="4:5">
      <c r="D152" s="106" t="str">
        <v>SAR-SRIOR-Reference Banks</v>
      </c>
      <c r="E152" s="106" t="str">
        <v>Credit:IndexTranche:iTraxx:iTraxxJapanTranche</v>
      </c>
    </row>
    <row r="153" spans="4:5">
      <c r="D153" s="106" t="str">
        <v>SGD-SIBOR-Reuters</v>
      </c>
      <c r="E153" s="106" t="str">
        <v>Credit:IndexTranche:iTraxx:StandardiTraxxEuropeTranche</v>
      </c>
    </row>
    <row r="154" spans="4:5">
      <c r="D154" s="106" t="str">
        <v>SGD-SIBOR-Telerate</v>
      </c>
      <c r="E154" s="106" t="str">
        <v>Credit:IndexTranche:iTraxxStructuredTranche:iTraxxBlendedTranche</v>
      </c>
    </row>
    <row r="155" spans="4:5">
      <c r="D155" s="106" t="str">
        <v>SGD-SIBOR-Reference Banks</v>
      </c>
      <c r="E155" s="106" t="str">
        <v>Credit:IndexTranche:iTraxxStructuredTranche:iTraxxRiskyZeroTranche</v>
      </c>
    </row>
    <row r="156" spans="4:5">
      <c r="D156" s="106" t="str">
        <v>SGD-SOR-Reuters</v>
      </c>
      <c r="E156" s="106" t="str">
        <v>Credit:IndexTranche:LCDX:LCDXTranche</v>
      </c>
    </row>
    <row r="157" spans="4:5">
      <c r="D157" s="106" t="str">
        <v>SGD-SOR-Telerate</v>
      </c>
      <c r="E157" s="106" t="str">
        <v>Credit:IndexTranche:LCDX:StandardLCDXBulletTranche</v>
      </c>
    </row>
    <row r="158" spans="4:5">
      <c r="D158" s="106" t="str">
        <v>SGD-SOR-Reference Banks</v>
      </c>
      <c r="E158" s="106" t="str">
        <v>Credit:SingleName:ABS:CDSonCDO</v>
      </c>
    </row>
    <row r="159" spans="4:5">
      <c r="D159" s="106" t="str">
        <v>SGD-SONAR-OIS-COMPOUND</v>
      </c>
      <c r="E159" s="106" t="str">
        <v>Credit:SingleName:ABS:CMBS</v>
      </c>
    </row>
    <row r="160" spans="4:5">
      <c r="D160" s="106" t="str">
        <v>SKK-BRIBOR-NBSK07</v>
      </c>
      <c r="E160" s="106" t="str">
        <v>Credit:SingleName:ABS:EuropeanCMBS</v>
      </c>
    </row>
    <row r="161" spans="4:5">
      <c r="D161" s="106" t="str">
        <v>SKK-BRIBOR-BRBO</v>
      </c>
      <c r="E161" s="106" t="str">
        <v>Credit:SingleName:ABS:EuropeanRMBS</v>
      </c>
    </row>
    <row r="162" spans="4:5">
      <c r="D162" s="106" t="str">
        <v>SKK-BRIBOR-Bloomberg</v>
      </c>
      <c r="E162" s="106" t="str">
        <v>Credit:SingleName:ABS:RMBS</v>
      </c>
    </row>
    <row r="163" spans="4:5">
      <c r="D163" s="106" t="str">
        <v>SKK-BRIBOR-Reference Banks</v>
      </c>
      <c r="E163" s="106" t="str">
        <v>Credit:SingleName:Corporate:AsiaCorporate</v>
      </c>
    </row>
    <row r="164" spans="4:5">
      <c r="D164" s="106" t="str">
        <v>ZAR-JIBAR-SAFEX</v>
      </c>
      <c r="E164" s="106" t="str">
        <v>Credit:SingleName:Corporate:AustraliaCorporate</v>
      </c>
    </row>
    <row r="165" spans="4:5">
      <c r="D165" s="106" t="str">
        <v>ZAR-JIBAR-Reference Banks</v>
      </c>
      <c r="E165" s="106" t="str">
        <v>Credit:SingleName:Corporate:EmergingEuropeanCorporate</v>
      </c>
    </row>
    <row r="166" spans="4:5">
      <c r="D166" s="106" t="str">
        <v>ZAR-PRIME-AVERAGE</v>
      </c>
      <c r="E166" s="106" t="str">
        <v>Credit:SingleName:Corporate:EmergingEuropeanCorporateLPN</v>
      </c>
    </row>
    <row r="167" spans="4:5">
      <c r="D167" s="106" t="str">
        <v>ZAR-PRIME-AVERAGE-Reference Banks</v>
      </c>
      <c r="E167" s="106" t="str">
        <v>Credit:SingleName:Corporate:EuropeanCorporate</v>
      </c>
    </row>
    <row r="168" spans="4:5">
      <c r="D168" s="106" t="str">
        <v>ZAR-DEPOSIT-SAFEX</v>
      </c>
      <c r="E168" s="106" t="str">
        <v>Credit:SingleName:Corporate:JapanCorporate</v>
      </c>
    </row>
    <row r="169" spans="4:5">
      <c r="D169" s="106" t="str">
        <v>ZAR-DEPOSIT-Reference Banks</v>
      </c>
      <c r="E169" s="106" t="str">
        <v>Credit:SingleName:Corporate:LatinAmericaCorporate</v>
      </c>
    </row>
    <row r="170" spans="4:5">
      <c r="D170" s="106" t="str">
        <v>GBP-LIBOR-ISDA</v>
      </c>
      <c r="E170" s="106" t="str">
        <v>Credit:SingleName:Corporate:LatinAmericaCorporateBond</v>
      </c>
    </row>
    <row r="171" spans="4:5">
      <c r="D171" s="106" t="str">
        <v>GBP-LIBOR-BBA</v>
      </c>
      <c r="E171" s="106" t="str">
        <v>Credit:SingleName:Corporate:LatinAmericaCorporateBondOrLoan</v>
      </c>
    </row>
    <row r="172" spans="4:5">
      <c r="D172" s="106" t="str">
        <v>GBP-LIBOR-BBA-Bloomberg</v>
      </c>
      <c r="E172" s="106" t="str">
        <v>Credit:SingleName:Corporate:NewZealandCorporate</v>
      </c>
    </row>
    <row r="173" spans="4:5">
      <c r="D173" s="106" t="str">
        <v>GBP-LIBOR-Reference Banks</v>
      </c>
      <c r="E173" s="106" t="str">
        <v>Credit:SingleName:Corporate:NorthAmericanCorporate</v>
      </c>
    </row>
    <row r="174" spans="4:5">
      <c r="D174" s="106" t="str">
        <v>GBP-ISDA-Swap Rate</v>
      </c>
      <c r="E174" s="106" t="str">
        <v>Credit:SingleName:Corporate:SingaporeCorporate</v>
      </c>
    </row>
    <row r="175" spans="4:5">
      <c r="D175" s="106" t="str">
        <v>GBP-Semi-Annual Swap Rate</v>
      </c>
      <c r="E175" s="106" t="str">
        <v>Credit:SingleName:Corporate:StandardAsiaCorporate</v>
      </c>
    </row>
    <row r="176" spans="4:5">
      <c r="D176" s="106" t="str">
        <v>GBP-Semi-Annual Swap Rate-Reference Banks</v>
      </c>
      <c r="E176" s="106" t="str">
        <v>Credit:SingleName:Corporate:StandardAustraliaCorporate</v>
      </c>
    </row>
    <row r="177" spans="4:5">
      <c r="D177" s="106" t="str">
        <v>GBP-WMBA-SONIA-COMPOUND</v>
      </c>
      <c r="E177" s="106" t="str">
        <v>Credit:SingleName:Corporate:StandardEmergingEuropeanCorporate</v>
      </c>
    </row>
    <row r="178" spans="4:5">
      <c r="D178" s="106" t="str">
        <v>SEK-Annual Swap Rate</v>
      </c>
      <c r="E178" s="106" t="str">
        <v>Credit:SingleName:Corporate:StandardEmergingEuropeanCorporateLPN</v>
      </c>
    </row>
    <row r="179" spans="4:5">
      <c r="D179" s="106" t="str">
        <v>SEK-STIBOR-SIDE</v>
      </c>
      <c r="E179" s="106" t="str">
        <v>Credit:SingleName:Corporate:StandardEuropeanCorporate</v>
      </c>
    </row>
    <row r="180" spans="4:5">
      <c r="D180" s="106" t="str">
        <v>SEK-STIBOR-Bloomberg</v>
      </c>
      <c r="E180" s="106" t="str">
        <v>Credit:SingleName:Corporate:StandardJapanCorporate</v>
      </c>
    </row>
    <row r="181" spans="4:5">
      <c r="D181" s="106" t="str">
        <v>SEK-STIBOR-Reference Banks</v>
      </c>
      <c r="E181" s="106" t="str">
        <v>Credit:SingleName:Corporate:StandardLatinAmericaCorporateBond</v>
      </c>
    </row>
    <row r="182" spans="4:5">
      <c r="D182" s="106" t="str">
        <v>SEK-SIOR-OIS-COMPOUND</v>
      </c>
      <c r="E182" s="106" t="str">
        <v>Credit:SingleName:Corporate:StandardLatinAmericaCorporateBondOrLoan</v>
      </c>
    </row>
    <row r="183" spans="4:5">
      <c r="D183" s="106" t="str">
        <v>CHF-LIBOR-ISDA</v>
      </c>
      <c r="E183" s="106" t="str">
        <v>Credit:SingleName:Corporate:StandardNewZealandCorporate</v>
      </c>
    </row>
    <row r="184" spans="4:5">
      <c r="D184" s="106" t="str">
        <v>CHF-LIBOR-BBA</v>
      </c>
      <c r="E184" s="106" t="str">
        <v>Credit:SingleName:Corporate:StandardNorthAmericanCorporate</v>
      </c>
    </row>
    <row r="185" spans="4:5">
      <c r="D185" s="106" t="str">
        <v>CHF-LIBOR-BBA-Bloomberg</v>
      </c>
      <c r="E185" s="106" t="str">
        <v>Credit:SingleName:Corporate:StandardSingaporeCorporate</v>
      </c>
    </row>
    <row r="186" spans="4:5">
      <c r="D186" s="106" t="str">
        <v>CHF-LIBOR-Reference Banks</v>
      </c>
      <c r="E186" s="106" t="str">
        <v>Credit:SingleName:Corporate:StandardSubordinatedEuropeanInsuranceCorporate</v>
      </c>
    </row>
    <row r="187" spans="4:5">
      <c r="D187" s="106" t="str">
        <v>CHF-TOIS-OIS-COMPOUND</v>
      </c>
      <c r="E187" s="106" t="str">
        <v>Credit:SingleName:Corporate:StandardSukukCorporate</v>
      </c>
    </row>
    <row r="188" spans="4:5">
      <c r="D188" s="106" t="str">
        <v>CHF-Annual Swap Rate</v>
      </c>
      <c r="E188" s="106" t="str">
        <v>Credit:SingleName:Corporate:SubordinatedEuropeanInsuranceCorporate</v>
      </c>
    </row>
    <row r="189" spans="4:5">
      <c r="D189" s="106" t="str">
        <v>CHF-ISDAFIX-Swap Rate</v>
      </c>
      <c r="E189" s="106" t="str">
        <v>Credit:SingleName:Corporate:SukukCorporate</v>
      </c>
    </row>
    <row r="190" spans="4:5">
      <c r="D190" s="106" t="str">
        <v>CHF-Annual Swap Rate-Reference Banks</v>
      </c>
      <c r="E190" s="106" t="str">
        <v>Credit:SingleName:Loans:ELCDS</v>
      </c>
    </row>
    <row r="191" spans="4:5">
      <c r="D191" s="106" t="str">
        <v>TWD-Reuters-6165</v>
      </c>
      <c r="E191" s="106" t="str">
        <v>Credit:SingleName:Loans:LCDS</v>
      </c>
    </row>
    <row r="192" spans="4:5">
      <c r="D192" s="106" t="str">
        <v>TWD-Telerate-6165</v>
      </c>
      <c r="E192" s="106" t="str">
        <v>Credit:SingleName:Loans:StandardLCDSBullet</v>
      </c>
    </row>
    <row r="193" spans="4:5">
      <c r="D193" s="106" t="str">
        <v>TWD-TWCPBA</v>
      </c>
      <c r="E193" s="106" t="str">
        <v>Credit:SingleName:Muni:USMunicipalFullFaithAndCredit</v>
      </c>
    </row>
    <row r="194" spans="4:5">
      <c r="D194" s="106" t="str">
        <v>TWD-Reference Dealers</v>
      </c>
      <c r="E194" s="106" t="str">
        <v>Credit:SingleName:Muni:USMunicipalGeneralFund</v>
      </c>
    </row>
    <row r="195" spans="4:5">
      <c r="D195" s="106" t="str">
        <v>THB-SOR-Reuters</v>
      </c>
      <c r="E195" s="106" t="str">
        <v>Credit:SingleName:Muni:USMunicipalRevenue</v>
      </c>
    </row>
    <row r="196" spans="4:5">
      <c r="D196" s="106" t="str">
        <v>THB-SOR-Telerate</v>
      </c>
      <c r="E196" s="106" t="str">
        <v>Credit:SingleName:RecoveryCDS:FixedRecoverySwaps</v>
      </c>
    </row>
    <row r="197" spans="4:5">
      <c r="D197" s="106" t="str">
        <v>THB-SOR-Reference Banks</v>
      </c>
      <c r="E197" s="106" t="str">
        <v>Credit:SingleName:RecoveryCDS:RecoveryLocks</v>
      </c>
    </row>
    <row r="198" spans="4:5">
      <c r="D198" s="106" t="str">
        <v>THB-THBFIX-Reuters</v>
      </c>
      <c r="E198" s="106" t="str">
        <v>Credit:SingleName:Sovereign:AsiaSovereign</v>
      </c>
    </row>
    <row r="199" spans="4:5">
      <c r="D199" s="106" t="str">
        <v>USD-BA-H.15</v>
      </c>
      <c r="E199" s="106" t="str">
        <v>Credit:SingleName:Sovereign:AustraliaSovereign</v>
      </c>
    </row>
    <row r="200" spans="4:5">
      <c r="D200" s="106" t="str">
        <v>USD-BA-Reference Dealers</v>
      </c>
      <c r="E200" s="106" t="str">
        <v>Credit:SingleName:Sovereign:EmergingEuropeanAndMiddleEasternSovereign</v>
      </c>
    </row>
    <row r="201" spans="4:5">
      <c r="D201" s="106" t="str">
        <v>USD-CD-H.15</v>
      </c>
      <c r="E201" s="106" t="str">
        <v>Credit:SingleName:Sovereign:JapanSovereign</v>
      </c>
    </row>
    <row r="202" spans="4:5">
      <c r="D202" s="106" t="str">
        <v>USD-CD-Reference Dealers</v>
      </c>
      <c r="E202" s="106" t="str">
        <v>Credit:SingleName:Sovereign:LatinAmericaSovereign</v>
      </c>
    </row>
    <row r="203" spans="4:5">
      <c r="D203" s="106" t="str">
        <v>USD-CMS-Reuters</v>
      </c>
      <c r="E203" s="106" t="str">
        <v>Credit:SingleName:Sovereign:NewZealandSovereign</v>
      </c>
    </row>
    <row r="204" spans="4:5">
      <c r="D204" s="106" t="str">
        <v>USD-CMS-Telerate</v>
      </c>
      <c r="E204" s="106" t="str">
        <v>Credit:SingleName:Sovereign:SingaporeSovereign</v>
      </c>
    </row>
    <row r="205" spans="4:5">
      <c r="D205" s="106" t="str">
        <v>USD-ISDA-Swap Rate</v>
      </c>
      <c r="E205" s="106" t="str">
        <v>Credit:SingleName:Sovereign:StandardAsiaSovereign</v>
      </c>
    </row>
    <row r="206" spans="4:5">
      <c r="D206" s="106" t="str">
        <v>USD-ISDA-Swap Rate-3:00</v>
      </c>
      <c r="E206" s="106" t="str">
        <v>Credit:SingleName:Sovereign:StandardAustraliaSovereign</v>
      </c>
    </row>
    <row r="207" spans="4:5">
      <c r="D207" s="106" t="str">
        <v>USD-ISDAFIX3-Swap Rate</v>
      </c>
      <c r="E207" s="106" t="str">
        <v>Credit:SingleName:Sovereign:StandardEmergingEuropeanAndMiddleEasternSovereign</v>
      </c>
    </row>
    <row r="208" spans="4:5">
      <c r="D208" s="106" t="str">
        <v>USD-ISDAFIX3-Swap Rate-3:00</v>
      </c>
      <c r="E208" s="106" t="str">
        <v>Credit:SingleName:Sovereign:StandardJapanSovereign</v>
      </c>
    </row>
    <row r="209" spans="4:5">
      <c r="D209" s="106" t="str">
        <v>USD-CMS-Reference Banks</v>
      </c>
      <c r="E209" s="106" t="str">
        <v>Credit:SingleName:Sovereign:StandardLatinAmericaSovereign</v>
      </c>
    </row>
    <row r="210" spans="4:5">
      <c r="D210" s="106" t="str">
        <v>USD-CMS-Reference Banks-ICAP SwapPX</v>
      </c>
      <c r="E210" s="106" t="str">
        <v>Credit:SingleName:Sovereign:StandardNewZealandSovereign</v>
      </c>
    </row>
    <row r="211" spans="4:5">
      <c r="D211" s="106" t="str">
        <v>USD-CMT-T7051</v>
      </c>
      <c r="E211" s="106" t="str">
        <v>Credit:SingleName:Sovereign:StandardSingaporeSovereign</v>
      </c>
    </row>
    <row r="212" spans="4:5">
      <c r="D212" s="106" t="str">
        <v>USD-CMT-T7052</v>
      </c>
      <c r="E212" s="106" t="str">
        <v>Credit:SingleName:Sovereign:StandardSukukSovereign</v>
      </c>
    </row>
    <row r="213" spans="4:5">
      <c r="D213" s="106" t="str">
        <v>USD-COF11-Reuters</v>
      </c>
      <c r="E213" s="106" t="str">
        <v>Credit:SingleName:Sovereign:StandardWesternEuropeanSovereign</v>
      </c>
    </row>
    <row r="214" spans="4:5">
      <c r="D214" s="106" t="str">
        <v>USD-COF11-Telerate</v>
      </c>
      <c r="E214" s="106" t="str">
        <v>Credit:SingleName:Sovereign:SukukSovereign</v>
      </c>
    </row>
    <row r="215" spans="4:5">
      <c r="D215" s="106" t="str">
        <v>USD-COF11-FHLBSF</v>
      </c>
      <c r="E215" s="106" t="str">
        <v>Credit:SingleName:Sovereign:WesternEuropeanSovereign</v>
      </c>
    </row>
    <row r="216" spans="4:5">
      <c r="D216" s="106" t="str">
        <v>USD-CP-H.15</v>
      </c>
      <c r="E216" s="106" t="str">
        <v>Credit:Swaptions:CDX:CDXSwaption</v>
      </c>
    </row>
    <row r="217" spans="4:5">
      <c r="D217" s="106" t="str">
        <v>USD-CP-Reference Dealers</v>
      </c>
      <c r="E217" s="106" t="str">
        <v>Credit:Swaptions:Corporate:CDSSwaption</v>
      </c>
    </row>
    <row r="218" spans="4:5">
      <c r="D218" s="106" t="str">
        <v>USD-Federal Funds-H.15</v>
      </c>
      <c r="E218" s="106" t="str">
        <v>Credit:Swaptions:iTraxx:iTraxxAsiaExJapanSwaption</v>
      </c>
    </row>
    <row r="219" spans="4:5">
      <c r="D219" s="106" t="str">
        <v>USD-Federal Funds-H.15-Bloomberg</v>
      </c>
      <c r="E219" s="106" t="str">
        <v>Credit:Swaptions:iTraxx:iTraxxAustraliaSwaption</v>
      </c>
    </row>
    <row r="220" spans="4:5">
      <c r="D220" s="106" t="str">
        <v>USD-Federal Funds-Reference Dealers</v>
      </c>
      <c r="E220" s="106" t="str">
        <v>Credit:Swaptions:iTraxx:iTraxxEuropeSwaption</v>
      </c>
    </row>
    <row r="221" spans="4:5">
      <c r="D221" s="106" t="str">
        <v>USD-FFCB-DISCO</v>
      </c>
      <c r="E221" s="106" t="str">
        <v>Credit:Swaptions:iTraxx:iTraxxJapanSwaption</v>
      </c>
    </row>
    <row r="222" spans="4:5">
      <c r="D222" s="106" t="str">
        <v>USD-LIBOR-BBA</v>
      </c>
      <c r="E222" s="106" t="str">
        <v>Credit:Swaptions:iTraxx:iTraxxSovXSwaption</v>
      </c>
    </row>
    <row r="223" spans="4:5">
      <c r="D223" s="106" t="str">
        <v>USD-LIBOR-BBA-Bloomberg</v>
      </c>
      <c r="E223" s="106" t="str">
        <v>Credit:Swaptions:Muni:CDSSwaption</v>
      </c>
    </row>
    <row r="224" spans="4:5">
      <c r="D224" s="106" t="str">
        <v>USD-LIBOR-ISDA</v>
      </c>
      <c r="E224" s="106" t="str">
        <v>Credit:Swaptions:Sovereign:CDSSwaption</v>
      </c>
    </row>
    <row r="225" spans="4:5">
      <c r="D225" s="106" t="str">
        <v>USD-LIBOR-LIBO</v>
      </c>
      <c r="E225" s="106" t="str">
        <v>Credit:TotalReturnSwap</v>
      </c>
    </row>
    <row r="226" spans="4:5">
      <c r="D226" s="106" t="str">
        <v>USD-LIBOR-Reference Banks</v>
      </c>
      <c r="E226" s="106" t="str">
        <v>Equity:ContractForDifference:PriceReturnBasicPerformance:Basket</v>
      </c>
    </row>
    <row r="227" spans="4:5">
      <c r="D227" s="106" t="str">
        <v>USD-Prime-H.15</v>
      </c>
      <c r="E227" s="106" t="str">
        <v>Equity:ContractForDifference:PriceReturnBasicPerformance:SingleIndex</v>
      </c>
    </row>
    <row r="228" spans="4:5">
      <c r="D228" s="106" t="str">
        <v>USD-Prime-Reference Banks</v>
      </c>
      <c r="E228" s="106" t="str">
        <v>Equity:ContractForDifference:PriceReturnBasicPerformance:SingleName</v>
      </c>
    </row>
    <row r="229" spans="4:5">
      <c r="D229" s="106" t="str">
        <v>USD-SIBOR-SIBO</v>
      </c>
      <c r="E229" s="106" t="str">
        <v>Equity:Forward:PriceReturnBasicPerformance:Basket</v>
      </c>
    </row>
    <row r="230" spans="4:5">
      <c r="D230" s="106" t="str">
        <v>USD-SIBOR-Reference Banks</v>
      </c>
      <c r="E230" s="106" t="str">
        <v>Equity:Forward:PriceReturnBasicPerformance:SingleIndex</v>
      </c>
    </row>
    <row r="231" spans="4:5">
      <c r="D231" s="106" t="str">
        <v>USD-TBILL-H.15</v>
      </c>
      <c r="E231" s="106" t="str">
        <v>Equity:Forward:PriceReturnBasicPerformance:SingleName</v>
      </c>
    </row>
    <row r="232" spans="4:5">
      <c r="D232" s="106" t="str">
        <v>USD-TBILL-H.15-Bloomberg</v>
      </c>
      <c r="E232" s="106" t="str">
        <v>Equity:Option:ParameterReturnDividend:Basket</v>
      </c>
    </row>
    <row r="233" spans="4:5">
      <c r="D233" s="106" t="str">
        <v>USD-TBILL-Secondary Market</v>
      </c>
      <c r="E233" s="106" t="str">
        <v>Equity:Option:ParameterReturnDividend:SingleIndex</v>
      </c>
    </row>
    <row r="234" spans="4:5">
      <c r="D234" s="106" t="str">
        <v>USD-TIBOR-ISDC</v>
      </c>
      <c r="E234" s="106" t="str">
        <v>Equity:Option:ParameterReturnDividend:SingleName</v>
      </c>
    </row>
    <row r="235" spans="4:5">
      <c r="D235" s="106" t="str">
        <v>USD-TIBOR-Reference Banks</v>
      </c>
      <c r="E235" s="106" t="str">
        <v>Equity:Option:ParameterReturnVariance:Basket</v>
      </c>
    </row>
    <row r="236" spans="4:5">
      <c r="D236" s="106" t="str">
        <v>USD-Treasury Rate-T500</v>
      </c>
      <c r="E236" s="106" t="str">
        <v>Equity:Option:ParameterReturnVariance:SingleIndex</v>
      </c>
    </row>
    <row r="237" spans="4:5">
      <c r="D237" s="106" t="str">
        <v>USD-Treasury Rate-ICAP BrokerTec</v>
      </c>
      <c r="E237" s="106" t="str">
        <v>Equity:Option:ParameterReturnVariance:SingleName</v>
      </c>
    </row>
    <row r="238" spans="4:5">
      <c r="D238" s="106" t="str">
        <v>USD-Treasury Rate-SwapMarker99</v>
      </c>
      <c r="E238" s="106" t="str">
        <v>Equity:Option:ParameterReturnVolatility:Basket</v>
      </c>
    </row>
    <row r="239" spans="4:5">
      <c r="D239" s="106" t="str">
        <v>USD-Treasury Rate-T19901</v>
      </c>
      <c r="E239" s="106" t="str">
        <v>Equity:Option:ParameterReturnVolatility:SingleIndex</v>
      </c>
    </row>
    <row r="240" spans="4:5">
      <c r="D240" s="106" t="str">
        <v>USD-Treasury Rate-SwapMarker100</v>
      </c>
      <c r="E240" s="106" t="str">
        <v>Equity:Option:ParameterReturnVolatility:SingleName</v>
      </c>
    </row>
    <row r="241" spans="4:5">
      <c r="D241" s="106" t="str">
        <v>USD-Federal Funds-H.15-OIS-COMPOUND</v>
      </c>
      <c r="E241" s="106" t="str">
        <v>Equity:Option:PriceReturnBasicPerformance:Basket</v>
      </c>
    </row>
    <row r="242" spans="4:5">
      <c r="D242" s="106" t="str">
        <v>USD-SIFMA Municipal Swap Index</v>
      </c>
      <c r="E242" s="106" t="str">
        <v>Equity:Option:PriceReturnBasicPerformance:SingleIndex</v>
      </c>
    </row>
    <row r="243" spans="4:5">
      <c r="D243" s="106" t="str">
        <v>USD-BMA Municipal Swap Index</v>
      </c>
      <c r="E243" s="106" t="str">
        <v>Equity:Option:PriceReturnBasicPerformance:SingleName</v>
      </c>
    </row>
    <row r="244" spans="4:5">
      <c r="D244" s="106" t="str">
        <v>USD-S&amp;P Index-High Grade</v>
      </c>
      <c r="E244" s="106" t="str">
        <v>Equity:Other</v>
      </c>
    </row>
    <row r="245" spans="4:5">
      <c r="D245" s="106" t="e">
        <v>#N/A</v>
      </c>
      <c r="E245" s="106" t="str">
        <v>Equity:PortfolioSwap:PriceReturnBasicPerformance:Basket</v>
      </c>
    </row>
    <row r="246" spans="4:5">
      <c r="D246" s="106" t="e">
        <v>#N/A</v>
      </c>
      <c r="E246" s="106" t="str">
        <v>Equity:PortfolioSwap:PriceReturnBasicPerformance:SingleIndex</v>
      </c>
    </row>
    <row r="247" spans="4:5">
      <c r="D247" s="106" t="e">
        <v>#N/A</v>
      </c>
      <c r="E247" s="106" t="str">
        <v>Equity:PortfolioSwap:PriceReturnBasicPerformance:SingleName</v>
      </c>
    </row>
    <row r="248" spans="4:5">
      <c r="D248" s="106" t="e">
        <v>#N/A</v>
      </c>
      <c r="E248" s="106" t="str">
        <v>Equity:Swap:ParameterReturnDividend:Basket</v>
      </c>
    </row>
    <row r="249" spans="4:5">
      <c r="D249" s="106" t="e">
        <v>#N/A</v>
      </c>
      <c r="E249" s="106" t="str">
        <v>Equity:Swap:ParameterReturnDividend:SingleIndex</v>
      </c>
    </row>
    <row r="250" spans="4:5">
      <c r="D250" s="106" t="e">
        <v>#N/A</v>
      </c>
      <c r="E250" s="106" t="str">
        <v>Equity:Swap:ParameterReturnDividend:SingleName</v>
      </c>
    </row>
    <row r="251" spans="4:5">
      <c r="D251" s="106" t="e">
        <v>#N/A</v>
      </c>
      <c r="E251" s="106" t="str">
        <v>Equity:Swap:ParameterReturnVariance:Basket</v>
      </c>
    </row>
    <row r="252" spans="4:5">
      <c r="D252" s="106" t="e">
        <v>#N/A</v>
      </c>
      <c r="E252" s="106" t="str">
        <v>Equity:Swap:ParameterReturnVariance:SingleIndex</v>
      </c>
    </row>
    <row r="253" spans="4:5">
      <c r="D253" s="106" t="e">
        <v>#N/A</v>
      </c>
      <c r="E253" s="106" t="str">
        <v>Equity:Swap:ParameterReturnVariance:SingleName</v>
      </c>
    </row>
    <row r="254" spans="4:5">
      <c r="D254" s="106" t="e">
        <v>#N/A</v>
      </c>
      <c r="E254" s="106" t="str">
        <v>Equity:Swap:ParameterReturnVolatility:Basket</v>
      </c>
    </row>
    <row r="255" spans="4:5">
      <c r="D255" s="106" t="e">
        <v>#N/A</v>
      </c>
      <c r="E255" s="106" t="str">
        <v>Equity:Swap:ParameterReturnVolatility:SingleIndex</v>
      </c>
    </row>
    <row r="256" spans="4:5">
      <c r="D256" s="106" t="e">
        <v>#N/A</v>
      </c>
      <c r="E256" s="106" t="str">
        <v>Equity:Swap:ParameterReturnVolatility:SingleName</v>
      </c>
    </row>
    <row r="257" spans="4:5">
      <c r="D257" s="106" t="e">
        <v>#N/A</v>
      </c>
      <c r="E257" s="106" t="str">
        <v>Equity:Swap:PriceReturnBasicPerformance:Basket</v>
      </c>
    </row>
    <row r="258" spans="4:5">
      <c r="D258" s="106" t="e">
        <v>#N/A</v>
      </c>
      <c r="E258" s="106" t="str">
        <v>Equity:Swap:PriceReturnBasicPerformance:SingleIndex</v>
      </c>
    </row>
    <row r="259" spans="4:5">
      <c r="D259" s="106" t="e">
        <v>#N/A</v>
      </c>
      <c r="E259" s="106" t="str">
        <v>Equity:Swap:PriceReturnBasicPerformance:SingleName</v>
      </c>
    </row>
    <row r="260" spans="4:5">
      <c r="D260" s="106" t="e">
        <v>#N/A</v>
      </c>
      <c r="E260" s="106" t="str">
        <v>ForeignExchange:ComplexExotic</v>
      </c>
    </row>
    <row r="261" spans="4:5">
      <c r="D261" s="106" t="e">
        <v>#N/A</v>
      </c>
      <c r="E261" s="106" t="str">
        <v>ForeignExchange:Forward</v>
      </c>
    </row>
    <row r="262" spans="4:5">
      <c r="D262" s="106" t="e">
        <v>#N/A</v>
      </c>
      <c r="E262" s="106" t="str">
        <v>ForeignExchange:NDF</v>
      </c>
    </row>
    <row r="263" spans="4:5">
      <c r="D263" s="106" t="e">
        <v>#N/A</v>
      </c>
      <c r="E263" s="106" t="str">
        <v>ForeignExchange:NDO</v>
      </c>
    </row>
    <row r="264" spans="4:5">
      <c r="D264" s="106" t="e">
        <v>#N/A</v>
      </c>
      <c r="E264" s="106" t="str">
        <v>ForeignExchange:SimpleExotic:Barrier</v>
      </c>
    </row>
    <row r="265" spans="4:5">
      <c r="D265" s="106" t="e">
        <v>#N/A</v>
      </c>
      <c r="E265" s="106" t="str">
        <v>ForeignExchange:SimpleExotic:Digital</v>
      </c>
    </row>
    <row r="266" spans="4:5">
      <c r="D266" s="106" t="e">
        <v>#N/A</v>
      </c>
      <c r="E266" s="106" t="str">
        <v>ForeignExchange:Spot</v>
      </c>
    </row>
    <row r="267" spans="4:5">
      <c r="D267" s="106" t="e">
        <v>#N/A</v>
      </c>
      <c r="E267" s="106" t="str">
        <v>ForeignExchange:VanillaOption</v>
      </c>
    </row>
    <row r="268" spans="4:5">
      <c r="D268" s="106" t="e">
        <v>#N/A</v>
      </c>
      <c r="E268" s="106" t="str">
        <v>InterestRate:CapFloor</v>
      </c>
    </row>
    <row r="269" spans="4:5">
      <c r="D269" s="106" t="e">
        <v>#N/A</v>
      </c>
      <c r="E269" s="106" t="str">
        <v>InterestRate:CrossCurrency:Basis</v>
      </c>
    </row>
    <row r="270" spans="4:5">
      <c r="D270" s="106" t="e">
        <v>#N/A</v>
      </c>
      <c r="E270" s="106" t="str">
        <v>InterestRate:CrossCurrency:FixedFixed</v>
      </c>
    </row>
    <row r="271" spans="4:5">
      <c r="D271" s="106" t="e">
        <v>#N/A</v>
      </c>
      <c r="E271" s="106" t="str">
        <v>InterestRate:CrossCurrency:FixedFloat</v>
      </c>
    </row>
    <row r="272" spans="4:5">
      <c r="D272" s="106" t="e">
        <v>#N/A</v>
      </c>
      <c r="E272" s="106" t="str">
        <v>InterestRate:Exotic</v>
      </c>
    </row>
    <row r="273" spans="4:5">
      <c r="D273" s="106" t="e">
        <v>#N/A</v>
      </c>
      <c r="E273" s="106" t="str">
        <v>InterestRate:FRA</v>
      </c>
    </row>
    <row r="274" spans="4:5">
      <c r="D274" t="e">
        <v>#N/A</v>
      </c>
      <c r="E274" s="106" t="str">
        <v>InterestRate:IRSwap:Basis</v>
      </c>
    </row>
    <row r="275" spans="4:5">
      <c r="D275" t="e">
        <v>#N/A</v>
      </c>
      <c r="E275" s="106" t="str">
        <v>InterestRate:IRSwap:FixedFixed</v>
      </c>
    </row>
    <row r="276" spans="4:5">
      <c r="D276" t="e">
        <v>#N/A</v>
      </c>
      <c r="E276" s="106" t="str">
        <v>InterestRate:IRSwap:FixedFloat</v>
      </c>
    </row>
    <row r="277" spans="4:5">
      <c r="D277" t="e">
        <v>#N/A</v>
      </c>
      <c r="E277" s="106" t="str">
        <v>InterestRate:IRSwap:Inflation</v>
      </c>
    </row>
    <row r="278" spans="4:5">
      <c r="D278" t="e">
        <v>#N/A</v>
      </c>
      <c r="E278" s="106" t="str">
        <v>InterestRate:IRSwap:OIS</v>
      </c>
    </row>
    <row r="279" spans="4:5">
      <c r="D279" t="e">
        <v>#N/A</v>
      </c>
      <c r="E279" s="106" t="str">
        <v>InterestRate:Option:DebtOption</v>
      </c>
    </row>
    <row r="280" spans="4:5">
      <c r="D280" t="e">
        <v>#N/A</v>
      </c>
      <c r="E280" s="106" t="str">
        <v>InterestRate:Option:Swaption</v>
      </c>
    </row>
    <row r="281" spans="4:5">
      <c r="D281" t="e">
        <v>#N/A</v>
      </c>
      <c r="E281" s="106" t="str">
        <v>ForeignExchange:Swap</v>
      </c>
    </row>
    <row r="282" spans="4:5">
      <c r="D282" t="e">
        <v>#N/A</v>
      </c>
      <c r="E282" s="106" t="str">
        <v>InterestRate:Debt:Government:Fixed:Bullet</v>
      </c>
    </row>
    <row r="283" spans="4:5">
      <c r="D283" t="e">
        <v>#N/A</v>
      </c>
      <c r="E283" s="106" t="str">
        <v>InterestRate:Debt:Government:Float:Bullet</v>
      </c>
    </row>
    <row r="284" spans="4:5">
      <c r="D284" t="e">
        <v>#N/A</v>
      </c>
      <c r="E284" s="106" t="str">
        <v>Inflation:Debt:Government:Fixed:Ammortising</v>
      </c>
    </row>
    <row r="285" spans="4:5">
      <c r="D285" t="e">
        <v>#N/A</v>
      </c>
      <c r="E285" s="106" t="str">
        <v>Inflation:Debt:Government:Float:Ammortising</v>
      </c>
    </row>
    <row r="286" spans="4:5">
      <c r="D286" t="e">
        <v>#N/A</v>
      </c>
      <c r="E286" s="106" t="str">
        <v>InterestRate:TermDeposit</v>
      </c>
    </row>
    <row r="287" spans="4:5">
      <c r="D287" t="e">
        <v>#N/A</v>
      </c>
      <c r="E287" s="106" t="str">
        <v>Cash:Payment</v>
      </c>
    </row>
    <row r="288" spans="4:5">
      <c r="D288" t="e">
        <v>#N/A</v>
      </c>
      <c r="E288" s="106" t="str">
        <v>Credit:Debt:ABS:CDSonCDO</v>
      </c>
    </row>
    <row r="289" spans="4:5">
      <c r="D289" t="e">
        <v>#N/A</v>
      </c>
      <c r="E289" s="106" t="str">
        <v>Credit:Debt:ABS:CMBS</v>
      </c>
    </row>
    <row r="290" spans="4:5">
      <c r="E290" s="106" t="str">
        <v>Credit:Debt:ABS:EuropeanCMBS</v>
      </c>
    </row>
    <row r="291" spans="4:5">
      <c r="E291" t="str">
        <v>Credit:Debt:ABS:EuropeanRMBS</v>
      </c>
    </row>
    <row r="292" spans="4:5">
      <c r="E292" t="str">
        <v>Credit:Debt:ABS:RMBS</v>
      </c>
    </row>
    <row r="293" spans="4:5">
      <c r="E293" t="str">
        <v>Equity:OrdinaryShares</v>
      </c>
    </row>
    <row r="294" spans="4:5">
      <c r="E294" t="str">
        <v>Equity:Forward:Physical</v>
      </c>
    </row>
    <row r="295" spans="4:5">
      <c r="E295" t="str">
        <v>Property:Residential</v>
      </c>
    </row>
    <row r="296" spans="4:5">
      <c r="E296" t="str">
        <v>ExchangeTraded:Future</v>
      </c>
    </row>
    <row r="297" spans="4:5">
      <c r="E297" t="e">
        <v>#N/A</v>
      </c>
    </row>
    <row r="298" spans="4:5">
      <c r="E298" t="e">
        <v>#N/A</v>
      </c>
    </row>
    <row r="299" spans="4:5">
      <c r="E299" t="e">
        <v>#N/A</v>
      </c>
    </row>
    <row r="300" spans="4:5">
      <c r="E300" t="e">
        <v>#N/A</v>
      </c>
    </row>
    <row r="301" spans="4:5">
      <c r="E301" t="e">
        <v>#N/A</v>
      </c>
    </row>
    <row r="302" spans="4:5">
      <c r="E302" t="e">
        <v>#N/A</v>
      </c>
    </row>
    <row r="303" spans="4:5">
      <c r="E303" t="e">
        <v>#N/A</v>
      </c>
    </row>
    <row r="304" spans="4:5">
      <c r="E304" t="e">
        <v>#N/A</v>
      </c>
    </row>
    <row r="305" spans="5:5">
      <c r="E305" t="e">
        <v>#N/A</v>
      </c>
    </row>
    <row r="306" spans="5:5">
      <c r="E306" t="e">
        <v>#N/A</v>
      </c>
    </row>
    <row r="307" spans="5:5">
      <c r="E307" t="e">
        <v>#N/A</v>
      </c>
    </row>
    <row r="308" spans="5:5">
      <c r="E308" t="e">
        <v>#N/A</v>
      </c>
    </row>
    <row r="309" spans="5:5">
      <c r="E309" t="e">
        <v>#N/A</v>
      </c>
    </row>
    <row r="310" spans="5:5">
      <c r="E310" t="e">
        <v>#N/A</v>
      </c>
    </row>
    <row r="311" spans="5:5">
      <c r="E311" t="e">
        <v>#N/A</v>
      </c>
    </row>
    <row r="312" spans="5:5">
      <c r="E312" t="e">
        <v>#N/A</v>
      </c>
    </row>
    <row r="313" spans="5:5">
      <c r="E313" t="e">
        <v>#N/A</v>
      </c>
    </row>
    <row r="314" spans="5:5">
      <c r="E314" t="e">
        <v>#N/A</v>
      </c>
    </row>
    <row r="315" spans="5:5">
      <c r="E315" t="e">
        <v>#N/A</v>
      </c>
    </row>
    <row r="316" spans="5:5">
      <c r="E316" t="e">
        <v>#N/A</v>
      </c>
    </row>
    <row r="317" spans="5:5">
      <c r="E317" t="e">
        <v>#N/A</v>
      </c>
    </row>
    <row r="318" spans="5:5">
      <c r="E318" t="e">
        <v>#N/A</v>
      </c>
    </row>
    <row r="319" spans="5:5">
      <c r="E319" t="e">
        <v>#N/A</v>
      </c>
    </row>
    <row r="320" spans="5:5">
      <c r="E320" t="e">
        <v>#N/A</v>
      </c>
    </row>
    <row r="321" spans="5:5">
      <c r="E321" t="e">
        <v>#N/A</v>
      </c>
    </row>
    <row r="322" spans="5:5">
      <c r="E322" t="e">
        <v>#N/A</v>
      </c>
    </row>
    <row r="323" spans="5:5">
      <c r="E323" t="e">
        <v>#N/A</v>
      </c>
    </row>
    <row r="324" spans="5:5">
      <c r="E324" t="e">
        <v>#N/A</v>
      </c>
    </row>
    <row r="325" spans="5:5">
      <c r="E325" t="e">
        <v>#N/A</v>
      </c>
    </row>
    <row r="326" spans="5:5">
      <c r="E326" t="e">
        <v>#N/A</v>
      </c>
    </row>
    <row r="327" spans="5:5">
      <c r="E327" t="e">
        <v>#N/A</v>
      </c>
    </row>
    <row r="328" spans="5:5">
      <c r="E328" t="e">
        <v>#N/A</v>
      </c>
    </row>
    <row r="329" spans="5:5">
      <c r="E329" t="e">
        <v>#N/A</v>
      </c>
    </row>
    <row r="330" spans="5:5">
      <c r="E330" t="e">
        <v>#N/A</v>
      </c>
    </row>
    <row r="331" spans="5:5">
      <c r="E331" t="e">
        <v>#N/A</v>
      </c>
    </row>
    <row r="332" spans="5:5">
      <c r="E332" t="e">
        <v>#N/A</v>
      </c>
    </row>
    <row r="333" spans="5:5">
      <c r="E333" t="e">
        <v>#N/A</v>
      </c>
    </row>
    <row r="334" spans="5:5">
      <c r="E334" t="e">
        <v>#N/A</v>
      </c>
    </row>
    <row r="335" spans="5:5">
      <c r="E335" t="e">
        <v>#N/A</v>
      </c>
    </row>
    <row r="336" spans="5:5">
      <c r="E336" t="e">
        <v>#N/A</v>
      </c>
    </row>
    <row r="337" spans="5:5">
      <c r="E337" t="e">
        <v>#N/A</v>
      </c>
    </row>
    <row r="338" spans="5:5">
      <c r="E338" t="e">
        <v>#N/A</v>
      </c>
    </row>
    <row r="339" spans="5:5">
      <c r="E339" t="e">
        <v>#N/A</v>
      </c>
    </row>
    <row r="340" spans="5:5">
      <c r="E340" t="e">
        <v>#N/A</v>
      </c>
    </row>
    <row r="341" spans="5:5">
      <c r="E341" t="e">
        <v>#N/A</v>
      </c>
    </row>
    <row r="342" spans="5:5">
      <c r="E342" t="e">
        <v>#N/A</v>
      </c>
    </row>
    <row r="343" spans="5:5">
      <c r="E343" t="e">
        <v>#N/A</v>
      </c>
    </row>
    <row r="344" spans="5:5">
      <c r="E344" t="e">
        <v>#N/A</v>
      </c>
    </row>
    <row r="345" spans="5:5">
      <c r="E345" t="e">
        <v>#N/A</v>
      </c>
    </row>
    <row r="346" spans="5:5">
      <c r="E346" t="e">
        <v>#N/A</v>
      </c>
    </row>
    <row r="347" spans="5:5">
      <c r="E347" t="e">
        <v>#N/A</v>
      </c>
    </row>
    <row r="348" spans="5:5">
      <c r="E348" t="e">
        <v>#N/A</v>
      </c>
    </row>
    <row r="349" spans="5:5">
      <c r="E349" t="e">
        <v>#N/A</v>
      </c>
    </row>
    <row r="350" spans="5:5">
      <c r="E350" t="e">
        <v>#N/A</v>
      </c>
    </row>
    <row r="351" spans="5:5">
      <c r="E351" t="e">
        <v>#N/A</v>
      </c>
    </row>
    <row r="352" spans="5:5">
      <c r="E352" t="e">
        <v>#N/A</v>
      </c>
    </row>
    <row r="353" spans="5:5">
      <c r="E353" t="e">
        <v>#N/A</v>
      </c>
    </row>
    <row r="354" spans="5:5">
      <c r="E354" t="e">
        <v>#N/A</v>
      </c>
    </row>
    <row r="355" spans="5:5">
      <c r="E355" t="e">
        <v>#N/A</v>
      </c>
    </row>
    <row r="356" spans="5:5">
      <c r="E356" t="e">
        <v>#N/A</v>
      </c>
    </row>
    <row r="357" spans="5:5">
      <c r="E357" t="e">
        <v>#N/A</v>
      </c>
    </row>
    <row r="358" spans="5:5">
      <c r="E358" t="e">
        <v>#N/A</v>
      </c>
    </row>
    <row r="359" spans="5:5">
      <c r="E359" t="e">
        <v>#N/A</v>
      </c>
    </row>
    <row r="360" spans="5:5">
      <c r="E360" t="e">
        <v>#N/A</v>
      </c>
    </row>
    <row r="361" spans="5:5">
      <c r="E361" t="e">
        <v>#N/A</v>
      </c>
    </row>
    <row r="362" spans="5:5">
      <c r="E362" t="e">
        <v>#N/A</v>
      </c>
    </row>
    <row r="363" spans="5:5">
      <c r="E363" t="e">
        <v>#N/A</v>
      </c>
    </row>
    <row r="364" spans="5:5">
      <c r="E364" t="e">
        <v>#N/A</v>
      </c>
    </row>
    <row r="365" spans="5:5">
      <c r="E365" t="e">
        <v>#N/A</v>
      </c>
    </row>
    <row r="366" spans="5:5">
      <c r="E366" t="e">
        <v>#N/A</v>
      </c>
    </row>
    <row r="367" spans="5:5">
      <c r="E367" t="e">
        <v>#N/A</v>
      </c>
    </row>
    <row r="368" spans="5:5">
      <c r="E368" t="e">
        <v>#N/A</v>
      </c>
    </row>
    <row r="369" spans="5:5">
      <c r="E369" t="e">
        <v>#N/A</v>
      </c>
    </row>
    <row r="370" spans="5:5">
      <c r="E370" t="e">
        <v>#N/A</v>
      </c>
    </row>
    <row r="371" spans="5:5">
      <c r="E371" t="e">
        <v>#N/A</v>
      </c>
    </row>
    <row r="372" spans="5:5">
      <c r="E372" t="e">
        <v>#N/A</v>
      </c>
    </row>
    <row r="373" spans="5:5">
      <c r="E373" t="e">
        <v>#N/A</v>
      </c>
    </row>
    <row r="374" spans="5:5">
      <c r="E374" t="e">
        <v>#N/A</v>
      </c>
    </row>
    <row r="375" spans="5:5">
      <c r="E375" t="e">
        <v>#N/A</v>
      </c>
    </row>
    <row r="376" spans="5:5">
      <c r="E376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Table of Contents</vt:lpstr>
      <vt:lpstr>Calendar Rule Data</vt:lpstr>
      <vt:lpstr>Business Calendar</vt:lpstr>
      <vt:lpstr>Business Financial Dates</vt:lpstr>
      <vt:lpstr>Business Schedulers</vt:lpstr>
      <vt:lpstr>Reference Data</vt:lpstr>
      <vt:lpstr>AUD_3Y_Expiry_Swaption_Vols</vt:lpstr>
      <vt:lpstr>AUD_5Y_Expiry_Swaption_Vols</vt:lpstr>
      <vt:lpstr>DDD</vt:lpstr>
      <vt:lpstr>xxxx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awatt</dc:creator>
  <cp:lastModifiedBy>Alex</cp:lastModifiedBy>
  <cp:lastPrinted>2007-09-25T22:57:44Z</cp:lastPrinted>
  <dcterms:created xsi:type="dcterms:W3CDTF">2007-05-03T06:46:26Z</dcterms:created>
  <dcterms:modified xsi:type="dcterms:W3CDTF">2018-01-29T08:01:57Z</dcterms:modified>
</cp:coreProperties>
</file>