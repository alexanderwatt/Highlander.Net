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Rates\"/>
    </mc:Choice>
  </mc:AlternateContent>
  <bookViews>
    <workbookView xWindow="480" yWindow="90" windowWidth="12315" windowHeight="13035" tabRatio="516" xr2:uid="{00000000-000D-0000-FFFF-FFFF00000000}"/>
  </bookViews>
  <sheets>
    <sheet name="AUDCurve" sheetId="2" r:id="rId1"/>
    <sheet name="GBPCurve" sheetId="7" r:id="rId2"/>
    <sheet name="Daily Forward Curve Comparison" sheetId="8" r:id="rId3"/>
    <sheet name="Daily Forward Rates" sheetId="5" r:id="rId4"/>
  </sheets>
  <definedNames>
    <definedName name="Choice">AUDCurve!$O$3</definedName>
  </definedNames>
  <calcPr calcId="171027" calcMode="manual" calcCompleted="0" calcOnSave="0"/>
</workbook>
</file>

<file path=xl/calcChain.xml><?xml version="1.0" encoding="utf-8"?>
<calcChain xmlns="http://schemas.openxmlformats.org/spreadsheetml/2006/main">
  <c r="B3" i="7" l="1"/>
  <c r="B47" i="7" l="1"/>
  <c r="B48" i="7" s="1"/>
  <c r="B49" i="7" s="1"/>
  <c r="B50" i="7" s="1"/>
  <c r="B51" i="7" s="1"/>
  <c r="B52" i="7" s="1"/>
  <c r="B53" i="7" s="1"/>
  <c r="B54" i="7" s="1"/>
  <c r="B4" i="7"/>
  <c r="B5" i="7" s="1"/>
  <c r="A1" i="7"/>
  <c r="C56" i="7" a="1"/>
  <c r="A56" i="7" a="1"/>
  <c r="C56" i="7" l="1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D58" i="7"/>
  <c r="D60" i="7"/>
  <c r="D62" i="7"/>
  <c r="D64" i="7"/>
  <c r="D68" i="7"/>
  <c r="D70" i="7"/>
  <c r="D72" i="7"/>
  <c r="D74" i="7"/>
  <c r="D78" i="7"/>
  <c r="D80" i="7"/>
  <c r="D82" i="7"/>
  <c r="D86" i="7"/>
  <c r="D88" i="7"/>
  <c r="D90" i="7"/>
  <c r="C77" i="7"/>
  <c r="C83" i="7"/>
  <c r="C89" i="7"/>
  <c r="D57" i="7"/>
  <c r="D63" i="7"/>
  <c r="D69" i="7"/>
  <c r="D73" i="7"/>
  <c r="D79" i="7"/>
  <c r="D85" i="7"/>
  <c r="D89" i="7"/>
  <c r="D56" i="7"/>
  <c r="D66" i="7"/>
  <c r="D76" i="7"/>
  <c r="D84" i="7"/>
  <c r="D92" i="7"/>
  <c r="C81" i="7"/>
  <c r="C87" i="7"/>
  <c r="C91" i="7"/>
  <c r="D59" i="7"/>
  <c r="D67" i="7"/>
  <c r="D71" i="7"/>
  <c r="D77" i="7"/>
  <c r="D83" i="7"/>
  <c r="D87" i="7"/>
  <c r="C57" i="7"/>
  <c r="C59" i="7"/>
  <c r="C61" i="7"/>
  <c r="C63" i="7"/>
  <c r="C65" i="7"/>
  <c r="C67" i="7"/>
  <c r="C69" i="7"/>
  <c r="C71" i="7"/>
  <c r="C73" i="7"/>
  <c r="C75" i="7"/>
  <c r="C79" i="7"/>
  <c r="C85" i="7"/>
  <c r="D61" i="7"/>
  <c r="D65" i="7"/>
  <c r="D75" i="7"/>
  <c r="D81" i="7"/>
  <c r="D91" i="7"/>
  <c r="A56" i="7"/>
  <c r="A58" i="7"/>
  <c r="A60" i="7"/>
  <c r="A62" i="7"/>
  <c r="A64" i="7"/>
  <c r="A66" i="7"/>
  <c r="A68" i="7"/>
  <c r="A70" i="7"/>
  <c r="A72" i="7"/>
  <c r="A74" i="7"/>
  <c r="A76" i="7"/>
  <c r="A78" i="7"/>
  <c r="A80" i="7"/>
  <c r="A82" i="7"/>
  <c r="A84" i="7"/>
  <c r="A86" i="7"/>
  <c r="A88" i="7"/>
  <c r="A90" i="7"/>
  <c r="A92" i="7"/>
  <c r="B61" i="7"/>
  <c r="B67" i="7"/>
  <c r="B73" i="7"/>
  <c r="B79" i="7"/>
  <c r="B83" i="7"/>
  <c r="B89" i="7"/>
  <c r="B56" i="7"/>
  <c r="B58" i="7"/>
  <c r="B60" i="7"/>
  <c r="B62" i="7"/>
  <c r="B64" i="7"/>
  <c r="B66" i="7"/>
  <c r="B68" i="7"/>
  <c r="B70" i="7"/>
  <c r="B72" i="7"/>
  <c r="B74" i="7"/>
  <c r="B76" i="7"/>
  <c r="B78" i="7"/>
  <c r="B80" i="7"/>
  <c r="B82" i="7"/>
  <c r="B84" i="7"/>
  <c r="B86" i="7"/>
  <c r="B88" i="7"/>
  <c r="B90" i="7"/>
  <c r="B92" i="7"/>
  <c r="B57" i="7"/>
  <c r="B65" i="7"/>
  <c r="B69" i="7"/>
  <c r="B75" i="7"/>
  <c r="B81" i="7"/>
  <c r="B87" i="7"/>
  <c r="B91" i="7"/>
  <c r="A57" i="7"/>
  <c r="A59" i="7"/>
  <c r="A61" i="7"/>
  <c r="A63" i="7"/>
  <c r="A65" i="7"/>
  <c r="A67" i="7"/>
  <c r="A69" i="7"/>
  <c r="A71" i="7"/>
  <c r="A73" i="7"/>
  <c r="A75" i="7"/>
  <c r="A77" i="7"/>
  <c r="A79" i="7"/>
  <c r="A81" i="7"/>
  <c r="A83" i="7"/>
  <c r="A85" i="7"/>
  <c r="A87" i="7"/>
  <c r="A89" i="7"/>
  <c r="A91" i="7"/>
  <c r="B59" i="7"/>
  <c r="B63" i="7"/>
  <c r="B71" i="7"/>
  <c r="B77" i="7"/>
  <c r="B85" i="7"/>
  <c r="G5" i="7"/>
  <c r="L10" i="2"/>
  <c r="L11" i="2" s="1"/>
  <c r="C16" i="2" l="1"/>
  <c r="G16" i="2" s="1"/>
  <c r="B38" i="2"/>
  <c r="F45" i="2" s="1"/>
  <c r="B37" i="2"/>
  <c r="B36" i="2"/>
  <c r="F41" i="2" s="1"/>
  <c r="B35" i="2"/>
  <c r="F40" i="2" s="1"/>
  <c r="B34" i="2"/>
  <c r="F38" i="2" s="1"/>
  <c r="B33" i="2"/>
  <c r="F36" i="2" s="1"/>
  <c r="B32" i="2"/>
  <c r="F33" i="2" s="1"/>
  <c r="B31" i="2"/>
  <c r="F32" i="2" s="1"/>
  <c r="C8" i="2"/>
  <c r="C9" i="2" s="1"/>
  <c r="C3" i="2"/>
  <c r="B9" i="7"/>
  <c r="F45" i="7"/>
  <c r="F46" i="7" s="1"/>
  <c r="F43" i="7"/>
  <c r="F44" i="7" s="1"/>
  <c r="F41" i="7"/>
  <c r="F42" i="7" s="1"/>
  <c r="F39" i="7"/>
  <c r="F40" i="7" s="1"/>
  <c r="F37" i="7"/>
  <c r="F38" i="7" s="1"/>
  <c r="F35" i="7"/>
  <c r="F36" i="7" s="1"/>
  <c r="F33" i="7"/>
  <c r="F34" i="7" s="1"/>
  <c r="F31" i="7"/>
  <c r="F32" i="7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G7" i="7"/>
  <c r="G9" i="7" s="1"/>
  <c r="G15" i="2"/>
  <c r="G3" i="2"/>
  <c r="G4" i="2" s="1"/>
  <c r="G8" i="2"/>
  <c r="G9" i="2" s="1"/>
  <c r="C47" i="2" l="1"/>
  <c r="C48" i="2" s="1"/>
  <c r="C49" i="2" s="1"/>
  <c r="C50" i="2" s="1"/>
  <c r="C51" i="2" s="1"/>
  <c r="C52" i="2" s="1"/>
  <c r="C53" i="2" s="1"/>
  <c r="C54" i="2" s="1"/>
  <c r="D54" i="2" s="1"/>
  <c r="F54" i="2" s="1"/>
  <c r="F35" i="2"/>
  <c r="C47" i="7"/>
  <c r="F47" i="7" s="1"/>
  <c r="G3" i="7"/>
  <c r="G4" i="7" s="1"/>
  <c r="C4" i="2"/>
  <c r="E1" i="5"/>
  <c r="F37" i="2"/>
  <c r="F39" i="2"/>
  <c r="A2" i="5"/>
  <c r="C49" i="7"/>
  <c r="F49" i="7" s="1"/>
  <c r="C50" i="7"/>
  <c r="F50" i="7" s="1"/>
  <c r="C48" i="7"/>
  <c r="F48" i="7" s="1"/>
  <c r="F31" i="2"/>
  <c r="C17" i="2"/>
  <c r="C18" i="2" s="1"/>
  <c r="F34" i="2"/>
  <c r="F46" i="2"/>
  <c r="L3" i="2"/>
  <c r="L4" i="2" s="1"/>
  <c r="F42" i="2"/>
  <c r="F43" i="2"/>
  <c r="F44" i="2"/>
  <c r="F1" i="7"/>
  <c r="H56" i="7" s="1" a="1"/>
  <c r="B1" i="2"/>
  <c r="F56" i="7" a="1"/>
  <c r="A56" i="2" a="1"/>
  <c r="C56" i="2" a="1"/>
  <c r="H56" i="7" l="1"/>
  <c r="H58" i="7"/>
  <c r="H60" i="7"/>
  <c r="H62" i="7"/>
  <c r="H64" i="7"/>
  <c r="H66" i="7"/>
  <c r="H68" i="7"/>
  <c r="H70" i="7"/>
  <c r="H72" i="7"/>
  <c r="H74" i="7"/>
  <c r="H76" i="7"/>
  <c r="H78" i="7"/>
  <c r="H80" i="7"/>
  <c r="H82" i="7"/>
  <c r="H84" i="7"/>
  <c r="H86" i="7"/>
  <c r="H88" i="7"/>
  <c r="H90" i="7"/>
  <c r="H92" i="7"/>
  <c r="I60" i="7"/>
  <c r="I64" i="7"/>
  <c r="I66" i="7"/>
  <c r="I70" i="7"/>
  <c r="I72" i="7"/>
  <c r="I74" i="7"/>
  <c r="I78" i="7"/>
  <c r="I82" i="7"/>
  <c r="I84" i="7"/>
  <c r="I88" i="7"/>
  <c r="I92" i="7"/>
  <c r="H91" i="7"/>
  <c r="I59" i="7"/>
  <c r="I63" i="7"/>
  <c r="I67" i="7"/>
  <c r="I73" i="7"/>
  <c r="I81" i="7"/>
  <c r="I87" i="7"/>
  <c r="I56" i="7"/>
  <c r="I58" i="7"/>
  <c r="I62" i="7"/>
  <c r="I68" i="7"/>
  <c r="I76" i="7"/>
  <c r="I80" i="7"/>
  <c r="I86" i="7"/>
  <c r="I90" i="7"/>
  <c r="I61" i="7"/>
  <c r="I69" i="7"/>
  <c r="I77" i="7"/>
  <c r="I79" i="7"/>
  <c r="I85" i="7"/>
  <c r="I91" i="7"/>
  <c r="H57" i="7"/>
  <c r="H59" i="7"/>
  <c r="H61" i="7"/>
  <c r="H63" i="7"/>
  <c r="H65" i="7"/>
  <c r="H67" i="7"/>
  <c r="H69" i="7"/>
  <c r="H71" i="7"/>
  <c r="H73" i="7"/>
  <c r="H75" i="7"/>
  <c r="H77" i="7"/>
  <c r="H79" i="7"/>
  <c r="H81" i="7"/>
  <c r="H83" i="7"/>
  <c r="H85" i="7"/>
  <c r="H87" i="7"/>
  <c r="H89" i="7"/>
  <c r="I57" i="7"/>
  <c r="I65" i="7"/>
  <c r="I71" i="7"/>
  <c r="I75" i="7"/>
  <c r="I83" i="7"/>
  <c r="I89" i="7"/>
  <c r="F56" i="7"/>
  <c r="F58" i="7"/>
  <c r="F60" i="7"/>
  <c r="F62" i="7"/>
  <c r="F64" i="7"/>
  <c r="F66" i="7"/>
  <c r="F68" i="7"/>
  <c r="F70" i="7"/>
  <c r="F72" i="7"/>
  <c r="F74" i="7"/>
  <c r="F76" i="7"/>
  <c r="F78" i="7"/>
  <c r="F80" i="7"/>
  <c r="F82" i="7"/>
  <c r="F84" i="7"/>
  <c r="F86" i="7"/>
  <c r="F88" i="7"/>
  <c r="F90" i="7"/>
  <c r="F92" i="7"/>
  <c r="G56" i="7"/>
  <c r="G58" i="7"/>
  <c r="G60" i="7"/>
  <c r="G62" i="7"/>
  <c r="G64" i="7"/>
  <c r="G66" i="7"/>
  <c r="G68" i="7"/>
  <c r="G70" i="7"/>
  <c r="G72" i="7"/>
  <c r="G74" i="7"/>
  <c r="G76" i="7"/>
  <c r="G78" i="7"/>
  <c r="G80" i="7"/>
  <c r="G82" i="7"/>
  <c r="G84" i="7"/>
  <c r="G86" i="7"/>
  <c r="G88" i="7"/>
  <c r="G90" i="7"/>
  <c r="G92" i="7"/>
  <c r="G57" i="7"/>
  <c r="G59" i="7"/>
  <c r="G61" i="7"/>
  <c r="G63" i="7"/>
  <c r="G65" i="7"/>
  <c r="G67" i="7"/>
  <c r="G69" i="7"/>
  <c r="G71" i="7"/>
  <c r="G73" i="7"/>
  <c r="G75" i="7"/>
  <c r="G77" i="7"/>
  <c r="G79" i="7"/>
  <c r="G81" i="7"/>
  <c r="G83" i="7"/>
  <c r="G85" i="7"/>
  <c r="G87" i="7"/>
  <c r="G89" i="7"/>
  <c r="G91" i="7"/>
  <c r="F57" i="7"/>
  <c r="F59" i="7"/>
  <c r="F61" i="7"/>
  <c r="F63" i="7"/>
  <c r="F65" i="7"/>
  <c r="F67" i="7"/>
  <c r="F69" i="7"/>
  <c r="F71" i="7"/>
  <c r="F73" i="7"/>
  <c r="F75" i="7"/>
  <c r="F77" i="7"/>
  <c r="F79" i="7"/>
  <c r="F81" i="7"/>
  <c r="F83" i="7"/>
  <c r="F85" i="7"/>
  <c r="F87" i="7"/>
  <c r="F89" i="7"/>
  <c r="F91" i="7"/>
  <c r="C56" i="2"/>
  <c r="C58" i="2"/>
  <c r="C60" i="2"/>
  <c r="C62" i="2"/>
  <c r="C64" i="2"/>
  <c r="C66" i="2"/>
  <c r="C68" i="2"/>
  <c r="C70" i="2"/>
  <c r="C72" i="2"/>
  <c r="C74" i="2"/>
  <c r="C76" i="2"/>
  <c r="C78" i="2"/>
  <c r="C80" i="2"/>
  <c r="C82" i="2"/>
  <c r="C84" i="2"/>
  <c r="C86" i="2"/>
  <c r="C88" i="2"/>
  <c r="C90" i="2"/>
  <c r="C92" i="2"/>
  <c r="D61" i="2"/>
  <c r="D65" i="2"/>
  <c r="D75" i="2"/>
  <c r="D83" i="2"/>
  <c r="D87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57" i="2"/>
  <c r="D63" i="2"/>
  <c r="D69" i="2"/>
  <c r="D73" i="2"/>
  <c r="D79" i="2"/>
  <c r="D85" i="2"/>
  <c r="D91" i="2"/>
  <c r="C57" i="2"/>
  <c r="C59" i="2"/>
  <c r="C61" i="2"/>
  <c r="C63" i="2"/>
  <c r="C65" i="2"/>
  <c r="C67" i="2"/>
  <c r="C69" i="2"/>
  <c r="C71" i="2"/>
  <c r="C73" i="2"/>
  <c r="C75" i="2"/>
  <c r="C77" i="2"/>
  <c r="C79" i="2"/>
  <c r="C81" i="2"/>
  <c r="C83" i="2"/>
  <c r="C85" i="2"/>
  <c r="C87" i="2"/>
  <c r="C89" i="2"/>
  <c r="C91" i="2"/>
  <c r="D59" i="2"/>
  <c r="D67" i="2"/>
  <c r="D71" i="2"/>
  <c r="D77" i="2"/>
  <c r="D81" i="2"/>
  <c r="D89" i="2"/>
  <c r="B57" i="2"/>
  <c r="B59" i="2"/>
  <c r="B61" i="2"/>
  <c r="B65" i="2"/>
  <c r="B69" i="2"/>
  <c r="B75" i="2"/>
  <c r="B81" i="2"/>
  <c r="B87" i="2"/>
  <c r="A56" i="2"/>
  <c r="A58" i="2"/>
  <c r="A60" i="2"/>
  <c r="A62" i="2"/>
  <c r="A64" i="2"/>
  <c r="A66" i="2"/>
  <c r="A68" i="2"/>
  <c r="A70" i="2"/>
  <c r="A72" i="2"/>
  <c r="A74" i="2"/>
  <c r="A76" i="2"/>
  <c r="A78" i="2"/>
  <c r="A80" i="2"/>
  <c r="A82" i="2"/>
  <c r="A84" i="2"/>
  <c r="A86" i="2"/>
  <c r="A88" i="2"/>
  <c r="A90" i="2"/>
  <c r="A92" i="2"/>
  <c r="B56" i="2"/>
  <c r="B58" i="2"/>
  <c r="B60" i="2"/>
  <c r="B64" i="2"/>
  <c r="B66" i="2"/>
  <c r="B68" i="2"/>
  <c r="B70" i="2"/>
  <c r="B72" i="2"/>
  <c r="B74" i="2"/>
  <c r="B76" i="2"/>
  <c r="B78" i="2"/>
  <c r="B80" i="2"/>
  <c r="B82" i="2"/>
  <c r="B84" i="2"/>
  <c r="B86" i="2"/>
  <c r="B88" i="2"/>
  <c r="B90" i="2"/>
  <c r="B63" i="2"/>
  <c r="B67" i="2"/>
  <c r="B71" i="2"/>
  <c r="B73" i="2"/>
  <c r="B77" i="2"/>
  <c r="B79" i="2"/>
  <c r="B83" i="2"/>
  <c r="B89" i="2"/>
  <c r="B62" i="2"/>
  <c r="B92" i="2"/>
  <c r="B85" i="2"/>
  <c r="B91" i="2"/>
  <c r="A57" i="2"/>
  <c r="A59" i="2"/>
  <c r="A61" i="2"/>
  <c r="A63" i="2"/>
  <c r="A65" i="2"/>
  <c r="A67" i="2"/>
  <c r="A69" i="2"/>
  <c r="A71" i="2"/>
  <c r="A73" i="2"/>
  <c r="A75" i="2"/>
  <c r="A77" i="2"/>
  <c r="A79" i="2"/>
  <c r="A81" i="2"/>
  <c r="A83" i="2"/>
  <c r="A85" i="2"/>
  <c r="A87" i="2"/>
  <c r="A89" i="2"/>
  <c r="A91" i="2"/>
  <c r="D49" i="2"/>
  <c r="F49" i="2" s="1"/>
  <c r="D50" i="2"/>
  <c r="F50" i="2" s="1"/>
  <c r="D53" i="2"/>
  <c r="F53" i="2" s="1"/>
  <c r="D51" i="2"/>
  <c r="F51" i="2" s="1"/>
  <c r="D47" i="2"/>
  <c r="F47" i="2" s="1"/>
  <c r="D48" i="2"/>
  <c r="F48" i="2" s="1"/>
  <c r="D52" i="2"/>
  <c r="F52" i="2" s="1"/>
  <c r="G17" i="2"/>
  <c r="A3" i="5"/>
  <c r="G18" i="2"/>
  <c r="C19" i="2"/>
  <c r="F1" i="2"/>
  <c r="H56" i="2" a="1"/>
  <c r="K14" i="2" a="1"/>
  <c r="K21" i="2" l="1"/>
  <c r="K38" i="2"/>
  <c r="L32" i="2"/>
  <c r="L48" i="2"/>
  <c r="L43" i="2"/>
  <c r="K22" i="2"/>
  <c r="K23" i="2"/>
  <c r="K24" i="2"/>
  <c r="K40" i="2"/>
  <c r="L18" i="2"/>
  <c r="L34" i="2"/>
  <c r="L50" i="2"/>
  <c r="L29" i="2"/>
  <c r="L45" i="2"/>
  <c r="K25" i="2"/>
  <c r="K41" i="2"/>
  <c r="K26" i="2"/>
  <c r="K42" i="2"/>
  <c r="L20" i="2"/>
  <c r="L36" i="2"/>
  <c r="L15" i="2"/>
  <c r="L31" i="2"/>
  <c r="L47" i="2"/>
  <c r="K27" i="2"/>
  <c r="K43" i="2"/>
  <c r="K28" i="2"/>
  <c r="K44" i="2"/>
  <c r="L22" i="2"/>
  <c r="L38" i="2"/>
  <c r="L17" i="2"/>
  <c r="L33" i="2"/>
  <c r="L49" i="2"/>
  <c r="K29" i="2"/>
  <c r="K45" i="2"/>
  <c r="L24" i="2"/>
  <c r="K15" i="2"/>
  <c r="K48" i="2"/>
  <c r="L37" i="2"/>
  <c r="K33" i="2"/>
  <c r="K14" i="2"/>
  <c r="K30" i="2"/>
  <c r="K46" i="2"/>
  <c r="L40" i="2"/>
  <c r="L19" i="2"/>
  <c r="L35" i="2"/>
  <c r="K31" i="2"/>
  <c r="K47" i="2"/>
  <c r="K16" i="2"/>
  <c r="L42" i="2"/>
  <c r="K17" i="2"/>
  <c r="K49" i="2"/>
  <c r="L26" i="2"/>
  <c r="K32" i="2"/>
  <c r="L21" i="2"/>
  <c r="K18" i="2"/>
  <c r="K34" i="2"/>
  <c r="K50" i="2"/>
  <c r="L28" i="2"/>
  <c r="L44" i="2"/>
  <c r="L23" i="2"/>
  <c r="L39" i="2"/>
  <c r="K19" i="2"/>
  <c r="K35" i="2"/>
  <c r="K20" i="2"/>
  <c r="K36" i="2"/>
  <c r="L14" i="2"/>
  <c r="L30" i="2"/>
  <c r="L46" i="2"/>
  <c r="L25" i="2"/>
  <c r="L41" i="2"/>
  <c r="K37" i="2"/>
  <c r="L16" i="2"/>
  <c r="L27" i="2"/>
  <c r="K39" i="2"/>
  <c r="H56" i="2"/>
  <c r="H58" i="2"/>
  <c r="H60" i="2"/>
  <c r="H62" i="2"/>
  <c r="H64" i="2"/>
  <c r="H66" i="2"/>
  <c r="H68" i="2"/>
  <c r="H70" i="2"/>
  <c r="H72" i="2"/>
  <c r="H74" i="2"/>
  <c r="H76" i="2"/>
  <c r="H78" i="2"/>
  <c r="H80" i="2"/>
  <c r="H82" i="2"/>
  <c r="H84" i="2"/>
  <c r="H86" i="2"/>
  <c r="H88" i="2"/>
  <c r="H90" i="2"/>
  <c r="H92" i="2"/>
  <c r="I86" i="2"/>
  <c r="I90" i="2"/>
  <c r="I59" i="2"/>
  <c r="I65" i="2"/>
  <c r="I71" i="2"/>
  <c r="I75" i="2"/>
  <c r="I81" i="2"/>
  <c r="I87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8" i="2"/>
  <c r="I92" i="2"/>
  <c r="I61" i="2"/>
  <c r="I67" i="2"/>
  <c r="I77" i="2"/>
  <c r="I85" i="2"/>
  <c r="I89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I57" i="2"/>
  <c r="I63" i="2"/>
  <c r="I69" i="2"/>
  <c r="I73" i="2"/>
  <c r="I79" i="2"/>
  <c r="I83" i="2"/>
  <c r="I91" i="2"/>
  <c r="C51" i="7"/>
  <c r="F51" i="7" s="1"/>
  <c r="A4" i="5"/>
  <c r="C20" i="2"/>
  <c r="G19" i="2"/>
  <c r="C52" i="7"/>
  <c r="F52" i="7" s="1"/>
  <c r="F56" i="2" a="1"/>
  <c r="F81" i="2" l="1"/>
  <c r="F66" i="2"/>
  <c r="F68" i="2"/>
  <c r="F84" i="2"/>
  <c r="G62" i="2"/>
  <c r="G78" i="2"/>
  <c r="G57" i="2"/>
  <c r="G73" i="2"/>
  <c r="G89" i="2"/>
  <c r="F69" i="2"/>
  <c r="F85" i="2"/>
  <c r="F70" i="2"/>
  <c r="F86" i="2"/>
  <c r="G64" i="2"/>
  <c r="G80" i="2"/>
  <c r="G59" i="2"/>
  <c r="G75" i="2"/>
  <c r="G91" i="2"/>
  <c r="F71" i="2"/>
  <c r="F87" i="2"/>
  <c r="F56" i="2"/>
  <c r="F72" i="2"/>
  <c r="F88" i="2"/>
  <c r="G66" i="2"/>
  <c r="G82" i="2"/>
  <c r="G61" i="2"/>
  <c r="G77" i="2"/>
  <c r="F57" i="2"/>
  <c r="F73" i="2"/>
  <c r="F89" i="2"/>
  <c r="F58" i="2"/>
  <c r="F74" i="2"/>
  <c r="F90" i="2"/>
  <c r="G68" i="2"/>
  <c r="G84" i="2"/>
  <c r="G63" i="2"/>
  <c r="G79" i="2"/>
  <c r="F59" i="2"/>
  <c r="F75" i="2"/>
  <c r="F91" i="2"/>
  <c r="F78" i="2"/>
  <c r="G72" i="2"/>
  <c r="G88" i="2"/>
  <c r="G83" i="2"/>
  <c r="F79" i="2"/>
  <c r="F64" i="2"/>
  <c r="F80" i="2"/>
  <c r="G58" i="2"/>
  <c r="G90" i="2"/>
  <c r="G69" i="2"/>
  <c r="G85" i="2"/>
  <c r="F65" i="2"/>
  <c r="G60" i="2"/>
  <c r="G92" i="2"/>
  <c r="G87" i="2"/>
  <c r="F83" i="2"/>
  <c r="G74" i="2"/>
  <c r="F82" i="2"/>
  <c r="F60" i="2"/>
  <c r="F76" i="2"/>
  <c r="F92" i="2"/>
  <c r="G70" i="2"/>
  <c r="G86" i="2"/>
  <c r="G65" i="2"/>
  <c r="G81" i="2"/>
  <c r="F61" i="2"/>
  <c r="F77" i="2"/>
  <c r="F62" i="2"/>
  <c r="G56" i="2"/>
  <c r="G67" i="2"/>
  <c r="F63" i="2"/>
  <c r="G76" i="2"/>
  <c r="G71" i="2"/>
  <c r="F67" i="2"/>
  <c r="A5" i="5"/>
  <c r="C31" i="2"/>
  <c r="C21" i="2"/>
  <c r="G20" i="2"/>
  <c r="C54" i="7"/>
  <c r="F54" i="7" s="1"/>
  <c r="C53" i="7"/>
  <c r="F53" i="7" s="1"/>
  <c r="F1" i="5" l="1"/>
  <c r="A6" i="5"/>
  <c r="C32" i="2"/>
  <c r="G31" i="2"/>
  <c r="C22" i="2"/>
  <c r="G21" i="2"/>
  <c r="A7" i="5" l="1"/>
  <c r="G33" i="2"/>
  <c r="C33" i="2"/>
  <c r="G22" i="2"/>
  <c r="C23" i="2"/>
  <c r="A8" i="5" l="1"/>
  <c r="G35" i="2"/>
  <c r="C34" i="2"/>
  <c r="G23" i="2"/>
  <c r="C24" i="2"/>
  <c r="A9" i="5" l="1"/>
  <c r="C25" i="2"/>
  <c r="G24" i="2"/>
  <c r="G37" i="2"/>
  <c r="C35" i="2"/>
  <c r="A10" i="5" l="1"/>
  <c r="G25" i="2"/>
  <c r="C26" i="2"/>
  <c r="C36" i="2"/>
  <c r="G39" i="2"/>
  <c r="A11" i="5" l="1"/>
  <c r="C37" i="2"/>
  <c r="G41" i="2"/>
  <c r="C27" i="2"/>
  <c r="G26" i="2"/>
  <c r="A12" i="5" l="1"/>
  <c r="C38" i="2"/>
  <c r="G43" i="2"/>
  <c r="C28" i="2"/>
  <c r="G27" i="2"/>
  <c r="A13" i="5" l="1"/>
  <c r="G45" i="2"/>
  <c r="C29" i="2"/>
  <c r="G28" i="2"/>
  <c r="A14" i="5" l="1"/>
  <c r="C30" i="2"/>
  <c r="G29" i="2"/>
  <c r="B1" i="5" l="1"/>
  <c r="L6" i="2"/>
  <c r="A15" i="5"/>
  <c r="G30" i="2"/>
  <c r="C1" i="5" l="1"/>
  <c r="M33" i="2"/>
  <c r="M24" i="2"/>
  <c r="M27" i="2"/>
  <c r="M29" i="2"/>
  <c r="M20" i="2"/>
  <c r="M30" i="2"/>
  <c r="M23" i="2"/>
  <c r="M25" i="2"/>
  <c r="M16" i="2"/>
  <c r="M26" i="2"/>
  <c r="M19" i="2"/>
  <c r="M21" i="2"/>
  <c r="M18" i="2"/>
  <c r="M15" i="2"/>
  <c r="M17" i="2"/>
  <c r="M34" i="2"/>
  <c r="M36" i="2"/>
  <c r="M22" i="2"/>
  <c r="M32" i="2"/>
  <c r="M35" i="2"/>
  <c r="M37" i="2"/>
  <c r="M28" i="2"/>
  <c r="M31" i="2"/>
  <c r="M14" i="2"/>
  <c r="A16" i="5"/>
  <c r="K1" i="2"/>
  <c r="O14" i="2" a="1"/>
  <c r="K56" i="2" a="1"/>
  <c r="O14" i="2" l="1"/>
  <c r="O16" i="2"/>
  <c r="O18" i="2"/>
  <c r="O20" i="2"/>
  <c r="O22" i="2"/>
  <c r="O24" i="2"/>
  <c r="O26" i="2"/>
  <c r="O28" i="2"/>
  <c r="O30" i="2"/>
  <c r="O32" i="2"/>
  <c r="O34" i="2"/>
  <c r="O36" i="2"/>
  <c r="O38" i="2"/>
  <c r="O40" i="2"/>
  <c r="O42" i="2"/>
  <c r="O44" i="2"/>
  <c r="O46" i="2"/>
  <c r="O48" i="2"/>
  <c r="O50" i="2"/>
  <c r="P44" i="2"/>
  <c r="P50" i="2"/>
  <c r="O17" i="2"/>
  <c r="O19" i="2"/>
  <c r="O23" i="2"/>
  <c r="O27" i="2"/>
  <c r="O33" i="2"/>
  <c r="O37" i="2"/>
  <c r="O41" i="2"/>
  <c r="O45" i="2"/>
  <c r="O47" i="2"/>
  <c r="P17" i="2"/>
  <c r="P19" i="2"/>
  <c r="P23" i="2"/>
  <c r="P27" i="2"/>
  <c r="P31" i="2"/>
  <c r="P35" i="2"/>
  <c r="P39" i="2"/>
  <c r="P43" i="2"/>
  <c r="P47" i="2"/>
  <c r="P14" i="2"/>
  <c r="P16" i="2"/>
  <c r="P18" i="2"/>
  <c r="P20" i="2"/>
  <c r="P22" i="2"/>
  <c r="P24" i="2"/>
  <c r="P26" i="2"/>
  <c r="P28" i="2"/>
  <c r="P30" i="2"/>
  <c r="P32" i="2"/>
  <c r="P34" i="2"/>
  <c r="P36" i="2"/>
  <c r="P38" i="2"/>
  <c r="P40" i="2"/>
  <c r="P42" i="2"/>
  <c r="P46" i="2"/>
  <c r="P48" i="2"/>
  <c r="O15" i="2"/>
  <c r="O21" i="2"/>
  <c r="O25" i="2"/>
  <c r="O29" i="2"/>
  <c r="O31" i="2"/>
  <c r="O35" i="2"/>
  <c r="O39" i="2"/>
  <c r="O43" i="2"/>
  <c r="O49" i="2"/>
  <c r="P15" i="2"/>
  <c r="P21" i="2"/>
  <c r="P25" i="2"/>
  <c r="P29" i="2"/>
  <c r="P33" i="2"/>
  <c r="P37" i="2"/>
  <c r="P41" i="2"/>
  <c r="P45" i="2"/>
  <c r="P49" i="2"/>
  <c r="K74" i="2"/>
  <c r="L56" i="2"/>
  <c r="L58" i="2"/>
  <c r="L60" i="2"/>
  <c r="L62" i="2"/>
  <c r="L64" i="2"/>
  <c r="L66" i="2"/>
  <c r="L68" i="2"/>
  <c r="L70" i="2"/>
  <c r="L72" i="2"/>
  <c r="L74" i="2"/>
  <c r="L76" i="2"/>
  <c r="L78" i="2"/>
  <c r="L80" i="2"/>
  <c r="L82" i="2"/>
  <c r="L84" i="2"/>
  <c r="L86" i="2"/>
  <c r="L88" i="2"/>
  <c r="L90" i="2"/>
  <c r="L92" i="2"/>
  <c r="L57" i="2"/>
  <c r="L59" i="2"/>
  <c r="L61" i="2"/>
  <c r="L63" i="2"/>
  <c r="L65" i="2"/>
  <c r="L67" i="2"/>
  <c r="L69" i="2"/>
  <c r="L71" i="2"/>
  <c r="L73" i="2"/>
  <c r="L75" i="2"/>
  <c r="L77" i="2"/>
  <c r="L79" i="2"/>
  <c r="L81" i="2"/>
  <c r="L83" i="2"/>
  <c r="L85" i="2"/>
  <c r="L87" i="2"/>
  <c r="L89" i="2"/>
  <c r="L91" i="2"/>
  <c r="K56" i="2"/>
  <c r="K58" i="2"/>
  <c r="K60" i="2"/>
  <c r="K62" i="2"/>
  <c r="K64" i="2"/>
  <c r="K66" i="2"/>
  <c r="K68" i="2"/>
  <c r="K70" i="2"/>
  <c r="K72" i="2"/>
  <c r="K76" i="2"/>
  <c r="K78" i="2"/>
  <c r="K80" i="2"/>
  <c r="K82" i="2"/>
  <c r="K84" i="2"/>
  <c r="K86" i="2"/>
  <c r="K88" i="2"/>
  <c r="K90" i="2"/>
  <c r="K92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D1" i="5"/>
  <c r="A17" i="5"/>
  <c r="O56" i="2" a="1"/>
  <c r="O60" i="2" l="1"/>
  <c r="O76" i="2"/>
  <c r="O92" i="2"/>
  <c r="P74" i="2"/>
  <c r="O81" i="2"/>
  <c r="P85" i="2"/>
  <c r="P57" i="2"/>
  <c r="O63" i="2"/>
  <c r="O79" i="2"/>
  <c r="O62" i="2"/>
  <c r="O78" i="2"/>
  <c r="P58" i="2"/>
  <c r="P78" i="2"/>
  <c r="O83" i="2"/>
  <c r="P91" i="2"/>
  <c r="P65" i="2"/>
  <c r="O65" i="2"/>
  <c r="O89" i="2"/>
  <c r="O64" i="2"/>
  <c r="O80" i="2"/>
  <c r="P60" i="2"/>
  <c r="P80" i="2"/>
  <c r="O87" i="2"/>
  <c r="P56" i="2"/>
  <c r="P73" i="2"/>
  <c r="O67" i="2"/>
  <c r="P61" i="2"/>
  <c r="O66" i="2"/>
  <c r="O82" i="2"/>
  <c r="P62" i="2"/>
  <c r="P82" i="2"/>
  <c r="P59" i="2"/>
  <c r="P68" i="2"/>
  <c r="P79" i="2"/>
  <c r="O69" i="2"/>
  <c r="P67" i="2"/>
  <c r="O70" i="2"/>
  <c r="O86" i="2"/>
  <c r="P66" i="2"/>
  <c r="P86" i="2"/>
  <c r="P69" i="2"/>
  <c r="P88" i="2"/>
  <c r="O57" i="2"/>
  <c r="O73" i="2"/>
  <c r="P77" i="2"/>
  <c r="O56" i="2"/>
  <c r="O72" i="2"/>
  <c r="O88" i="2"/>
  <c r="P70" i="2"/>
  <c r="P90" i="2"/>
  <c r="P75" i="2"/>
  <c r="O85" i="2"/>
  <c r="O59" i="2"/>
  <c r="O75" i="2"/>
  <c r="P83" i="2"/>
  <c r="O58" i="2"/>
  <c r="O90" i="2"/>
  <c r="P92" i="2"/>
  <c r="O91" i="2"/>
  <c r="O77" i="2"/>
  <c r="O68" i="2"/>
  <c r="O84" i="2"/>
  <c r="P64" i="2"/>
  <c r="P84" i="2"/>
  <c r="P63" i="2"/>
  <c r="P76" i="2"/>
  <c r="P87" i="2"/>
  <c r="O71" i="2"/>
  <c r="P71" i="2"/>
  <c r="O74" i="2"/>
  <c r="P72" i="2"/>
  <c r="P81" i="2"/>
  <c r="O61" i="2"/>
  <c r="P89" i="2"/>
  <c r="Q21" i="2"/>
  <c r="Q44" i="2"/>
  <c r="Q35" i="2"/>
  <c r="Q26" i="2"/>
  <c r="Q17" i="2"/>
  <c r="Q40" i="2"/>
  <c r="Q31" i="2"/>
  <c r="Q22" i="2"/>
  <c r="Q45" i="2"/>
  <c r="Q36" i="2"/>
  <c r="Q27" i="2"/>
  <c r="Q18" i="2"/>
  <c r="Q41" i="2"/>
  <c r="Q32" i="2"/>
  <c r="Q23" i="2"/>
  <c r="Q14" i="2"/>
  <c r="Q37" i="2"/>
  <c r="Q28" i="2"/>
  <c r="Q19" i="2"/>
  <c r="Q42" i="2"/>
  <c r="Q33" i="2"/>
  <c r="Q24" i="2"/>
  <c r="Q15" i="2"/>
  <c r="Q38" i="2"/>
  <c r="Q29" i="2"/>
  <c r="Q20" i="2"/>
  <c r="Q43" i="2"/>
  <c r="Q34" i="2"/>
  <c r="Q25" i="2"/>
  <c r="Q16" i="2"/>
  <c r="Q39" i="2"/>
  <c r="Q30" i="2"/>
  <c r="A18" i="5"/>
  <c r="A19" i="5" l="1"/>
  <c r="A20" i="5" l="1"/>
  <c r="A21" i="5" l="1"/>
  <c r="A22" i="5" l="1"/>
  <c r="A23" i="5" l="1"/>
  <c r="A24" i="5" l="1"/>
  <c r="A25" i="5" l="1"/>
  <c r="A26" i="5" l="1"/>
  <c r="A27" i="5" l="1"/>
  <c r="A28" i="5" l="1"/>
  <c r="A29" i="5" l="1"/>
  <c r="A30" i="5" l="1"/>
  <c r="A31" i="5" l="1"/>
  <c r="A32" i="5" l="1"/>
  <c r="A33" i="5" l="1"/>
  <c r="A34" i="5" l="1"/>
  <c r="A35" i="5" l="1"/>
  <c r="A36" i="5" l="1"/>
  <c r="A37" i="5" l="1"/>
  <c r="A38" i="5" l="1"/>
  <c r="A39" i="5" l="1"/>
  <c r="A40" i="5" l="1"/>
  <c r="A41" i="5" l="1"/>
  <c r="A42" i="5" l="1"/>
  <c r="A43" i="5" l="1"/>
  <c r="A44" i="5" l="1"/>
  <c r="A45" i="5" l="1"/>
  <c r="A46" i="5" l="1"/>
  <c r="A47" i="5" l="1"/>
  <c r="A48" i="5" l="1"/>
  <c r="A49" i="5" l="1"/>
  <c r="A50" i="5" l="1"/>
  <c r="A51" i="5" l="1"/>
  <c r="A52" i="5" l="1"/>
  <c r="A53" i="5" l="1"/>
  <c r="A54" i="5" l="1"/>
  <c r="A55" i="5" l="1"/>
  <c r="A56" i="5" l="1"/>
  <c r="A57" i="5" l="1"/>
  <c r="A58" i="5" l="1"/>
  <c r="A59" i="5" l="1"/>
  <c r="A60" i="5" l="1"/>
  <c r="A61" i="5" l="1"/>
  <c r="A62" i="5" l="1"/>
  <c r="A63" i="5" l="1"/>
  <c r="A64" i="5" l="1"/>
  <c r="A65" i="5" l="1"/>
  <c r="A66" i="5" l="1"/>
  <c r="A67" i="5" l="1"/>
  <c r="A68" i="5" l="1"/>
  <c r="A69" i="5" l="1"/>
  <c r="A70" i="5" l="1"/>
  <c r="A71" i="5" l="1"/>
  <c r="A72" i="5" l="1"/>
  <c r="A73" i="5" l="1"/>
  <c r="A74" i="5" l="1"/>
  <c r="A75" i="5" l="1"/>
  <c r="A76" i="5" l="1"/>
  <c r="A77" i="5" l="1"/>
  <c r="A78" i="5" l="1"/>
  <c r="A79" i="5" l="1"/>
  <c r="A80" i="5" l="1"/>
  <c r="A81" i="5" l="1"/>
  <c r="A82" i="5" l="1"/>
  <c r="A83" i="5" l="1"/>
  <c r="A84" i="5" l="1"/>
  <c r="A85" i="5" l="1"/>
  <c r="A86" i="5" l="1"/>
  <c r="A87" i="5" l="1"/>
  <c r="A88" i="5" l="1"/>
  <c r="A89" i="5" l="1"/>
  <c r="A90" i="5" l="1"/>
  <c r="A91" i="5" l="1"/>
  <c r="A92" i="5" l="1"/>
  <c r="A93" i="5" l="1"/>
  <c r="A94" i="5" l="1"/>
  <c r="A95" i="5" l="1"/>
  <c r="A96" i="5" l="1"/>
  <c r="A97" i="5" l="1"/>
  <c r="A98" i="5" l="1"/>
  <c r="A99" i="5" l="1"/>
  <c r="A100" i="5" l="1"/>
  <c r="A101" i="5" l="1"/>
  <c r="A102" i="5" l="1"/>
  <c r="A103" i="5" l="1"/>
  <c r="A104" i="5" l="1"/>
  <c r="A105" i="5" l="1"/>
  <c r="A106" i="5" l="1"/>
  <c r="A107" i="5" l="1"/>
  <c r="A108" i="5" l="1"/>
  <c r="A109" i="5" l="1"/>
  <c r="A110" i="5" l="1"/>
  <c r="A111" i="5" l="1"/>
  <c r="A112" i="5" l="1"/>
  <c r="A113" i="5" l="1"/>
  <c r="A114" i="5" l="1"/>
  <c r="A115" i="5" l="1"/>
  <c r="A116" i="5" l="1"/>
  <c r="A117" i="5" l="1"/>
  <c r="A118" i="5" l="1"/>
  <c r="A119" i="5" l="1"/>
  <c r="A120" i="5" l="1"/>
  <c r="A121" i="5" l="1"/>
  <c r="A122" i="5" l="1"/>
  <c r="A123" i="5" l="1"/>
  <c r="A124" i="5" l="1"/>
  <c r="A125" i="5" l="1"/>
  <c r="A126" i="5" l="1"/>
  <c r="A127" i="5" l="1"/>
  <c r="A128" i="5" l="1"/>
  <c r="A129" i="5" l="1"/>
  <c r="A130" i="5" l="1"/>
  <c r="A131" i="5" l="1"/>
  <c r="A132" i="5" l="1"/>
  <c r="A133" i="5" l="1"/>
  <c r="A134" i="5" l="1"/>
  <c r="A135" i="5" l="1"/>
  <c r="A136" i="5" l="1"/>
  <c r="A137" i="5" l="1"/>
  <c r="A138" i="5" l="1"/>
  <c r="A139" i="5" l="1"/>
  <c r="A140" i="5" l="1"/>
  <c r="A141" i="5" l="1"/>
  <c r="A142" i="5" l="1"/>
  <c r="A143" i="5" l="1"/>
  <c r="A144" i="5" l="1"/>
  <c r="A145" i="5" l="1"/>
  <c r="A146" i="5" l="1"/>
  <c r="A147" i="5" l="1"/>
  <c r="A148" i="5" l="1"/>
  <c r="A149" i="5" l="1"/>
  <c r="A150" i="5" l="1"/>
  <c r="A151" i="5" l="1"/>
  <c r="A152" i="5" l="1"/>
  <c r="A153" i="5" l="1"/>
  <c r="A154" i="5" l="1"/>
  <c r="A155" i="5" l="1"/>
  <c r="A156" i="5" l="1"/>
  <c r="A157" i="5" l="1"/>
  <c r="A158" i="5" l="1"/>
  <c r="A159" i="5" l="1"/>
  <c r="A160" i="5" l="1"/>
  <c r="A161" i="5" l="1"/>
  <c r="A162" i="5" l="1"/>
  <c r="A163" i="5" l="1"/>
  <c r="A164" i="5" l="1"/>
  <c r="A165" i="5" l="1"/>
  <c r="A166" i="5" l="1"/>
  <c r="A167" i="5" l="1"/>
  <c r="A168" i="5" l="1"/>
  <c r="A169" i="5" l="1"/>
  <c r="A170" i="5" l="1"/>
  <c r="A171" i="5" l="1"/>
  <c r="A172" i="5" l="1"/>
  <c r="A173" i="5" l="1"/>
  <c r="A174" i="5" l="1"/>
  <c r="A175" i="5" l="1"/>
  <c r="A176" i="5" l="1"/>
  <c r="A177" i="5" l="1"/>
  <c r="A178" i="5" l="1"/>
  <c r="A179" i="5" l="1"/>
  <c r="A180" i="5" l="1"/>
  <c r="A181" i="5" l="1"/>
  <c r="A182" i="5" l="1"/>
  <c r="A183" i="5" l="1"/>
  <c r="A184" i="5" l="1"/>
  <c r="A185" i="5" l="1"/>
  <c r="A186" i="5" l="1"/>
  <c r="A187" i="5" l="1"/>
  <c r="A188" i="5" l="1"/>
  <c r="A189" i="5" l="1"/>
  <c r="A190" i="5" l="1"/>
  <c r="A191" i="5" l="1"/>
  <c r="A192" i="5" l="1"/>
  <c r="A193" i="5" l="1"/>
  <c r="A194" i="5" l="1"/>
  <c r="A195" i="5" l="1"/>
  <c r="A196" i="5" l="1"/>
  <c r="A197" i="5" l="1"/>
  <c r="A198" i="5" l="1"/>
  <c r="A199" i="5" l="1"/>
  <c r="A200" i="5" l="1"/>
  <c r="A201" i="5" l="1"/>
  <c r="A202" i="5" l="1"/>
  <c r="A203" i="5" l="1"/>
  <c r="A204" i="5" l="1"/>
  <c r="A205" i="5" l="1"/>
  <c r="A206" i="5" l="1"/>
  <c r="A207" i="5" l="1"/>
  <c r="A208" i="5" l="1"/>
  <c r="A209" i="5" l="1"/>
  <c r="A210" i="5" l="1"/>
  <c r="A211" i="5" l="1"/>
  <c r="A212" i="5" l="1"/>
  <c r="A213" i="5" l="1"/>
  <c r="A214" i="5" l="1"/>
  <c r="A215" i="5" l="1"/>
  <c r="A216" i="5" l="1"/>
  <c r="A217" i="5" l="1"/>
  <c r="A218" i="5" l="1"/>
  <c r="A219" i="5" l="1"/>
  <c r="A220" i="5" l="1"/>
  <c r="A221" i="5" l="1"/>
  <c r="A222" i="5" l="1"/>
  <c r="A223" i="5" l="1"/>
  <c r="A224" i="5" l="1"/>
  <c r="A225" i="5" l="1"/>
  <c r="A226" i="5" l="1"/>
  <c r="A227" i="5" l="1"/>
  <c r="A228" i="5" l="1"/>
  <c r="A229" i="5" l="1"/>
  <c r="A230" i="5" l="1"/>
  <c r="A231" i="5" l="1"/>
  <c r="A232" i="5" l="1"/>
  <c r="A233" i="5" l="1"/>
  <c r="A234" i="5" l="1"/>
  <c r="A235" i="5" l="1"/>
  <c r="A236" i="5" l="1"/>
  <c r="A237" i="5" l="1"/>
  <c r="A238" i="5" l="1"/>
  <c r="A239" i="5" l="1"/>
  <c r="A240" i="5" l="1"/>
  <c r="A241" i="5" l="1"/>
  <c r="A242" i="5" l="1"/>
  <c r="A243" i="5" l="1"/>
  <c r="A244" i="5" l="1"/>
  <c r="A245" i="5" l="1"/>
  <c r="A246" i="5" l="1"/>
  <c r="A247" i="5" l="1"/>
  <c r="A248" i="5" l="1"/>
  <c r="A249" i="5" l="1"/>
  <c r="A250" i="5" l="1"/>
  <c r="A251" i="5" l="1"/>
  <c r="A252" i="5" l="1"/>
  <c r="A253" i="5" l="1"/>
  <c r="A254" i="5" l="1"/>
  <c r="A255" i="5" l="1"/>
  <c r="A256" i="5" l="1"/>
  <c r="A257" i="5" l="1"/>
  <c r="A258" i="5" l="1"/>
  <c r="A259" i="5" l="1"/>
  <c r="A260" i="5" l="1"/>
  <c r="A261" i="5" l="1"/>
  <c r="A262" i="5" l="1"/>
  <c r="A263" i="5" l="1"/>
  <c r="A264" i="5" l="1"/>
  <c r="A265" i="5" l="1"/>
  <c r="A266" i="5" l="1"/>
  <c r="A267" i="5" l="1"/>
  <c r="A268" i="5" l="1"/>
  <c r="A269" i="5" l="1"/>
  <c r="A270" i="5" l="1"/>
  <c r="A271" i="5" l="1"/>
  <c r="A272" i="5" l="1"/>
  <c r="A273" i="5" l="1"/>
  <c r="A274" i="5" l="1"/>
  <c r="A275" i="5" l="1"/>
  <c r="A276" i="5" l="1"/>
  <c r="A277" i="5" l="1"/>
  <c r="A278" i="5" l="1"/>
  <c r="A279" i="5" l="1"/>
  <c r="A280" i="5" l="1"/>
  <c r="A281" i="5" l="1"/>
  <c r="A282" i="5" l="1"/>
  <c r="A283" i="5" l="1"/>
  <c r="A284" i="5" l="1"/>
  <c r="A285" i="5" l="1"/>
  <c r="A286" i="5" l="1"/>
  <c r="A287" i="5" l="1"/>
  <c r="A288" i="5" l="1"/>
  <c r="A289" i="5" l="1"/>
  <c r="A290" i="5" l="1"/>
  <c r="A291" i="5" l="1"/>
  <c r="A292" i="5" l="1"/>
  <c r="A293" i="5" l="1"/>
  <c r="A294" i="5" l="1"/>
  <c r="A295" i="5" l="1"/>
  <c r="A296" i="5" l="1"/>
  <c r="A297" i="5" l="1"/>
  <c r="A298" i="5" l="1"/>
  <c r="A299" i="5" l="1"/>
  <c r="A300" i="5" l="1"/>
  <c r="A301" i="5" l="1"/>
  <c r="A302" i="5" l="1"/>
  <c r="A303" i="5" l="1"/>
  <c r="A304" i="5" l="1"/>
  <c r="A305" i="5" l="1"/>
  <c r="A306" i="5" l="1"/>
  <c r="A307" i="5" l="1"/>
  <c r="A308" i="5" l="1"/>
  <c r="A309" i="5" l="1"/>
  <c r="A310" i="5" l="1"/>
  <c r="A311" i="5" l="1"/>
  <c r="A312" i="5" l="1"/>
  <c r="A313" i="5" l="1"/>
  <c r="A314" i="5" l="1"/>
  <c r="A315" i="5" l="1"/>
  <c r="A316" i="5" l="1"/>
  <c r="A317" i="5" l="1"/>
  <c r="A318" i="5" l="1"/>
  <c r="A319" i="5" l="1"/>
  <c r="A320" i="5" l="1"/>
  <c r="A321" i="5" l="1"/>
  <c r="A322" i="5" l="1"/>
  <c r="A323" i="5" l="1"/>
  <c r="A324" i="5" l="1"/>
  <c r="A325" i="5" l="1"/>
  <c r="A326" i="5" l="1"/>
  <c r="A327" i="5" l="1"/>
  <c r="A328" i="5" l="1"/>
  <c r="A329" i="5" l="1"/>
  <c r="A330" i="5" l="1"/>
  <c r="A331" i="5" l="1"/>
  <c r="A332" i="5" l="1"/>
  <c r="A333" i="5" l="1"/>
  <c r="A334" i="5" l="1"/>
  <c r="A335" i="5" l="1"/>
  <c r="A336" i="5" l="1"/>
  <c r="A337" i="5" l="1"/>
  <c r="A338" i="5" l="1"/>
  <c r="A339" i="5" l="1"/>
  <c r="A340" i="5" l="1"/>
  <c r="A341" i="5" l="1"/>
  <c r="A342" i="5" l="1"/>
  <c r="A343" i="5" l="1"/>
  <c r="A344" i="5" l="1"/>
  <c r="A345" i="5" l="1"/>
  <c r="A346" i="5" l="1"/>
  <c r="A347" i="5" l="1"/>
  <c r="A348" i="5" l="1"/>
  <c r="A349" i="5" l="1"/>
  <c r="A350" i="5" l="1"/>
  <c r="A351" i="5" l="1"/>
  <c r="A352" i="5" l="1"/>
  <c r="A353" i="5" l="1"/>
  <c r="A354" i="5" l="1"/>
  <c r="A355" i="5" l="1"/>
  <c r="A356" i="5" l="1"/>
  <c r="A357" i="5" l="1"/>
  <c r="A358" i="5" l="1"/>
  <c r="K2" i="5" a="1"/>
  <c r="H2" i="5" a="1"/>
  <c r="G2" i="5" a="1"/>
  <c r="J2" i="5" a="1"/>
  <c r="I2" i="5" a="1"/>
  <c r="K2" i="5" l="1"/>
  <c r="K6" i="5"/>
  <c r="K10" i="5"/>
  <c r="K14" i="5"/>
  <c r="K18" i="5"/>
  <c r="K22" i="5"/>
  <c r="K26" i="5"/>
  <c r="K30" i="5"/>
  <c r="K34" i="5"/>
  <c r="K38" i="5"/>
  <c r="K42" i="5"/>
  <c r="K46" i="5"/>
  <c r="K50" i="5"/>
  <c r="K54" i="5"/>
  <c r="K58" i="5"/>
  <c r="K62" i="5"/>
  <c r="K66" i="5"/>
  <c r="K70" i="5"/>
  <c r="K74" i="5"/>
  <c r="K78" i="5"/>
  <c r="K82" i="5"/>
  <c r="K86" i="5"/>
  <c r="K90" i="5"/>
  <c r="K94" i="5"/>
  <c r="K98" i="5"/>
  <c r="K102" i="5"/>
  <c r="K106" i="5"/>
  <c r="K110" i="5"/>
  <c r="K114" i="5"/>
  <c r="K118" i="5"/>
  <c r="K122" i="5"/>
  <c r="K126" i="5"/>
  <c r="K130" i="5"/>
  <c r="K134" i="5"/>
  <c r="K138" i="5"/>
  <c r="K142" i="5"/>
  <c r="K146" i="5"/>
  <c r="K150" i="5"/>
  <c r="K154" i="5"/>
  <c r="K158" i="5"/>
  <c r="K162" i="5"/>
  <c r="K166" i="5"/>
  <c r="K170" i="5"/>
  <c r="K174" i="5"/>
  <c r="K178" i="5"/>
  <c r="K182" i="5"/>
  <c r="K186" i="5"/>
  <c r="K190" i="5"/>
  <c r="K194" i="5"/>
  <c r="K198" i="5"/>
  <c r="K202" i="5"/>
  <c r="K206" i="5"/>
  <c r="K210" i="5"/>
  <c r="K214" i="5"/>
  <c r="K218" i="5"/>
  <c r="K222" i="5"/>
  <c r="K226" i="5"/>
  <c r="K230" i="5"/>
  <c r="K234" i="5"/>
  <c r="K238" i="5"/>
  <c r="K242" i="5"/>
  <c r="K246" i="5"/>
  <c r="K250" i="5"/>
  <c r="K254" i="5"/>
  <c r="K258" i="5"/>
  <c r="K262" i="5"/>
  <c r="K266" i="5"/>
  <c r="K270" i="5"/>
  <c r="K274" i="5"/>
  <c r="K278" i="5"/>
  <c r="K282" i="5"/>
  <c r="K286" i="5"/>
  <c r="K290" i="5"/>
  <c r="K294" i="5"/>
  <c r="K298" i="5"/>
  <c r="K302" i="5"/>
  <c r="K306" i="5"/>
  <c r="K310" i="5"/>
  <c r="K314" i="5"/>
  <c r="K318" i="5"/>
  <c r="K322" i="5"/>
  <c r="K326" i="5"/>
  <c r="K330" i="5"/>
  <c r="K334" i="5"/>
  <c r="K338" i="5"/>
  <c r="K3" i="5"/>
  <c r="K7" i="5"/>
  <c r="K11" i="5"/>
  <c r="K15" i="5"/>
  <c r="K19" i="5"/>
  <c r="K23" i="5"/>
  <c r="K27" i="5"/>
  <c r="K31" i="5"/>
  <c r="K35" i="5"/>
  <c r="K39" i="5"/>
  <c r="K43" i="5"/>
  <c r="K47" i="5"/>
  <c r="K51" i="5"/>
  <c r="K55" i="5"/>
  <c r="K59" i="5"/>
  <c r="K63" i="5"/>
  <c r="K67" i="5"/>
  <c r="K71" i="5"/>
  <c r="K75" i="5"/>
  <c r="K79" i="5"/>
  <c r="K83" i="5"/>
  <c r="K87" i="5"/>
  <c r="K91" i="5"/>
  <c r="K95" i="5"/>
  <c r="K99" i="5"/>
  <c r="K103" i="5"/>
  <c r="K107" i="5"/>
  <c r="K111" i="5"/>
  <c r="K115" i="5"/>
  <c r="K119" i="5"/>
  <c r="K123" i="5"/>
  <c r="K127" i="5"/>
  <c r="K131" i="5"/>
  <c r="K135" i="5"/>
  <c r="K139" i="5"/>
  <c r="K143" i="5"/>
  <c r="K147" i="5"/>
  <c r="K151" i="5"/>
  <c r="K155" i="5"/>
  <c r="K159" i="5"/>
  <c r="K163" i="5"/>
  <c r="K167" i="5"/>
  <c r="K171" i="5"/>
  <c r="K175" i="5"/>
  <c r="K179" i="5"/>
  <c r="K183" i="5"/>
  <c r="K187" i="5"/>
  <c r="K191" i="5"/>
  <c r="K195" i="5"/>
  <c r="K199" i="5"/>
  <c r="K203" i="5"/>
  <c r="K207" i="5"/>
  <c r="K211" i="5"/>
  <c r="K215" i="5"/>
  <c r="K219" i="5"/>
  <c r="K223" i="5"/>
  <c r="K227" i="5"/>
  <c r="K231" i="5"/>
  <c r="K235" i="5"/>
  <c r="K239" i="5"/>
  <c r="K243" i="5"/>
  <c r="K247" i="5"/>
  <c r="K251" i="5"/>
  <c r="K255" i="5"/>
  <c r="K259" i="5"/>
  <c r="K263" i="5"/>
  <c r="K267" i="5"/>
  <c r="K271" i="5"/>
  <c r="K275" i="5"/>
  <c r="K279" i="5"/>
  <c r="K283" i="5"/>
  <c r="K287" i="5"/>
  <c r="K291" i="5"/>
  <c r="K295" i="5"/>
  <c r="K299" i="5"/>
  <c r="K303" i="5"/>
  <c r="K307" i="5"/>
  <c r="K311" i="5"/>
  <c r="K315" i="5"/>
  <c r="K319" i="5"/>
  <c r="K323" i="5"/>
  <c r="K327" i="5"/>
  <c r="K331" i="5"/>
  <c r="K4" i="5"/>
  <c r="K8" i="5"/>
  <c r="K12" i="5"/>
  <c r="K16" i="5"/>
  <c r="K20" i="5"/>
  <c r="K24" i="5"/>
  <c r="K28" i="5"/>
  <c r="K32" i="5"/>
  <c r="K36" i="5"/>
  <c r="K40" i="5"/>
  <c r="K44" i="5"/>
  <c r="K48" i="5"/>
  <c r="K52" i="5"/>
  <c r="K56" i="5"/>
  <c r="K60" i="5"/>
  <c r="K64" i="5"/>
  <c r="K68" i="5"/>
  <c r="K72" i="5"/>
  <c r="K76" i="5"/>
  <c r="K80" i="5"/>
  <c r="K84" i="5"/>
  <c r="K88" i="5"/>
  <c r="K92" i="5"/>
  <c r="K96" i="5"/>
  <c r="K100" i="5"/>
  <c r="K104" i="5"/>
  <c r="K108" i="5"/>
  <c r="K112" i="5"/>
  <c r="K116" i="5"/>
  <c r="K120" i="5"/>
  <c r="K124" i="5"/>
  <c r="K128" i="5"/>
  <c r="K132" i="5"/>
  <c r="K136" i="5"/>
  <c r="K140" i="5"/>
  <c r="K144" i="5"/>
  <c r="K148" i="5"/>
  <c r="K152" i="5"/>
  <c r="K156" i="5"/>
  <c r="K160" i="5"/>
  <c r="K164" i="5"/>
  <c r="K168" i="5"/>
  <c r="K172" i="5"/>
  <c r="K176" i="5"/>
  <c r="K180" i="5"/>
  <c r="K184" i="5"/>
  <c r="K188" i="5"/>
  <c r="K192" i="5"/>
  <c r="K196" i="5"/>
  <c r="K200" i="5"/>
  <c r="K204" i="5"/>
  <c r="K208" i="5"/>
  <c r="K212" i="5"/>
  <c r="K216" i="5"/>
  <c r="K220" i="5"/>
  <c r="K224" i="5"/>
  <c r="K228" i="5"/>
  <c r="K232" i="5"/>
  <c r="K236" i="5"/>
  <c r="K240" i="5"/>
  <c r="K244" i="5"/>
  <c r="K248" i="5"/>
  <c r="K252" i="5"/>
  <c r="K256" i="5"/>
  <c r="K260" i="5"/>
  <c r="K264" i="5"/>
  <c r="K268" i="5"/>
  <c r="K272" i="5"/>
  <c r="K276" i="5"/>
  <c r="K280" i="5"/>
  <c r="K284" i="5"/>
  <c r="K288" i="5"/>
  <c r="K292" i="5"/>
  <c r="K296" i="5"/>
  <c r="K300" i="5"/>
  <c r="K304" i="5"/>
  <c r="K308" i="5"/>
  <c r="K312" i="5"/>
  <c r="K316" i="5"/>
  <c r="K320" i="5"/>
  <c r="K324" i="5"/>
  <c r="K328" i="5"/>
  <c r="K332" i="5"/>
  <c r="K197" i="5"/>
  <c r="K9" i="5"/>
  <c r="K25" i="5"/>
  <c r="K41" i="5"/>
  <c r="K89" i="5"/>
  <c r="K137" i="5"/>
  <c r="K217" i="5"/>
  <c r="K313" i="5"/>
  <c r="K13" i="5"/>
  <c r="K29" i="5"/>
  <c r="K45" i="5"/>
  <c r="K61" i="5"/>
  <c r="K77" i="5"/>
  <c r="K93" i="5"/>
  <c r="K109" i="5"/>
  <c r="K125" i="5"/>
  <c r="K141" i="5"/>
  <c r="K157" i="5"/>
  <c r="K173" i="5"/>
  <c r="K189" i="5"/>
  <c r="K205" i="5"/>
  <c r="K221" i="5"/>
  <c r="K237" i="5"/>
  <c r="K253" i="5"/>
  <c r="K269" i="5"/>
  <c r="K285" i="5"/>
  <c r="K301" i="5"/>
  <c r="K317" i="5"/>
  <c r="K333" i="5"/>
  <c r="K339" i="5"/>
  <c r="K343" i="5"/>
  <c r="K347" i="5"/>
  <c r="K351" i="5"/>
  <c r="K355" i="5"/>
  <c r="K356" i="5"/>
  <c r="K21" i="5"/>
  <c r="K53" i="5"/>
  <c r="K85" i="5"/>
  <c r="K117" i="5"/>
  <c r="K149" i="5"/>
  <c r="K165" i="5"/>
  <c r="K213" i="5"/>
  <c r="K261" i="5"/>
  <c r="K293" i="5"/>
  <c r="K325" i="5"/>
  <c r="K341" i="5"/>
  <c r="K349" i="5"/>
  <c r="K357" i="5"/>
  <c r="K57" i="5"/>
  <c r="K105" i="5"/>
  <c r="K169" i="5"/>
  <c r="K201" i="5"/>
  <c r="K249" i="5"/>
  <c r="K281" i="5"/>
  <c r="K297" i="5"/>
  <c r="K337" i="5"/>
  <c r="K346" i="5"/>
  <c r="K354" i="5"/>
  <c r="K17" i="5"/>
  <c r="K33" i="5"/>
  <c r="K49" i="5"/>
  <c r="K65" i="5"/>
  <c r="K81" i="5"/>
  <c r="K97" i="5"/>
  <c r="K113" i="5"/>
  <c r="K129" i="5"/>
  <c r="K145" i="5"/>
  <c r="K161" i="5"/>
  <c r="K177" i="5"/>
  <c r="K193" i="5"/>
  <c r="K209" i="5"/>
  <c r="K225" i="5"/>
  <c r="K241" i="5"/>
  <c r="K257" i="5"/>
  <c r="K273" i="5"/>
  <c r="K289" i="5"/>
  <c r="K305" i="5"/>
  <c r="K321" i="5"/>
  <c r="K335" i="5"/>
  <c r="K340" i="5"/>
  <c r="K344" i="5"/>
  <c r="K348" i="5"/>
  <c r="K352" i="5"/>
  <c r="K5" i="5"/>
  <c r="K37" i="5"/>
  <c r="K69" i="5"/>
  <c r="K101" i="5"/>
  <c r="K133" i="5"/>
  <c r="K181" i="5"/>
  <c r="K229" i="5"/>
  <c r="K245" i="5"/>
  <c r="K277" i="5"/>
  <c r="K309" i="5"/>
  <c r="K336" i="5"/>
  <c r="K345" i="5"/>
  <c r="K353" i="5"/>
  <c r="K73" i="5"/>
  <c r="K121" i="5"/>
  <c r="K153" i="5"/>
  <c r="K185" i="5"/>
  <c r="K233" i="5"/>
  <c r="K265" i="5"/>
  <c r="K329" i="5"/>
  <c r="K342" i="5"/>
  <c r="K350" i="5"/>
  <c r="K358" i="5"/>
  <c r="J2" i="5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J66" i="5"/>
  <c r="J70" i="5"/>
  <c r="J74" i="5"/>
  <c r="J78" i="5"/>
  <c r="J82" i="5"/>
  <c r="J86" i="5"/>
  <c r="J90" i="5"/>
  <c r="J94" i="5"/>
  <c r="J98" i="5"/>
  <c r="J102" i="5"/>
  <c r="J106" i="5"/>
  <c r="J110" i="5"/>
  <c r="J114" i="5"/>
  <c r="J118" i="5"/>
  <c r="J122" i="5"/>
  <c r="J126" i="5"/>
  <c r="J130" i="5"/>
  <c r="J134" i="5"/>
  <c r="J138" i="5"/>
  <c r="J142" i="5"/>
  <c r="J146" i="5"/>
  <c r="J150" i="5"/>
  <c r="J154" i="5"/>
  <c r="J158" i="5"/>
  <c r="J162" i="5"/>
  <c r="J166" i="5"/>
  <c r="J170" i="5"/>
  <c r="J174" i="5"/>
  <c r="J178" i="5"/>
  <c r="J182" i="5"/>
  <c r="J186" i="5"/>
  <c r="J190" i="5"/>
  <c r="J194" i="5"/>
  <c r="J198" i="5"/>
  <c r="J202" i="5"/>
  <c r="J206" i="5"/>
  <c r="J210" i="5"/>
  <c r="J214" i="5"/>
  <c r="J218" i="5"/>
  <c r="J222" i="5"/>
  <c r="J226" i="5"/>
  <c r="J230" i="5"/>
  <c r="J234" i="5"/>
  <c r="J238" i="5"/>
  <c r="J242" i="5"/>
  <c r="J246" i="5"/>
  <c r="J250" i="5"/>
  <c r="J254" i="5"/>
  <c r="J258" i="5"/>
  <c r="J262" i="5"/>
  <c r="J266" i="5"/>
  <c r="J270" i="5"/>
  <c r="J274" i="5"/>
  <c r="J278" i="5"/>
  <c r="J282" i="5"/>
  <c r="J286" i="5"/>
  <c r="J290" i="5"/>
  <c r="J294" i="5"/>
  <c r="J298" i="5"/>
  <c r="J302" i="5"/>
  <c r="J306" i="5"/>
  <c r="J310" i="5"/>
  <c r="J314" i="5"/>
  <c r="J318" i="5"/>
  <c r="J322" i="5"/>
  <c r="J326" i="5"/>
  <c r="J330" i="5"/>
  <c r="J334" i="5"/>
  <c r="J338" i="5"/>
  <c r="J3" i="5"/>
  <c r="J7" i="5"/>
  <c r="J11" i="5"/>
  <c r="J15" i="5"/>
  <c r="J19" i="5"/>
  <c r="J23" i="5"/>
  <c r="J27" i="5"/>
  <c r="J31" i="5"/>
  <c r="J35" i="5"/>
  <c r="J39" i="5"/>
  <c r="J43" i="5"/>
  <c r="J47" i="5"/>
  <c r="J51" i="5"/>
  <c r="J55" i="5"/>
  <c r="J59" i="5"/>
  <c r="E58" i="5" s="1"/>
  <c r="J63" i="5"/>
  <c r="J67" i="5"/>
  <c r="J71" i="5"/>
  <c r="J75" i="5"/>
  <c r="J79" i="5"/>
  <c r="J83" i="5"/>
  <c r="J87" i="5"/>
  <c r="J91" i="5"/>
  <c r="J95" i="5"/>
  <c r="J99" i="5"/>
  <c r="J103" i="5"/>
  <c r="J107" i="5"/>
  <c r="J111" i="5"/>
  <c r="J115" i="5"/>
  <c r="J119" i="5"/>
  <c r="J123" i="5"/>
  <c r="J127" i="5"/>
  <c r="J131" i="5"/>
  <c r="J135" i="5"/>
  <c r="J139" i="5"/>
  <c r="J143" i="5"/>
  <c r="J147" i="5"/>
  <c r="J151" i="5"/>
  <c r="J155" i="5"/>
  <c r="J159" i="5"/>
  <c r="J163" i="5"/>
  <c r="J167" i="5"/>
  <c r="J171" i="5"/>
  <c r="J175" i="5"/>
  <c r="J179" i="5"/>
  <c r="J183" i="5"/>
  <c r="J187" i="5"/>
  <c r="J191" i="5"/>
  <c r="J195" i="5"/>
  <c r="J199" i="5"/>
  <c r="J203" i="5"/>
  <c r="J207" i="5"/>
  <c r="J211" i="5"/>
  <c r="J215" i="5"/>
  <c r="J219" i="5"/>
  <c r="J223" i="5"/>
  <c r="J227" i="5"/>
  <c r="J231" i="5"/>
  <c r="J235" i="5"/>
  <c r="J239" i="5"/>
  <c r="J243" i="5"/>
  <c r="J247" i="5"/>
  <c r="J251" i="5"/>
  <c r="J255" i="5"/>
  <c r="J259" i="5"/>
  <c r="J263" i="5"/>
  <c r="J267" i="5"/>
  <c r="J271" i="5"/>
  <c r="J275" i="5"/>
  <c r="J279" i="5"/>
  <c r="J283" i="5"/>
  <c r="J4" i="5"/>
  <c r="J8" i="5"/>
  <c r="J12" i="5"/>
  <c r="J16" i="5"/>
  <c r="J20" i="5"/>
  <c r="J24" i="5"/>
  <c r="J28" i="5"/>
  <c r="J32" i="5"/>
  <c r="J36" i="5"/>
  <c r="J40" i="5"/>
  <c r="E39" i="5" s="1"/>
  <c r="J44" i="5"/>
  <c r="J48" i="5"/>
  <c r="J52" i="5"/>
  <c r="J56" i="5"/>
  <c r="J60" i="5"/>
  <c r="J64" i="5"/>
  <c r="J68" i="5"/>
  <c r="J72" i="5"/>
  <c r="J76" i="5"/>
  <c r="J80" i="5"/>
  <c r="J84" i="5"/>
  <c r="J88" i="5"/>
  <c r="J92" i="5"/>
  <c r="J96" i="5"/>
  <c r="J100" i="5"/>
  <c r="J104" i="5"/>
  <c r="J108" i="5"/>
  <c r="J112" i="5"/>
  <c r="J116" i="5"/>
  <c r="J120" i="5"/>
  <c r="J124" i="5"/>
  <c r="J128" i="5"/>
  <c r="J132" i="5"/>
  <c r="J136" i="5"/>
  <c r="J140" i="5"/>
  <c r="J144" i="5"/>
  <c r="J148" i="5"/>
  <c r="J152" i="5"/>
  <c r="J156" i="5"/>
  <c r="J160" i="5"/>
  <c r="J164" i="5"/>
  <c r="J168" i="5"/>
  <c r="J172" i="5"/>
  <c r="J176" i="5"/>
  <c r="J180" i="5"/>
  <c r="J184" i="5"/>
  <c r="J188" i="5"/>
  <c r="J192" i="5"/>
  <c r="J196" i="5"/>
  <c r="J200" i="5"/>
  <c r="J204" i="5"/>
  <c r="J208" i="5"/>
  <c r="J212" i="5"/>
  <c r="J216" i="5"/>
  <c r="J220" i="5"/>
  <c r="J224" i="5"/>
  <c r="J228" i="5"/>
  <c r="J232" i="5"/>
  <c r="J236" i="5"/>
  <c r="J240" i="5"/>
  <c r="J244" i="5"/>
  <c r="J248" i="5"/>
  <c r="J252" i="5"/>
  <c r="J256" i="5"/>
  <c r="J260" i="5"/>
  <c r="J264" i="5"/>
  <c r="J268" i="5"/>
  <c r="J272" i="5"/>
  <c r="J276" i="5"/>
  <c r="J280" i="5"/>
  <c r="J284" i="5"/>
  <c r="J288" i="5"/>
  <c r="J292" i="5"/>
  <c r="J296" i="5"/>
  <c r="J300" i="5"/>
  <c r="J304" i="5"/>
  <c r="J308" i="5"/>
  <c r="J312" i="5"/>
  <c r="J316" i="5"/>
  <c r="J320" i="5"/>
  <c r="J324" i="5"/>
  <c r="J328" i="5"/>
  <c r="J332" i="5"/>
  <c r="J336" i="5"/>
  <c r="J340" i="5"/>
  <c r="J21" i="5"/>
  <c r="J117" i="5"/>
  <c r="J181" i="5"/>
  <c r="J245" i="5"/>
  <c r="J305" i="5"/>
  <c r="J9" i="5"/>
  <c r="J25" i="5"/>
  <c r="J41" i="5"/>
  <c r="J57" i="5"/>
  <c r="J73" i="5"/>
  <c r="J89" i="5"/>
  <c r="J105" i="5"/>
  <c r="J121" i="5"/>
  <c r="J137" i="5"/>
  <c r="J153" i="5"/>
  <c r="J169" i="5"/>
  <c r="J185" i="5"/>
  <c r="J201" i="5"/>
  <c r="J217" i="5"/>
  <c r="J233" i="5"/>
  <c r="J249" i="5"/>
  <c r="J265" i="5"/>
  <c r="J281" i="5"/>
  <c r="J291" i="5"/>
  <c r="J299" i="5"/>
  <c r="J307" i="5"/>
  <c r="J315" i="5"/>
  <c r="J323" i="5"/>
  <c r="J331" i="5"/>
  <c r="J339" i="5"/>
  <c r="J344" i="5"/>
  <c r="J348" i="5"/>
  <c r="J352" i="5"/>
  <c r="J356" i="5"/>
  <c r="J13" i="5"/>
  <c r="J29" i="5"/>
  <c r="J45" i="5"/>
  <c r="J61" i="5"/>
  <c r="J77" i="5"/>
  <c r="J93" i="5"/>
  <c r="J109" i="5"/>
  <c r="J125" i="5"/>
  <c r="J141" i="5"/>
  <c r="J157" i="5"/>
  <c r="J173" i="5"/>
  <c r="J189" i="5"/>
  <c r="J205" i="5"/>
  <c r="J221" i="5"/>
  <c r="J237" i="5"/>
  <c r="J253" i="5"/>
  <c r="J285" i="5"/>
  <c r="J293" i="5"/>
  <c r="J301" i="5"/>
  <c r="J309" i="5"/>
  <c r="J317" i="5"/>
  <c r="J325" i="5"/>
  <c r="J333" i="5"/>
  <c r="J341" i="5"/>
  <c r="J345" i="5"/>
  <c r="J349" i="5"/>
  <c r="J353" i="5"/>
  <c r="J357" i="5"/>
  <c r="J213" i="5"/>
  <c r="J277" i="5"/>
  <c r="J297" i="5"/>
  <c r="J321" i="5"/>
  <c r="J337" i="5"/>
  <c r="J343" i="5"/>
  <c r="J355" i="5"/>
  <c r="J269" i="5"/>
  <c r="J17" i="5"/>
  <c r="J33" i="5"/>
  <c r="J49" i="5"/>
  <c r="J65" i="5"/>
  <c r="J81" i="5"/>
  <c r="J97" i="5"/>
  <c r="J113" i="5"/>
  <c r="J129" i="5"/>
  <c r="J145" i="5"/>
  <c r="J161" i="5"/>
  <c r="J177" i="5"/>
  <c r="J193" i="5"/>
  <c r="J209" i="5"/>
  <c r="J225" i="5"/>
  <c r="J241" i="5"/>
  <c r="J257" i="5"/>
  <c r="J273" i="5"/>
  <c r="J287" i="5"/>
  <c r="J295" i="5"/>
  <c r="J303" i="5"/>
  <c r="J311" i="5"/>
  <c r="J319" i="5"/>
  <c r="J327" i="5"/>
  <c r="J335" i="5"/>
  <c r="J342" i="5"/>
  <c r="J346" i="5"/>
  <c r="J350" i="5"/>
  <c r="J354" i="5"/>
  <c r="J358" i="5"/>
  <c r="J5" i="5"/>
  <c r="J37" i="5"/>
  <c r="J53" i="5"/>
  <c r="J69" i="5"/>
  <c r="J85" i="5"/>
  <c r="E85" i="5" s="1"/>
  <c r="J101" i="5"/>
  <c r="J133" i="5"/>
  <c r="J149" i="5"/>
  <c r="J165" i="5"/>
  <c r="J197" i="5"/>
  <c r="J229" i="5"/>
  <c r="J261" i="5"/>
  <c r="J289" i="5"/>
  <c r="J313" i="5"/>
  <c r="J329" i="5"/>
  <c r="J347" i="5"/>
  <c r="J351" i="5"/>
  <c r="I2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14" i="5"/>
  <c r="I118" i="5"/>
  <c r="I122" i="5"/>
  <c r="I126" i="5"/>
  <c r="I130" i="5"/>
  <c r="I134" i="5"/>
  <c r="I138" i="5"/>
  <c r="I142" i="5"/>
  <c r="I146" i="5"/>
  <c r="I150" i="5"/>
  <c r="I154" i="5"/>
  <c r="I158" i="5"/>
  <c r="I162" i="5"/>
  <c r="I166" i="5"/>
  <c r="I170" i="5"/>
  <c r="I174" i="5"/>
  <c r="I178" i="5"/>
  <c r="I182" i="5"/>
  <c r="I186" i="5"/>
  <c r="I190" i="5"/>
  <c r="I194" i="5"/>
  <c r="I198" i="5"/>
  <c r="I202" i="5"/>
  <c r="I206" i="5"/>
  <c r="I210" i="5"/>
  <c r="I214" i="5"/>
  <c r="I218" i="5"/>
  <c r="I222" i="5"/>
  <c r="I226" i="5"/>
  <c r="I230" i="5"/>
  <c r="I234" i="5"/>
  <c r="I238" i="5"/>
  <c r="I242" i="5"/>
  <c r="I246" i="5"/>
  <c r="I250" i="5"/>
  <c r="I254" i="5"/>
  <c r="I258" i="5"/>
  <c r="I262" i="5"/>
  <c r="I266" i="5"/>
  <c r="I270" i="5"/>
  <c r="I274" i="5"/>
  <c r="I278" i="5"/>
  <c r="I282" i="5"/>
  <c r="I286" i="5"/>
  <c r="I290" i="5"/>
  <c r="I294" i="5"/>
  <c r="I298" i="5"/>
  <c r="I302" i="5"/>
  <c r="I306" i="5"/>
  <c r="I310" i="5"/>
  <c r="I314" i="5"/>
  <c r="I318" i="5"/>
  <c r="I322" i="5"/>
  <c r="I326" i="5"/>
  <c r="I330" i="5"/>
  <c r="I334" i="5"/>
  <c r="I338" i="5"/>
  <c r="I3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276" i="5"/>
  <c r="I280" i="5"/>
  <c r="I284" i="5"/>
  <c r="I288" i="5"/>
  <c r="I292" i="5"/>
  <c r="I296" i="5"/>
  <c r="I300" i="5"/>
  <c r="I304" i="5"/>
  <c r="I308" i="5"/>
  <c r="I312" i="5"/>
  <c r="I316" i="5"/>
  <c r="I320" i="5"/>
  <c r="I324" i="5"/>
  <c r="I328" i="5"/>
  <c r="I332" i="5"/>
  <c r="I336" i="5"/>
  <c r="I340" i="5"/>
  <c r="I5" i="5"/>
  <c r="I13" i="5"/>
  <c r="I21" i="5"/>
  <c r="I29" i="5"/>
  <c r="I37" i="5"/>
  <c r="I45" i="5"/>
  <c r="I53" i="5"/>
  <c r="I61" i="5"/>
  <c r="I69" i="5"/>
  <c r="I77" i="5"/>
  <c r="I85" i="5"/>
  <c r="I93" i="5"/>
  <c r="I101" i="5"/>
  <c r="I109" i="5"/>
  <c r="I117" i="5"/>
  <c r="I125" i="5"/>
  <c r="I133" i="5"/>
  <c r="I141" i="5"/>
  <c r="I149" i="5"/>
  <c r="I157" i="5"/>
  <c r="I165" i="5"/>
  <c r="I173" i="5"/>
  <c r="I181" i="5"/>
  <c r="I189" i="5"/>
  <c r="I197" i="5"/>
  <c r="I205" i="5"/>
  <c r="I213" i="5"/>
  <c r="I221" i="5"/>
  <c r="I229" i="5"/>
  <c r="I237" i="5"/>
  <c r="I245" i="5"/>
  <c r="I253" i="5"/>
  <c r="I261" i="5"/>
  <c r="I269" i="5"/>
  <c r="I277" i="5"/>
  <c r="I285" i="5"/>
  <c r="I293" i="5"/>
  <c r="I301" i="5"/>
  <c r="I309" i="5"/>
  <c r="I317" i="5"/>
  <c r="I325" i="5"/>
  <c r="I333" i="5"/>
  <c r="I341" i="5"/>
  <c r="I345" i="5"/>
  <c r="I349" i="5"/>
  <c r="I353" i="5"/>
  <c r="I357" i="5"/>
  <c r="I23" i="5"/>
  <c r="I71" i="5"/>
  <c r="I87" i="5"/>
  <c r="I103" i="5"/>
  <c r="I119" i="5"/>
  <c r="I127" i="5"/>
  <c r="I143" i="5"/>
  <c r="I151" i="5"/>
  <c r="I167" i="5"/>
  <c r="I183" i="5"/>
  <c r="I199" i="5"/>
  <c r="I207" i="5"/>
  <c r="I223" i="5"/>
  <c r="I231" i="5"/>
  <c r="I247" i="5"/>
  <c r="I263" i="5"/>
  <c r="I279" i="5"/>
  <c r="I287" i="5"/>
  <c r="I303" i="5"/>
  <c r="I311" i="5"/>
  <c r="I327" i="5"/>
  <c r="I342" i="5"/>
  <c r="I346" i="5"/>
  <c r="I354" i="5"/>
  <c r="I7" i="5"/>
  <c r="I15" i="5"/>
  <c r="I31" i="5"/>
  <c r="I39" i="5"/>
  <c r="I47" i="5"/>
  <c r="I55" i="5"/>
  <c r="I63" i="5"/>
  <c r="I79" i="5"/>
  <c r="I95" i="5"/>
  <c r="I111" i="5"/>
  <c r="I135" i="5"/>
  <c r="I159" i="5"/>
  <c r="I175" i="5"/>
  <c r="I191" i="5"/>
  <c r="I215" i="5"/>
  <c r="I239" i="5"/>
  <c r="I255" i="5"/>
  <c r="I271" i="5"/>
  <c r="I295" i="5"/>
  <c r="I319" i="5"/>
  <c r="I335" i="5"/>
  <c r="I350" i="5"/>
  <c r="I9" i="5"/>
  <c r="I17" i="5"/>
  <c r="I25" i="5"/>
  <c r="I33" i="5"/>
  <c r="I41" i="5"/>
  <c r="I49" i="5"/>
  <c r="I57" i="5"/>
  <c r="I65" i="5"/>
  <c r="I73" i="5"/>
  <c r="I81" i="5"/>
  <c r="I89" i="5"/>
  <c r="I97" i="5"/>
  <c r="I105" i="5"/>
  <c r="I113" i="5"/>
  <c r="I121" i="5"/>
  <c r="I129" i="5"/>
  <c r="I137" i="5"/>
  <c r="I145" i="5"/>
  <c r="I153" i="5"/>
  <c r="I161" i="5"/>
  <c r="I169" i="5"/>
  <c r="I177" i="5"/>
  <c r="I185" i="5"/>
  <c r="I193" i="5"/>
  <c r="I201" i="5"/>
  <c r="I209" i="5"/>
  <c r="I217" i="5"/>
  <c r="I225" i="5"/>
  <c r="I233" i="5"/>
  <c r="I241" i="5"/>
  <c r="I249" i="5"/>
  <c r="I257" i="5"/>
  <c r="I265" i="5"/>
  <c r="I273" i="5"/>
  <c r="I281" i="5"/>
  <c r="I289" i="5"/>
  <c r="I297" i="5"/>
  <c r="I305" i="5"/>
  <c r="I313" i="5"/>
  <c r="I321" i="5"/>
  <c r="I329" i="5"/>
  <c r="I337" i="5"/>
  <c r="I343" i="5"/>
  <c r="I347" i="5"/>
  <c r="I351" i="5"/>
  <c r="I355" i="5"/>
  <c r="I358" i="5"/>
  <c r="I11" i="5"/>
  <c r="I19" i="5"/>
  <c r="I27" i="5"/>
  <c r="I35" i="5"/>
  <c r="I43" i="5"/>
  <c r="I51" i="5"/>
  <c r="I59" i="5"/>
  <c r="I67" i="5"/>
  <c r="I75" i="5"/>
  <c r="I83" i="5"/>
  <c r="I91" i="5"/>
  <c r="I99" i="5"/>
  <c r="I107" i="5"/>
  <c r="I115" i="5"/>
  <c r="I123" i="5"/>
  <c r="I131" i="5"/>
  <c r="I139" i="5"/>
  <c r="I147" i="5"/>
  <c r="I155" i="5"/>
  <c r="I163" i="5"/>
  <c r="I171" i="5"/>
  <c r="I179" i="5"/>
  <c r="I187" i="5"/>
  <c r="I195" i="5"/>
  <c r="I203" i="5"/>
  <c r="I211" i="5"/>
  <c r="I219" i="5"/>
  <c r="I227" i="5"/>
  <c r="I235" i="5"/>
  <c r="I243" i="5"/>
  <c r="I251" i="5"/>
  <c r="I259" i="5"/>
  <c r="I267" i="5"/>
  <c r="I275" i="5"/>
  <c r="I283" i="5"/>
  <c r="I291" i="5"/>
  <c r="I299" i="5"/>
  <c r="I307" i="5"/>
  <c r="I315" i="5"/>
  <c r="I323" i="5"/>
  <c r="I331" i="5"/>
  <c r="I339" i="5"/>
  <c r="I344" i="5"/>
  <c r="I348" i="5"/>
  <c r="I352" i="5"/>
  <c r="I356" i="5"/>
  <c r="H5" i="5"/>
  <c r="H9" i="5"/>
  <c r="H13" i="5"/>
  <c r="H17" i="5"/>
  <c r="H21" i="5"/>
  <c r="H25" i="5"/>
  <c r="H29" i="5"/>
  <c r="H33" i="5"/>
  <c r="H37" i="5"/>
  <c r="H41" i="5"/>
  <c r="H45" i="5"/>
  <c r="H49" i="5"/>
  <c r="H53" i="5"/>
  <c r="H57" i="5"/>
  <c r="H61" i="5"/>
  <c r="H65" i="5"/>
  <c r="H69" i="5"/>
  <c r="H73" i="5"/>
  <c r="H77" i="5"/>
  <c r="H81" i="5"/>
  <c r="H85" i="5"/>
  <c r="H89" i="5"/>
  <c r="H93" i="5"/>
  <c r="H97" i="5"/>
  <c r="H101" i="5"/>
  <c r="H105" i="5"/>
  <c r="H109" i="5"/>
  <c r="H113" i="5"/>
  <c r="H117" i="5"/>
  <c r="H121" i="5"/>
  <c r="H125" i="5"/>
  <c r="H129" i="5"/>
  <c r="H133" i="5"/>
  <c r="H137" i="5"/>
  <c r="H141" i="5"/>
  <c r="H145" i="5"/>
  <c r="H149" i="5"/>
  <c r="H153" i="5"/>
  <c r="H157" i="5"/>
  <c r="H161" i="5"/>
  <c r="H165" i="5"/>
  <c r="H169" i="5"/>
  <c r="H173" i="5"/>
  <c r="H177" i="5"/>
  <c r="H181" i="5"/>
  <c r="H185" i="5"/>
  <c r="H189" i="5"/>
  <c r="H193" i="5"/>
  <c r="H197" i="5"/>
  <c r="H201" i="5"/>
  <c r="H205" i="5"/>
  <c r="H209" i="5"/>
  <c r="H213" i="5"/>
  <c r="H217" i="5"/>
  <c r="H221" i="5"/>
  <c r="H225" i="5"/>
  <c r="H229" i="5"/>
  <c r="H233" i="5"/>
  <c r="H237" i="5"/>
  <c r="H241" i="5"/>
  <c r="H245" i="5"/>
  <c r="H249" i="5"/>
  <c r="H253" i="5"/>
  <c r="H257" i="5"/>
  <c r="H261" i="5"/>
  <c r="H265" i="5"/>
  <c r="H269" i="5"/>
  <c r="H273" i="5"/>
  <c r="H277" i="5"/>
  <c r="H281" i="5"/>
  <c r="H285" i="5"/>
  <c r="H289" i="5"/>
  <c r="H293" i="5"/>
  <c r="H297" i="5"/>
  <c r="H301" i="5"/>
  <c r="H305" i="5"/>
  <c r="H309" i="5"/>
  <c r="H313" i="5"/>
  <c r="H317" i="5"/>
  <c r="H321" i="5"/>
  <c r="H325" i="5"/>
  <c r="H329" i="5"/>
  <c r="H333" i="5"/>
  <c r="H337" i="5"/>
  <c r="H2" i="5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14" i="5"/>
  <c r="H118" i="5"/>
  <c r="H122" i="5"/>
  <c r="H126" i="5"/>
  <c r="H130" i="5"/>
  <c r="H134" i="5"/>
  <c r="H138" i="5"/>
  <c r="H142" i="5"/>
  <c r="H146" i="5"/>
  <c r="H150" i="5"/>
  <c r="H154" i="5"/>
  <c r="H158" i="5"/>
  <c r="H162" i="5"/>
  <c r="H166" i="5"/>
  <c r="H170" i="5"/>
  <c r="H174" i="5"/>
  <c r="H178" i="5"/>
  <c r="H182" i="5"/>
  <c r="H186" i="5"/>
  <c r="H190" i="5"/>
  <c r="H194" i="5"/>
  <c r="H198" i="5"/>
  <c r="H202" i="5"/>
  <c r="H206" i="5"/>
  <c r="H210" i="5"/>
  <c r="H214" i="5"/>
  <c r="H218" i="5"/>
  <c r="H222" i="5"/>
  <c r="H226" i="5"/>
  <c r="H230" i="5"/>
  <c r="H234" i="5"/>
  <c r="H238" i="5"/>
  <c r="H242" i="5"/>
  <c r="H246" i="5"/>
  <c r="H250" i="5"/>
  <c r="H254" i="5"/>
  <c r="H258" i="5"/>
  <c r="H262" i="5"/>
  <c r="H266" i="5"/>
  <c r="H270" i="5"/>
  <c r="H274" i="5"/>
  <c r="H278" i="5"/>
  <c r="H282" i="5"/>
  <c r="H286" i="5"/>
  <c r="H290" i="5"/>
  <c r="H294" i="5"/>
  <c r="H298" i="5"/>
  <c r="H302" i="5"/>
  <c r="H306" i="5"/>
  <c r="H310" i="5"/>
  <c r="H314" i="5"/>
  <c r="H318" i="5"/>
  <c r="H322" i="5"/>
  <c r="H326" i="5"/>
  <c r="H330" i="5"/>
  <c r="H3" i="5"/>
  <c r="H11" i="5"/>
  <c r="H19" i="5"/>
  <c r="H27" i="5"/>
  <c r="H35" i="5"/>
  <c r="H43" i="5"/>
  <c r="H51" i="5"/>
  <c r="H59" i="5"/>
  <c r="H67" i="5"/>
  <c r="H75" i="5"/>
  <c r="H83" i="5"/>
  <c r="H91" i="5"/>
  <c r="H99" i="5"/>
  <c r="H107" i="5"/>
  <c r="H115" i="5"/>
  <c r="H123" i="5"/>
  <c r="C123" i="5" s="1"/>
  <c r="H131" i="5"/>
  <c r="H139" i="5"/>
  <c r="H147" i="5"/>
  <c r="H155" i="5"/>
  <c r="H163" i="5"/>
  <c r="H171" i="5"/>
  <c r="H179" i="5"/>
  <c r="H187" i="5"/>
  <c r="H195" i="5"/>
  <c r="H203" i="5"/>
  <c r="H211" i="5"/>
  <c r="H219" i="5"/>
  <c r="H227" i="5"/>
  <c r="H235" i="5"/>
  <c r="H243" i="5"/>
  <c r="H251" i="5"/>
  <c r="H259" i="5"/>
  <c r="H267" i="5"/>
  <c r="H275" i="5"/>
  <c r="H283" i="5"/>
  <c r="H291" i="5"/>
  <c r="H299" i="5"/>
  <c r="H307" i="5"/>
  <c r="H315" i="5"/>
  <c r="H323" i="5"/>
  <c r="H331" i="5"/>
  <c r="H336" i="5"/>
  <c r="H341" i="5"/>
  <c r="H345" i="5"/>
  <c r="H349" i="5"/>
  <c r="H353" i="5"/>
  <c r="H357" i="5"/>
  <c r="H300" i="5"/>
  <c r="H324" i="5"/>
  <c r="H338" i="5"/>
  <c r="H346" i="5"/>
  <c r="H350" i="5"/>
  <c r="H358" i="5"/>
  <c r="H352" i="5"/>
  <c r="H4" i="5"/>
  <c r="H12" i="5"/>
  <c r="H20" i="5"/>
  <c r="H28" i="5"/>
  <c r="H36" i="5"/>
  <c r="H44" i="5"/>
  <c r="C43" i="5" s="1"/>
  <c r="H52" i="5"/>
  <c r="H60" i="5"/>
  <c r="H68" i="5"/>
  <c r="H76" i="5"/>
  <c r="H84" i="5"/>
  <c r="H92" i="5"/>
  <c r="H100" i="5"/>
  <c r="H108" i="5"/>
  <c r="H116" i="5"/>
  <c r="H124" i="5"/>
  <c r="H132" i="5"/>
  <c r="H140" i="5"/>
  <c r="H148" i="5"/>
  <c r="H156" i="5"/>
  <c r="H164" i="5"/>
  <c r="H172" i="5"/>
  <c r="H180" i="5"/>
  <c r="H188" i="5"/>
  <c r="H196" i="5"/>
  <c r="H204" i="5"/>
  <c r="H212" i="5"/>
  <c r="H220" i="5"/>
  <c r="H228" i="5"/>
  <c r="H236" i="5"/>
  <c r="H244" i="5"/>
  <c r="H252" i="5"/>
  <c r="H260" i="5"/>
  <c r="H268" i="5"/>
  <c r="H276" i="5"/>
  <c r="H284" i="5"/>
  <c r="H292" i="5"/>
  <c r="H308" i="5"/>
  <c r="H316" i="5"/>
  <c r="H332" i="5"/>
  <c r="H342" i="5"/>
  <c r="H354" i="5"/>
  <c r="H7" i="5"/>
  <c r="H15" i="5"/>
  <c r="H23" i="5"/>
  <c r="H31" i="5"/>
  <c r="H39" i="5"/>
  <c r="H47" i="5"/>
  <c r="H55" i="5"/>
  <c r="H63" i="5"/>
  <c r="H71" i="5"/>
  <c r="H79" i="5"/>
  <c r="H87" i="5"/>
  <c r="H95" i="5"/>
  <c r="H103" i="5"/>
  <c r="H111" i="5"/>
  <c r="H119" i="5"/>
  <c r="H127" i="5"/>
  <c r="H135" i="5"/>
  <c r="H143" i="5"/>
  <c r="H151" i="5"/>
  <c r="H159" i="5"/>
  <c r="H167" i="5"/>
  <c r="H175" i="5"/>
  <c r="H183" i="5"/>
  <c r="H191" i="5"/>
  <c r="H199" i="5"/>
  <c r="H207" i="5"/>
  <c r="H215" i="5"/>
  <c r="H223" i="5"/>
  <c r="H231" i="5"/>
  <c r="H239" i="5"/>
  <c r="H247" i="5"/>
  <c r="H255" i="5"/>
  <c r="H263" i="5"/>
  <c r="H271" i="5"/>
  <c r="H279" i="5"/>
  <c r="H287" i="5"/>
  <c r="H295" i="5"/>
  <c r="H303" i="5"/>
  <c r="H311" i="5"/>
  <c r="H319" i="5"/>
  <c r="H327" i="5"/>
  <c r="H334" i="5"/>
  <c r="H339" i="5"/>
  <c r="H343" i="5"/>
  <c r="H347" i="5"/>
  <c r="H351" i="5"/>
  <c r="H355" i="5"/>
  <c r="H280" i="5"/>
  <c r="H304" i="5"/>
  <c r="H320" i="5"/>
  <c r="H328" i="5"/>
  <c r="H340" i="5"/>
  <c r="H344" i="5"/>
  <c r="H356" i="5"/>
  <c r="H8" i="5"/>
  <c r="H16" i="5"/>
  <c r="H24" i="5"/>
  <c r="H32" i="5"/>
  <c r="H40" i="5"/>
  <c r="H48" i="5"/>
  <c r="H56" i="5"/>
  <c r="H64" i="5"/>
  <c r="H72" i="5"/>
  <c r="H80" i="5"/>
  <c r="H88" i="5"/>
  <c r="H96" i="5"/>
  <c r="H104" i="5"/>
  <c r="H112" i="5"/>
  <c r="H120" i="5"/>
  <c r="H128" i="5"/>
  <c r="H136" i="5"/>
  <c r="H144" i="5"/>
  <c r="H152" i="5"/>
  <c r="H160" i="5"/>
  <c r="H168" i="5"/>
  <c r="H176" i="5"/>
  <c r="H184" i="5"/>
  <c r="H192" i="5"/>
  <c r="H200" i="5"/>
  <c r="H208" i="5"/>
  <c r="H216" i="5"/>
  <c r="H224" i="5"/>
  <c r="H232" i="5"/>
  <c r="H240" i="5"/>
  <c r="H248" i="5"/>
  <c r="H256" i="5"/>
  <c r="H264" i="5"/>
  <c r="H272" i="5"/>
  <c r="H288" i="5"/>
  <c r="H296" i="5"/>
  <c r="H312" i="5"/>
  <c r="H335" i="5"/>
  <c r="H348" i="5"/>
  <c r="G2" i="5"/>
  <c r="G6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G98" i="5"/>
  <c r="G102" i="5"/>
  <c r="G106" i="5"/>
  <c r="G110" i="5"/>
  <c r="G114" i="5"/>
  <c r="G118" i="5"/>
  <c r="G122" i="5"/>
  <c r="G126" i="5"/>
  <c r="G130" i="5"/>
  <c r="G134" i="5"/>
  <c r="G138" i="5"/>
  <c r="G142" i="5"/>
  <c r="G146" i="5"/>
  <c r="G150" i="5"/>
  <c r="G154" i="5"/>
  <c r="G158" i="5"/>
  <c r="G162" i="5"/>
  <c r="G166" i="5"/>
  <c r="G170" i="5"/>
  <c r="G174" i="5"/>
  <c r="G178" i="5"/>
  <c r="G182" i="5"/>
  <c r="G186" i="5"/>
  <c r="G190" i="5"/>
  <c r="G194" i="5"/>
  <c r="G198" i="5"/>
  <c r="G202" i="5"/>
  <c r="G206" i="5"/>
  <c r="G210" i="5"/>
  <c r="G214" i="5"/>
  <c r="G218" i="5"/>
  <c r="G222" i="5"/>
  <c r="G226" i="5"/>
  <c r="G230" i="5"/>
  <c r="G234" i="5"/>
  <c r="G238" i="5"/>
  <c r="G242" i="5"/>
  <c r="G246" i="5"/>
  <c r="G250" i="5"/>
  <c r="G254" i="5"/>
  <c r="G258" i="5"/>
  <c r="G262" i="5"/>
  <c r="G266" i="5"/>
  <c r="G270" i="5"/>
  <c r="G274" i="5"/>
  <c r="G278" i="5"/>
  <c r="G282" i="5"/>
  <c r="G286" i="5"/>
  <c r="G290" i="5"/>
  <c r="G294" i="5"/>
  <c r="G298" i="5"/>
  <c r="G302" i="5"/>
  <c r="G306" i="5"/>
  <c r="G310" i="5"/>
  <c r="G314" i="5"/>
  <c r="G318" i="5"/>
  <c r="G322" i="5"/>
  <c r="G326" i="5"/>
  <c r="G330" i="5"/>
  <c r="G334" i="5"/>
  <c r="G3" i="5"/>
  <c r="G7" i="5"/>
  <c r="G11" i="5"/>
  <c r="G15" i="5"/>
  <c r="G19" i="5"/>
  <c r="G23" i="5"/>
  <c r="G27" i="5"/>
  <c r="G31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G99" i="5"/>
  <c r="G103" i="5"/>
  <c r="G107" i="5"/>
  <c r="G111" i="5"/>
  <c r="G115" i="5"/>
  <c r="G119" i="5"/>
  <c r="G123" i="5"/>
  <c r="G127" i="5"/>
  <c r="G131" i="5"/>
  <c r="G135" i="5"/>
  <c r="G139" i="5"/>
  <c r="G143" i="5"/>
  <c r="G147" i="5"/>
  <c r="G151" i="5"/>
  <c r="G155" i="5"/>
  <c r="G159" i="5"/>
  <c r="G163" i="5"/>
  <c r="G167" i="5"/>
  <c r="G171" i="5"/>
  <c r="G175" i="5"/>
  <c r="G179" i="5"/>
  <c r="G183" i="5"/>
  <c r="G187" i="5"/>
  <c r="G191" i="5"/>
  <c r="G195" i="5"/>
  <c r="G199" i="5"/>
  <c r="G203" i="5"/>
  <c r="G207" i="5"/>
  <c r="G211" i="5"/>
  <c r="G215" i="5"/>
  <c r="G219" i="5"/>
  <c r="G223" i="5"/>
  <c r="G227" i="5"/>
  <c r="G231" i="5"/>
  <c r="G235" i="5"/>
  <c r="G239" i="5"/>
  <c r="G243" i="5"/>
  <c r="G247" i="5"/>
  <c r="G251" i="5"/>
  <c r="G255" i="5"/>
  <c r="G259" i="5"/>
  <c r="G263" i="5"/>
  <c r="G267" i="5"/>
  <c r="G271" i="5"/>
  <c r="G275" i="5"/>
  <c r="G279" i="5"/>
  <c r="G283" i="5"/>
  <c r="G287" i="5"/>
  <c r="G291" i="5"/>
  <c r="G295" i="5"/>
  <c r="G299" i="5"/>
  <c r="G303" i="5"/>
  <c r="G307" i="5"/>
  <c r="G311" i="5"/>
  <c r="G315" i="5"/>
  <c r="G319" i="5"/>
  <c r="G323" i="5"/>
  <c r="G327" i="5"/>
  <c r="G331" i="5"/>
  <c r="G335" i="5"/>
  <c r="G339" i="5"/>
  <c r="G4" i="5"/>
  <c r="G8" i="5"/>
  <c r="G12" i="5"/>
  <c r="G16" i="5"/>
  <c r="G20" i="5"/>
  <c r="G24" i="5"/>
  <c r="G28" i="5"/>
  <c r="G32" i="5"/>
  <c r="G36" i="5"/>
  <c r="G40" i="5"/>
  <c r="G44" i="5"/>
  <c r="G48" i="5"/>
  <c r="G52" i="5"/>
  <c r="G56" i="5"/>
  <c r="G60" i="5"/>
  <c r="G64" i="5"/>
  <c r="G68" i="5"/>
  <c r="G72" i="5"/>
  <c r="G76" i="5"/>
  <c r="G80" i="5"/>
  <c r="G84" i="5"/>
  <c r="G88" i="5"/>
  <c r="G92" i="5"/>
  <c r="G96" i="5"/>
  <c r="G100" i="5"/>
  <c r="G104" i="5"/>
  <c r="G108" i="5"/>
  <c r="G112" i="5"/>
  <c r="G116" i="5"/>
  <c r="G120" i="5"/>
  <c r="G124" i="5"/>
  <c r="G128" i="5"/>
  <c r="G132" i="5"/>
  <c r="G136" i="5"/>
  <c r="G140" i="5"/>
  <c r="G144" i="5"/>
  <c r="G148" i="5"/>
  <c r="G152" i="5"/>
  <c r="G156" i="5"/>
  <c r="G160" i="5"/>
  <c r="G164" i="5"/>
  <c r="G168" i="5"/>
  <c r="G172" i="5"/>
  <c r="G176" i="5"/>
  <c r="G180" i="5"/>
  <c r="B179" i="5" s="1"/>
  <c r="G184" i="5"/>
  <c r="G188" i="5"/>
  <c r="G192" i="5"/>
  <c r="G196" i="5"/>
  <c r="G200" i="5"/>
  <c r="G204" i="5"/>
  <c r="G208" i="5"/>
  <c r="G212" i="5"/>
  <c r="G216" i="5"/>
  <c r="G220" i="5"/>
  <c r="G224" i="5"/>
  <c r="G228" i="5"/>
  <c r="G232" i="5"/>
  <c r="G236" i="5"/>
  <c r="G240" i="5"/>
  <c r="G244" i="5"/>
  <c r="G248" i="5"/>
  <c r="G252" i="5"/>
  <c r="G256" i="5"/>
  <c r="G260" i="5"/>
  <c r="G264" i="5"/>
  <c r="G268" i="5"/>
  <c r="G272" i="5"/>
  <c r="G276" i="5"/>
  <c r="G280" i="5"/>
  <c r="G284" i="5"/>
  <c r="G288" i="5"/>
  <c r="G292" i="5"/>
  <c r="G296" i="5"/>
  <c r="G300" i="5"/>
  <c r="G304" i="5"/>
  <c r="G308" i="5"/>
  <c r="G312" i="5"/>
  <c r="G316" i="5"/>
  <c r="G320" i="5"/>
  <c r="G324" i="5"/>
  <c r="G328" i="5"/>
  <c r="G332" i="5"/>
  <c r="G336" i="5"/>
  <c r="G5" i="5"/>
  <c r="G21" i="5"/>
  <c r="G37" i="5"/>
  <c r="G53" i="5"/>
  <c r="G69" i="5"/>
  <c r="G85" i="5"/>
  <c r="G101" i="5"/>
  <c r="G117" i="5"/>
  <c r="G133" i="5"/>
  <c r="G149" i="5"/>
  <c r="G165" i="5"/>
  <c r="G181" i="5"/>
  <c r="G197" i="5"/>
  <c r="G213" i="5"/>
  <c r="G229" i="5"/>
  <c r="G245" i="5"/>
  <c r="G261" i="5"/>
  <c r="G277" i="5"/>
  <c r="G293" i="5"/>
  <c r="G309" i="5"/>
  <c r="G325" i="5"/>
  <c r="G338" i="5"/>
  <c r="G343" i="5"/>
  <c r="G347" i="5"/>
  <c r="G351" i="5"/>
  <c r="G355" i="5"/>
  <c r="G57" i="5"/>
  <c r="G105" i="5"/>
  <c r="G137" i="5"/>
  <c r="G169" i="5"/>
  <c r="G185" i="5"/>
  <c r="G217" i="5"/>
  <c r="G233" i="5"/>
  <c r="G265" i="5"/>
  <c r="G297" i="5"/>
  <c r="G329" i="5"/>
  <c r="G344" i="5"/>
  <c r="G348" i="5"/>
  <c r="G346" i="5"/>
  <c r="G9" i="5"/>
  <c r="G25" i="5"/>
  <c r="G41" i="5"/>
  <c r="G73" i="5"/>
  <c r="G89" i="5"/>
  <c r="G121" i="5"/>
  <c r="G153" i="5"/>
  <c r="G201" i="5"/>
  <c r="G249" i="5"/>
  <c r="G281" i="5"/>
  <c r="G313" i="5"/>
  <c r="G340" i="5"/>
  <c r="G352" i="5"/>
  <c r="G356" i="5"/>
  <c r="G350" i="5"/>
  <c r="G13" i="5"/>
  <c r="G29" i="5"/>
  <c r="G45" i="5"/>
  <c r="G61" i="5"/>
  <c r="G77" i="5"/>
  <c r="G93" i="5"/>
  <c r="G109" i="5"/>
  <c r="G125" i="5"/>
  <c r="G141" i="5"/>
  <c r="G157" i="5"/>
  <c r="G173" i="5"/>
  <c r="G189" i="5"/>
  <c r="G205" i="5"/>
  <c r="G221" i="5"/>
  <c r="G237" i="5"/>
  <c r="G253" i="5"/>
  <c r="G269" i="5"/>
  <c r="G285" i="5"/>
  <c r="G301" i="5"/>
  <c r="G317" i="5"/>
  <c r="G333" i="5"/>
  <c r="G341" i="5"/>
  <c r="G345" i="5"/>
  <c r="G349" i="5"/>
  <c r="G353" i="5"/>
  <c r="G357" i="5"/>
  <c r="G273" i="5"/>
  <c r="G289" i="5"/>
  <c r="G321" i="5"/>
  <c r="G342" i="5"/>
  <c r="G358" i="5"/>
  <c r="G17" i="5"/>
  <c r="G33" i="5"/>
  <c r="G49" i="5"/>
  <c r="G65" i="5"/>
  <c r="G81" i="5"/>
  <c r="G97" i="5"/>
  <c r="G113" i="5"/>
  <c r="G129" i="5"/>
  <c r="G145" i="5"/>
  <c r="G161" i="5"/>
  <c r="G177" i="5"/>
  <c r="G193" i="5"/>
  <c r="G209" i="5"/>
  <c r="G225" i="5"/>
  <c r="G241" i="5"/>
  <c r="G257" i="5"/>
  <c r="G305" i="5"/>
  <c r="G337" i="5"/>
  <c r="G354" i="5"/>
  <c r="D9" i="5"/>
  <c r="B207" i="5"/>
  <c r="E201" i="5"/>
  <c r="E169" i="5"/>
  <c r="C161" i="5" l="1"/>
  <c r="E6" i="5"/>
  <c r="E111" i="5"/>
  <c r="C93" i="5"/>
  <c r="B224" i="5"/>
  <c r="B33" i="5"/>
  <c r="E246" i="5"/>
  <c r="D27" i="5"/>
  <c r="B156" i="5"/>
  <c r="D306" i="5"/>
  <c r="D114" i="5"/>
  <c r="D283" i="5"/>
  <c r="C48" i="5"/>
  <c r="D11" i="5"/>
  <c r="F213" i="5"/>
  <c r="F238" i="5"/>
  <c r="F264" i="5"/>
  <c r="F8" i="5"/>
  <c r="F88" i="5"/>
  <c r="F272" i="5"/>
  <c r="D60" i="5"/>
  <c r="D329" i="5"/>
  <c r="F294" i="5"/>
  <c r="E198" i="5"/>
  <c r="F230" i="5"/>
  <c r="B297" i="5"/>
  <c r="C173" i="5"/>
  <c r="C340" i="5"/>
  <c r="C240" i="5"/>
  <c r="B292" i="5"/>
  <c r="D334" i="5"/>
  <c r="F304" i="5"/>
  <c r="B356" i="5"/>
  <c r="D287" i="5"/>
  <c r="D325" i="5"/>
  <c r="D270" i="5"/>
  <c r="D103" i="5"/>
  <c r="D128" i="5"/>
  <c r="D139" i="5"/>
  <c r="D273" i="5"/>
  <c r="D124" i="5"/>
  <c r="D320" i="5"/>
  <c r="D25" i="5"/>
  <c r="D163" i="5"/>
  <c r="D137" i="5"/>
  <c r="D119" i="5"/>
  <c r="E258" i="5"/>
  <c r="E350" i="5"/>
  <c r="B172" i="5"/>
  <c r="B300" i="5"/>
  <c r="B295" i="5"/>
  <c r="D203" i="5"/>
  <c r="D6" i="5"/>
  <c r="D357" i="5"/>
  <c r="D294" i="5"/>
  <c r="D319" i="5"/>
  <c r="E221" i="5"/>
  <c r="D347" i="5"/>
  <c r="D22" i="5"/>
  <c r="E131" i="5"/>
  <c r="E102" i="5"/>
  <c r="E318" i="5"/>
  <c r="E177" i="5"/>
  <c r="B186" i="5"/>
  <c r="B339" i="5"/>
  <c r="B266" i="5"/>
  <c r="B193" i="5"/>
  <c r="B120" i="5"/>
  <c r="B47" i="5"/>
  <c r="D233" i="5"/>
  <c r="D116" i="5"/>
  <c r="E54" i="5"/>
  <c r="B113" i="5"/>
  <c r="B258" i="5"/>
  <c r="B112" i="5"/>
  <c r="F27" i="5"/>
  <c r="F112" i="5"/>
  <c r="D75" i="5"/>
  <c r="E147" i="5"/>
  <c r="C213" i="5"/>
  <c r="C218" i="5"/>
  <c r="C280" i="5"/>
  <c r="C353" i="5"/>
  <c r="C251" i="5"/>
  <c r="D99" i="5"/>
  <c r="C86" i="5"/>
  <c r="C165" i="5"/>
  <c r="C229" i="5"/>
  <c r="C153" i="5"/>
  <c r="C79" i="5"/>
  <c r="C88" i="5"/>
  <c r="C275" i="5"/>
  <c r="C178" i="5"/>
  <c r="C14" i="5"/>
  <c r="C109" i="5"/>
  <c r="C183" i="5"/>
  <c r="C255" i="5"/>
  <c r="C329" i="5"/>
  <c r="C92" i="5"/>
  <c r="C220" i="5"/>
  <c r="E226" i="5"/>
  <c r="E10" i="5"/>
  <c r="E83" i="5"/>
  <c r="E244" i="5"/>
  <c r="E330" i="5"/>
  <c r="E108" i="5"/>
  <c r="E220" i="5"/>
  <c r="E187" i="5"/>
  <c r="E273" i="5"/>
  <c r="E62" i="5"/>
  <c r="E240" i="5"/>
  <c r="E151" i="5"/>
  <c r="E215" i="5"/>
  <c r="E279" i="5"/>
  <c r="E343" i="5"/>
  <c r="B141" i="5"/>
  <c r="B343" i="5"/>
  <c r="B197" i="5"/>
  <c r="B205" i="5"/>
  <c r="B262" i="5"/>
  <c r="B111" i="5"/>
  <c r="B12" i="5"/>
  <c r="F6" i="5"/>
  <c r="F45" i="5"/>
  <c r="F180" i="5"/>
  <c r="F240" i="5"/>
  <c r="F63" i="5"/>
  <c r="F158" i="5"/>
  <c r="F261" i="5"/>
  <c r="F275" i="5"/>
  <c r="F339" i="5"/>
  <c r="D50" i="5"/>
  <c r="D354" i="5"/>
  <c r="D236" i="5"/>
  <c r="D53" i="5"/>
  <c r="D302" i="5"/>
  <c r="D238" i="5"/>
  <c r="B259" i="5"/>
  <c r="D17" i="5"/>
  <c r="C286" i="5"/>
  <c r="C18" i="5"/>
  <c r="C237" i="5"/>
  <c r="C298" i="5"/>
  <c r="C7" i="5"/>
  <c r="E213" i="5"/>
  <c r="E125" i="5"/>
  <c r="F58" i="5"/>
  <c r="C142" i="5"/>
  <c r="C85" i="5"/>
  <c r="C226" i="5"/>
  <c r="C41" i="5"/>
  <c r="C276" i="5"/>
  <c r="C330" i="5"/>
  <c r="C332" i="5"/>
  <c r="C34" i="5"/>
  <c r="C327" i="5"/>
  <c r="C99" i="5"/>
  <c r="C164" i="5"/>
  <c r="D208" i="5"/>
  <c r="B242" i="5"/>
  <c r="D200" i="5"/>
  <c r="D337" i="5"/>
  <c r="D145" i="5"/>
  <c r="D122" i="5"/>
  <c r="D105" i="5"/>
  <c r="D173" i="5"/>
  <c r="D32" i="5"/>
  <c r="D155" i="5"/>
  <c r="D260" i="5"/>
  <c r="D157" i="5"/>
  <c r="D309" i="5"/>
  <c r="D54" i="5"/>
  <c r="D143" i="5"/>
  <c r="D296" i="5"/>
  <c r="D168" i="5"/>
  <c r="E300" i="5"/>
  <c r="E66" i="5"/>
  <c r="E139" i="5"/>
  <c r="E190" i="5"/>
  <c r="E17" i="5"/>
  <c r="E23" i="5"/>
  <c r="E41" i="5"/>
  <c r="E114" i="5"/>
  <c r="E195" i="5"/>
  <c r="E281" i="5"/>
  <c r="E72" i="5"/>
  <c r="B274" i="5"/>
  <c r="B233" i="5"/>
  <c r="B87" i="5"/>
  <c r="B289" i="5"/>
  <c r="B211" i="5"/>
  <c r="B138" i="5"/>
  <c r="B65" i="5"/>
  <c r="F79" i="5"/>
  <c r="F176" i="5"/>
  <c r="F14" i="5"/>
  <c r="F100" i="5"/>
  <c r="F303" i="5"/>
  <c r="F237" i="5"/>
  <c r="F132" i="5"/>
  <c r="F335" i="5"/>
  <c r="F61" i="5"/>
  <c r="F156" i="5"/>
  <c r="F235" i="5"/>
  <c r="F130" i="5"/>
  <c r="F194" i="5"/>
  <c r="F258" i="5"/>
  <c r="F322" i="5"/>
  <c r="D285" i="5"/>
  <c r="D165" i="5"/>
  <c r="D126" i="5"/>
  <c r="D86" i="5"/>
  <c r="D175" i="5"/>
  <c r="D48" i="5"/>
  <c r="B282" i="5"/>
  <c r="E211" i="5"/>
  <c r="E307" i="5"/>
  <c r="E57" i="5"/>
  <c r="E130" i="5"/>
  <c r="E101" i="5"/>
  <c r="E242" i="5"/>
  <c r="E52" i="5"/>
  <c r="E293" i="5"/>
  <c r="E334" i="5"/>
  <c r="E64" i="5"/>
  <c r="E167" i="5"/>
  <c r="B217" i="5"/>
  <c r="B77" i="5"/>
  <c r="B40" i="5"/>
  <c r="B136" i="5"/>
  <c r="B64" i="5"/>
  <c r="B243" i="5"/>
  <c r="B18" i="5"/>
  <c r="B140" i="5"/>
  <c r="B164" i="5"/>
  <c r="F102" i="5"/>
  <c r="F92" i="5"/>
  <c r="F124" i="5"/>
  <c r="F135" i="5"/>
  <c r="F327" i="5"/>
  <c r="F69" i="5"/>
  <c r="F120" i="5"/>
  <c r="F351" i="5"/>
  <c r="F85" i="5"/>
  <c r="F183" i="5"/>
  <c r="F286" i="5"/>
  <c r="F30" i="5"/>
  <c r="F118" i="5"/>
  <c r="F221" i="5"/>
  <c r="F324" i="5"/>
  <c r="F227" i="5"/>
  <c r="F122" i="5"/>
  <c r="F186" i="5"/>
  <c r="F250" i="5"/>
  <c r="F314" i="5"/>
  <c r="F25" i="5"/>
  <c r="F89" i="5"/>
  <c r="F153" i="5"/>
  <c r="F217" i="5"/>
  <c r="F281" i="5"/>
  <c r="F345" i="5"/>
  <c r="D91" i="5"/>
  <c r="D265" i="5"/>
  <c r="D68" i="5"/>
  <c r="D101" i="5"/>
  <c r="D70" i="5"/>
  <c r="D331" i="5"/>
  <c r="D336" i="5"/>
  <c r="C247" i="5"/>
  <c r="E322" i="5"/>
  <c r="E28" i="5"/>
  <c r="E180" i="5"/>
  <c r="E266" i="5"/>
  <c r="E146" i="5"/>
  <c r="E338" i="5"/>
  <c r="E209" i="5"/>
  <c r="E14" i="5"/>
  <c r="E87" i="5"/>
  <c r="E164" i="5"/>
  <c r="E250" i="5"/>
  <c r="E99" i="5"/>
  <c r="E31" i="5"/>
  <c r="E128" i="5"/>
  <c r="E256" i="5"/>
  <c r="E231" i="5"/>
  <c r="E295" i="5"/>
  <c r="B71" i="5"/>
  <c r="E289" i="5"/>
  <c r="E254" i="5"/>
  <c r="E326" i="5"/>
  <c r="E5" i="5"/>
  <c r="E78" i="5"/>
  <c r="E154" i="5"/>
  <c r="E324" i="5"/>
  <c r="B269" i="5"/>
  <c r="B4" i="5"/>
  <c r="B133" i="5"/>
  <c r="B8" i="5"/>
  <c r="B227" i="5"/>
  <c r="B81" i="5"/>
  <c r="B106" i="5"/>
  <c r="F48" i="5"/>
  <c r="F35" i="5"/>
  <c r="F254" i="5"/>
  <c r="F312" i="5"/>
  <c r="F283" i="5"/>
  <c r="E204" i="5"/>
  <c r="E310" i="5"/>
  <c r="E105" i="5"/>
  <c r="E269" i="5"/>
  <c r="E355" i="5"/>
  <c r="E320" i="5"/>
  <c r="B147" i="5"/>
  <c r="F292" i="5"/>
  <c r="F223" i="5"/>
  <c r="F245" i="5"/>
  <c r="C257" i="5"/>
  <c r="C24" i="5"/>
  <c r="C169" i="5"/>
  <c r="C202" i="5"/>
  <c r="C266" i="5"/>
  <c r="C150" i="5"/>
  <c r="C196" i="5"/>
  <c r="D271" i="5"/>
  <c r="E45" i="5"/>
  <c r="E3" i="5"/>
  <c r="E38" i="5"/>
  <c r="E277" i="5"/>
  <c r="E34" i="5"/>
  <c r="E357" i="5"/>
  <c r="E69" i="5"/>
  <c r="E142" i="5"/>
  <c r="E228" i="5"/>
  <c r="E314" i="5"/>
  <c r="E48" i="5"/>
  <c r="E176" i="5"/>
  <c r="B99" i="5"/>
  <c r="B305" i="5"/>
  <c r="B159" i="5"/>
  <c r="B85" i="5"/>
  <c r="F23" i="5"/>
  <c r="F166" i="5"/>
  <c r="F343" i="5"/>
  <c r="F198" i="5"/>
  <c r="F301" i="5"/>
  <c r="F296" i="5"/>
  <c r="F320" i="5"/>
  <c r="F147" i="5"/>
  <c r="F42" i="5"/>
  <c r="F9" i="5"/>
  <c r="F73" i="5"/>
  <c r="F137" i="5"/>
  <c r="F201" i="5"/>
  <c r="F265" i="5"/>
  <c r="F329" i="5"/>
  <c r="F232" i="5"/>
  <c r="C242" i="5"/>
  <c r="C249" i="5"/>
  <c r="C343" i="5"/>
  <c r="C315" i="5"/>
  <c r="E49" i="5"/>
  <c r="E182" i="5"/>
  <c r="E29" i="5"/>
  <c r="E74" i="5"/>
  <c r="E143" i="5"/>
  <c r="E271" i="5"/>
  <c r="B328" i="5"/>
  <c r="B21" i="5"/>
  <c r="F332" i="5"/>
  <c r="F53" i="5"/>
  <c r="C133" i="5"/>
  <c r="C224" i="5"/>
  <c r="C21" i="5"/>
  <c r="C352" i="5"/>
  <c r="C278" i="5"/>
  <c r="C351" i="5"/>
  <c r="C320" i="5"/>
  <c r="C179" i="5"/>
  <c r="E285" i="5"/>
  <c r="E20" i="5"/>
  <c r="E341" i="5"/>
  <c r="E15" i="5"/>
  <c r="E165" i="5"/>
  <c r="E32" i="5"/>
  <c r="B275" i="5"/>
  <c r="B129" i="5"/>
  <c r="B56" i="5"/>
  <c r="F316" i="5"/>
  <c r="F70" i="5"/>
  <c r="F168" i="5"/>
  <c r="E134" i="5"/>
  <c r="B220" i="5"/>
  <c r="C5" i="5"/>
  <c r="C95" i="5"/>
  <c r="C334" i="5"/>
  <c r="C349" i="5"/>
  <c r="C61" i="5"/>
  <c r="E148" i="5"/>
  <c r="E234" i="5"/>
  <c r="E261" i="5"/>
  <c r="E296" i="5"/>
  <c r="E207" i="5"/>
  <c r="E335" i="5"/>
  <c r="B127" i="5"/>
  <c r="B59" i="5"/>
  <c r="B271" i="5"/>
  <c r="F247" i="5"/>
  <c r="C37" i="5"/>
  <c r="C206" i="5"/>
  <c r="C233" i="5"/>
  <c r="C10" i="5"/>
  <c r="C156" i="5"/>
  <c r="C303" i="5"/>
  <c r="C121" i="5"/>
  <c r="C55" i="5"/>
  <c r="C274" i="5"/>
  <c r="C355" i="5"/>
  <c r="C117" i="5"/>
  <c r="C190" i="5"/>
  <c r="C336" i="5"/>
  <c r="C44" i="5"/>
  <c r="C107" i="5"/>
  <c r="C172" i="5"/>
  <c r="C235" i="5"/>
  <c r="B219" i="5"/>
  <c r="E200" i="5"/>
  <c r="B350" i="5"/>
  <c r="F40" i="5"/>
  <c r="F107" i="5"/>
  <c r="E118" i="5"/>
  <c r="E185" i="5"/>
  <c r="B98" i="5"/>
  <c r="B311" i="5"/>
  <c r="B213" i="5"/>
  <c r="F110" i="5"/>
  <c r="F269" i="5"/>
  <c r="F4" i="5"/>
  <c r="F189" i="5"/>
  <c r="F51" i="5"/>
  <c r="F142" i="5"/>
  <c r="F348" i="5"/>
  <c r="E122" i="5"/>
  <c r="B122" i="5"/>
  <c r="B153" i="5"/>
  <c r="B320" i="5"/>
  <c r="B174" i="5"/>
  <c r="B149" i="5"/>
  <c r="F212" i="5"/>
  <c r="F20" i="5"/>
  <c r="F104" i="5"/>
  <c r="F207" i="5"/>
  <c r="F310" i="5"/>
  <c r="F114" i="5"/>
  <c r="F178" i="5"/>
  <c r="F242" i="5"/>
  <c r="F306" i="5"/>
  <c r="F17" i="5"/>
  <c r="F81" i="5"/>
  <c r="F145" i="5"/>
  <c r="F209" i="5"/>
  <c r="F273" i="5"/>
  <c r="F337" i="5"/>
  <c r="F276" i="5"/>
  <c r="F259" i="5"/>
  <c r="E140" i="5"/>
  <c r="D343" i="5"/>
  <c r="B323" i="5"/>
  <c r="C97" i="5"/>
  <c r="C284" i="5"/>
  <c r="C112" i="5"/>
  <c r="C45" i="5"/>
  <c r="C119" i="5"/>
  <c r="C191" i="5"/>
  <c r="C36" i="5"/>
  <c r="D311" i="5"/>
  <c r="D159" i="5"/>
  <c r="D209" i="5"/>
  <c r="D355" i="5"/>
  <c r="D290" i="5"/>
  <c r="D182" i="5"/>
  <c r="D62" i="5"/>
  <c r="E137" i="5"/>
  <c r="E25" i="5"/>
  <c r="B69" i="5"/>
  <c r="B249" i="5"/>
  <c r="B176" i="5"/>
  <c r="B103" i="5"/>
  <c r="F37" i="5"/>
  <c r="F56" i="5"/>
  <c r="F184" i="5"/>
  <c r="C50" i="5"/>
  <c r="C125" i="5"/>
  <c r="C307" i="5"/>
  <c r="C77" i="5"/>
  <c r="C223" i="5"/>
  <c r="C81" i="5"/>
  <c r="C302" i="5"/>
  <c r="C163" i="5"/>
  <c r="C357" i="5"/>
  <c r="C144" i="5"/>
  <c r="D257" i="5"/>
  <c r="D19" i="5"/>
  <c r="D213" i="5"/>
  <c r="D35" i="5"/>
  <c r="D327" i="5"/>
  <c r="D96" i="5"/>
  <c r="D30" i="5"/>
  <c r="E253" i="5"/>
  <c r="E157" i="5"/>
  <c r="E236" i="5"/>
  <c r="E2" i="5"/>
  <c r="E317" i="5"/>
  <c r="E354" i="5"/>
  <c r="E349" i="5"/>
  <c r="E225" i="5"/>
  <c r="E309" i="5"/>
  <c r="E37" i="5"/>
  <c r="E110" i="5"/>
  <c r="E276" i="5"/>
  <c r="E61" i="5"/>
  <c r="E219" i="5"/>
  <c r="E305" i="5"/>
  <c r="E97" i="5"/>
  <c r="E260" i="5"/>
  <c r="E346" i="5"/>
  <c r="E117" i="5"/>
  <c r="E8" i="5"/>
  <c r="E136" i="5"/>
  <c r="E264" i="5"/>
  <c r="E328" i="5"/>
  <c r="E175" i="5"/>
  <c r="E239" i="5"/>
  <c r="E303" i="5"/>
  <c r="B118" i="5"/>
  <c r="B235" i="5"/>
  <c r="B89" i="5"/>
  <c r="B230" i="5"/>
  <c r="B83" i="5"/>
  <c r="B10" i="5"/>
  <c r="B278" i="5"/>
  <c r="B131" i="5"/>
  <c r="B28" i="5"/>
  <c r="F152" i="5"/>
  <c r="F149" i="5"/>
  <c r="F141" i="5"/>
  <c r="F174" i="5"/>
  <c r="F188" i="5"/>
  <c r="F77" i="5"/>
  <c r="F319" i="5"/>
  <c r="F279" i="5"/>
  <c r="F200" i="5"/>
  <c r="F44" i="5"/>
  <c r="F134" i="5"/>
  <c r="F11" i="5"/>
  <c r="F95" i="5"/>
  <c r="F197" i="5"/>
  <c r="F300" i="5"/>
  <c r="F256" i="5"/>
  <c r="F171" i="5"/>
  <c r="F2" i="5"/>
  <c r="F66" i="5"/>
  <c r="F33" i="5"/>
  <c r="F97" i="5"/>
  <c r="F161" i="5"/>
  <c r="F225" i="5"/>
  <c r="F289" i="5"/>
  <c r="F353" i="5"/>
  <c r="B252" i="5"/>
  <c r="B61" i="5"/>
  <c r="F203" i="5"/>
  <c r="B334" i="5"/>
  <c r="E26" i="5"/>
  <c r="E160" i="5"/>
  <c r="B352" i="5"/>
  <c r="F160" i="5"/>
  <c r="B355" i="5"/>
  <c r="C168" i="5"/>
  <c r="C101" i="5"/>
  <c r="B144" i="5"/>
  <c r="C67" i="5"/>
  <c r="C264" i="5"/>
  <c r="C13" i="5"/>
  <c r="C319" i="5"/>
  <c r="D178" i="5"/>
  <c r="C59" i="5"/>
  <c r="C269" i="5"/>
  <c r="D162" i="5"/>
  <c r="E13" i="5"/>
  <c r="E4" i="5"/>
  <c r="F244" i="5"/>
  <c r="F344" i="5"/>
  <c r="F127" i="5"/>
  <c r="F229" i="5"/>
  <c r="F150" i="5"/>
  <c r="F253" i="5"/>
  <c r="F356" i="5"/>
  <c r="F86" i="5"/>
  <c r="F144" i="5"/>
  <c r="F19" i="5"/>
  <c r="F103" i="5"/>
  <c r="F206" i="5"/>
  <c r="F309" i="5"/>
  <c r="F34" i="5"/>
  <c r="C51" i="5"/>
  <c r="C69" i="5"/>
  <c r="C193" i="5"/>
  <c r="C209" i="5"/>
  <c r="D73" i="5"/>
  <c r="D186" i="5"/>
  <c r="D58" i="5"/>
  <c r="D249" i="5"/>
  <c r="E179" i="5"/>
  <c r="E158" i="5"/>
  <c r="E163" i="5"/>
  <c r="E333" i="5"/>
  <c r="B91" i="5"/>
  <c r="B255" i="5"/>
  <c r="B247" i="5"/>
  <c r="F47" i="5"/>
  <c r="C344" i="5"/>
  <c r="C53" i="5"/>
  <c r="C272" i="5"/>
  <c r="D79" i="5"/>
  <c r="E91" i="5"/>
  <c r="E153" i="5"/>
  <c r="E168" i="5"/>
  <c r="D151" i="5"/>
  <c r="D219" i="5"/>
  <c r="E94" i="5"/>
  <c r="E222" i="5"/>
  <c r="B223" i="5"/>
  <c r="F80" i="5"/>
  <c r="F336" i="5"/>
  <c r="F90" i="5"/>
  <c r="E172" i="5"/>
  <c r="E193" i="5"/>
  <c r="E86" i="5"/>
  <c r="F68" i="5"/>
  <c r="F29" i="5"/>
  <c r="F220" i="5"/>
  <c r="F211" i="5"/>
  <c r="C130" i="5"/>
  <c r="C29" i="5"/>
  <c r="C199" i="5"/>
  <c r="D184" i="5"/>
  <c r="E267" i="5"/>
  <c r="E237" i="5"/>
  <c r="D61" i="5"/>
  <c r="C304" i="5"/>
  <c r="C26" i="5"/>
  <c r="E290" i="5"/>
  <c r="E79" i="5"/>
  <c r="F204" i="5"/>
  <c r="C115" i="5"/>
  <c r="D268" i="5"/>
  <c r="D205" i="5"/>
  <c r="D15" i="5"/>
  <c r="E127" i="5"/>
  <c r="E249" i="5"/>
  <c r="B151" i="5"/>
  <c r="B256" i="5"/>
  <c r="B19" i="5"/>
  <c r="F16" i="5"/>
  <c r="F280" i="5"/>
  <c r="F164" i="5"/>
  <c r="F117" i="5"/>
  <c r="C32" i="5"/>
  <c r="C137" i="5"/>
  <c r="C126" i="5"/>
  <c r="D317" i="5"/>
  <c r="E77" i="5"/>
  <c r="E323" i="5"/>
  <c r="E232" i="5"/>
  <c r="B237" i="5"/>
  <c r="D113" i="5"/>
  <c r="B239" i="5"/>
  <c r="C270" i="5"/>
  <c r="D39" i="5"/>
  <c r="C157" i="5"/>
  <c r="D291" i="5"/>
  <c r="C28" i="5"/>
  <c r="F215" i="5"/>
  <c r="F271" i="5"/>
  <c r="F154" i="5"/>
  <c r="F218" i="5"/>
  <c r="F282" i="5"/>
  <c r="F346" i="5"/>
  <c r="C338" i="5"/>
  <c r="D313" i="5"/>
  <c r="E245" i="5"/>
  <c r="F325" i="5"/>
  <c r="C295" i="5"/>
  <c r="B191" i="5"/>
  <c r="C127" i="5"/>
  <c r="E156" i="5"/>
  <c r="E252" i="5"/>
  <c r="E348" i="5"/>
  <c r="E174" i="5"/>
  <c r="F299" i="5"/>
  <c r="C23" i="5"/>
  <c r="C108" i="5"/>
  <c r="C289" i="5"/>
  <c r="C135" i="5"/>
  <c r="D56" i="5"/>
  <c r="D250" i="5"/>
  <c r="D314" i="5"/>
  <c r="D267" i="5"/>
  <c r="D180" i="5"/>
  <c r="E162" i="5"/>
  <c r="E150" i="5"/>
  <c r="E275" i="5"/>
  <c r="E299" i="5"/>
  <c r="E192" i="5"/>
  <c r="B166" i="5"/>
  <c r="B92" i="5"/>
  <c r="B287" i="5"/>
  <c r="B37" i="5"/>
  <c r="F99" i="5"/>
  <c r="F165" i="5"/>
  <c r="F268" i="5"/>
  <c r="F32" i="5"/>
  <c r="F163" i="5"/>
  <c r="F291" i="5"/>
  <c r="F355" i="5"/>
  <c r="B29" i="5"/>
  <c r="E82" i="5"/>
  <c r="E76" i="5"/>
  <c r="E194" i="5"/>
  <c r="E233" i="5"/>
  <c r="E268" i="5"/>
  <c r="E265" i="5"/>
  <c r="E214" i="5"/>
  <c r="E47" i="5"/>
  <c r="E121" i="5"/>
  <c r="E203" i="5"/>
  <c r="E19" i="5"/>
  <c r="E92" i="5"/>
  <c r="E170" i="5"/>
  <c r="E340" i="5"/>
  <c r="E126" i="5"/>
  <c r="E230" i="5"/>
  <c r="E43" i="5"/>
  <c r="E116" i="5"/>
  <c r="E197" i="5"/>
  <c r="E283" i="5"/>
  <c r="E238" i="5"/>
  <c r="E81" i="5"/>
  <c r="E22" i="5"/>
  <c r="E95" i="5"/>
  <c r="E173" i="5"/>
  <c r="E259" i="5"/>
  <c r="E345" i="5"/>
  <c r="E56" i="5"/>
  <c r="E120" i="5"/>
  <c r="E184" i="5"/>
  <c r="E248" i="5"/>
  <c r="E312" i="5"/>
  <c r="E159" i="5"/>
  <c r="E223" i="5"/>
  <c r="E287" i="5"/>
  <c r="E351" i="5"/>
  <c r="F67" i="5"/>
  <c r="F60" i="5"/>
  <c r="F55" i="5"/>
  <c r="F87" i="5"/>
  <c r="F216" i="5"/>
  <c r="F59" i="5"/>
  <c r="F151" i="5"/>
  <c r="F357" i="5"/>
  <c r="F78" i="5"/>
  <c r="F175" i="5"/>
  <c r="F278" i="5"/>
  <c r="F22" i="5"/>
  <c r="F109" i="5"/>
  <c r="F75" i="5"/>
  <c r="F172" i="5"/>
  <c r="F39" i="5"/>
  <c r="F128" i="5"/>
  <c r="F231" i="5"/>
  <c r="F334" i="5"/>
  <c r="F155" i="5"/>
  <c r="F219" i="5"/>
  <c r="F347" i="5"/>
  <c r="F50" i="5"/>
  <c r="D81" i="5"/>
  <c r="E112" i="5"/>
  <c r="E304" i="5"/>
  <c r="B117" i="5"/>
  <c r="F96" i="5"/>
  <c r="F196" i="5"/>
  <c r="F106" i="5"/>
  <c r="D193" i="5"/>
  <c r="D64" i="5"/>
  <c r="D133" i="5"/>
  <c r="E9" i="5"/>
  <c r="E90" i="5"/>
  <c r="E60" i="5"/>
  <c r="E44" i="5"/>
  <c r="E40" i="5"/>
  <c r="B125" i="5"/>
  <c r="F288" i="5"/>
  <c r="F116" i="5"/>
  <c r="F84" i="5"/>
  <c r="F331" i="5"/>
  <c r="F162" i="5"/>
  <c r="F193" i="5"/>
  <c r="B130" i="5"/>
  <c r="E12" i="5"/>
  <c r="E332" i="5"/>
  <c r="E109" i="5"/>
  <c r="E100" i="5"/>
  <c r="E93" i="5"/>
  <c r="E171" i="5"/>
  <c r="E257" i="5"/>
  <c r="E65" i="5"/>
  <c r="E308" i="5"/>
  <c r="E71" i="5"/>
  <c r="E89" i="5"/>
  <c r="E251" i="5"/>
  <c r="E337" i="5"/>
  <c r="E51" i="5"/>
  <c r="E124" i="5"/>
  <c r="E206" i="5"/>
  <c r="E292" i="5"/>
  <c r="E284" i="5"/>
  <c r="E68" i="5"/>
  <c r="E141" i="5"/>
  <c r="E227" i="5"/>
  <c r="E313" i="5"/>
  <c r="E96" i="5"/>
  <c r="E224" i="5"/>
  <c r="E288" i="5"/>
  <c r="E352" i="5"/>
  <c r="E199" i="5"/>
  <c r="E263" i="5"/>
  <c r="E327" i="5"/>
  <c r="F308" i="5"/>
  <c r="F302" i="5"/>
  <c r="F318" i="5"/>
  <c r="F46" i="5"/>
  <c r="F136" i="5"/>
  <c r="F239" i="5"/>
  <c r="F342" i="5"/>
  <c r="F76" i="5"/>
  <c r="F173" i="5"/>
  <c r="F43" i="5"/>
  <c r="F133" i="5"/>
  <c r="F236" i="5"/>
  <c r="F72" i="5"/>
  <c r="F7" i="5"/>
  <c r="F93" i="5"/>
  <c r="F192" i="5"/>
  <c r="F295" i="5"/>
  <c r="F131" i="5"/>
  <c r="F195" i="5"/>
  <c r="F323" i="5"/>
  <c r="F26" i="5"/>
  <c r="F57" i="5"/>
  <c r="F121" i="5"/>
  <c r="F185" i="5"/>
  <c r="F249" i="5"/>
  <c r="F313" i="5"/>
  <c r="D256" i="5"/>
  <c r="C149" i="5"/>
  <c r="D227" i="5"/>
  <c r="E189" i="5"/>
  <c r="E107" i="5"/>
  <c r="F13" i="5"/>
  <c r="F94" i="5"/>
  <c r="F170" i="5"/>
  <c r="F298" i="5"/>
  <c r="C187" i="5"/>
  <c r="C40" i="5"/>
  <c r="D226" i="5"/>
  <c r="D254" i="5"/>
  <c r="E353" i="5"/>
  <c r="E210" i="5"/>
  <c r="E98" i="5"/>
  <c r="E347" i="5"/>
  <c r="E218" i="5"/>
  <c r="E302" i="5"/>
  <c r="B170" i="5"/>
  <c r="B345" i="5"/>
  <c r="F3" i="5"/>
  <c r="F182" i="5"/>
  <c r="F139" i="5"/>
  <c r="F267" i="5"/>
  <c r="F98" i="5"/>
  <c r="F290" i="5"/>
  <c r="F65" i="5"/>
  <c r="F321" i="5"/>
  <c r="E138" i="5"/>
  <c r="E18" i="5"/>
  <c r="E339" i="5"/>
  <c r="E243" i="5"/>
  <c r="E103" i="5"/>
  <c r="E73" i="5"/>
  <c r="E67" i="5"/>
  <c r="E63" i="5"/>
  <c r="E11" i="5"/>
  <c r="E84" i="5"/>
  <c r="E161" i="5"/>
  <c r="E331" i="5"/>
  <c r="E55" i="5"/>
  <c r="E129" i="5"/>
  <c r="E212" i="5"/>
  <c r="E298" i="5"/>
  <c r="E53" i="5"/>
  <c r="E188" i="5"/>
  <c r="E274" i="5"/>
  <c r="E155" i="5"/>
  <c r="E241" i="5"/>
  <c r="E325" i="5"/>
  <c r="E42" i="5"/>
  <c r="E115" i="5"/>
  <c r="E196" i="5"/>
  <c r="E282" i="5"/>
  <c r="E7" i="5"/>
  <c r="E178" i="5"/>
  <c r="E59" i="5"/>
  <c r="E132" i="5"/>
  <c r="E217" i="5"/>
  <c r="E301" i="5"/>
  <c r="E24" i="5"/>
  <c r="E88" i="5"/>
  <c r="E152" i="5"/>
  <c r="E216" i="5"/>
  <c r="E280" i="5"/>
  <c r="E344" i="5"/>
  <c r="E191" i="5"/>
  <c r="E255" i="5"/>
  <c r="E319" i="5"/>
  <c r="F263" i="5"/>
  <c r="F255" i="5"/>
  <c r="F252" i="5"/>
  <c r="F341" i="5"/>
  <c r="F277" i="5"/>
  <c r="F38" i="5"/>
  <c r="F28" i="5"/>
  <c r="F15" i="5"/>
  <c r="F101" i="5"/>
  <c r="F36" i="5"/>
  <c r="F125" i="5"/>
  <c r="F228" i="5"/>
  <c r="F328" i="5"/>
  <c r="F64" i="5"/>
  <c r="F159" i="5"/>
  <c r="F262" i="5"/>
  <c r="F31" i="5"/>
  <c r="F119" i="5"/>
  <c r="F222" i="5"/>
  <c r="F62" i="5"/>
  <c r="F157" i="5"/>
  <c r="F260" i="5"/>
  <c r="F340" i="5"/>
  <c r="F83" i="5"/>
  <c r="F181" i="5"/>
  <c r="F284" i="5"/>
  <c r="F123" i="5"/>
  <c r="F187" i="5"/>
  <c r="F251" i="5"/>
  <c r="F315" i="5"/>
  <c r="F18" i="5"/>
  <c r="F82" i="5"/>
  <c r="F146" i="5"/>
  <c r="F210" i="5"/>
  <c r="F274" i="5"/>
  <c r="F338" i="5"/>
  <c r="F49" i="5"/>
  <c r="F113" i="5"/>
  <c r="F177" i="5"/>
  <c r="F241" i="5"/>
  <c r="F305" i="5"/>
  <c r="D29" i="5"/>
  <c r="D262" i="5"/>
  <c r="E113" i="5"/>
  <c r="E316" i="5"/>
  <c r="F140" i="5"/>
  <c r="F12" i="5"/>
  <c r="F234" i="5"/>
  <c r="C216" i="5"/>
  <c r="D242" i="5"/>
  <c r="E329" i="5"/>
  <c r="E181" i="5"/>
  <c r="E306" i="5"/>
  <c r="E133" i="5"/>
  <c r="E104" i="5"/>
  <c r="B160" i="5"/>
  <c r="B317" i="5"/>
  <c r="F352" i="5"/>
  <c r="F126" i="5"/>
  <c r="F287" i="5"/>
  <c r="F350" i="5"/>
  <c r="F285" i="5"/>
  <c r="F226" i="5"/>
  <c r="F354" i="5"/>
  <c r="F129" i="5"/>
  <c r="F257" i="5"/>
  <c r="E294" i="5"/>
  <c r="E297" i="5"/>
  <c r="E278" i="5"/>
  <c r="E36" i="5"/>
  <c r="E30" i="5"/>
  <c r="E27" i="5"/>
  <c r="E21" i="5"/>
  <c r="E342" i="5"/>
  <c r="E75" i="5"/>
  <c r="E149" i="5"/>
  <c r="E235" i="5"/>
  <c r="E321" i="5"/>
  <c r="E46" i="5"/>
  <c r="E119" i="5"/>
  <c r="E202" i="5"/>
  <c r="E286" i="5"/>
  <c r="E35" i="5"/>
  <c r="E166" i="5"/>
  <c r="E262" i="5"/>
  <c r="E70" i="5"/>
  <c r="E145" i="5"/>
  <c r="E229" i="5"/>
  <c r="E315" i="5"/>
  <c r="E33" i="5"/>
  <c r="E106" i="5"/>
  <c r="E186" i="5"/>
  <c r="E270" i="5"/>
  <c r="E356" i="5"/>
  <c r="E135" i="5"/>
  <c r="E50" i="5"/>
  <c r="E123" i="5"/>
  <c r="E205" i="5"/>
  <c r="E291" i="5"/>
  <c r="E16" i="5"/>
  <c r="E80" i="5"/>
  <c r="E144" i="5"/>
  <c r="E208" i="5"/>
  <c r="E272" i="5"/>
  <c r="E336" i="5"/>
  <c r="E183" i="5"/>
  <c r="E247" i="5"/>
  <c r="E311" i="5"/>
  <c r="F205" i="5"/>
  <c r="F199" i="5"/>
  <c r="F191" i="5"/>
  <c r="F224" i="5"/>
  <c r="F333" i="5"/>
  <c r="F326" i="5"/>
  <c r="F5" i="5"/>
  <c r="F91" i="5"/>
  <c r="F190" i="5"/>
  <c r="F293" i="5"/>
  <c r="F24" i="5"/>
  <c r="F111" i="5"/>
  <c r="F214" i="5"/>
  <c r="F317" i="5"/>
  <c r="F54" i="5"/>
  <c r="F148" i="5"/>
  <c r="F248" i="5"/>
  <c r="F21" i="5"/>
  <c r="F108" i="5"/>
  <c r="F208" i="5"/>
  <c r="F311" i="5"/>
  <c r="F52" i="5"/>
  <c r="F143" i="5"/>
  <c r="F246" i="5"/>
  <c r="F349" i="5"/>
  <c r="F71" i="5"/>
  <c r="F167" i="5"/>
  <c r="F270" i="5"/>
  <c r="F115" i="5"/>
  <c r="F179" i="5"/>
  <c r="F243" i="5"/>
  <c r="F307" i="5"/>
  <c r="F10" i="5"/>
  <c r="F74" i="5"/>
  <c r="F138" i="5"/>
  <c r="F202" i="5"/>
  <c r="F266" i="5"/>
  <c r="F330" i="5"/>
  <c r="F41" i="5"/>
  <c r="F105" i="5"/>
  <c r="F169" i="5"/>
  <c r="F233" i="5"/>
  <c r="F297" i="5"/>
  <c r="C208" i="5"/>
  <c r="C141" i="5"/>
  <c r="C54" i="5"/>
  <c r="B277" i="5"/>
  <c r="B82" i="5"/>
  <c r="C256" i="5"/>
  <c r="C100" i="5"/>
  <c r="B304" i="5"/>
  <c r="D201" i="5"/>
  <c r="C113" i="5"/>
  <c r="C58" i="5"/>
  <c r="D34" i="5"/>
  <c r="C171" i="5"/>
  <c r="B299" i="5"/>
  <c r="D98" i="5"/>
  <c r="C228" i="5"/>
  <c r="B66" i="5"/>
  <c r="B62" i="5"/>
  <c r="D46" i="5"/>
  <c r="D140" i="5"/>
  <c r="B74" i="5"/>
  <c r="D295" i="5"/>
  <c r="D222" i="5"/>
  <c r="D304" i="5"/>
  <c r="C186" i="5"/>
  <c r="C152" i="5"/>
  <c r="C75" i="5"/>
  <c r="C83" i="5"/>
  <c r="B195" i="5"/>
  <c r="B109" i="5"/>
  <c r="B201" i="5"/>
  <c r="B203" i="5"/>
  <c r="B182" i="5"/>
  <c r="D293" i="5"/>
  <c r="D324" i="5"/>
  <c r="C345" i="5"/>
  <c r="C214" i="5"/>
  <c r="C283" i="5"/>
  <c r="C105" i="5"/>
  <c r="C288" i="5"/>
  <c r="C63" i="5"/>
  <c r="C311" i="5"/>
  <c r="C176" i="5"/>
  <c r="C326" i="5"/>
  <c r="C262" i="5"/>
  <c r="C74" i="5"/>
  <c r="C309" i="5"/>
  <c r="C232" i="5"/>
  <c r="C139" i="5"/>
  <c r="C39" i="5"/>
  <c r="C205" i="5"/>
  <c r="C239" i="5"/>
  <c r="C147" i="5"/>
  <c r="C47" i="5"/>
  <c r="C324" i="5"/>
  <c r="C260" i="5"/>
  <c r="C132" i="5"/>
  <c r="C68" i="5"/>
  <c r="C4" i="5"/>
  <c r="C246" i="5"/>
  <c r="C118" i="5"/>
  <c r="B108" i="5"/>
  <c r="B41" i="5"/>
  <c r="B324" i="5"/>
  <c r="B294" i="5"/>
  <c r="B226" i="5"/>
  <c r="B316" i="5"/>
  <c r="B178" i="5"/>
  <c r="B32" i="5"/>
  <c r="B309" i="5"/>
  <c r="B97" i="5"/>
  <c r="B24" i="5"/>
  <c r="B192" i="5"/>
  <c r="B36" i="5"/>
  <c r="B146" i="5"/>
  <c r="B337" i="5"/>
  <c r="B265" i="5"/>
  <c r="B184" i="5"/>
  <c r="B101" i="5"/>
  <c r="B314" i="5"/>
  <c r="B222" i="5"/>
  <c r="B158" i="5"/>
  <c r="B94" i="5"/>
  <c r="B30" i="5"/>
  <c r="D231" i="5"/>
  <c r="D289" i="5"/>
  <c r="D118" i="5"/>
  <c r="D353" i="5"/>
  <c r="D150" i="5"/>
  <c r="D112" i="5"/>
  <c r="D280" i="5"/>
  <c r="D177" i="5"/>
  <c r="D77" i="5"/>
  <c r="D197" i="5"/>
  <c r="D94" i="5"/>
  <c r="D351" i="5"/>
  <c r="D248" i="5"/>
  <c r="D45" i="5"/>
  <c r="D199" i="5"/>
  <c r="D346" i="5"/>
  <c r="D282" i="5"/>
  <c r="D218" i="5"/>
  <c r="D154" i="5"/>
  <c r="D90" i="5"/>
  <c r="D26" i="5"/>
  <c r="D323" i="5"/>
  <c r="D259" i="5"/>
  <c r="D195" i="5"/>
  <c r="D131" i="5"/>
  <c r="D67" i="5"/>
  <c r="D3" i="5"/>
  <c r="D300" i="5"/>
  <c r="D172" i="5"/>
  <c r="D108" i="5"/>
  <c r="D5" i="5"/>
  <c r="C294" i="5"/>
  <c r="B17" i="5"/>
  <c r="B342" i="5"/>
  <c r="B347" i="5"/>
  <c r="D232" i="5"/>
  <c r="D190" i="5"/>
  <c r="D341" i="5"/>
  <c r="C89" i="5"/>
  <c r="C292" i="5"/>
  <c r="D14" i="5"/>
  <c r="C103" i="5"/>
  <c r="C158" i="5"/>
  <c r="B290" i="5"/>
  <c r="B148" i="5"/>
  <c r="B2" i="5"/>
  <c r="B134" i="5"/>
  <c r="D263" i="5"/>
  <c r="D276" i="5"/>
  <c r="D84" i="5"/>
  <c r="C263" i="5"/>
  <c r="B95" i="5"/>
  <c r="B45" i="5"/>
  <c r="B54" i="5"/>
  <c r="D167" i="5"/>
  <c r="B286" i="5"/>
  <c r="B114" i="5"/>
  <c r="B119" i="5"/>
  <c r="D204" i="5"/>
  <c r="C290" i="5"/>
  <c r="B357" i="5"/>
  <c r="B14" i="5"/>
  <c r="D348" i="5"/>
  <c r="D92" i="5"/>
  <c r="C317" i="5"/>
  <c r="C348" i="5"/>
  <c r="B163" i="5"/>
  <c r="B51" i="5"/>
  <c r="B338" i="5"/>
  <c r="B57" i="5"/>
  <c r="D161" i="5"/>
  <c r="D225" i="5"/>
  <c r="D135" i="5"/>
  <c r="C297" i="5"/>
  <c r="C15" i="5"/>
  <c r="C22" i="5"/>
  <c r="B260" i="5"/>
  <c r="B26" i="5"/>
  <c r="D41" i="5"/>
  <c r="C78" i="5"/>
  <c r="C71" i="5"/>
  <c r="D272" i="5"/>
  <c r="C31" i="5"/>
  <c r="C258" i="5"/>
  <c r="B335" i="5"/>
  <c r="B67" i="5"/>
  <c r="B80" i="5"/>
  <c r="B280" i="5"/>
  <c r="D344" i="5"/>
  <c r="D141" i="5"/>
  <c r="D20" i="5"/>
  <c r="C282" i="5"/>
  <c r="D44" i="5"/>
  <c r="C306" i="5"/>
  <c r="C310" i="5"/>
  <c r="C318" i="5"/>
  <c r="C323" i="5"/>
  <c r="C268" i="5"/>
  <c r="C204" i="5"/>
  <c r="C140" i="5"/>
  <c r="C76" i="5"/>
  <c r="C12" i="5"/>
  <c r="C254" i="5"/>
  <c r="C62" i="5"/>
  <c r="B204" i="5"/>
  <c r="B58" i="5"/>
  <c r="B96" i="5"/>
  <c r="B16" i="5"/>
  <c r="B326" i="5"/>
  <c r="B44" i="5"/>
  <c r="B315" i="5"/>
  <c r="B332" i="5"/>
  <c r="B196" i="5"/>
  <c r="B50" i="5"/>
  <c r="B210" i="5"/>
  <c r="B55" i="5"/>
  <c r="B273" i="5"/>
  <c r="B322" i="5"/>
  <c r="B185" i="5"/>
  <c r="B39" i="5"/>
  <c r="B102" i="5"/>
  <c r="B38" i="5"/>
  <c r="D111" i="5"/>
  <c r="D192" i="5"/>
  <c r="D215" i="5"/>
  <c r="D89" i="5"/>
  <c r="D279" i="5"/>
  <c r="D191" i="5"/>
  <c r="D88" i="5"/>
  <c r="D350" i="5"/>
  <c r="D110" i="5"/>
  <c r="D308" i="5"/>
  <c r="D244" i="5"/>
  <c r="D52" i="5"/>
  <c r="D13" i="5"/>
  <c r="C155" i="5"/>
  <c r="C325" i="5"/>
  <c r="C162" i="5"/>
  <c r="C301" i="5"/>
  <c r="C231" i="5"/>
  <c r="C91" i="5"/>
  <c r="C90" i="5"/>
  <c r="C346" i="5"/>
  <c r="C293" i="5"/>
  <c r="C16" i="5"/>
  <c r="C253" i="5"/>
  <c r="C167" i="5"/>
  <c r="C64" i="5"/>
  <c r="C215" i="5"/>
  <c r="C333" i="5"/>
  <c r="C259" i="5"/>
  <c r="C175" i="5"/>
  <c r="C72" i="5"/>
  <c r="C212" i="5"/>
  <c r="C148" i="5"/>
  <c r="C84" i="5"/>
  <c r="C20" i="5"/>
  <c r="C198" i="5"/>
  <c r="C134" i="5"/>
  <c r="C70" i="5"/>
  <c r="C6" i="5"/>
  <c r="B145" i="5"/>
  <c r="B76" i="5"/>
  <c r="B180" i="5"/>
  <c r="B52" i="5"/>
  <c r="B25" i="5"/>
  <c r="B340" i="5"/>
  <c r="B310" i="5"/>
  <c r="B263" i="5"/>
  <c r="B331" i="5"/>
  <c r="B348" i="5"/>
  <c r="B215" i="5"/>
  <c r="B68" i="5"/>
  <c r="B325" i="5"/>
  <c r="B261" i="5"/>
  <c r="B188" i="5"/>
  <c r="B115" i="5"/>
  <c r="B42" i="5"/>
  <c r="B27" i="5"/>
  <c r="B73" i="5"/>
  <c r="B336" i="5"/>
  <c r="B183" i="5"/>
  <c r="B281" i="5"/>
  <c r="B202" i="5"/>
  <c r="B330" i="5"/>
  <c r="B194" i="5"/>
  <c r="B121" i="5"/>
  <c r="B48" i="5"/>
  <c r="B238" i="5"/>
  <c r="B110" i="5"/>
  <c r="B46" i="5"/>
  <c r="D281" i="5"/>
  <c r="D78" i="5"/>
  <c r="D207" i="5"/>
  <c r="D342" i="5"/>
  <c r="D136" i="5"/>
  <c r="D345" i="5"/>
  <c r="D142" i="5"/>
  <c r="D240" i="5"/>
  <c r="D117" i="5"/>
  <c r="D305" i="5"/>
  <c r="D102" i="5"/>
  <c r="D224" i="5"/>
  <c r="D121" i="5"/>
  <c r="D298" i="5"/>
  <c r="D234" i="5"/>
  <c r="D170" i="5"/>
  <c r="D106" i="5"/>
  <c r="D42" i="5"/>
  <c r="D339" i="5"/>
  <c r="D275" i="5"/>
  <c r="D211" i="5"/>
  <c r="D147" i="5"/>
  <c r="D83" i="5"/>
  <c r="D316" i="5"/>
  <c r="D252" i="5"/>
  <c r="D188" i="5"/>
  <c r="D21" i="5"/>
  <c r="C181" i="5"/>
  <c r="C66" i="5"/>
  <c r="C106" i="5"/>
  <c r="C185" i="5"/>
  <c r="B303" i="5"/>
  <c r="B241" i="5"/>
  <c r="B7" i="5"/>
  <c r="D132" i="5"/>
  <c r="C347" i="5"/>
  <c r="C335" i="5"/>
  <c r="C285" i="5"/>
  <c r="C322" i="5"/>
  <c r="C57" i="5"/>
  <c r="C356" i="5"/>
  <c r="B35" i="5"/>
  <c r="B162" i="5"/>
  <c r="B251" i="5"/>
  <c r="B60" i="5"/>
  <c r="B264" i="5"/>
  <c r="B228" i="5"/>
  <c r="B346" i="5"/>
  <c r="B139" i="5"/>
  <c r="B190" i="5"/>
  <c r="D318" i="5"/>
  <c r="D245" i="5"/>
  <c r="D333" i="5"/>
  <c r="D24" i="5"/>
  <c r="D95" i="5"/>
  <c r="D149" i="5"/>
  <c r="C201" i="5"/>
  <c r="C65" i="5"/>
  <c r="C200" i="5"/>
  <c r="C145" i="5"/>
  <c r="C287" i="5"/>
  <c r="C8" i="5"/>
  <c r="C222" i="5"/>
  <c r="C30" i="5"/>
  <c r="B53" i="5"/>
  <c r="B318" i="5"/>
  <c r="B199" i="5"/>
  <c r="B209" i="5"/>
  <c r="B63" i="5"/>
  <c r="B232" i="5"/>
  <c r="B49" i="5"/>
  <c r="B349" i="5"/>
  <c r="B285" i="5"/>
  <c r="B216" i="5"/>
  <c r="B143" i="5"/>
  <c r="B344" i="5"/>
  <c r="B137" i="5"/>
  <c r="B313" i="5"/>
  <c r="B221" i="5"/>
  <c r="B75" i="5"/>
  <c r="B198" i="5"/>
  <c r="B70" i="5"/>
  <c r="B6" i="5"/>
  <c r="D153" i="5"/>
  <c r="D214" i="5"/>
  <c r="D40" i="5"/>
  <c r="D278" i="5"/>
  <c r="D72" i="5"/>
  <c r="D47" i="5"/>
  <c r="D176" i="5"/>
  <c r="D241" i="5"/>
  <c r="D38" i="5"/>
  <c r="D158" i="5"/>
  <c r="D55" i="5"/>
  <c r="D312" i="5"/>
  <c r="D109" i="5"/>
  <c r="D160" i="5"/>
  <c r="D57" i="5"/>
  <c r="D322" i="5"/>
  <c r="D258" i="5"/>
  <c r="D194" i="5"/>
  <c r="D130" i="5"/>
  <c r="D66" i="5"/>
  <c r="D2" i="5"/>
  <c r="D299" i="5"/>
  <c r="D235" i="5"/>
  <c r="D171" i="5"/>
  <c r="D107" i="5"/>
  <c r="D43" i="5"/>
  <c r="D340" i="5"/>
  <c r="D212" i="5"/>
  <c r="D148" i="5"/>
  <c r="C313" i="5"/>
  <c r="D216" i="5"/>
  <c r="D247" i="5"/>
  <c r="D196" i="5"/>
  <c r="D4" i="5"/>
  <c r="C9" i="5"/>
  <c r="C73" i="5"/>
  <c r="C17" i="5"/>
  <c r="C160" i="5"/>
  <c r="C312" i="5"/>
  <c r="C195" i="5"/>
  <c r="B319" i="5"/>
  <c r="B270" i="5"/>
  <c r="B43" i="5"/>
  <c r="B31" i="5"/>
  <c r="B341" i="5"/>
  <c r="B212" i="5"/>
  <c r="B254" i="5"/>
  <c r="D246" i="5"/>
  <c r="D253" i="5"/>
  <c r="D230" i="5"/>
  <c r="D261" i="5"/>
  <c r="D301" i="5"/>
  <c r="D352" i="5"/>
  <c r="D332" i="5"/>
  <c r="D76" i="5"/>
  <c r="C129" i="5"/>
  <c r="C98" i="5"/>
  <c r="C354" i="5"/>
  <c r="C321" i="5"/>
  <c r="C207" i="5"/>
  <c r="C300" i="5"/>
  <c r="B308" i="5"/>
  <c r="B123" i="5"/>
  <c r="B354" i="5"/>
  <c r="C337" i="5"/>
  <c r="C245" i="5"/>
  <c r="C250" i="5"/>
  <c r="C104" i="5"/>
  <c r="C210" i="5"/>
  <c r="C11" i="5"/>
  <c r="C341" i="5"/>
  <c r="C184" i="5"/>
  <c r="C203" i="5"/>
  <c r="C217" i="5"/>
  <c r="C308" i="5"/>
  <c r="C116" i="5"/>
  <c r="C230" i="5"/>
  <c r="C102" i="5"/>
  <c r="B351" i="5"/>
  <c r="B218" i="5"/>
  <c r="B72" i="5"/>
  <c r="B291" i="5"/>
  <c r="B3" i="5"/>
  <c r="B253" i="5"/>
  <c r="B208" i="5"/>
  <c r="B245" i="5"/>
  <c r="B177" i="5"/>
  <c r="B132" i="5"/>
  <c r="B135" i="5"/>
  <c r="B250" i="5"/>
  <c r="B284" i="5"/>
  <c r="B293" i="5"/>
  <c r="B225" i="5"/>
  <c r="B152" i="5"/>
  <c r="B79" i="5"/>
  <c r="B5" i="5"/>
  <c r="B296" i="5"/>
  <c r="B155" i="5"/>
  <c r="B353" i="5"/>
  <c r="B272" i="5"/>
  <c r="B100" i="5"/>
  <c r="B321" i="5"/>
  <c r="B248" i="5"/>
  <c r="B165" i="5"/>
  <c r="B298" i="5"/>
  <c r="B231" i="5"/>
  <c r="B157" i="5"/>
  <c r="B84" i="5"/>
  <c r="B11" i="5"/>
  <c r="B206" i="5"/>
  <c r="B142" i="5"/>
  <c r="B78" i="5"/>
  <c r="D181" i="5"/>
  <c r="D310" i="5"/>
  <c r="D104" i="5"/>
  <c r="D239" i="5"/>
  <c r="D33" i="5"/>
  <c r="D65" i="5"/>
  <c r="D37" i="5"/>
  <c r="D303" i="5"/>
  <c r="D97" i="5"/>
  <c r="D7" i="5"/>
  <c r="D221" i="5"/>
  <c r="D255" i="5"/>
  <c r="D152" i="5"/>
  <c r="D49" i="5"/>
  <c r="D286" i="5"/>
  <c r="D169" i="5"/>
  <c r="D69" i="5"/>
  <c r="D326" i="5"/>
  <c r="D223" i="5"/>
  <c r="D120" i="5"/>
  <c r="D16" i="5"/>
  <c r="D277" i="5"/>
  <c r="D174" i="5"/>
  <c r="D71" i="5"/>
  <c r="D330" i="5"/>
  <c r="D266" i="5"/>
  <c r="D202" i="5"/>
  <c r="D138" i="5"/>
  <c r="D74" i="5"/>
  <c r="D10" i="5"/>
  <c r="D307" i="5"/>
  <c r="D243" i="5"/>
  <c r="D179" i="5"/>
  <c r="D115" i="5"/>
  <c r="D51" i="5"/>
  <c r="D284" i="5"/>
  <c r="D220" i="5"/>
  <c r="D156" i="5"/>
  <c r="D28" i="5"/>
  <c r="C314" i="5"/>
  <c r="C182" i="5"/>
  <c r="C261" i="5"/>
  <c r="C3" i="5"/>
  <c r="C146" i="5"/>
  <c r="C342" i="5"/>
  <c r="B327" i="5"/>
  <c r="B333" i="5"/>
  <c r="B124" i="5"/>
  <c r="B246" i="5"/>
  <c r="D217" i="5"/>
  <c r="D8" i="5"/>
  <c r="C2" i="5"/>
  <c r="C177" i="5"/>
  <c r="C189" i="5"/>
  <c r="C120" i="5"/>
  <c r="C248" i="5"/>
  <c r="B181" i="5"/>
  <c r="B116" i="5"/>
  <c r="B23" i="5"/>
  <c r="B105" i="5"/>
  <c r="B229" i="5"/>
  <c r="B126" i="5"/>
  <c r="D189" i="5"/>
  <c r="D127" i="5"/>
  <c r="D144" i="5"/>
  <c r="D198" i="5"/>
  <c r="D12" i="5"/>
  <c r="C27" i="5"/>
  <c r="C273" i="5"/>
  <c r="C138" i="5"/>
  <c r="C281" i="5"/>
  <c r="C331" i="5"/>
  <c r="C131" i="5"/>
  <c r="C111" i="5"/>
  <c r="C236" i="5"/>
  <c r="C94" i="5"/>
  <c r="B200" i="5"/>
  <c r="B189" i="5"/>
  <c r="B169" i="5"/>
  <c r="B268" i="5"/>
  <c r="C211" i="5"/>
  <c r="C328" i="5"/>
  <c r="C143" i="5"/>
  <c r="C197" i="5"/>
  <c r="C219" i="5"/>
  <c r="C114" i="5"/>
  <c r="C159" i="5"/>
  <c r="C42" i="5"/>
  <c r="C267" i="5"/>
  <c r="C82" i="5"/>
  <c r="C339" i="5"/>
  <c r="C296" i="5"/>
  <c r="C122" i="5"/>
  <c r="C19" i="5"/>
  <c r="C244" i="5"/>
  <c r="C180" i="5"/>
  <c r="C52" i="5"/>
  <c r="C166" i="5"/>
  <c r="C38" i="5"/>
  <c r="C265" i="5"/>
  <c r="C80" i="5"/>
  <c r="C87" i="5"/>
  <c r="C154" i="5"/>
  <c r="C291" i="5"/>
  <c r="C243" i="5"/>
  <c r="C35" i="5"/>
  <c r="C234" i="5"/>
  <c r="C151" i="5"/>
  <c r="C271" i="5"/>
  <c r="C192" i="5"/>
  <c r="C279" i="5"/>
  <c r="C241" i="5"/>
  <c r="C49" i="5"/>
  <c r="C299" i="5"/>
  <c r="C221" i="5"/>
  <c r="C128" i="5"/>
  <c r="C25" i="5"/>
  <c r="C170" i="5"/>
  <c r="C56" i="5"/>
  <c r="C350" i="5"/>
  <c r="C277" i="5"/>
  <c r="C194" i="5"/>
  <c r="C96" i="5"/>
  <c r="C225" i="5"/>
  <c r="C305" i="5"/>
  <c r="C227" i="5"/>
  <c r="C136" i="5"/>
  <c r="C33" i="5"/>
  <c r="C316" i="5"/>
  <c r="C252" i="5"/>
  <c r="C188" i="5"/>
  <c r="C124" i="5"/>
  <c r="C60" i="5"/>
  <c r="C238" i="5"/>
  <c r="C174" i="5"/>
  <c r="C110" i="5"/>
  <c r="C46" i="5"/>
  <c r="B107" i="5"/>
  <c r="B236" i="5"/>
  <c r="B90" i="5"/>
  <c r="B307" i="5"/>
  <c r="B168" i="5"/>
  <c r="B34" i="5"/>
  <c r="B302" i="5"/>
  <c r="B276" i="5"/>
  <c r="B244" i="5"/>
  <c r="B279" i="5"/>
  <c r="B283" i="5"/>
  <c r="B187" i="5"/>
  <c r="B171" i="5"/>
  <c r="B154" i="5"/>
  <c r="B267" i="5"/>
  <c r="B104" i="5"/>
  <c r="B13" i="5"/>
  <c r="B301" i="5"/>
  <c r="B234" i="5"/>
  <c r="B161" i="5"/>
  <c r="B88" i="5"/>
  <c r="B15" i="5"/>
  <c r="B312" i="5"/>
  <c r="B173" i="5"/>
  <c r="B9" i="5"/>
  <c r="B288" i="5"/>
  <c r="B128" i="5"/>
  <c r="B329" i="5"/>
  <c r="B257" i="5"/>
  <c r="B175" i="5"/>
  <c r="B306" i="5"/>
  <c r="B240" i="5"/>
  <c r="B167" i="5"/>
  <c r="B93" i="5"/>
  <c r="B20" i="5"/>
  <c r="B214" i="5"/>
  <c r="B150" i="5"/>
  <c r="B86" i="5"/>
  <c r="B22" i="5"/>
  <c r="D206" i="5"/>
  <c r="D335" i="5"/>
  <c r="D129" i="5"/>
  <c r="D264" i="5"/>
  <c r="D349" i="5"/>
  <c r="D93" i="5"/>
  <c r="D87" i="5"/>
  <c r="D328" i="5"/>
  <c r="D125" i="5"/>
  <c r="D321" i="5"/>
  <c r="D229" i="5"/>
  <c r="D23" i="5"/>
  <c r="D269" i="5"/>
  <c r="D166" i="5"/>
  <c r="D63" i="5"/>
  <c r="D297" i="5"/>
  <c r="D183" i="5"/>
  <c r="D80" i="5"/>
  <c r="D237" i="5"/>
  <c r="D134" i="5"/>
  <c r="D31" i="5"/>
  <c r="D288" i="5"/>
  <c r="D185" i="5"/>
  <c r="D85" i="5"/>
  <c r="D338" i="5"/>
  <c r="D274" i="5"/>
  <c r="D210" i="5"/>
  <c r="D146" i="5"/>
  <c r="D82" i="5"/>
  <c r="D18" i="5"/>
  <c r="D315" i="5"/>
  <c r="D251" i="5"/>
  <c r="D187" i="5"/>
  <c r="D123" i="5"/>
  <c r="D59" i="5"/>
  <c r="D356" i="5"/>
  <c r="D292" i="5"/>
  <c r="D228" i="5"/>
  <c r="D164" i="5"/>
  <c r="D100" i="5"/>
  <c r="D36" i="5"/>
</calcChain>
</file>

<file path=xl/sharedStrings.xml><?xml version="1.0" encoding="utf-8"?>
<sst xmlns="http://schemas.openxmlformats.org/spreadsheetml/2006/main" count="359" uniqueCount="102">
  <si>
    <t>IR Term Structure</t>
  </si>
  <si>
    <t>Instrument</t>
  </si>
  <si>
    <t>AdjRate</t>
  </si>
  <si>
    <t>AUD-Deposit-1D</t>
  </si>
  <si>
    <t>AUD-Deposit-1W</t>
  </si>
  <si>
    <t>AUD-Deposit-2W</t>
  </si>
  <si>
    <t>AUD-Deposit-1M</t>
  </si>
  <si>
    <t>AUD-Deposit-2M</t>
  </si>
  <si>
    <t>AUD-Deposit-3M</t>
  </si>
  <si>
    <t>Additional</t>
  </si>
  <si>
    <t>ReferenceDate</t>
  </si>
  <si>
    <t>RateCurve</t>
  </si>
  <si>
    <t>IndexName</t>
  </si>
  <si>
    <t>AUD-LIBOR-BBA</t>
  </si>
  <si>
    <t>IndexTenor</t>
  </si>
  <si>
    <t>3M</t>
  </si>
  <si>
    <t>Algorithm</t>
  </si>
  <si>
    <t>Date</t>
  </si>
  <si>
    <t>LIVE</t>
  </si>
  <si>
    <t>SimpleGapStep</t>
  </si>
  <si>
    <t>MarketQuote</t>
  </si>
  <si>
    <t>Diff</t>
  </si>
  <si>
    <t>Continuous</t>
  </si>
  <si>
    <t>FlatForward</t>
  </si>
  <si>
    <t>LinearZero</t>
  </si>
  <si>
    <t>Base algorithm</t>
  </si>
  <si>
    <t>COE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</si>
  <si>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</si>
  <si>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</si>
  <si>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</si>
  <si>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</si>
  <si>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</si>
  <si>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</si>
  <si>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</si>
  <si>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</si>
  <si>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</si>
  <si>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</si>
  <si>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CurveName</t>
  </si>
  <si>
    <t>MeasureTpe</t>
  </si>
  <si>
    <t>Volatility</t>
  </si>
  <si>
    <t>Units</t>
  </si>
  <si>
    <t>DecimalRate</t>
  </si>
  <si>
    <t>LogNormalVolatility</t>
  </si>
  <si>
    <t>Values</t>
  </si>
  <si>
    <t>3D</t>
  </si>
  <si>
    <t>GBP-Deposit-1D</t>
  </si>
  <si>
    <t>GBP-Deposit-1W</t>
  </si>
  <si>
    <t>GBP-Deposit-2W</t>
  </si>
  <si>
    <t>GBP-Deposit-1M</t>
  </si>
  <si>
    <t>GBP-Deposit-2M</t>
  </si>
  <si>
    <t>GBP-Deposit-3M</t>
  </si>
  <si>
    <t>GBP-IRSwap-3Y</t>
  </si>
  <si>
    <t>GBP-IRSwap-4Y</t>
  </si>
  <si>
    <t>GBP-IRSwap-5Y</t>
  </si>
  <si>
    <t>GBP-IRSwap-6Y</t>
  </si>
  <si>
    <t>GBP-IRSwap-7Y</t>
  </si>
  <si>
    <t>GBP-IRSwap-8Y</t>
  </si>
  <si>
    <t>GBP-IRSwap-9Y</t>
  </si>
  <si>
    <t>GBP-IRSwap-10Y</t>
  </si>
  <si>
    <t>GBP-IRSwap-15Y</t>
  </si>
  <si>
    <t>GBP-IRSwap-20Y</t>
  </si>
  <si>
    <t>GBP-LIBOR-BBA</t>
  </si>
  <si>
    <t>CURRENCY</t>
  </si>
  <si>
    <t>GBP</t>
  </si>
  <si>
    <t>DecimalSpread</t>
  </si>
  <si>
    <t>Change</t>
  </si>
  <si>
    <t>FastLinearZero</t>
  </si>
  <si>
    <t>6M</t>
  </si>
  <si>
    <t>RateSpreadCurve</t>
  </si>
  <si>
    <t>Quarterly</t>
  </si>
  <si>
    <t>Contiuous</t>
  </si>
  <si>
    <t>Daily</t>
  </si>
  <si>
    <t>Semi</t>
  </si>
  <si>
    <t>Annual</t>
  </si>
  <si>
    <t>BuildDateTime</t>
  </si>
  <si>
    <t>Identifier</t>
  </si>
  <si>
    <t>PricingStructureType</t>
  </si>
  <si>
    <t>MarketEnvironment</t>
  </si>
  <si>
    <t>=QFN("QRLib.PricingStructures.PerturbRateCurve", $H$4, $H$1, AJ12:AJ43, "MarketQuote")</t>
  </si>
  <si>
    <t>=QFN("QRLib.PricingStructures.ReCalculateRateCurve", C4, C1, C13:C36)</t>
  </si>
  <si>
    <t>MarketName</t>
  </si>
  <si>
    <t>1M</t>
  </si>
  <si>
    <t>ReferenceCurveUniqueId</t>
  </si>
  <si>
    <t>5D</t>
  </si>
  <si>
    <t>DF 1</t>
  </si>
  <si>
    <t>DF 2</t>
  </si>
  <si>
    <t>DF 3</t>
  </si>
  <si>
    <t>GBP-IRFuture-L-1</t>
  </si>
  <si>
    <t>GBP-IRFuture-L-2</t>
  </si>
  <si>
    <t>GBP-IRFuture-L-3</t>
  </si>
  <si>
    <t>GBP-IRFuture-L-4</t>
  </si>
  <si>
    <t>GBP-IRFuture-L-5</t>
  </si>
  <si>
    <t>GBP-IRFuture-L-6</t>
  </si>
  <si>
    <t>GBP-IRFuture-L-7</t>
  </si>
  <si>
    <t>GBP-IRFuture-L-8</t>
  </si>
  <si>
    <t>DF 4</t>
  </si>
  <si>
    <t>DF 5</t>
  </si>
  <si>
    <t>BaseDate</t>
  </si>
  <si>
    <t>=CreateRateSpreadCurve(K2:L12,M14:M37, N14:N37)</t>
  </si>
  <si>
    <t>Above should work as well.</t>
  </si>
  <si>
    <t>Still can't handle the turn effect. Work needs to be done to extend the code.</t>
  </si>
  <si>
    <t>Must have the same number of inputs as the reference curve!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</si>
</sst>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d/mm/yyyy;@"/>
    <numFmt numFmtId="165" formatCode="&quot;$&quot;#,##0\ ;\(&quot;$&quot;#,##0\)"/>
    <numFmt numFmtId="166" formatCode="dd\-mmm\-yy"/>
    <numFmt numFmtId="167" formatCode="0.00_)"/>
    <numFmt numFmtId="168" formatCode="0.000%"/>
    <numFmt numFmtId="169" formatCode="#,##0.0;#,##0.0"/>
    <numFmt numFmtId="170" formatCode="\+#,##0.00;\-#,##0.00"/>
    <numFmt numFmtId="171" formatCode="d/m/yyyy;@"/>
    <numFmt numFmtId="172" formatCode="0.000"/>
    <numFmt numFmtId="173" formatCode="d/mm/yyyy;@"/>
  </numFmts>
  <fonts count="4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b/>
      <sz val="8"/>
      <color indexed="9"/>
      <name val="Times New Roman"/>
      <family val="1"/>
    </font>
    <font>
      <b/>
      <i/>
      <sz val="8"/>
      <color indexed="9"/>
      <name val="Verdan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10"/>
      <name val="Times New Roman"/>
      <family val="1"/>
    </font>
    <font>
      <b/>
      <sz val="10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1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Alignment="0"/>
    <xf numFmtId="0" fontId="12" fillId="3" borderId="0" applyNumberFormat="0" applyBorder="0" applyAlignment="0" applyProtection="0"/>
    <xf numFmtId="0" fontId="13" fillId="21" borderId="1" applyNumberFormat="0" applyAlignment="0" applyProtection="0"/>
    <xf numFmtId="0" fontId="14" fillId="22" borderId="2" applyNumberFormat="0" applyAlignment="0" applyProtection="0"/>
    <xf numFmtId="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23" borderId="0" applyNumberFormat="0" applyBorder="0">
      <alignment horizontal="right" vertical="center"/>
    </xf>
    <xf numFmtId="19" fontId="20" fillId="23" borderId="6" applyNumberFormat="0" applyBorder="0">
      <alignment horizontal="left" vertical="center"/>
    </xf>
    <xf numFmtId="2" fontId="21" fillId="24" borderId="0">
      <alignment horizontal="center" vertical="center"/>
    </xf>
    <xf numFmtId="2" fontId="21" fillId="24" borderId="7" applyBorder="0">
      <alignment horizontal="left" vertical="center"/>
    </xf>
    <xf numFmtId="0" fontId="20" fillId="23" borderId="0">
      <alignment horizontal="right" vertical="center"/>
    </xf>
    <xf numFmtId="19" fontId="22" fillId="23" borderId="8" applyNumberFormat="0" applyBorder="0">
      <alignment horizontal="left" vertical="center" indent="1"/>
    </xf>
    <xf numFmtId="2" fontId="23" fillId="24" borderId="9" applyBorder="0">
      <alignment horizontal="left" vertical="center" indent="1"/>
    </xf>
    <xf numFmtId="2" fontId="23" fillId="24" borderId="10" applyBorder="0">
      <alignment horizontal="center" vertical="center"/>
    </xf>
    <xf numFmtId="0" fontId="24" fillId="7" borderId="1" applyNumberFormat="0" applyAlignment="0" applyProtection="0"/>
    <xf numFmtId="2" fontId="25" fillId="25" borderId="11" applyBorder="0">
      <alignment horizontal="left" vertical="center" indent="1"/>
    </xf>
    <xf numFmtId="0" fontId="25" fillId="25" borderId="0">
      <alignment horizontal="right" vertical="center"/>
    </xf>
    <xf numFmtId="2" fontId="25" fillId="25" borderId="6" applyNumberFormat="0" applyBorder="0">
      <alignment horizontal="right" vertical="center"/>
    </xf>
    <xf numFmtId="2" fontId="26" fillId="26" borderId="8" applyBorder="0">
      <alignment horizontal="left" vertical="center" indent="1"/>
    </xf>
    <xf numFmtId="2" fontId="26" fillId="26" borderId="0">
      <alignment horizontal="right" vertical="center"/>
    </xf>
    <xf numFmtId="2" fontId="26" fillId="26" borderId="7" applyBorder="0">
      <alignment horizontal="left" vertical="center"/>
    </xf>
    <xf numFmtId="2" fontId="26" fillId="26" borderId="12" applyBorder="0">
      <alignment horizontal="center" vertical="center"/>
    </xf>
    <xf numFmtId="19" fontId="22" fillId="27" borderId="13" applyNumberFormat="0" applyBorder="0">
      <alignment horizontal="left" vertical="center"/>
    </xf>
    <xf numFmtId="166" fontId="22" fillId="27" borderId="10" applyNumberFormat="0" applyBorder="0">
      <alignment horizontal="right" vertical="center"/>
    </xf>
    <xf numFmtId="19" fontId="22" fillId="27" borderId="14" applyNumberFormat="0" applyBorder="0">
      <alignment horizontal="right" vertical="center"/>
    </xf>
    <xf numFmtId="2" fontId="23" fillId="28" borderId="15" applyBorder="0">
      <alignment horizontal="left" vertical="center" indent="1"/>
    </xf>
    <xf numFmtId="2" fontId="23" fillId="28" borderId="7" applyNumberFormat="0">
      <alignment horizontal="center" vertical="center"/>
    </xf>
    <xf numFmtId="2" fontId="23" fillId="28" borderId="7" applyNumberFormat="0" applyBorder="0">
      <alignment horizontal="left" vertical="center"/>
    </xf>
    <xf numFmtId="2" fontId="25" fillId="29" borderId="14" applyNumberFormat="0" applyBorder="0">
      <alignment horizontal="right" vertical="center"/>
    </xf>
    <xf numFmtId="0" fontId="27" fillId="0" borderId="16" applyNumberFormat="0" applyFill="0" applyAlignment="0" applyProtection="0"/>
    <xf numFmtId="0" fontId="28" fillId="30" borderId="0" applyNumberFormat="0" applyBorder="0" applyAlignment="0" applyProtection="0"/>
    <xf numFmtId="0" fontId="1" fillId="0" borderId="0" applyNumberFormat="0" applyFont="0" applyFill="0" applyBorder="0" applyAlignment="0"/>
    <xf numFmtId="167" fontId="29" fillId="0" borderId="0"/>
    <xf numFmtId="0" fontId="1" fillId="31" borderId="0"/>
    <xf numFmtId="0" fontId="1" fillId="31" borderId="0"/>
    <xf numFmtId="0" fontId="1" fillId="32" borderId="17" applyNumberFormat="0" applyFont="0" applyAlignment="0" applyProtection="0"/>
    <xf numFmtId="0" fontId="30" fillId="33" borderId="18" applyNumberFormat="0" applyBorder="0">
      <alignment horizontal="left" vertical="center"/>
    </xf>
    <xf numFmtId="2" fontId="30" fillId="33" borderId="7" applyNumberFormat="0" applyBorder="0">
      <alignment horizontal="left" vertical="center"/>
    </xf>
    <xf numFmtId="2" fontId="26" fillId="26" borderId="19" applyNumberFormat="0" applyBorder="0">
      <alignment horizontal="left" vertical="center"/>
    </xf>
    <xf numFmtId="2" fontId="26" fillId="26" borderId="7" applyNumberFormat="0" applyBorder="0">
      <alignment horizontal="left" vertical="center"/>
    </xf>
    <xf numFmtId="0" fontId="31" fillId="21" borderId="20" applyNumberFormat="0" applyAlignment="0" applyProtection="0"/>
    <xf numFmtId="19" fontId="25" fillId="34" borderId="21" applyNumberFormat="0" applyBorder="0">
      <alignment horizontal="left" vertical="center" indent="1"/>
    </xf>
    <xf numFmtId="0" fontId="25" fillId="34" borderId="0">
      <alignment horizontal="right" vertical="center"/>
    </xf>
    <xf numFmtId="19" fontId="25" fillId="34" borderId="14" applyNumberFormat="0" applyBorder="0">
      <alignment horizontal="right" vertical="center"/>
    </xf>
    <xf numFmtId="2" fontId="32" fillId="35" borderId="9" applyBorder="0">
      <alignment horizontal="left" vertical="center" indent="1"/>
    </xf>
    <xf numFmtId="2" fontId="32" fillId="35" borderId="0">
      <alignment horizontal="center" vertical="center"/>
    </xf>
    <xf numFmtId="2" fontId="32" fillId="35" borderId="22">
      <alignment horizontal="left" vertical="center"/>
    </xf>
    <xf numFmtId="0" fontId="33" fillId="36" borderId="12">
      <alignment horizontal="center"/>
    </xf>
    <xf numFmtId="9" fontId="1" fillId="0" borderId="0" applyFont="0" applyFill="0" applyBorder="0" applyAlignment="0" applyProtection="0"/>
    <xf numFmtId="168" fontId="34" fillId="37" borderId="0" applyNumberFormat="0" applyBorder="0">
      <alignment horizontal="right" vertical="center"/>
    </xf>
    <xf numFmtId="168" fontId="34" fillId="37" borderId="0" applyNumberFormat="0" applyBorder="0">
      <alignment horizontal="right" vertical="center"/>
    </xf>
    <xf numFmtId="0" fontId="35" fillId="38" borderId="12" applyNumberFormat="0">
      <alignment horizontal="center" vertical="center"/>
    </xf>
    <xf numFmtId="0" fontId="35" fillId="38" borderId="0" applyNumberFormat="0" applyBorder="0">
      <alignment horizontal="left" vertical="center" indent="1"/>
    </xf>
    <xf numFmtId="169" fontId="36" fillId="39" borderId="0">
      <alignment horizontal="center" vertical="center"/>
    </xf>
    <xf numFmtId="170" fontId="37" fillId="40" borderId="0">
      <alignment horizontal="center" vertical="center"/>
      <protection locked="0"/>
    </xf>
    <xf numFmtId="0" fontId="1" fillId="0" borderId="0">
      <alignment horizontal="left" wrapText="1"/>
    </xf>
    <xf numFmtId="2" fontId="38" fillId="41" borderId="18" applyNumberFormat="0" applyFill="0" applyBorder="0" applyAlignment="0">
      <alignment horizontal="center"/>
      <protection locked="0"/>
    </xf>
    <xf numFmtId="2" fontId="25" fillId="42" borderId="7" applyNumberFormat="0" applyBorder="0">
      <alignment horizontal="right" vertical="center"/>
    </xf>
    <xf numFmtId="2" fontId="25" fillId="42" borderId="0">
      <alignment horizontal="right" vertical="center"/>
    </xf>
    <xf numFmtId="2" fontId="26" fillId="43" borderId="12">
      <alignment horizontal="center" vertical="center"/>
    </xf>
    <xf numFmtId="2" fontId="26" fillId="43" borderId="0" applyNumberFormat="0" applyBorder="0">
      <alignment horizontal="left" vertical="center"/>
    </xf>
    <xf numFmtId="2" fontId="26" fillId="43" borderId="12">
      <alignment horizontal="center" vertical="center"/>
    </xf>
    <xf numFmtId="0" fontId="39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41" fillId="0" borderId="0" applyNumberFormat="0" applyFill="0" applyBorder="0" applyAlignment="0" applyProtection="0"/>
    <xf numFmtId="38" fontId="42" fillId="0" borderId="0" applyFont="0" applyFill="0" applyBorder="0" applyAlignment="0" applyProtection="0"/>
    <xf numFmtId="0" fontId="42" fillId="0" borderId="0"/>
  </cellStyleXfs>
  <cellXfs count="89">
    <xf numFmtId="0" fontId="0" fillId="0" borderId="0" xfId="0"/>
    <xf numFmtId="0" fontId="2" fillId="0" borderId="0" xfId="0" applyFont="1"/>
    <xf numFmtId="0" fontId="5" fillId="0" borderId="0" xfId="0" applyFont="1"/>
    <xf numFmtId="0" fontId="6" fillId="45" borderId="6" xfId="68" applyFont="1" applyFill="1" applyBorder="1"/>
    <xf numFmtId="0" fontId="6" fillId="45" borderId="28" xfId="68" applyFont="1" applyFill="1" applyBorder="1"/>
    <xf numFmtId="0" fontId="4" fillId="45" borderId="27" xfId="68" applyFont="1" applyFill="1" applyBorder="1" applyAlignment="1">
      <alignment horizontal="center"/>
    </xf>
    <xf numFmtId="0" fontId="7" fillId="45" borderId="29" xfId="68" applyFont="1" applyFill="1" applyBorder="1" applyAlignment="1">
      <alignment horizontal="center"/>
    </xf>
    <xf numFmtId="0" fontId="7" fillId="45" borderId="26" xfId="68" applyFont="1" applyFill="1" applyBorder="1" applyAlignment="1">
      <alignment horizontal="center"/>
    </xf>
    <xf numFmtId="2" fontId="5" fillId="46" borderId="6" xfId="68" applyNumberFormat="1" applyFont="1" applyFill="1" applyBorder="1" applyAlignment="1">
      <alignment horizontal="right"/>
    </xf>
    <xf numFmtId="2" fontId="5" fillId="46" borderId="14" xfId="68" applyNumberFormat="1" applyFont="1" applyFill="1" applyBorder="1" applyAlignment="1">
      <alignment horizontal="right"/>
    </xf>
    <xf numFmtId="2" fontId="5" fillId="46" borderId="28" xfId="68" applyNumberFormat="1" applyFont="1" applyFill="1" applyBorder="1" applyAlignment="1">
      <alignment horizontal="right"/>
    </xf>
    <xf numFmtId="0" fontId="8" fillId="0" borderId="0" xfId="0" applyFont="1"/>
    <xf numFmtId="171" fontId="8" fillId="0" borderId="7" xfId="0" applyNumberFormat="1" applyFont="1" applyBorder="1"/>
    <xf numFmtId="0" fontId="8" fillId="0" borderId="14" xfId="0" applyFont="1" applyBorder="1"/>
    <xf numFmtId="171" fontId="8" fillId="0" borderId="22" xfId="0" applyNumberFormat="1" applyFont="1" applyBorder="1"/>
    <xf numFmtId="171" fontId="8" fillId="0" borderId="25" xfId="0" applyNumberFormat="1" applyFont="1" applyBorder="1"/>
    <xf numFmtId="0" fontId="5" fillId="46" borderId="8" xfId="68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46" borderId="31" xfId="68" applyFont="1" applyFill="1" applyBorder="1" applyAlignment="1">
      <alignment horizontal="center"/>
    </xf>
    <xf numFmtId="0" fontId="5" fillId="46" borderId="21" xfId="68" applyFont="1" applyFill="1" applyBorder="1" applyAlignment="1">
      <alignment horizontal="center"/>
    </xf>
    <xf numFmtId="2" fontId="5" fillId="46" borderId="22" xfId="68" applyNumberFormat="1" applyFont="1" applyFill="1" applyBorder="1" applyAlignment="1">
      <alignment horizontal="center"/>
    </xf>
    <xf numFmtId="2" fontId="5" fillId="46" borderId="25" xfId="68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5" borderId="18" xfId="68" applyFont="1" applyFill="1" applyBorder="1" applyAlignment="1">
      <alignment horizontal="center"/>
    </xf>
    <xf numFmtId="0" fontId="4" fillId="45" borderId="14" xfId="68" applyFont="1" applyFill="1" applyBorder="1" applyAlignment="1">
      <alignment horizontal="center"/>
    </xf>
    <xf numFmtId="0" fontId="5" fillId="47" borderId="32" xfId="68" applyFont="1" applyFill="1" applyBorder="1" applyAlignment="1">
      <alignment horizontal="center"/>
    </xf>
    <xf numFmtId="164" fontId="5" fillId="46" borderId="14" xfId="68" applyNumberFormat="1" applyFont="1" applyFill="1" applyBorder="1" applyAlignment="1">
      <alignment horizontal="center"/>
    </xf>
    <xf numFmtId="14" fontId="5" fillId="47" borderId="32" xfId="68" applyNumberFormat="1" applyFont="1" applyFill="1" applyBorder="1" applyAlignment="1">
      <alignment horizontal="center"/>
    </xf>
    <xf numFmtId="0" fontId="5" fillId="46" borderId="14" xfId="68" applyFont="1" applyFill="1" applyBorder="1" applyAlignment="1">
      <alignment horizontal="center"/>
    </xf>
    <xf numFmtId="22" fontId="5" fillId="46" borderId="14" xfId="68" applyNumberFormat="1" applyFont="1" applyFill="1" applyBorder="1" applyAlignment="1">
      <alignment horizontal="center"/>
    </xf>
    <xf numFmtId="0" fontId="5" fillId="47" borderId="33" xfId="68" applyFont="1" applyFill="1" applyBorder="1" applyAlignment="1">
      <alignment horizontal="center"/>
    </xf>
    <xf numFmtId="0" fontId="5" fillId="46" borderId="28" xfId="68" applyFont="1" applyFill="1" applyBorder="1" applyAlignment="1">
      <alignment horizontal="center"/>
    </xf>
    <xf numFmtId="0" fontId="4" fillId="45" borderId="10" xfId="68" applyFont="1" applyFill="1" applyBorder="1" applyAlignment="1">
      <alignment horizontal="center"/>
    </xf>
    <xf numFmtId="0" fontId="6" fillId="45" borderId="30" xfId="68" applyFont="1" applyFill="1" applyBorder="1" applyAlignment="1">
      <alignment horizontal="center"/>
    </xf>
    <xf numFmtId="0" fontId="6" fillId="45" borderId="6" xfId="68" applyFont="1" applyFill="1" applyBorder="1" applyAlignment="1">
      <alignment horizontal="center"/>
    </xf>
    <xf numFmtId="0" fontId="6" fillId="45" borderId="26" xfId="68" applyFont="1" applyFill="1" applyBorder="1" applyAlignment="1">
      <alignment horizontal="center"/>
    </xf>
    <xf numFmtId="0" fontId="6" fillId="45" borderId="28" xfId="68" applyFont="1" applyFill="1" applyBorder="1" applyAlignment="1">
      <alignment horizontal="center"/>
    </xf>
    <xf numFmtId="0" fontId="5" fillId="46" borderId="34" xfId="68" applyFont="1" applyFill="1" applyBorder="1" applyAlignment="1">
      <alignment horizontal="center"/>
    </xf>
    <xf numFmtId="10" fontId="5" fillId="46" borderId="35" xfId="68" applyNumberFormat="1" applyFont="1" applyFill="1" applyBorder="1" applyAlignment="1">
      <alignment horizontal="center"/>
    </xf>
    <xf numFmtId="2" fontId="5" fillId="46" borderId="6" xfId="68" applyNumberFormat="1" applyFont="1" applyFill="1" applyBorder="1" applyAlignment="1">
      <alignment horizontal="center"/>
    </xf>
    <xf numFmtId="0" fontId="5" fillId="46" borderId="32" xfId="68" applyFont="1" applyFill="1" applyBorder="1" applyAlignment="1">
      <alignment horizontal="center"/>
    </xf>
    <xf numFmtId="10" fontId="5" fillId="46" borderId="36" xfId="68" applyNumberFormat="1" applyFont="1" applyFill="1" applyBorder="1" applyAlignment="1">
      <alignment horizontal="center"/>
    </xf>
    <xf numFmtId="2" fontId="5" fillId="46" borderId="14" xfId="68" applyNumberFormat="1" applyFont="1" applyFill="1" applyBorder="1" applyAlignment="1">
      <alignment horizontal="center"/>
    </xf>
    <xf numFmtId="0" fontId="5" fillId="0" borderId="34" xfId="0" applyFont="1" applyBorder="1" applyAlignment="1">
      <alignment horizontal="center"/>
    </xf>
    <xf numFmtId="10" fontId="43" fillId="46" borderId="30" xfId="67" applyNumberFormat="1" applyFont="1" applyFill="1" applyBorder="1" applyAlignment="1">
      <alignment horizontal="center"/>
    </xf>
    <xf numFmtId="2" fontId="5" fillId="46" borderId="7" xfId="68" applyNumberFormat="1" applyFont="1" applyFill="1" applyBorder="1" applyAlignment="1">
      <alignment horizontal="center"/>
    </xf>
    <xf numFmtId="0" fontId="5" fillId="0" borderId="32" xfId="0" applyFont="1" applyBorder="1" applyAlignment="1">
      <alignment horizontal="center"/>
    </xf>
    <xf numFmtId="10" fontId="43" fillId="46" borderId="0" xfId="67" applyNumberFormat="1" applyFont="1" applyFill="1" applyBorder="1" applyAlignment="1">
      <alignment horizontal="center"/>
    </xf>
    <xf numFmtId="0" fontId="5" fillId="0" borderId="33" xfId="0" applyFont="1" applyBorder="1" applyAlignment="1">
      <alignment horizontal="center"/>
    </xf>
    <xf numFmtId="10" fontId="43" fillId="46" borderId="26" xfId="67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6" borderId="33" xfId="68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2" fillId="0" borderId="0" xfId="0" applyFont="1" applyAlignment="1">
      <alignment horizontal="center"/>
    </xf>
    <xf numFmtId="10" fontId="5" fillId="46" borderId="29" xfId="68" applyNumberFormat="1" applyFont="1" applyFill="1" applyBorder="1" applyAlignment="1">
      <alignment horizontal="center"/>
    </xf>
    <xf numFmtId="10" fontId="43" fillId="46" borderId="7" xfId="67" applyNumberFormat="1" applyFont="1" applyFill="1" applyBorder="1" applyAlignment="1">
      <alignment horizontal="center"/>
    </xf>
    <xf numFmtId="10" fontId="43" fillId="46" borderId="22" xfId="67" applyNumberFormat="1" applyFont="1" applyFill="1" applyBorder="1" applyAlignment="1">
      <alignment horizontal="center"/>
    </xf>
    <xf numFmtId="10" fontId="43" fillId="46" borderId="25" xfId="67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5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4" fillId="45" borderId="6" xfId="68" applyFont="1" applyFill="1" applyBorder="1" applyAlignment="1">
      <alignment horizontal="center"/>
    </xf>
    <xf numFmtId="22" fontId="5" fillId="46" borderId="28" xfId="68" applyNumberFormat="1" applyFont="1" applyFill="1" applyBorder="1" applyAlignment="1">
      <alignment horizontal="center"/>
    </xf>
    <xf numFmtId="168" fontId="0" fillId="0" borderId="0" xfId="82" applyNumberFormat="1" applyFont="1"/>
    <xf numFmtId="168" fontId="0" fillId="0" borderId="0" xfId="82" applyNumberFormat="1" applyFont="1" applyAlignment="1">
      <alignment horizontal="center"/>
    </xf>
    <xf numFmtId="0" fontId="25" fillId="0" borderId="0" xfId="0" quotePrefix="1" applyFont="1" applyAlignment="1">
      <alignment horizontal="center"/>
    </xf>
    <xf numFmtId="10" fontId="5" fillId="46" borderId="6" xfId="82" applyNumberFormat="1" applyFont="1" applyFill="1" applyBorder="1" applyAlignment="1">
      <alignment horizontal="right"/>
    </xf>
    <xf numFmtId="10" fontId="5" fillId="46" borderId="14" xfId="82" applyNumberFormat="1" applyFont="1" applyFill="1" applyBorder="1" applyAlignment="1">
      <alignment horizontal="right"/>
    </xf>
    <xf numFmtId="10" fontId="5" fillId="46" borderId="28" xfId="82" applyNumberFormat="1" applyFont="1" applyFill="1" applyBorder="1" applyAlignment="1">
      <alignment horizontal="right"/>
    </xf>
    <xf numFmtId="0" fontId="25" fillId="48" borderId="8" xfId="0" applyFont="1" applyFill="1" applyBorder="1" applyAlignment="1">
      <alignment horizontal="center"/>
    </xf>
    <xf numFmtId="0" fontId="25" fillId="48" borderId="21" xfId="0" applyFont="1" applyFill="1" applyBorder="1" applyAlignment="1">
      <alignment horizontal="center"/>
    </xf>
    <xf numFmtId="0" fontId="25" fillId="48" borderId="31" xfId="0" applyFont="1" applyFill="1" applyBorder="1" applyAlignment="1">
      <alignment horizontal="center"/>
    </xf>
    <xf numFmtId="0" fontId="0" fillId="0" borderId="0" xfId="0" applyAlignment="1">
      <alignment horizontal="center"/>
    </xf>
    <xf numFmtId="10" fontId="8" fillId="0" borderId="14" xfId="82" applyNumberFormat="1" applyFont="1" applyBorder="1"/>
    <xf numFmtId="10" fontId="8" fillId="0" borderId="0" xfId="82" applyNumberFormat="1" applyFont="1"/>
    <xf numFmtId="168" fontId="0" fillId="49" borderId="7" xfId="82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68" fontId="0" fillId="49" borderId="22" xfId="82" applyNumberFormat="1" applyFont="1" applyFill="1" applyBorder="1" applyAlignment="1">
      <alignment horizontal="center"/>
    </xf>
    <xf numFmtId="168" fontId="0" fillId="49" borderId="25" xfId="82" applyNumberFormat="1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44" fillId="0" borderId="0" xfId="0" applyFont="1"/>
    <xf numFmtId="0" fontId="44" fillId="0" borderId="0" xfId="0" applyFont="1" applyAlignment="1">
      <alignment horizontal="left"/>
    </xf>
    <xf numFmtId="0" fontId="3" fillId="44" borderId="12" xfId="0" applyFont="1" applyFill="1" applyBorder="1" applyAlignment="1">
      <alignment textRotation="90"/>
    </xf>
    <xf numFmtId="10" fontId="3" fillId="44" borderId="12" xfId="82" applyNumberFormat="1" applyFont="1" applyFill="1" applyBorder="1" applyAlignment="1">
      <alignment textRotation="90"/>
    </xf>
    <xf numFmtId="0" fontId="8" fillId="0" borderId="0" xfId="0" applyFont="1" applyAlignment="1">
      <alignment textRotation="90"/>
    </xf>
    <xf numFmtId="0" fontId="5" fillId="46" borderId="37" xfId="68" applyFont="1" applyFill="1" applyBorder="1" applyAlignment="1">
      <alignment horizontal="center"/>
    </xf>
    <xf numFmtId="0" fontId="6" fillId="45" borderId="19" xfId="68" applyFont="1" applyFill="1" applyBorder="1" applyAlignment="1">
      <alignment horizontal="center"/>
    </xf>
    <xf numFmtId="0" fontId="6" fillId="45" borderId="24" xfId="68" applyFont="1" applyFill="1" applyBorder="1" applyAlignment="1">
      <alignment horizontal="center"/>
    </xf>
  </cellXfs>
  <cellStyles count="101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0" xfId="31" xr:uid="{00000000-0005-0000-0000-00001E000000}"/>
    <cellStyle name="Date" xfId="32" xr:uid="{00000000-0005-0000-0000-00001F000000}"/>
    <cellStyle name="Explanatory Text" xfId="33" builtinId="53" customBuiltin="1"/>
    <cellStyle name="Fixed" xfId="34" xr:uid="{00000000-0005-0000-0000-000021000000}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InfoDataColumn" xfId="40" xr:uid="{00000000-0005-0000-0000-000027000000}"/>
    <cellStyle name="InfoDataRow" xfId="41" xr:uid="{00000000-0005-0000-0000-000028000000}"/>
    <cellStyle name="InfoLabelColumn" xfId="42" xr:uid="{00000000-0005-0000-0000-000029000000}"/>
    <cellStyle name="InfoLabelRow" xfId="43" xr:uid="{00000000-0005-0000-0000-00002A000000}"/>
    <cellStyle name="InfolDataColumn" xfId="44" xr:uid="{00000000-0005-0000-0000-00002B000000}"/>
    <cellStyle name="InformationalData" xfId="45" xr:uid="{00000000-0005-0000-0000-00002C000000}"/>
    <cellStyle name="InformationalLabel" xfId="46" xr:uid="{00000000-0005-0000-0000-00002D000000}"/>
    <cellStyle name="InformationalLabelTop" xfId="47" xr:uid="{00000000-0005-0000-0000-00002E000000}"/>
    <cellStyle name="Input" xfId="48" builtinId="20" customBuiltin="1"/>
    <cellStyle name="InputData" xfId="49" xr:uid="{00000000-0005-0000-0000-000030000000}"/>
    <cellStyle name="InputDataColumn" xfId="50" xr:uid="{00000000-0005-0000-0000-000031000000}"/>
    <cellStyle name="InputDataRow" xfId="51" xr:uid="{00000000-0005-0000-0000-000032000000}"/>
    <cellStyle name="InputLabel" xfId="52" xr:uid="{00000000-0005-0000-0000-000033000000}"/>
    <cellStyle name="InputLabelColumn" xfId="53" xr:uid="{00000000-0005-0000-0000-000034000000}"/>
    <cellStyle name="InputLabelRow" xfId="54" xr:uid="{00000000-0005-0000-0000-000035000000}"/>
    <cellStyle name="InputLabelTop" xfId="55" xr:uid="{00000000-0005-0000-0000-000036000000}"/>
    <cellStyle name="IntermediateData" xfId="56" xr:uid="{00000000-0005-0000-0000-000037000000}"/>
    <cellStyle name="IntermediateDataColumn" xfId="57" xr:uid="{00000000-0005-0000-0000-000038000000}"/>
    <cellStyle name="IntermediateDataRow" xfId="58" xr:uid="{00000000-0005-0000-0000-000039000000}"/>
    <cellStyle name="IntermediateLabel" xfId="59" xr:uid="{00000000-0005-0000-0000-00003A000000}"/>
    <cellStyle name="IntermediateLabelColumn" xfId="60" xr:uid="{00000000-0005-0000-0000-00003B000000}"/>
    <cellStyle name="IntermediateLabelRow" xfId="61" xr:uid="{00000000-0005-0000-0000-00003C000000}"/>
    <cellStyle name="InvalidCell" xfId="62" xr:uid="{00000000-0005-0000-0000-00003D000000}"/>
    <cellStyle name="Linked Cell" xfId="63" builtinId="24" customBuiltin="1"/>
    <cellStyle name="Neutral" xfId="64" builtinId="28" customBuiltin="1"/>
    <cellStyle name="NewSheet" xfId="65" xr:uid="{00000000-0005-0000-0000-000040000000}"/>
    <cellStyle name="Normal" xfId="0" builtinId="0"/>
    <cellStyle name="Normal - Style1" xfId="66" xr:uid="{00000000-0005-0000-0000-000042000000}"/>
    <cellStyle name="Normal_Curves" xfId="67" xr:uid="{00000000-0005-0000-0000-000043000000}"/>
    <cellStyle name="Normal_Sheet1" xfId="68" xr:uid="{00000000-0005-0000-0000-000044000000}"/>
    <cellStyle name="Note" xfId="69" builtinId="10" customBuiltin="1"/>
    <cellStyle name="ObjectDataColumn" xfId="70" xr:uid="{00000000-0005-0000-0000-000046000000}"/>
    <cellStyle name="ObjectDataRow" xfId="71" xr:uid="{00000000-0005-0000-0000-000047000000}"/>
    <cellStyle name="ObjectLabelColumn" xfId="72" xr:uid="{00000000-0005-0000-0000-000048000000}"/>
    <cellStyle name="ObjectLabelRow" xfId="73" xr:uid="{00000000-0005-0000-0000-000049000000}"/>
    <cellStyle name="Output" xfId="74" builtinId="21" customBuiltin="1"/>
    <cellStyle name="OutputData" xfId="75" xr:uid="{00000000-0005-0000-0000-00004B000000}"/>
    <cellStyle name="OutputDataColumn" xfId="76" xr:uid="{00000000-0005-0000-0000-00004C000000}"/>
    <cellStyle name="OutputDataRow" xfId="77" xr:uid="{00000000-0005-0000-0000-00004D000000}"/>
    <cellStyle name="OutputLabel" xfId="78" xr:uid="{00000000-0005-0000-0000-00004E000000}"/>
    <cellStyle name="OutputLabelColumn" xfId="79" xr:uid="{00000000-0005-0000-0000-00004F000000}"/>
    <cellStyle name="OutputLabelRow" xfId="80" xr:uid="{00000000-0005-0000-0000-000050000000}"/>
    <cellStyle name="PanelLabel" xfId="81" xr:uid="{00000000-0005-0000-0000-000051000000}"/>
    <cellStyle name="Percent" xfId="82" builtinId="5"/>
    <cellStyle name="PersonalDataColumn" xfId="83" xr:uid="{00000000-0005-0000-0000-000053000000}"/>
    <cellStyle name="PersonalDataRow" xfId="84" xr:uid="{00000000-0005-0000-0000-000054000000}"/>
    <cellStyle name="PersonalLabelColumn" xfId="85" xr:uid="{00000000-0005-0000-0000-000055000000}"/>
    <cellStyle name="PersonalLabelRow" xfId="86" xr:uid="{00000000-0005-0000-0000-000056000000}"/>
    <cellStyle name="result" xfId="87" xr:uid="{00000000-0005-0000-0000-000057000000}"/>
    <cellStyle name="spreads" xfId="88" xr:uid="{00000000-0005-0000-0000-000058000000}"/>
    <cellStyle name="Style 1" xfId="89" xr:uid="{00000000-0005-0000-0000-000059000000}"/>
    <cellStyle name="swaptn" xfId="90" xr:uid="{00000000-0005-0000-0000-00005A000000}"/>
    <cellStyle name="TableDataColumn" xfId="91" xr:uid="{00000000-0005-0000-0000-00005B000000}"/>
    <cellStyle name="TableDataRow" xfId="92" xr:uid="{00000000-0005-0000-0000-00005C000000}"/>
    <cellStyle name="TableLabelColumn" xfId="93" xr:uid="{00000000-0005-0000-0000-00005D000000}"/>
    <cellStyle name="TableLabelRow" xfId="94" xr:uid="{00000000-0005-0000-0000-00005E000000}"/>
    <cellStyle name="TableLabelTop" xfId="95" xr:uid="{00000000-0005-0000-0000-00005F000000}"/>
    <cellStyle name="Title" xfId="96" builtinId="15" customBuiltin="1"/>
    <cellStyle name="Total" xfId="97" builtinId="25" customBuiltin="1"/>
    <cellStyle name="Warning Text" xfId="98" builtinId="11" customBuiltin="1"/>
    <cellStyle name="桁区切り_NewDemo" xfId="99" xr:uid="{00000000-0005-0000-0000-000063000000}"/>
    <cellStyle name="標準_NewDemo" xfId="100" xr:uid="{00000000-0005-0000-0000-00006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Forward Rates'!$B$1</c:f>
              <c:strCache>
                <c:ptCount val="1"/>
                <c:pt idx="0">
                  <c:v>Market.LIVE.RateCurve.AUD-LIBOR-BBA-3M</c:v>
                </c:pt>
              </c:strCache>
            </c:strRef>
          </c:tx>
          <c:marker>
            <c:symbol val="none"/>
          </c:marker>
          <c:cat>
            <c:numRef>
              <c:f>'Daily Forward Rates'!$A$2:$A$357</c:f>
              <c:numCache>
                <c:formatCode>d/m/yyyy;@</c:formatCode>
                <c:ptCount val="356"/>
                <c:pt idx="0">
                  <c:v>43149</c:v>
                </c:pt>
                <c:pt idx="1">
                  <c:v>43150</c:v>
                </c:pt>
                <c:pt idx="2">
                  <c:v>43151</c:v>
                </c:pt>
                <c:pt idx="3">
                  <c:v>43152</c:v>
                </c:pt>
                <c:pt idx="4">
                  <c:v>43153</c:v>
                </c:pt>
                <c:pt idx="5">
                  <c:v>43154</c:v>
                </c:pt>
                <c:pt idx="6">
                  <c:v>43155</c:v>
                </c:pt>
                <c:pt idx="7">
                  <c:v>43156</c:v>
                </c:pt>
                <c:pt idx="8">
                  <c:v>43157</c:v>
                </c:pt>
                <c:pt idx="9">
                  <c:v>43158</c:v>
                </c:pt>
                <c:pt idx="10">
                  <c:v>43159</c:v>
                </c:pt>
                <c:pt idx="11">
                  <c:v>43160</c:v>
                </c:pt>
                <c:pt idx="12">
                  <c:v>43161</c:v>
                </c:pt>
                <c:pt idx="13">
                  <c:v>43162</c:v>
                </c:pt>
                <c:pt idx="14">
                  <c:v>43163</c:v>
                </c:pt>
                <c:pt idx="15">
                  <c:v>43164</c:v>
                </c:pt>
                <c:pt idx="16">
                  <c:v>43165</c:v>
                </c:pt>
                <c:pt idx="17">
                  <c:v>43166</c:v>
                </c:pt>
                <c:pt idx="18">
                  <c:v>43167</c:v>
                </c:pt>
                <c:pt idx="19">
                  <c:v>43168</c:v>
                </c:pt>
                <c:pt idx="20">
                  <c:v>43169</c:v>
                </c:pt>
                <c:pt idx="21">
                  <c:v>43170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43176</c:v>
                </c:pt>
                <c:pt idx="28">
                  <c:v>43177</c:v>
                </c:pt>
                <c:pt idx="29">
                  <c:v>43178</c:v>
                </c:pt>
                <c:pt idx="30">
                  <c:v>43179</c:v>
                </c:pt>
                <c:pt idx="31">
                  <c:v>43180</c:v>
                </c:pt>
                <c:pt idx="32">
                  <c:v>43181</c:v>
                </c:pt>
                <c:pt idx="33">
                  <c:v>43182</c:v>
                </c:pt>
                <c:pt idx="34">
                  <c:v>43183</c:v>
                </c:pt>
                <c:pt idx="35">
                  <c:v>43184</c:v>
                </c:pt>
                <c:pt idx="36">
                  <c:v>43185</c:v>
                </c:pt>
                <c:pt idx="37">
                  <c:v>43186</c:v>
                </c:pt>
                <c:pt idx="38">
                  <c:v>43187</c:v>
                </c:pt>
                <c:pt idx="39">
                  <c:v>43188</c:v>
                </c:pt>
                <c:pt idx="40">
                  <c:v>43189</c:v>
                </c:pt>
                <c:pt idx="41">
                  <c:v>43190</c:v>
                </c:pt>
                <c:pt idx="42">
                  <c:v>43191</c:v>
                </c:pt>
                <c:pt idx="43">
                  <c:v>43192</c:v>
                </c:pt>
                <c:pt idx="44">
                  <c:v>43193</c:v>
                </c:pt>
                <c:pt idx="45">
                  <c:v>43194</c:v>
                </c:pt>
                <c:pt idx="46">
                  <c:v>43195</c:v>
                </c:pt>
                <c:pt idx="47">
                  <c:v>43196</c:v>
                </c:pt>
                <c:pt idx="48">
                  <c:v>43197</c:v>
                </c:pt>
                <c:pt idx="49">
                  <c:v>43198</c:v>
                </c:pt>
                <c:pt idx="50">
                  <c:v>43199</c:v>
                </c:pt>
                <c:pt idx="51">
                  <c:v>43200</c:v>
                </c:pt>
                <c:pt idx="52">
                  <c:v>43201</c:v>
                </c:pt>
                <c:pt idx="53">
                  <c:v>43202</c:v>
                </c:pt>
                <c:pt idx="54">
                  <c:v>43203</c:v>
                </c:pt>
                <c:pt idx="55">
                  <c:v>43204</c:v>
                </c:pt>
                <c:pt idx="56">
                  <c:v>43205</c:v>
                </c:pt>
                <c:pt idx="57">
                  <c:v>43206</c:v>
                </c:pt>
                <c:pt idx="58">
                  <c:v>43207</c:v>
                </c:pt>
                <c:pt idx="59">
                  <c:v>43208</c:v>
                </c:pt>
                <c:pt idx="60">
                  <c:v>43209</c:v>
                </c:pt>
                <c:pt idx="61">
                  <c:v>43210</c:v>
                </c:pt>
                <c:pt idx="62">
                  <c:v>43211</c:v>
                </c:pt>
                <c:pt idx="63">
                  <c:v>43212</c:v>
                </c:pt>
                <c:pt idx="64">
                  <c:v>43213</c:v>
                </c:pt>
                <c:pt idx="65">
                  <c:v>43214</c:v>
                </c:pt>
                <c:pt idx="66">
                  <c:v>43215</c:v>
                </c:pt>
                <c:pt idx="67">
                  <c:v>43216</c:v>
                </c:pt>
                <c:pt idx="68">
                  <c:v>43217</c:v>
                </c:pt>
                <c:pt idx="69">
                  <c:v>43218</c:v>
                </c:pt>
                <c:pt idx="70">
                  <c:v>43219</c:v>
                </c:pt>
                <c:pt idx="71">
                  <c:v>43220</c:v>
                </c:pt>
                <c:pt idx="72">
                  <c:v>43221</c:v>
                </c:pt>
                <c:pt idx="73">
                  <c:v>43222</c:v>
                </c:pt>
                <c:pt idx="74">
                  <c:v>43223</c:v>
                </c:pt>
                <c:pt idx="75">
                  <c:v>43224</c:v>
                </c:pt>
                <c:pt idx="76">
                  <c:v>43225</c:v>
                </c:pt>
                <c:pt idx="77">
                  <c:v>43226</c:v>
                </c:pt>
                <c:pt idx="78">
                  <c:v>43227</c:v>
                </c:pt>
                <c:pt idx="79">
                  <c:v>43228</c:v>
                </c:pt>
                <c:pt idx="80">
                  <c:v>43229</c:v>
                </c:pt>
                <c:pt idx="81">
                  <c:v>43230</c:v>
                </c:pt>
                <c:pt idx="82">
                  <c:v>43231</c:v>
                </c:pt>
                <c:pt idx="83">
                  <c:v>43232</c:v>
                </c:pt>
                <c:pt idx="84">
                  <c:v>43233</c:v>
                </c:pt>
                <c:pt idx="85">
                  <c:v>43234</c:v>
                </c:pt>
                <c:pt idx="86">
                  <c:v>43235</c:v>
                </c:pt>
                <c:pt idx="87">
                  <c:v>43236</c:v>
                </c:pt>
                <c:pt idx="88">
                  <c:v>43237</c:v>
                </c:pt>
                <c:pt idx="89">
                  <c:v>43238</c:v>
                </c:pt>
                <c:pt idx="90">
                  <c:v>43239</c:v>
                </c:pt>
                <c:pt idx="91">
                  <c:v>43240</c:v>
                </c:pt>
                <c:pt idx="92">
                  <c:v>43241</c:v>
                </c:pt>
                <c:pt idx="93">
                  <c:v>43242</c:v>
                </c:pt>
                <c:pt idx="94">
                  <c:v>43243</c:v>
                </c:pt>
                <c:pt idx="95">
                  <c:v>43244</c:v>
                </c:pt>
                <c:pt idx="96">
                  <c:v>43245</c:v>
                </c:pt>
                <c:pt idx="97">
                  <c:v>43246</c:v>
                </c:pt>
                <c:pt idx="98">
                  <c:v>43247</c:v>
                </c:pt>
                <c:pt idx="99">
                  <c:v>43248</c:v>
                </c:pt>
                <c:pt idx="100">
                  <c:v>43249</c:v>
                </c:pt>
                <c:pt idx="101">
                  <c:v>43250</c:v>
                </c:pt>
                <c:pt idx="102">
                  <c:v>43251</c:v>
                </c:pt>
                <c:pt idx="103">
                  <c:v>43252</c:v>
                </c:pt>
                <c:pt idx="104">
                  <c:v>43253</c:v>
                </c:pt>
                <c:pt idx="105">
                  <c:v>43254</c:v>
                </c:pt>
                <c:pt idx="106">
                  <c:v>43255</c:v>
                </c:pt>
                <c:pt idx="107">
                  <c:v>43256</c:v>
                </c:pt>
                <c:pt idx="108">
                  <c:v>43257</c:v>
                </c:pt>
                <c:pt idx="109">
                  <c:v>43258</c:v>
                </c:pt>
                <c:pt idx="110">
                  <c:v>43259</c:v>
                </c:pt>
                <c:pt idx="111">
                  <c:v>43260</c:v>
                </c:pt>
                <c:pt idx="112">
                  <c:v>43261</c:v>
                </c:pt>
                <c:pt idx="113">
                  <c:v>43262</c:v>
                </c:pt>
                <c:pt idx="114">
                  <c:v>43263</c:v>
                </c:pt>
                <c:pt idx="115">
                  <c:v>43264</c:v>
                </c:pt>
                <c:pt idx="116">
                  <c:v>43265</c:v>
                </c:pt>
                <c:pt idx="117">
                  <c:v>43266</c:v>
                </c:pt>
                <c:pt idx="118">
                  <c:v>43267</c:v>
                </c:pt>
                <c:pt idx="119">
                  <c:v>43268</c:v>
                </c:pt>
                <c:pt idx="120">
                  <c:v>43269</c:v>
                </c:pt>
                <c:pt idx="121">
                  <c:v>43270</c:v>
                </c:pt>
                <c:pt idx="122">
                  <c:v>43271</c:v>
                </c:pt>
                <c:pt idx="123">
                  <c:v>43272</c:v>
                </c:pt>
                <c:pt idx="124">
                  <c:v>43273</c:v>
                </c:pt>
                <c:pt idx="125">
                  <c:v>43274</c:v>
                </c:pt>
                <c:pt idx="126">
                  <c:v>43275</c:v>
                </c:pt>
                <c:pt idx="127">
                  <c:v>43276</c:v>
                </c:pt>
                <c:pt idx="128">
                  <c:v>43277</c:v>
                </c:pt>
                <c:pt idx="129">
                  <c:v>43278</c:v>
                </c:pt>
                <c:pt idx="130">
                  <c:v>43279</c:v>
                </c:pt>
                <c:pt idx="131">
                  <c:v>43280</c:v>
                </c:pt>
                <c:pt idx="132">
                  <c:v>43281</c:v>
                </c:pt>
                <c:pt idx="133">
                  <c:v>43282</c:v>
                </c:pt>
                <c:pt idx="134">
                  <c:v>43283</c:v>
                </c:pt>
                <c:pt idx="135">
                  <c:v>43284</c:v>
                </c:pt>
                <c:pt idx="136">
                  <c:v>43285</c:v>
                </c:pt>
                <c:pt idx="137">
                  <c:v>43286</c:v>
                </c:pt>
                <c:pt idx="138">
                  <c:v>43287</c:v>
                </c:pt>
                <c:pt idx="139">
                  <c:v>43288</c:v>
                </c:pt>
                <c:pt idx="140">
                  <c:v>43289</c:v>
                </c:pt>
                <c:pt idx="141">
                  <c:v>43290</c:v>
                </c:pt>
                <c:pt idx="142">
                  <c:v>43291</c:v>
                </c:pt>
                <c:pt idx="143">
                  <c:v>43292</c:v>
                </c:pt>
                <c:pt idx="144">
                  <c:v>43293</c:v>
                </c:pt>
                <c:pt idx="145">
                  <c:v>43294</c:v>
                </c:pt>
                <c:pt idx="146">
                  <c:v>43295</c:v>
                </c:pt>
                <c:pt idx="147">
                  <c:v>43296</c:v>
                </c:pt>
                <c:pt idx="148">
                  <c:v>43297</c:v>
                </c:pt>
                <c:pt idx="149">
                  <c:v>43298</c:v>
                </c:pt>
                <c:pt idx="150">
                  <c:v>43299</c:v>
                </c:pt>
                <c:pt idx="151">
                  <c:v>43300</c:v>
                </c:pt>
                <c:pt idx="152">
                  <c:v>43301</c:v>
                </c:pt>
                <c:pt idx="153">
                  <c:v>43302</c:v>
                </c:pt>
                <c:pt idx="154">
                  <c:v>43303</c:v>
                </c:pt>
                <c:pt idx="155">
                  <c:v>43304</c:v>
                </c:pt>
                <c:pt idx="156">
                  <c:v>43305</c:v>
                </c:pt>
                <c:pt idx="157">
                  <c:v>43306</c:v>
                </c:pt>
                <c:pt idx="158">
                  <c:v>43307</c:v>
                </c:pt>
                <c:pt idx="159">
                  <c:v>43308</c:v>
                </c:pt>
                <c:pt idx="160">
                  <c:v>43309</c:v>
                </c:pt>
                <c:pt idx="161">
                  <c:v>43310</c:v>
                </c:pt>
                <c:pt idx="162">
                  <c:v>43311</c:v>
                </c:pt>
                <c:pt idx="163">
                  <c:v>43312</c:v>
                </c:pt>
                <c:pt idx="164">
                  <c:v>43313</c:v>
                </c:pt>
                <c:pt idx="165">
                  <c:v>43314</c:v>
                </c:pt>
                <c:pt idx="166">
                  <c:v>43315</c:v>
                </c:pt>
                <c:pt idx="167">
                  <c:v>43316</c:v>
                </c:pt>
                <c:pt idx="168">
                  <c:v>43317</c:v>
                </c:pt>
                <c:pt idx="169">
                  <c:v>43318</c:v>
                </c:pt>
                <c:pt idx="170">
                  <c:v>43319</c:v>
                </c:pt>
                <c:pt idx="171">
                  <c:v>43320</c:v>
                </c:pt>
                <c:pt idx="172">
                  <c:v>43321</c:v>
                </c:pt>
                <c:pt idx="173">
                  <c:v>43322</c:v>
                </c:pt>
                <c:pt idx="174">
                  <c:v>43323</c:v>
                </c:pt>
                <c:pt idx="175">
                  <c:v>43324</c:v>
                </c:pt>
                <c:pt idx="176">
                  <c:v>43325</c:v>
                </c:pt>
                <c:pt idx="177">
                  <c:v>43326</c:v>
                </c:pt>
                <c:pt idx="178">
                  <c:v>43327</c:v>
                </c:pt>
                <c:pt idx="179">
                  <c:v>43328</c:v>
                </c:pt>
                <c:pt idx="180">
                  <c:v>43329</c:v>
                </c:pt>
                <c:pt idx="181">
                  <c:v>43330</c:v>
                </c:pt>
                <c:pt idx="182">
                  <c:v>43331</c:v>
                </c:pt>
                <c:pt idx="183">
                  <c:v>43332</c:v>
                </c:pt>
                <c:pt idx="184">
                  <c:v>43333</c:v>
                </c:pt>
                <c:pt idx="185">
                  <c:v>43334</c:v>
                </c:pt>
                <c:pt idx="186">
                  <c:v>43335</c:v>
                </c:pt>
                <c:pt idx="187">
                  <c:v>43336</c:v>
                </c:pt>
                <c:pt idx="188">
                  <c:v>43337</c:v>
                </c:pt>
                <c:pt idx="189">
                  <c:v>43338</c:v>
                </c:pt>
                <c:pt idx="190">
                  <c:v>43339</c:v>
                </c:pt>
                <c:pt idx="191">
                  <c:v>43340</c:v>
                </c:pt>
                <c:pt idx="192">
                  <c:v>43341</c:v>
                </c:pt>
                <c:pt idx="193">
                  <c:v>43342</c:v>
                </c:pt>
                <c:pt idx="194">
                  <c:v>43343</c:v>
                </c:pt>
                <c:pt idx="195">
                  <c:v>43344</c:v>
                </c:pt>
                <c:pt idx="196">
                  <c:v>43345</c:v>
                </c:pt>
                <c:pt idx="197">
                  <c:v>43346</c:v>
                </c:pt>
                <c:pt idx="198">
                  <c:v>43347</c:v>
                </c:pt>
                <c:pt idx="199">
                  <c:v>43348</c:v>
                </c:pt>
                <c:pt idx="200">
                  <c:v>43349</c:v>
                </c:pt>
                <c:pt idx="201">
                  <c:v>43350</c:v>
                </c:pt>
                <c:pt idx="202">
                  <c:v>43351</c:v>
                </c:pt>
                <c:pt idx="203">
                  <c:v>43352</c:v>
                </c:pt>
                <c:pt idx="204">
                  <c:v>43353</c:v>
                </c:pt>
                <c:pt idx="205">
                  <c:v>43354</c:v>
                </c:pt>
                <c:pt idx="206">
                  <c:v>43355</c:v>
                </c:pt>
                <c:pt idx="207">
                  <c:v>43356</c:v>
                </c:pt>
                <c:pt idx="208">
                  <c:v>43357</c:v>
                </c:pt>
                <c:pt idx="209">
                  <c:v>43358</c:v>
                </c:pt>
                <c:pt idx="210">
                  <c:v>43359</c:v>
                </c:pt>
                <c:pt idx="211">
                  <c:v>43360</c:v>
                </c:pt>
                <c:pt idx="212">
                  <c:v>43361</c:v>
                </c:pt>
                <c:pt idx="213">
                  <c:v>43362</c:v>
                </c:pt>
                <c:pt idx="214">
                  <c:v>43363</c:v>
                </c:pt>
                <c:pt idx="215">
                  <c:v>43364</c:v>
                </c:pt>
                <c:pt idx="216">
                  <c:v>43365</c:v>
                </c:pt>
                <c:pt idx="217">
                  <c:v>43366</c:v>
                </c:pt>
                <c:pt idx="218">
                  <c:v>43367</c:v>
                </c:pt>
                <c:pt idx="219">
                  <c:v>43368</c:v>
                </c:pt>
                <c:pt idx="220">
                  <c:v>43369</c:v>
                </c:pt>
                <c:pt idx="221">
                  <c:v>43370</c:v>
                </c:pt>
                <c:pt idx="222">
                  <c:v>43371</c:v>
                </c:pt>
                <c:pt idx="223">
                  <c:v>43372</c:v>
                </c:pt>
                <c:pt idx="224">
                  <c:v>43373</c:v>
                </c:pt>
                <c:pt idx="225">
                  <c:v>43374</c:v>
                </c:pt>
                <c:pt idx="226">
                  <c:v>43375</c:v>
                </c:pt>
                <c:pt idx="227">
                  <c:v>43376</c:v>
                </c:pt>
                <c:pt idx="228">
                  <c:v>43377</c:v>
                </c:pt>
                <c:pt idx="229">
                  <c:v>43378</c:v>
                </c:pt>
                <c:pt idx="230">
                  <c:v>43379</c:v>
                </c:pt>
                <c:pt idx="231">
                  <c:v>43380</c:v>
                </c:pt>
                <c:pt idx="232">
                  <c:v>43381</c:v>
                </c:pt>
                <c:pt idx="233">
                  <c:v>43382</c:v>
                </c:pt>
                <c:pt idx="234">
                  <c:v>43383</c:v>
                </c:pt>
                <c:pt idx="235">
                  <c:v>43384</c:v>
                </c:pt>
                <c:pt idx="236">
                  <c:v>43385</c:v>
                </c:pt>
                <c:pt idx="237">
                  <c:v>43386</c:v>
                </c:pt>
                <c:pt idx="238">
                  <c:v>43387</c:v>
                </c:pt>
                <c:pt idx="239">
                  <c:v>43388</c:v>
                </c:pt>
                <c:pt idx="240">
                  <c:v>43389</c:v>
                </c:pt>
                <c:pt idx="241">
                  <c:v>43390</c:v>
                </c:pt>
                <c:pt idx="242">
                  <c:v>43391</c:v>
                </c:pt>
                <c:pt idx="243">
                  <c:v>43392</c:v>
                </c:pt>
                <c:pt idx="244">
                  <c:v>43393</c:v>
                </c:pt>
                <c:pt idx="245">
                  <c:v>43394</c:v>
                </c:pt>
                <c:pt idx="246">
                  <c:v>43395</c:v>
                </c:pt>
                <c:pt idx="247">
                  <c:v>43396</c:v>
                </c:pt>
                <c:pt idx="248">
                  <c:v>43397</c:v>
                </c:pt>
                <c:pt idx="249">
                  <c:v>43398</c:v>
                </c:pt>
                <c:pt idx="250">
                  <c:v>43399</c:v>
                </c:pt>
                <c:pt idx="251">
                  <c:v>43400</c:v>
                </c:pt>
                <c:pt idx="252">
                  <c:v>43401</c:v>
                </c:pt>
                <c:pt idx="253">
                  <c:v>43402</c:v>
                </c:pt>
                <c:pt idx="254">
                  <c:v>43403</c:v>
                </c:pt>
                <c:pt idx="255">
                  <c:v>43404</c:v>
                </c:pt>
                <c:pt idx="256">
                  <c:v>43405</c:v>
                </c:pt>
                <c:pt idx="257">
                  <c:v>43406</c:v>
                </c:pt>
                <c:pt idx="258">
                  <c:v>43407</c:v>
                </c:pt>
                <c:pt idx="259">
                  <c:v>43408</c:v>
                </c:pt>
                <c:pt idx="260">
                  <c:v>43409</c:v>
                </c:pt>
                <c:pt idx="261">
                  <c:v>43410</c:v>
                </c:pt>
                <c:pt idx="262">
                  <c:v>43411</c:v>
                </c:pt>
                <c:pt idx="263">
                  <c:v>43412</c:v>
                </c:pt>
                <c:pt idx="264">
                  <c:v>43413</c:v>
                </c:pt>
                <c:pt idx="265">
                  <c:v>43414</c:v>
                </c:pt>
                <c:pt idx="266">
                  <c:v>43415</c:v>
                </c:pt>
                <c:pt idx="267">
                  <c:v>43416</c:v>
                </c:pt>
                <c:pt idx="268">
                  <c:v>43417</c:v>
                </c:pt>
                <c:pt idx="269">
                  <c:v>43418</c:v>
                </c:pt>
                <c:pt idx="270">
                  <c:v>43419</c:v>
                </c:pt>
                <c:pt idx="271">
                  <c:v>43420</c:v>
                </c:pt>
                <c:pt idx="272">
                  <c:v>43421</c:v>
                </c:pt>
                <c:pt idx="273">
                  <c:v>43422</c:v>
                </c:pt>
                <c:pt idx="274">
                  <c:v>43423</c:v>
                </c:pt>
                <c:pt idx="275">
                  <c:v>43424</c:v>
                </c:pt>
                <c:pt idx="276">
                  <c:v>43425</c:v>
                </c:pt>
                <c:pt idx="277">
                  <c:v>43426</c:v>
                </c:pt>
                <c:pt idx="278">
                  <c:v>43427</c:v>
                </c:pt>
                <c:pt idx="279">
                  <c:v>43428</c:v>
                </c:pt>
                <c:pt idx="280">
                  <c:v>43429</c:v>
                </c:pt>
                <c:pt idx="281">
                  <c:v>43430</c:v>
                </c:pt>
                <c:pt idx="282">
                  <c:v>43431</c:v>
                </c:pt>
                <c:pt idx="283">
                  <c:v>43432</c:v>
                </c:pt>
                <c:pt idx="284">
                  <c:v>43433</c:v>
                </c:pt>
                <c:pt idx="285">
                  <c:v>43434</c:v>
                </c:pt>
                <c:pt idx="286">
                  <c:v>43435</c:v>
                </c:pt>
                <c:pt idx="287">
                  <c:v>43436</c:v>
                </c:pt>
                <c:pt idx="288">
                  <c:v>43437</c:v>
                </c:pt>
                <c:pt idx="289">
                  <c:v>43438</c:v>
                </c:pt>
                <c:pt idx="290">
                  <c:v>43439</c:v>
                </c:pt>
                <c:pt idx="291">
                  <c:v>43440</c:v>
                </c:pt>
                <c:pt idx="292">
                  <c:v>43441</c:v>
                </c:pt>
                <c:pt idx="293">
                  <c:v>43442</c:v>
                </c:pt>
                <c:pt idx="294">
                  <c:v>43443</c:v>
                </c:pt>
                <c:pt idx="295">
                  <c:v>43444</c:v>
                </c:pt>
                <c:pt idx="296">
                  <c:v>43445</c:v>
                </c:pt>
                <c:pt idx="297">
                  <c:v>43446</c:v>
                </c:pt>
                <c:pt idx="298">
                  <c:v>43447</c:v>
                </c:pt>
                <c:pt idx="299">
                  <c:v>43448</c:v>
                </c:pt>
                <c:pt idx="300">
                  <c:v>43449</c:v>
                </c:pt>
                <c:pt idx="301">
                  <c:v>43450</c:v>
                </c:pt>
                <c:pt idx="302">
                  <c:v>43451</c:v>
                </c:pt>
                <c:pt idx="303">
                  <c:v>43452</c:v>
                </c:pt>
                <c:pt idx="304">
                  <c:v>43453</c:v>
                </c:pt>
                <c:pt idx="305">
                  <c:v>43454</c:v>
                </c:pt>
                <c:pt idx="306">
                  <c:v>43455</c:v>
                </c:pt>
                <c:pt idx="307">
                  <c:v>43456</c:v>
                </c:pt>
                <c:pt idx="308">
                  <c:v>43457</c:v>
                </c:pt>
                <c:pt idx="309">
                  <c:v>43458</c:v>
                </c:pt>
                <c:pt idx="310">
                  <c:v>43459</c:v>
                </c:pt>
                <c:pt idx="311">
                  <c:v>43460</c:v>
                </c:pt>
                <c:pt idx="312">
                  <c:v>43461</c:v>
                </c:pt>
                <c:pt idx="313">
                  <c:v>43462</c:v>
                </c:pt>
                <c:pt idx="314">
                  <c:v>43463</c:v>
                </c:pt>
                <c:pt idx="315">
                  <c:v>43464</c:v>
                </c:pt>
                <c:pt idx="316">
                  <c:v>43465</c:v>
                </c:pt>
                <c:pt idx="317">
                  <c:v>43466</c:v>
                </c:pt>
                <c:pt idx="318">
                  <c:v>43467</c:v>
                </c:pt>
                <c:pt idx="319">
                  <c:v>43468</c:v>
                </c:pt>
                <c:pt idx="320">
                  <c:v>43469</c:v>
                </c:pt>
                <c:pt idx="321">
                  <c:v>43470</c:v>
                </c:pt>
                <c:pt idx="322">
                  <c:v>43471</c:v>
                </c:pt>
                <c:pt idx="323">
                  <c:v>43472</c:v>
                </c:pt>
                <c:pt idx="324">
                  <c:v>43473</c:v>
                </c:pt>
                <c:pt idx="325">
                  <c:v>43474</c:v>
                </c:pt>
                <c:pt idx="326">
                  <c:v>43475</c:v>
                </c:pt>
                <c:pt idx="327">
                  <c:v>43476</c:v>
                </c:pt>
                <c:pt idx="328">
                  <c:v>43477</c:v>
                </c:pt>
                <c:pt idx="329">
                  <c:v>43478</c:v>
                </c:pt>
                <c:pt idx="330">
                  <c:v>43479</c:v>
                </c:pt>
                <c:pt idx="331">
                  <c:v>43480</c:v>
                </c:pt>
                <c:pt idx="332">
                  <c:v>43481</c:v>
                </c:pt>
                <c:pt idx="333">
                  <c:v>43482</c:v>
                </c:pt>
                <c:pt idx="334">
                  <c:v>43483</c:v>
                </c:pt>
                <c:pt idx="335">
                  <c:v>43484</c:v>
                </c:pt>
                <c:pt idx="336">
                  <c:v>43485</c:v>
                </c:pt>
                <c:pt idx="337">
                  <c:v>43486</c:v>
                </c:pt>
                <c:pt idx="338">
                  <c:v>43487</c:v>
                </c:pt>
                <c:pt idx="339">
                  <c:v>43488</c:v>
                </c:pt>
                <c:pt idx="340">
                  <c:v>43489</c:v>
                </c:pt>
                <c:pt idx="341">
                  <c:v>43490</c:v>
                </c:pt>
                <c:pt idx="342">
                  <c:v>43491</c:v>
                </c:pt>
                <c:pt idx="343">
                  <c:v>43492</c:v>
                </c:pt>
                <c:pt idx="344">
                  <c:v>43493</c:v>
                </c:pt>
                <c:pt idx="345">
                  <c:v>43494</c:v>
                </c:pt>
                <c:pt idx="346">
                  <c:v>43495</c:v>
                </c:pt>
                <c:pt idx="347">
                  <c:v>43496</c:v>
                </c:pt>
                <c:pt idx="348">
                  <c:v>43497</c:v>
                </c:pt>
                <c:pt idx="349">
                  <c:v>43498</c:v>
                </c:pt>
                <c:pt idx="350">
                  <c:v>43499</c:v>
                </c:pt>
                <c:pt idx="351">
                  <c:v>43500</c:v>
                </c:pt>
                <c:pt idx="352">
                  <c:v>43501</c:v>
                </c:pt>
                <c:pt idx="353">
                  <c:v>43502</c:v>
                </c:pt>
                <c:pt idx="354">
                  <c:v>43503</c:v>
                </c:pt>
                <c:pt idx="355">
                  <c:v>43504</c:v>
                </c:pt>
              </c:numCache>
            </c:numRef>
          </c:cat>
          <c:val>
            <c:numRef>
              <c:f>'Daily Forward Rates'!$B$2:$B$357</c:f>
              <c:numCache>
                <c:formatCode>0.00%</c:formatCode>
                <c:ptCount val="356"/>
                <c:pt idx="0">
                  <c:v>1.9998904169657439E-2</c:v>
                </c:pt>
                <c:pt idx="1">
                  <c:v>2.024688435738442E-2</c:v>
                </c:pt>
                <c:pt idx="2">
                  <c:v>2.0494811520987422E-2</c:v>
                </c:pt>
                <c:pt idx="3">
                  <c:v>2.0742685158627872E-2</c:v>
                </c:pt>
                <c:pt idx="4">
                  <c:v>2.0990504768912954E-2</c:v>
                </c:pt>
                <c:pt idx="5">
                  <c:v>2.1238269850611946E-2</c:v>
                </c:pt>
                <c:pt idx="6">
                  <c:v>2.1485979902656216E-2</c:v>
                </c:pt>
                <c:pt idx="7">
                  <c:v>2.1733634424179749E-2</c:v>
                </c:pt>
                <c:pt idx="8">
                  <c:v>2.2129234439349776E-2</c:v>
                </c:pt>
                <c:pt idx="9">
                  <c:v>2.2409634590488947E-2</c:v>
                </c:pt>
                <c:pt idx="10">
                  <c:v>2.2689968010308759E-2</c:v>
                </c:pt>
                <c:pt idx="11">
                  <c:v>2.2970234057489991E-2</c:v>
                </c:pt>
                <c:pt idx="12">
                  <c:v>2.3250432091321271E-2</c:v>
                </c:pt>
                <c:pt idx="13">
                  <c:v>2.3530561471091227E-2</c:v>
                </c:pt>
                <c:pt idx="14">
                  <c:v>2.3810621556655809E-2</c:v>
                </c:pt>
                <c:pt idx="15">
                  <c:v>2.3001276572294227E-2</c:v>
                </c:pt>
                <c:pt idx="16">
                  <c:v>2.3145241915144554E-2</c:v>
                </c:pt>
                <c:pt idx="17">
                  <c:v>2.3289175690833219E-2</c:v>
                </c:pt>
                <c:pt idx="18">
                  <c:v>2.3433077729892449E-2</c:v>
                </c:pt>
                <c:pt idx="19">
                  <c:v>2.357694786338127E-2</c:v>
                </c:pt>
                <c:pt idx="20">
                  <c:v>2.3720785922075049E-2</c:v>
                </c:pt>
                <c:pt idx="21">
                  <c:v>2.3864591736992291E-2</c:v>
                </c:pt>
                <c:pt idx="22">
                  <c:v>2.4008365139192023E-2</c:v>
                </c:pt>
                <c:pt idx="23">
                  <c:v>2.4152105959814318E-2</c:v>
                </c:pt>
                <c:pt idx="24">
                  <c:v>2.4295814029958729E-2</c:v>
                </c:pt>
                <c:pt idx="25">
                  <c:v>2.4439489181008467E-2</c:v>
                </c:pt>
                <c:pt idx="26">
                  <c:v>2.4583131244265699E-2</c:v>
                </c:pt>
                <c:pt idx="27">
                  <c:v>2.4726740051113638E-2</c:v>
                </c:pt>
                <c:pt idx="28">
                  <c:v>2.4870315433016543E-2</c:v>
                </c:pt>
                <c:pt idx="29">
                  <c:v>2.3811082665944894E-2</c:v>
                </c:pt>
                <c:pt idx="30">
                  <c:v>2.3874605738129495E-2</c:v>
                </c:pt>
                <c:pt idx="31">
                  <c:v>2.3938115321822107E-2</c:v>
                </c:pt>
                <c:pt idx="32">
                  <c:v>2.4001611384077415E-2</c:v>
                </c:pt>
                <c:pt idx="33">
                  <c:v>2.4065093891788014E-2</c:v>
                </c:pt>
                <c:pt idx="34">
                  <c:v>2.4128562812170684E-2</c:v>
                </c:pt>
                <c:pt idx="35">
                  <c:v>2.4192018112118019E-2</c:v>
                </c:pt>
                <c:pt idx="36">
                  <c:v>2.4255459758887321E-2</c:v>
                </c:pt>
                <c:pt idx="37">
                  <c:v>2.4318887719411708E-2</c:v>
                </c:pt>
                <c:pt idx="38">
                  <c:v>2.4382301960907959E-2</c:v>
                </c:pt>
                <c:pt idx="39">
                  <c:v>2.4445702450390239E-2</c:v>
                </c:pt>
                <c:pt idx="40">
                  <c:v>2.4509089154994279E-2</c:v>
                </c:pt>
                <c:pt idx="41">
                  <c:v>2.457246204193686E-2</c:v>
                </c:pt>
                <c:pt idx="42">
                  <c:v>2.4635821078353715E-2</c:v>
                </c:pt>
                <c:pt idx="43">
                  <c:v>2.469916623129953E-2</c:v>
                </c:pt>
                <c:pt idx="44">
                  <c:v>2.4762497468112654E-2</c:v>
                </c:pt>
                <c:pt idx="45">
                  <c:v>2.4825814755807252E-2</c:v>
                </c:pt>
                <c:pt idx="46">
                  <c:v>2.4889118061721671E-2</c:v>
                </c:pt>
                <c:pt idx="47">
                  <c:v>2.4952407352991646E-2</c:v>
                </c:pt>
                <c:pt idx="48">
                  <c:v>2.5015682596996047E-2</c:v>
                </c:pt>
                <c:pt idx="49">
                  <c:v>2.507894376074904E-2</c:v>
                </c:pt>
                <c:pt idx="50">
                  <c:v>2.5142190811670018E-2</c:v>
                </c:pt>
                <c:pt idx="51">
                  <c:v>2.5205423716975761E-2</c:v>
                </c:pt>
                <c:pt idx="52">
                  <c:v>2.5268642443923572E-2</c:v>
                </c:pt>
                <c:pt idx="53">
                  <c:v>2.53318469598518E-2</c:v>
                </c:pt>
                <c:pt idx="54">
                  <c:v>2.5395037232058271E-2</c:v>
                </c:pt>
                <c:pt idx="55">
                  <c:v>2.5458213227881332E-2</c:v>
                </c:pt>
                <c:pt idx="56">
                  <c:v>2.5521374914578288E-2</c:v>
                </c:pt>
                <c:pt idx="57">
                  <c:v>2.5584522259649578E-2</c:v>
                </c:pt>
                <c:pt idx="58">
                  <c:v>2.5647655230230937E-2</c:v>
                </c:pt>
                <c:pt idx="59">
                  <c:v>2.5710773793903852E-2</c:v>
                </c:pt>
                <c:pt idx="60">
                  <c:v>2.565651497874688E-2</c:v>
                </c:pt>
                <c:pt idx="61">
                  <c:v>2.5715775467584079E-2</c:v>
                </c:pt>
                <c:pt idx="62">
                  <c:v>2.5775022422097615E-2</c:v>
                </c:pt>
                <c:pt idx="63">
                  <c:v>2.5834255813597107E-2</c:v>
                </c:pt>
                <c:pt idx="64">
                  <c:v>2.5893475613432693E-2</c:v>
                </c:pt>
                <c:pt idx="65">
                  <c:v>2.5952681792711374E-2</c:v>
                </c:pt>
                <c:pt idx="66">
                  <c:v>2.6011874322864337E-2</c:v>
                </c:pt>
                <c:pt idx="67">
                  <c:v>2.6071053175241721E-2</c:v>
                </c:pt>
                <c:pt idx="68">
                  <c:v>2.613021832099105E-2</c:v>
                </c:pt>
                <c:pt idx="69">
                  <c:v>2.6189369731584033E-2</c:v>
                </c:pt>
                <c:pt idx="70">
                  <c:v>2.6248507378451857E-2</c:v>
                </c:pt>
                <c:pt idx="71">
                  <c:v>2.6307631232661E-2</c:v>
                </c:pt>
                <c:pt idx="72">
                  <c:v>2.6366741265845262E-2</c:v>
                </c:pt>
                <c:pt idx="73">
                  <c:v>2.6425837449354783E-2</c:v>
                </c:pt>
                <c:pt idx="74">
                  <c:v>2.6484919754377612E-2</c:v>
                </c:pt>
                <c:pt idx="75">
                  <c:v>2.6543988152588072E-2</c:v>
                </c:pt>
                <c:pt idx="76">
                  <c:v>2.6603042615336303E-2</c:v>
                </c:pt>
                <c:pt idx="77">
                  <c:v>2.6662083113850876E-2</c:v>
                </c:pt>
                <c:pt idx="78">
                  <c:v>2.6721109619846639E-2</c:v>
                </c:pt>
                <c:pt idx="79">
                  <c:v>2.6780122104592685E-2</c:v>
                </c:pt>
                <c:pt idx="80">
                  <c:v>2.683912053964177E-2</c:v>
                </c:pt>
                <c:pt idx="81">
                  <c:v>2.6898104896546648E-2</c:v>
                </c:pt>
                <c:pt idx="82">
                  <c:v>2.6957075146535892E-2</c:v>
                </c:pt>
                <c:pt idx="83">
                  <c:v>2.701603126136487E-2</c:v>
                </c:pt>
                <c:pt idx="84">
                  <c:v>2.707497321258634E-2</c:v>
                </c:pt>
                <c:pt idx="85">
                  <c:v>2.713390097142887E-2</c:v>
                </c:pt>
                <c:pt idx="86">
                  <c:v>2.719281450972888E-2</c:v>
                </c:pt>
                <c:pt idx="87">
                  <c:v>2.7251713798958077E-2</c:v>
                </c:pt>
                <c:pt idx="88">
                  <c:v>2.7310598810507125E-2</c:v>
                </c:pt>
                <c:pt idx="89">
                  <c:v>2.7369469516212441E-2</c:v>
                </c:pt>
                <c:pt idx="90">
                  <c:v>2.7428325887586258E-2</c:v>
                </c:pt>
                <c:pt idx="91">
                  <c:v>2.7487167896100284E-2</c:v>
                </c:pt>
                <c:pt idx="92">
                  <c:v>2.2379461498041042E-2</c:v>
                </c:pt>
                <c:pt idx="93">
                  <c:v>2.232789243635569E-2</c:v>
                </c:pt>
                <c:pt idx="94">
                  <c:v>2.2276332253533537E-2</c:v>
                </c:pt>
                <c:pt idx="95">
                  <c:v>2.2224780927732612E-2</c:v>
                </c:pt>
                <c:pt idx="96">
                  <c:v>2.2173238436989373E-2</c:v>
                </c:pt>
                <c:pt idx="97">
                  <c:v>2.2121704759704985E-2</c:v>
                </c:pt>
                <c:pt idx="98">
                  <c:v>2.2070179873753815E-2</c:v>
                </c:pt>
                <c:pt idx="99">
                  <c:v>2.2018663757415458E-2</c:v>
                </c:pt>
                <c:pt idx="100">
                  <c:v>2.1967156388766895E-2</c:v>
                </c:pt>
                <c:pt idx="101">
                  <c:v>2.1915657746087724E-2</c:v>
                </c:pt>
                <c:pt idx="102">
                  <c:v>2.1864167807414403E-2</c:v>
                </c:pt>
                <c:pt idx="103">
                  <c:v>2.1812686551026528E-2</c:v>
                </c:pt>
                <c:pt idx="104">
                  <c:v>2.1761213955082126E-2</c:v>
                </c:pt>
                <c:pt idx="105">
                  <c:v>2.1709749997658179E-2</c:v>
                </c:pt>
                <c:pt idx="106">
                  <c:v>2.1658294657196375E-2</c:v>
                </c:pt>
                <c:pt idx="107">
                  <c:v>2.1606847911652127E-2</c:v>
                </c:pt>
                <c:pt idx="108">
                  <c:v>2.1555409739345555E-2</c:v>
                </c:pt>
                <c:pt idx="109">
                  <c:v>2.5063393696702629E-2</c:v>
                </c:pt>
                <c:pt idx="110">
                  <c:v>2.5076244041988827E-2</c:v>
                </c:pt>
                <c:pt idx="111">
                  <c:v>2.5089091438811328E-2</c:v>
                </c:pt>
                <c:pt idx="112">
                  <c:v>2.5101935885994964E-2</c:v>
                </c:pt>
                <c:pt idx="113">
                  <c:v>2.5114777382283515E-2</c:v>
                </c:pt>
                <c:pt idx="114">
                  <c:v>2.5127615926056057E-2</c:v>
                </c:pt>
                <c:pt idx="115">
                  <c:v>2.5140451516177942E-2</c:v>
                </c:pt>
                <c:pt idx="116">
                  <c:v>2.5153284151433475E-2</c:v>
                </c:pt>
                <c:pt idx="117">
                  <c:v>2.5166113830080161E-2</c:v>
                </c:pt>
                <c:pt idx="118">
                  <c:v>2.5178940551185969E-2</c:v>
                </c:pt>
                <c:pt idx="119">
                  <c:v>2.5191764313292064E-2</c:v>
                </c:pt>
                <c:pt idx="120">
                  <c:v>2.5204585114899092E-2</c:v>
                </c:pt>
                <c:pt idx="121">
                  <c:v>2.5217402954872403E-2</c:v>
                </c:pt>
                <c:pt idx="122">
                  <c:v>2.5230217831915258E-2</c:v>
                </c:pt>
                <c:pt idx="123">
                  <c:v>2.5243029744406731E-2</c:v>
                </c:pt>
                <c:pt idx="124">
                  <c:v>2.5255838691252697E-2</c:v>
                </c:pt>
                <c:pt idx="125">
                  <c:v>2.5268644671277984E-2</c:v>
                </c:pt>
                <c:pt idx="126">
                  <c:v>2.5281447682659053E-2</c:v>
                </c:pt>
                <c:pt idx="127">
                  <c:v>2.5294247724544916E-2</c:v>
                </c:pt>
                <c:pt idx="128">
                  <c:v>2.5307044795274125E-2</c:v>
                </c:pt>
                <c:pt idx="129">
                  <c:v>2.5319838893712032E-2</c:v>
                </c:pt>
                <c:pt idx="130">
                  <c:v>2.533263001860242E-2</c:v>
                </c:pt>
                <c:pt idx="131">
                  <c:v>2.534541816828384E-2</c:v>
                </c:pt>
                <c:pt idx="132">
                  <c:v>2.535820334170269E-2</c:v>
                </c:pt>
                <c:pt idx="133">
                  <c:v>2.5370985537643276E-2</c:v>
                </c:pt>
                <c:pt idx="134">
                  <c:v>2.538376475432258E-2</c:v>
                </c:pt>
                <c:pt idx="135">
                  <c:v>2.5396540990808569E-2</c:v>
                </c:pt>
                <c:pt idx="136">
                  <c:v>2.5409314245763981E-2</c:v>
                </c:pt>
                <c:pt idx="137">
                  <c:v>2.5422084517608412E-2</c:v>
                </c:pt>
                <c:pt idx="138">
                  <c:v>2.5434851805207215E-2</c:v>
                </c:pt>
                <c:pt idx="139">
                  <c:v>2.5447616107344695E-2</c:v>
                </c:pt>
                <c:pt idx="140">
                  <c:v>2.5460377422359404E-2</c:v>
                </c:pt>
                <c:pt idx="141">
                  <c:v>2.5473135749157216E-2</c:v>
                </c:pt>
                <c:pt idx="142">
                  <c:v>2.5485891086603485E-2</c:v>
                </c:pt>
                <c:pt idx="143">
                  <c:v>2.5498643432874668E-2</c:v>
                </c:pt>
                <c:pt idx="144">
                  <c:v>2.5511392787038734E-2</c:v>
                </c:pt>
                <c:pt idx="145">
                  <c:v>2.5524139147798941E-2</c:v>
                </c:pt>
                <c:pt idx="146">
                  <c:v>2.5536882513453318E-2</c:v>
                </c:pt>
                <c:pt idx="147">
                  <c:v>2.5549622883110357E-2</c:v>
                </c:pt>
                <c:pt idx="148">
                  <c:v>2.5562360255392269E-2</c:v>
                </c:pt>
                <c:pt idx="149">
                  <c:v>2.5575094628597084E-2</c:v>
                </c:pt>
                <c:pt idx="150">
                  <c:v>2.5587826001833291E-2</c:v>
                </c:pt>
                <c:pt idx="151">
                  <c:v>2.5600554373723106E-2</c:v>
                </c:pt>
                <c:pt idx="152">
                  <c:v>2.56132797426456E-2</c:v>
                </c:pt>
                <c:pt idx="153">
                  <c:v>2.5626002107587698E-2</c:v>
                </c:pt>
                <c:pt idx="154">
                  <c:v>2.5638721467333703E-2</c:v>
                </c:pt>
                <c:pt idx="155">
                  <c:v>2.5651437820060075E-2</c:v>
                </c:pt>
                <c:pt idx="156">
                  <c:v>2.5664151164996873E-2</c:v>
                </c:pt>
                <c:pt idx="157">
                  <c:v>2.5676861500644743E-2</c:v>
                </c:pt>
                <c:pt idx="158">
                  <c:v>2.5689568825463804E-2</c:v>
                </c:pt>
                <c:pt idx="159">
                  <c:v>2.5702273138440979E-2</c:v>
                </c:pt>
                <c:pt idx="160">
                  <c:v>2.5714974438279525E-2</c:v>
                </c:pt>
                <c:pt idx="161">
                  <c:v>2.5727672723358519E-2</c:v>
                </c:pt>
                <c:pt idx="162">
                  <c:v>2.5740367992624358E-2</c:v>
                </c:pt>
                <c:pt idx="163">
                  <c:v>2.5753060244861348E-2</c:v>
                </c:pt>
                <c:pt idx="164">
                  <c:v>2.5765749478326994E-2</c:v>
                </c:pt>
                <c:pt idx="165">
                  <c:v>2.577843569217031E-2</c:v>
                </c:pt>
                <c:pt idx="166">
                  <c:v>2.5791118885013509E-2</c:v>
                </c:pt>
                <c:pt idx="167">
                  <c:v>2.5803799055154619E-2</c:v>
                </c:pt>
                <c:pt idx="168">
                  <c:v>2.5816476201702132E-2</c:v>
                </c:pt>
                <c:pt idx="169">
                  <c:v>2.582915032339983E-2</c:v>
                </c:pt>
                <c:pt idx="170">
                  <c:v>2.5841821418464694E-2</c:v>
                </c:pt>
                <c:pt idx="171">
                  <c:v>2.585448948604574E-2</c:v>
                </c:pt>
                <c:pt idx="172">
                  <c:v>2.5867154524846225E-2</c:v>
                </c:pt>
                <c:pt idx="173">
                  <c:v>2.5879816533083133E-2</c:v>
                </c:pt>
                <c:pt idx="174">
                  <c:v>2.5892475509905477E-2</c:v>
                </c:pt>
                <c:pt idx="175">
                  <c:v>2.5905131454097563E-2</c:v>
                </c:pt>
                <c:pt idx="176">
                  <c:v>2.5917784363754803E-2</c:v>
                </c:pt>
                <c:pt idx="177">
                  <c:v>2.5930434238350397E-2</c:v>
                </c:pt>
                <c:pt idx="178">
                  <c:v>2.5943081075817664E-2</c:v>
                </c:pt>
                <c:pt idx="179">
                  <c:v>2.5955724875427189E-2</c:v>
                </c:pt>
                <c:pt idx="180">
                  <c:v>2.5968365635801183E-2</c:v>
                </c:pt>
                <c:pt idx="181">
                  <c:v>2.5981003355278198E-2</c:v>
                </c:pt>
                <c:pt idx="182">
                  <c:v>2.5993638032966726E-2</c:v>
                </c:pt>
                <c:pt idx="183">
                  <c:v>2.6006269667488979E-2</c:v>
                </c:pt>
                <c:pt idx="184">
                  <c:v>2.6018898257264556E-2</c:v>
                </c:pt>
                <c:pt idx="185">
                  <c:v>2.6031523801239853E-2</c:v>
                </c:pt>
                <c:pt idx="186">
                  <c:v>2.604414629836127E-2</c:v>
                </c:pt>
                <c:pt idx="187">
                  <c:v>2.6056765746683697E-2</c:v>
                </c:pt>
                <c:pt idx="188">
                  <c:v>2.6069382145437192E-2</c:v>
                </c:pt>
                <c:pt idx="189">
                  <c:v>2.6081995493325016E-2</c:v>
                </c:pt>
                <c:pt idx="190">
                  <c:v>2.6094605788645198E-2</c:v>
                </c:pt>
                <c:pt idx="191">
                  <c:v>2.6107213030465704E-2</c:v>
                </c:pt>
                <c:pt idx="192">
                  <c:v>2.611981721757084E-2</c:v>
                </c:pt>
                <c:pt idx="193">
                  <c:v>2.6132418348177588E-2</c:v>
                </c:pt>
                <c:pt idx="194">
                  <c:v>2.6145016421475487E-2</c:v>
                </c:pt>
                <c:pt idx="195">
                  <c:v>2.6157611436167794E-2</c:v>
                </c:pt>
                <c:pt idx="196">
                  <c:v>2.6170203390512015E-2</c:v>
                </c:pt>
                <c:pt idx="197">
                  <c:v>2.618279228361664E-2</c:v>
                </c:pt>
                <c:pt idx="198">
                  <c:v>2.6195378114265977E-2</c:v>
                </c:pt>
                <c:pt idx="199">
                  <c:v>2.6207960880717529E-2</c:v>
                </c:pt>
                <c:pt idx="200">
                  <c:v>2.5986304855784015E-2</c:v>
                </c:pt>
                <c:pt idx="201">
                  <c:v>2.599658573579966E-2</c:v>
                </c:pt>
                <c:pt idx="202">
                  <c:v>2.600686408944064E-2</c:v>
                </c:pt>
                <c:pt idx="203">
                  <c:v>2.601713991561283E-2</c:v>
                </c:pt>
                <c:pt idx="204">
                  <c:v>2.6027413214113615E-2</c:v>
                </c:pt>
                <c:pt idx="205">
                  <c:v>2.6037683983443638E-2</c:v>
                </c:pt>
                <c:pt idx="206">
                  <c:v>2.6047952222954529E-2</c:v>
                </c:pt>
                <c:pt idx="207">
                  <c:v>2.6058217931876348E-2</c:v>
                </c:pt>
                <c:pt idx="208">
                  <c:v>2.6068481109277064E-2</c:v>
                </c:pt>
                <c:pt idx="209">
                  <c:v>2.607874175430569E-2</c:v>
                </c:pt>
                <c:pt idx="210">
                  <c:v>2.6088999866192286E-2</c:v>
                </c:pt>
                <c:pt idx="211">
                  <c:v>2.6099255443802205E-2</c:v>
                </c:pt>
                <c:pt idx="212">
                  <c:v>2.6109508486892308E-2</c:v>
                </c:pt>
                <c:pt idx="213">
                  <c:v>2.6119758994044284E-2</c:v>
                </c:pt>
                <c:pt idx="214">
                  <c:v>2.6130006964609764E-2</c:v>
                </c:pt>
                <c:pt idx="215">
                  <c:v>2.6140252397778285E-2</c:v>
                </c:pt>
                <c:pt idx="216">
                  <c:v>2.6150495292577292E-2</c:v>
                </c:pt>
                <c:pt idx="217">
                  <c:v>2.6160735648277367E-2</c:v>
                </c:pt>
                <c:pt idx="218">
                  <c:v>2.6170973463824909E-2</c:v>
                </c:pt>
                <c:pt idx="219">
                  <c:v>2.6181208738936257E-2</c:v>
                </c:pt>
                <c:pt idx="220">
                  <c:v>2.6191441472152577E-2</c:v>
                </c:pt>
                <c:pt idx="221">
                  <c:v>2.6201671662825499E-2</c:v>
                </c:pt>
                <c:pt idx="222">
                  <c:v>2.6211899310185083E-2</c:v>
                </c:pt>
                <c:pt idx="223">
                  <c:v>2.6222124413299297E-2</c:v>
                </c:pt>
                <c:pt idx="224">
                  <c:v>2.6232346971398202E-2</c:v>
                </c:pt>
                <c:pt idx="225">
                  <c:v>2.6242566983590287E-2</c:v>
                </c:pt>
                <c:pt idx="226">
                  <c:v>2.6252784448821953E-2</c:v>
                </c:pt>
                <c:pt idx="227">
                  <c:v>2.6262999366890583E-2</c:v>
                </c:pt>
                <c:pt idx="228">
                  <c:v>2.627321173629682E-2</c:v>
                </c:pt>
                <c:pt idx="229">
                  <c:v>2.6283421556513864E-2</c:v>
                </c:pt>
                <c:pt idx="230">
                  <c:v>2.629362882656916E-2</c:v>
                </c:pt>
                <c:pt idx="231">
                  <c:v>2.6303833545692767E-2</c:v>
                </c:pt>
                <c:pt idx="232">
                  <c:v>2.6314035712993178E-2</c:v>
                </c:pt>
                <c:pt idx="233">
                  <c:v>2.6324235327700451E-2</c:v>
                </c:pt>
                <c:pt idx="234">
                  <c:v>2.6334432388760987E-2</c:v>
                </c:pt>
                <c:pt idx="235">
                  <c:v>2.6344626895850598E-2</c:v>
                </c:pt>
                <c:pt idx="236">
                  <c:v>2.6354818847591499E-2</c:v>
                </c:pt>
                <c:pt idx="237">
                  <c:v>2.6365008243416366E-2</c:v>
                </c:pt>
                <c:pt idx="238">
                  <c:v>2.6375195082352643E-2</c:v>
                </c:pt>
                <c:pt idx="239">
                  <c:v>2.638537936363039E-2</c:v>
                </c:pt>
                <c:pt idx="240">
                  <c:v>2.6395561086479669E-2</c:v>
                </c:pt>
                <c:pt idx="241">
                  <c:v>2.6405740249684784E-2</c:v>
                </c:pt>
                <c:pt idx="242">
                  <c:v>2.6415916853164689E-2</c:v>
                </c:pt>
                <c:pt idx="243">
                  <c:v>2.6426090895420029E-2</c:v>
                </c:pt>
                <c:pt idx="244">
                  <c:v>2.6436262375883479E-2</c:v>
                </c:pt>
                <c:pt idx="245">
                  <c:v>2.6446431293582484E-2</c:v>
                </c:pt>
                <c:pt idx="246">
                  <c:v>2.6456597647828151E-2</c:v>
                </c:pt>
                <c:pt idx="247">
                  <c:v>2.6466761437688446E-2</c:v>
                </c:pt>
                <c:pt idx="248">
                  <c:v>2.6476922662393432E-2</c:v>
                </c:pt>
                <c:pt idx="249">
                  <c:v>2.6487081320848982E-2</c:v>
                </c:pt>
                <c:pt idx="250">
                  <c:v>2.6497237412852481E-2</c:v>
                </c:pt>
                <c:pt idx="251">
                  <c:v>2.650739093698562E-2</c:v>
                </c:pt>
                <c:pt idx="252">
                  <c:v>2.6517541892559504E-2</c:v>
                </c:pt>
                <c:pt idx="253">
                  <c:v>2.6527690278844718E-2</c:v>
                </c:pt>
                <c:pt idx="254">
                  <c:v>2.6537836094949752E-2</c:v>
                </c:pt>
                <c:pt idx="255">
                  <c:v>2.6547979339983097E-2</c:v>
                </c:pt>
                <c:pt idx="256">
                  <c:v>2.6558120012972197E-2</c:v>
                </c:pt>
                <c:pt idx="257">
                  <c:v>2.6568258113754961E-2</c:v>
                </c:pt>
                <c:pt idx="258">
                  <c:v>2.6578393640750986E-2</c:v>
                </c:pt>
                <c:pt idx="259">
                  <c:v>2.6588526593473993E-2</c:v>
                </c:pt>
                <c:pt idx="260">
                  <c:v>2.6598656971032475E-2</c:v>
                </c:pt>
                <c:pt idx="261">
                  <c:v>2.6608784772575444E-2</c:v>
                </c:pt>
                <c:pt idx="262">
                  <c:v>2.6618909997292439E-2</c:v>
                </c:pt>
                <c:pt idx="263">
                  <c:v>2.6629032644372996E-2</c:v>
                </c:pt>
                <c:pt idx="264">
                  <c:v>2.6639152712722991E-2</c:v>
                </c:pt>
                <c:pt idx="265">
                  <c:v>2.66492702023019E-2</c:v>
                </c:pt>
                <c:pt idx="266">
                  <c:v>2.6659385111407752E-2</c:v>
                </c:pt>
                <c:pt idx="267">
                  <c:v>2.6669497439635315E-2</c:v>
                </c:pt>
                <c:pt idx="268">
                  <c:v>2.6679607186093079E-2</c:v>
                </c:pt>
                <c:pt idx="269">
                  <c:v>2.6689714349889537E-2</c:v>
                </c:pt>
                <c:pt idx="270">
                  <c:v>2.6699818930254748E-2</c:v>
                </c:pt>
                <c:pt idx="271">
                  <c:v>2.6709920926418773E-2</c:v>
                </c:pt>
                <c:pt idx="272">
                  <c:v>2.672002033720644E-2</c:v>
                </c:pt>
                <c:pt idx="273">
                  <c:v>2.6730117162577227E-2</c:v>
                </c:pt>
                <c:pt idx="274">
                  <c:v>2.6740211401031777E-2</c:v>
                </c:pt>
                <c:pt idx="275">
                  <c:v>2.6750303051840674E-2</c:v>
                </c:pt>
                <c:pt idx="276">
                  <c:v>2.6760392114355547E-2</c:v>
                </c:pt>
                <c:pt idx="277">
                  <c:v>2.6770478587644364E-2</c:v>
                </c:pt>
                <c:pt idx="278">
                  <c:v>2.6780562470896663E-2</c:v>
                </c:pt>
                <c:pt idx="279">
                  <c:v>2.6790643763099364E-2</c:v>
                </c:pt>
                <c:pt idx="280">
                  <c:v>2.6800722464090376E-2</c:v>
                </c:pt>
                <c:pt idx="281">
                  <c:v>2.6810798572410866E-2</c:v>
                </c:pt>
                <c:pt idx="282">
                  <c:v>2.6820872087371939E-2</c:v>
                </c:pt>
                <c:pt idx="283">
                  <c:v>2.6830943008244179E-2</c:v>
                </c:pt>
                <c:pt idx="284">
                  <c:v>2.6841011334136078E-2</c:v>
                </c:pt>
                <c:pt idx="285">
                  <c:v>2.6851077064318218E-2</c:v>
                </c:pt>
                <c:pt idx="286">
                  <c:v>2.6861140197939615E-2</c:v>
                </c:pt>
                <c:pt idx="287">
                  <c:v>2.6871200733865619E-2</c:v>
                </c:pt>
                <c:pt idx="288">
                  <c:v>2.6881258672055708E-2</c:v>
                </c:pt>
                <c:pt idx="289">
                  <c:v>2.6891314011051048E-2</c:v>
                </c:pt>
                <c:pt idx="290">
                  <c:v>2.6901366750122224E-2</c:v>
                </c:pt>
                <c:pt idx="291">
                  <c:v>2.6813327013431865E-2</c:v>
                </c:pt>
                <c:pt idx="292">
                  <c:v>2.6822717790187522E-2</c:v>
                </c:pt>
                <c:pt idx="293">
                  <c:v>2.6832106126882804E-2</c:v>
                </c:pt>
                <c:pt idx="294">
                  <c:v>2.684149202351771E-2</c:v>
                </c:pt>
                <c:pt idx="295">
                  <c:v>2.685087547867393E-2</c:v>
                </c:pt>
                <c:pt idx="296">
                  <c:v>2.686025649190571E-2</c:v>
                </c:pt>
                <c:pt idx="297">
                  <c:v>2.6869635062443109E-2</c:v>
                </c:pt>
                <c:pt idx="298">
                  <c:v>2.6879011189597235E-2</c:v>
                </c:pt>
                <c:pt idx="299">
                  <c:v>2.6888384872476578E-2</c:v>
                </c:pt>
                <c:pt idx="300">
                  <c:v>2.6897756111081139E-2</c:v>
                </c:pt>
                <c:pt idx="301">
                  <c:v>2.6907124903871038E-2</c:v>
                </c:pt>
                <c:pt idx="302">
                  <c:v>2.6916491250562613E-2</c:v>
                </c:pt>
                <c:pt idx="303">
                  <c:v>2.6925855150264355E-2</c:v>
                </c:pt>
                <c:pt idx="304">
                  <c:v>2.6935216602165801E-2</c:v>
                </c:pt>
                <c:pt idx="305">
                  <c:v>2.6944575606226429E-2</c:v>
                </c:pt>
                <c:pt idx="306">
                  <c:v>2.6953932161027927E-2</c:v>
                </c:pt>
                <c:pt idx="307">
                  <c:v>2.6963286266124542E-2</c:v>
                </c:pt>
                <c:pt idx="308">
                  <c:v>2.6972637920786857E-2</c:v>
                </c:pt>
                <c:pt idx="309">
                  <c:v>2.698198712408284E-2</c:v>
                </c:pt>
                <c:pt idx="310">
                  <c:v>2.6991333876012491E-2</c:v>
                </c:pt>
                <c:pt idx="311">
                  <c:v>2.70006781751575E-2</c:v>
                </c:pt>
                <c:pt idx="312">
                  <c:v>2.7010020021112635E-2</c:v>
                </c:pt>
                <c:pt idx="313">
                  <c:v>2.7019359413067434E-2</c:v>
                </c:pt>
                <c:pt idx="314">
                  <c:v>2.7028696350454573E-2</c:v>
                </c:pt>
                <c:pt idx="315">
                  <c:v>2.7038030832139404E-2</c:v>
                </c:pt>
                <c:pt idx="316">
                  <c:v>2.7047362858365065E-2</c:v>
                </c:pt>
                <c:pt idx="317">
                  <c:v>2.7056692427591678E-2</c:v>
                </c:pt>
                <c:pt idx="318">
                  <c:v>2.7066019539332964E-2</c:v>
                </c:pt>
                <c:pt idx="319">
                  <c:v>2.7075344192940554E-2</c:v>
                </c:pt>
                <c:pt idx="320">
                  <c:v>2.7084666387441891E-2</c:v>
                </c:pt>
                <c:pt idx="321">
                  <c:v>2.7093986122958547E-2</c:v>
                </c:pt>
                <c:pt idx="322">
                  <c:v>2.7103303397910117E-2</c:v>
                </c:pt>
                <c:pt idx="323">
                  <c:v>2.7112618211972417E-2</c:v>
                </c:pt>
                <c:pt idx="324">
                  <c:v>2.7121930564334984E-2</c:v>
                </c:pt>
                <c:pt idx="325">
                  <c:v>2.7131240454389971E-2</c:v>
                </c:pt>
                <c:pt idx="326">
                  <c:v>2.71405478811243E-2</c:v>
                </c:pt>
                <c:pt idx="327">
                  <c:v>2.7149852844700062E-2</c:v>
                </c:pt>
                <c:pt idx="328">
                  <c:v>2.7159155343536856E-2</c:v>
                </c:pt>
                <c:pt idx="329">
                  <c:v>2.7168455377310496E-2</c:v>
                </c:pt>
                <c:pt idx="330">
                  <c:v>2.7177752945169997E-2</c:v>
                </c:pt>
                <c:pt idx="331">
                  <c:v>2.7187048046264373E-2</c:v>
                </c:pt>
                <c:pt idx="332">
                  <c:v>2.7196340680715192E-2</c:v>
                </c:pt>
                <c:pt idx="333">
                  <c:v>2.7205630847023099E-2</c:v>
                </c:pt>
                <c:pt idx="334">
                  <c:v>2.7214918544661293E-2</c:v>
                </c:pt>
                <c:pt idx="335">
                  <c:v>2.7224203772981403E-2</c:v>
                </c:pt>
                <c:pt idx="336">
                  <c:v>2.7233486531091922E-2</c:v>
                </c:pt>
                <c:pt idx="337">
                  <c:v>2.7242766819073894E-2</c:v>
                </c:pt>
                <c:pt idx="338">
                  <c:v>2.725204463538744E-2</c:v>
                </c:pt>
                <c:pt idx="339">
                  <c:v>2.726131997962733E-2</c:v>
                </c:pt>
                <c:pt idx="340">
                  <c:v>2.7270592851104669E-2</c:v>
                </c:pt>
                <c:pt idx="341">
                  <c:v>2.7279863249090042E-2</c:v>
                </c:pt>
                <c:pt idx="342">
                  <c:v>2.7289131172732461E-2</c:v>
                </c:pt>
                <c:pt idx="343">
                  <c:v>2.7298396622031929E-2</c:v>
                </c:pt>
                <c:pt idx="344">
                  <c:v>2.730765959552961E-2</c:v>
                </c:pt>
                <c:pt idx="345">
                  <c:v>2.7316920092860797E-2</c:v>
                </c:pt>
                <c:pt idx="346">
                  <c:v>2.7326178113215027E-2</c:v>
                </c:pt>
                <c:pt idx="347">
                  <c:v>2.7335433655700792E-2</c:v>
                </c:pt>
                <c:pt idx="348">
                  <c:v>2.7344686720520706E-2</c:v>
                </c:pt>
                <c:pt idx="349">
                  <c:v>2.7353937306053844E-2</c:v>
                </c:pt>
                <c:pt idx="350">
                  <c:v>2.7363185411894975E-2</c:v>
                </c:pt>
                <c:pt idx="351">
                  <c:v>2.7372431037395728E-2</c:v>
                </c:pt>
                <c:pt idx="352">
                  <c:v>2.7381674181583548E-2</c:v>
                </c:pt>
                <c:pt idx="353">
                  <c:v>2.7390914844580005E-2</c:v>
                </c:pt>
                <c:pt idx="354">
                  <c:v>2.7400153024966789E-2</c:v>
                </c:pt>
                <c:pt idx="355">
                  <c:v>2.7409388722136052E-2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4-4519-B643-0EE01D2F822F}"/>
            </c:ext>
          </c:extLst>
        </c:ser>
        <c:ser>
          <c:idx val="1"/>
          <c:order val="1"/>
          <c:tx>
            <c:strRef>
              <c:f>'Daily Forward Rates'!$C$1</c:f>
              <c:strCache>
                <c:ptCount val="1"/>
                <c:pt idx="0">
                  <c:v>Market.LIVE.RateCurve.AUD-LIBOR-BBA-6M</c:v>
                </c:pt>
              </c:strCache>
            </c:strRef>
          </c:tx>
          <c:marker>
            <c:symbol val="none"/>
          </c:marker>
          <c:cat>
            <c:numRef>
              <c:f>'Daily Forward Rates'!$A$2:$A$357</c:f>
              <c:numCache>
                <c:formatCode>d/m/yyyy;@</c:formatCode>
                <c:ptCount val="356"/>
                <c:pt idx="0">
                  <c:v>43149</c:v>
                </c:pt>
                <c:pt idx="1">
                  <c:v>43150</c:v>
                </c:pt>
                <c:pt idx="2">
                  <c:v>43151</c:v>
                </c:pt>
                <c:pt idx="3">
                  <c:v>43152</c:v>
                </c:pt>
                <c:pt idx="4">
                  <c:v>43153</c:v>
                </c:pt>
                <c:pt idx="5">
                  <c:v>43154</c:v>
                </c:pt>
                <c:pt idx="6">
                  <c:v>43155</c:v>
                </c:pt>
                <c:pt idx="7">
                  <c:v>43156</c:v>
                </c:pt>
                <c:pt idx="8">
                  <c:v>43157</c:v>
                </c:pt>
                <c:pt idx="9">
                  <c:v>43158</c:v>
                </c:pt>
                <c:pt idx="10">
                  <c:v>43159</c:v>
                </c:pt>
                <c:pt idx="11">
                  <c:v>43160</c:v>
                </c:pt>
                <c:pt idx="12">
                  <c:v>43161</c:v>
                </c:pt>
                <c:pt idx="13">
                  <c:v>43162</c:v>
                </c:pt>
                <c:pt idx="14">
                  <c:v>43163</c:v>
                </c:pt>
                <c:pt idx="15">
                  <c:v>43164</c:v>
                </c:pt>
                <c:pt idx="16">
                  <c:v>43165</c:v>
                </c:pt>
                <c:pt idx="17">
                  <c:v>43166</c:v>
                </c:pt>
                <c:pt idx="18">
                  <c:v>43167</c:v>
                </c:pt>
                <c:pt idx="19">
                  <c:v>43168</c:v>
                </c:pt>
                <c:pt idx="20">
                  <c:v>43169</c:v>
                </c:pt>
                <c:pt idx="21">
                  <c:v>43170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43176</c:v>
                </c:pt>
                <c:pt idx="28">
                  <c:v>43177</c:v>
                </c:pt>
                <c:pt idx="29">
                  <c:v>43178</c:v>
                </c:pt>
                <c:pt idx="30">
                  <c:v>43179</c:v>
                </c:pt>
                <c:pt idx="31">
                  <c:v>43180</c:v>
                </c:pt>
                <c:pt idx="32">
                  <c:v>43181</c:v>
                </c:pt>
                <c:pt idx="33">
                  <c:v>43182</c:v>
                </c:pt>
                <c:pt idx="34">
                  <c:v>43183</c:v>
                </c:pt>
                <c:pt idx="35">
                  <c:v>43184</c:v>
                </c:pt>
                <c:pt idx="36">
                  <c:v>43185</c:v>
                </c:pt>
                <c:pt idx="37">
                  <c:v>43186</c:v>
                </c:pt>
                <c:pt idx="38">
                  <c:v>43187</c:v>
                </c:pt>
                <c:pt idx="39">
                  <c:v>43188</c:v>
                </c:pt>
                <c:pt idx="40">
                  <c:v>43189</c:v>
                </c:pt>
                <c:pt idx="41">
                  <c:v>43190</c:v>
                </c:pt>
                <c:pt idx="42">
                  <c:v>43191</c:v>
                </c:pt>
                <c:pt idx="43">
                  <c:v>43192</c:v>
                </c:pt>
                <c:pt idx="44">
                  <c:v>43193</c:v>
                </c:pt>
                <c:pt idx="45">
                  <c:v>43194</c:v>
                </c:pt>
                <c:pt idx="46">
                  <c:v>43195</c:v>
                </c:pt>
                <c:pt idx="47">
                  <c:v>43196</c:v>
                </c:pt>
                <c:pt idx="48">
                  <c:v>43197</c:v>
                </c:pt>
                <c:pt idx="49">
                  <c:v>43198</c:v>
                </c:pt>
                <c:pt idx="50">
                  <c:v>43199</c:v>
                </c:pt>
                <c:pt idx="51">
                  <c:v>43200</c:v>
                </c:pt>
                <c:pt idx="52">
                  <c:v>43201</c:v>
                </c:pt>
                <c:pt idx="53">
                  <c:v>43202</c:v>
                </c:pt>
                <c:pt idx="54">
                  <c:v>43203</c:v>
                </c:pt>
                <c:pt idx="55">
                  <c:v>43204</c:v>
                </c:pt>
                <c:pt idx="56">
                  <c:v>43205</c:v>
                </c:pt>
                <c:pt idx="57">
                  <c:v>43206</c:v>
                </c:pt>
                <c:pt idx="58">
                  <c:v>43207</c:v>
                </c:pt>
                <c:pt idx="59">
                  <c:v>43208</c:v>
                </c:pt>
                <c:pt idx="60">
                  <c:v>43209</c:v>
                </c:pt>
                <c:pt idx="61">
                  <c:v>43210</c:v>
                </c:pt>
                <c:pt idx="62">
                  <c:v>43211</c:v>
                </c:pt>
                <c:pt idx="63">
                  <c:v>43212</c:v>
                </c:pt>
                <c:pt idx="64">
                  <c:v>43213</c:v>
                </c:pt>
                <c:pt idx="65">
                  <c:v>43214</c:v>
                </c:pt>
                <c:pt idx="66">
                  <c:v>43215</c:v>
                </c:pt>
                <c:pt idx="67">
                  <c:v>43216</c:v>
                </c:pt>
                <c:pt idx="68">
                  <c:v>43217</c:v>
                </c:pt>
                <c:pt idx="69">
                  <c:v>43218</c:v>
                </c:pt>
                <c:pt idx="70">
                  <c:v>43219</c:v>
                </c:pt>
                <c:pt idx="71">
                  <c:v>43220</c:v>
                </c:pt>
                <c:pt idx="72">
                  <c:v>43221</c:v>
                </c:pt>
                <c:pt idx="73">
                  <c:v>43222</c:v>
                </c:pt>
                <c:pt idx="74">
                  <c:v>43223</c:v>
                </c:pt>
                <c:pt idx="75">
                  <c:v>43224</c:v>
                </c:pt>
                <c:pt idx="76">
                  <c:v>43225</c:v>
                </c:pt>
                <c:pt idx="77">
                  <c:v>43226</c:v>
                </c:pt>
                <c:pt idx="78">
                  <c:v>43227</c:v>
                </c:pt>
                <c:pt idx="79">
                  <c:v>43228</c:v>
                </c:pt>
                <c:pt idx="80">
                  <c:v>43229</c:v>
                </c:pt>
                <c:pt idx="81">
                  <c:v>43230</c:v>
                </c:pt>
                <c:pt idx="82">
                  <c:v>43231</c:v>
                </c:pt>
                <c:pt idx="83">
                  <c:v>43232</c:v>
                </c:pt>
                <c:pt idx="84">
                  <c:v>43233</c:v>
                </c:pt>
                <c:pt idx="85">
                  <c:v>43234</c:v>
                </c:pt>
                <c:pt idx="86">
                  <c:v>43235</c:v>
                </c:pt>
                <c:pt idx="87">
                  <c:v>43236</c:v>
                </c:pt>
                <c:pt idx="88">
                  <c:v>43237</c:v>
                </c:pt>
                <c:pt idx="89">
                  <c:v>43238</c:v>
                </c:pt>
                <c:pt idx="90">
                  <c:v>43239</c:v>
                </c:pt>
                <c:pt idx="91">
                  <c:v>43240</c:v>
                </c:pt>
                <c:pt idx="92">
                  <c:v>43241</c:v>
                </c:pt>
                <c:pt idx="93">
                  <c:v>43242</c:v>
                </c:pt>
                <c:pt idx="94">
                  <c:v>43243</c:v>
                </c:pt>
                <c:pt idx="95">
                  <c:v>43244</c:v>
                </c:pt>
                <c:pt idx="96">
                  <c:v>43245</c:v>
                </c:pt>
                <c:pt idx="97">
                  <c:v>43246</c:v>
                </c:pt>
                <c:pt idx="98">
                  <c:v>43247</c:v>
                </c:pt>
                <c:pt idx="99">
                  <c:v>43248</c:v>
                </c:pt>
                <c:pt idx="100">
                  <c:v>43249</c:v>
                </c:pt>
                <c:pt idx="101">
                  <c:v>43250</c:v>
                </c:pt>
                <c:pt idx="102">
                  <c:v>43251</c:v>
                </c:pt>
                <c:pt idx="103">
                  <c:v>43252</c:v>
                </c:pt>
                <c:pt idx="104">
                  <c:v>43253</c:v>
                </c:pt>
                <c:pt idx="105">
                  <c:v>43254</c:v>
                </c:pt>
                <c:pt idx="106">
                  <c:v>43255</c:v>
                </c:pt>
                <c:pt idx="107">
                  <c:v>43256</c:v>
                </c:pt>
                <c:pt idx="108">
                  <c:v>43257</c:v>
                </c:pt>
                <c:pt idx="109">
                  <c:v>43258</c:v>
                </c:pt>
                <c:pt idx="110">
                  <c:v>43259</c:v>
                </c:pt>
                <c:pt idx="111">
                  <c:v>43260</c:v>
                </c:pt>
                <c:pt idx="112">
                  <c:v>43261</c:v>
                </c:pt>
                <c:pt idx="113">
                  <c:v>43262</c:v>
                </c:pt>
                <c:pt idx="114">
                  <c:v>43263</c:v>
                </c:pt>
                <c:pt idx="115">
                  <c:v>43264</c:v>
                </c:pt>
                <c:pt idx="116">
                  <c:v>43265</c:v>
                </c:pt>
                <c:pt idx="117">
                  <c:v>43266</c:v>
                </c:pt>
                <c:pt idx="118">
                  <c:v>43267</c:v>
                </c:pt>
                <c:pt idx="119">
                  <c:v>43268</c:v>
                </c:pt>
                <c:pt idx="120">
                  <c:v>43269</c:v>
                </c:pt>
                <c:pt idx="121">
                  <c:v>43270</c:v>
                </c:pt>
                <c:pt idx="122">
                  <c:v>43271</c:v>
                </c:pt>
                <c:pt idx="123">
                  <c:v>43272</c:v>
                </c:pt>
                <c:pt idx="124">
                  <c:v>43273</c:v>
                </c:pt>
                <c:pt idx="125">
                  <c:v>43274</c:v>
                </c:pt>
                <c:pt idx="126">
                  <c:v>43275</c:v>
                </c:pt>
                <c:pt idx="127">
                  <c:v>43276</c:v>
                </c:pt>
                <c:pt idx="128">
                  <c:v>43277</c:v>
                </c:pt>
                <c:pt idx="129">
                  <c:v>43278</c:v>
                </c:pt>
                <c:pt idx="130">
                  <c:v>43279</c:v>
                </c:pt>
                <c:pt idx="131">
                  <c:v>43280</c:v>
                </c:pt>
                <c:pt idx="132">
                  <c:v>43281</c:v>
                </c:pt>
                <c:pt idx="133">
                  <c:v>43282</c:v>
                </c:pt>
                <c:pt idx="134">
                  <c:v>43283</c:v>
                </c:pt>
                <c:pt idx="135">
                  <c:v>43284</c:v>
                </c:pt>
                <c:pt idx="136">
                  <c:v>43285</c:v>
                </c:pt>
                <c:pt idx="137">
                  <c:v>43286</c:v>
                </c:pt>
                <c:pt idx="138">
                  <c:v>43287</c:v>
                </c:pt>
                <c:pt idx="139">
                  <c:v>43288</c:v>
                </c:pt>
                <c:pt idx="140">
                  <c:v>43289</c:v>
                </c:pt>
                <c:pt idx="141">
                  <c:v>43290</c:v>
                </c:pt>
                <c:pt idx="142">
                  <c:v>43291</c:v>
                </c:pt>
                <c:pt idx="143">
                  <c:v>43292</c:v>
                </c:pt>
                <c:pt idx="144">
                  <c:v>43293</c:v>
                </c:pt>
                <c:pt idx="145">
                  <c:v>43294</c:v>
                </c:pt>
                <c:pt idx="146">
                  <c:v>43295</c:v>
                </c:pt>
                <c:pt idx="147">
                  <c:v>43296</c:v>
                </c:pt>
                <c:pt idx="148">
                  <c:v>43297</c:v>
                </c:pt>
                <c:pt idx="149">
                  <c:v>43298</c:v>
                </c:pt>
                <c:pt idx="150">
                  <c:v>43299</c:v>
                </c:pt>
                <c:pt idx="151">
                  <c:v>43300</c:v>
                </c:pt>
                <c:pt idx="152">
                  <c:v>43301</c:v>
                </c:pt>
                <c:pt idx="153">
                  <c:v>43302</c:v>
                </c:pt>
                <c:pt idx="154">
                  <c:v>43303</c:v>
                </c:pt>
                <c:pt idx="155">
                  <c:v>43304</c:v>
                </c:pt>
                <c:pt idx="156">
                  <c:v>43305</c:v>
                </c:pt>
                <c:pt idx="157">
                  <c:v>43306</c:v>
                </c:pt>
                <c:pt idx="158">
                  <c:v>43307</c:v>
                </c:pt>
                <c:pt idx="159">
                  <c:v>43308</c:v>
                </c:pt>
                <c:pt idx="160">
                  <c:v>43309</c:v>
                </c:pt>
                <c:pt idx="161">
                  <c:v>43310</c:v>
                </c:pt>
                <c:pt idx="162">
                  <c:v>43311</c:v>
                </c:pt>
                <c:pt idx="163">
                  <c:v>43312</c:v>
                </c:pt>
                <c:pt idx="164">
                  <c:v>43313</c:v>
                </c:pt>
                <c:pt idx="165">
                  <c:v>43314</c:v>
                </c:pt>
                <c:pt idx="166">
                  <c:v>43315</c:v>
                </c:pt>
                <c:pt idx="167">
                  <c:v>43316</c:v>
                </c:pt>
                <c:pt idx="168">
                  <c:v>43317</c:v>
                </c:pt>
                <c:pt idx="169">
                  <c:v>43318</c:v>
                </c:pt>
                <c:pt idx="170">
                  <c:v>43319</c:v>
                </c:pt>
                <c:pt idx="171">
                  <c:v>43320</c:v>
                </c:pt>
                <c:pt idx="172">
                  <c:v>43321</c:v>
                </c:pt>
                <c:pt idx="173">
                  <c:v>43322</c:v>
                </c:pt>
                <c:pt idx="174">
                  <c:v>43323</c:v>
                </c:pt>
                <c:pt idx="175">
                  <c:v>43324</c:v>
                </c:pt>
                <c:pt idx="176">
                  <c:v>43325</c:v>
                </c:pt>
                <c:pt idx="177">
                  <c:v>43326</c:v>
                </c:pt>
                <c:pt idx="178">
                  <c:v>43327</c:v>
                </c:pt>
                <c:pt idx="179">
                  <c:v>43328</c:v>
                </c:pt>
                <c:pt idx="180">
                  <c:v>43329</c:v>
                </c:pt>
                <c:pt idx="181">
                  <c:v>43330</c:v>
                </c:pt>
                <c:pt idx="182">
                  <c:v>43331</c:v>
                </c:pt>
                <c:pt idx="183">
                  <c:v>43332</c:v>
                </c:pt>
                <c:pt idx="184">
                  <c:v>43333</c:v>
                </c:pt>
                <c:pt idx="185">
                  <c:v>43334</c:v>
                </c:pt>
                <c:pt idx="186">
                  <c:v>43335</c:v>
                </c:pt>
                <c:pt idx="187">
                  <c:v>43336</c:v>
                </c:pt>
                <c:pt idx="188">
                  <c:v>43337</c:v>
                </c:pt>
                <c:pt idx="189">
                  <c:v>43338</c:v>
                </c:pt>
                <c:pt idx="190">
                  <c:v>43339</c:v>
                </c:pt>
                <c:pt idx="191">
                  <c:v>43340</c:v>
                </c:pt>
                <c:pt idx="192">
                  <c:v>43341</c:v>
                </c:pt>
                <c:pt idx="193">
                  <c:v>43342</c:v>
                </c:pt>
                <c:pt idx="194">
                  <c:v>43343</c:v>
                </c:pt>
                <c:pt idx="195">
                  <c:v>43344</c:v>
                </c:pt>
                <c:pt idx="196">
                  <c:v>43345</c:v>
                </c:pt>
                <c:pt idx="197">
                  <c:v>43346</c:v>
                </c:pt>
                <c:pt idx="198">
                  <c:v>43347</c:v>
                </c:pt>
                <c:pt idx="199">
                  <c:v>43348</c:v>
                </c:pt>
                <c:pt idx="200">
                  <c:v>43349</c:v>
                </c:pt>
                <c:pt idx="201">
                  <c:v>43350</c:v>
                </c:pt>
                <c:pt idx="202">
                  <c:v>43351</c:v>
                </c:pt>
                <c:pt idx="203">
                  <c:v>43352</c:v>
                </c:pt>
                <c:pt idx="204">
                  <c:v>43353</c:v>
                </c:pt>
                <c:pt idx="205">
                  <c:v>43354</c:v>
                </c:pt>
                <c:pt idx="206">
                  <c:v>43355</c:v>
                </c:pt>
                <c:pt idx="207">
                  <c:v>43356</c:v>
                </c:pt>
                <c:pt idx="208">
                  <c:v>43357</c:v>
                </c:pt>
                <c:pt idx="209">
                  <c:v>43358</c:v>
                </c:pt>
                <c:pt idx="210">
                  <c:v>43359</c:v>
                </c:pt>
                <c:pt idx="211">
                  <c:v>43360</c:v>
                </c:pt>
                <c:pt idx="212">
                  <c:v>43361</c:v>
                </c:pt>
                <c:pt idx="213">
                  <c:v>43362</c:v>
                </c:pt>
                <c:pt idx="214">
                  <c:v>43363</c:v>
                </c:pt>
                <c:pt idx="215">
                  <c:v>43364</c:v>
                </c:pt>
                <c:pt idx="216">
                  <c:v>43365</c:v>
                </c:pt>
                <c:pt idx="217">
                  <c:v>43366</c:v>
                </c:pt>
                <c:pt idx="218">
                  <c:v>43367</c:v>
                </c:pt>
                <c:pt idx="219">
                  <c:v>43368</c:v>
                </c:pt>
                <c:pt idx="220">
                  <c:v>43369</c:v>
                </c:pt>
                <c:pt idx="221">
                  <c:v>43370</c:v>
                </c:pt>
                <c:pt idx="222">
                  <c:v>43371</c:v>
                </c:pt>
                <c:pt idx="223">
                  <c:v>43372</c:v>
                </c:pt>
                <c:pt idx="224">
                  <c:v>43373</c:v>
                </c:pt>
                <c:pt idx="225">
                  <c:v>43374</c:v>
                </c:pt>
                <c:pt idx="226">
                  <c:v>43375</c:v>
                </c:pt>
                <c:pt idx="227">
                  <c:v>43376</c:v>
                </c:pt>
                <c:pt idx="228">
                  <c:v>43377</c:v>
                </c:pt>
                <c:pt idx="229">
                  <c:v>43378</c:v>
                </c:pt>
                <c:pt idx="230">
                  <c:v>43379</c:v>
                </c:pt>
                <c:pt idx="231">
                  <c:v>43380</c:v>
                </c:pt>
                <c:pt idx="232">
                  <c:v>43381</c:v>
                </c:pt>
                <c:pt idx="233">
                  <c:v>43382</c:v>
                </c:pt>
                <c:pt idx="234">
                  <c:v>43383</c:v>
                </c:pt>
                <c:pt idx="235">
                  <c:v>43384</c:v>
                </c:pt>
                <c:pt idx="236">
                  <c:v>43385</c:v>
                </c:pt>
                <c:pt idx="237">
                  <c:v>43386</c:v>
                </c:pt>
                <c:pt idx="238">
                  <c:v>43387</c:v>
                </c:pt>
                <c:pt idx="239">
                  <c:v>43388</c:v>
                </c:pt>
                <c:pt idx="240">
                  <c:v>43389</c:v>
                </c:pt>
                <c:pt idx="241">
                  <c:v>43390</c:v>
                </c:pt>
                <c:pt idx="242">
                  <c:v>43391</c:v>
                </c:pt>
                <c:pt idx="243">
                  <c:v>43392</c:v>
                </c:pt>
                <c:pt idx="244">
                  <c:v>43393</c:v>
                </c:pt>
                <c:pt idx="245">
                  <c:v>43394</c:v>
                </c:pt>
                <c:pt idx="246">
                  <c:v>43395</c:v>
                </c:pt>
                <c:pt idx="247">
                  <c:v>43396</c:v>
                </c:pt>
                <c:pt idx="248">
                  <c:v>43397</c:v>
                </c:pt>
                <c:pt idx="249">
                  <c:v>43398</c:v>
                </c:pt>
                <c:pt idx="250">
                  <c:v>43399</c:v>
                </c:pt>
                <c:pt idx="251">
                  <c:v>43400</c:v>
                </c:pt>
                <c:pt idx="252">
                  <c:v>43401</c:v>
                </c:pt>
                <c:pt idx="253">
                  <c:v>43402</c:v>
                </c:pt>
                <c:pt idx="254">
                  <c:v>43403</c:v>
                </c:pt>
                <c:pt idx="255">
                  <c:v>43404</c:v>
                </c:pt>
                <c:pt idx="256">
                  <c:v>43405</c:v>
                </c:pt>
                <c:pt idx="257">
                  <c:v>43406</c:v>
                </c:pt>
                <c:pt idx="258">
                  <c:v>43407</c:v>
                </c:pt>
                <c:pt idx="259">
                  <c:v>43408</c:v>
                </c:pt>
                <c:pt idx="260">
                  <c:v>43409</c:v>
                </c:pt>
                <c:pt idx="261">
                  <c:v>43410</c:v>
                </c:pt>
                <c:pt idx="262">
                  <c:v>43411</c:v>
                </c:pt>
                <c:pt idx="263">
                  <c:v>43412</c:v>
                </c:pt>
                <c:pt idx="264">
                  <c:v>43413</c:v>
                </c:pt>
                <c:pt idx="265">
                  <c:v>43414</c:v>
                </c:pt>
                <c:pt idx="266">
                  <c:v>43415</c:v>
                </c:pt>
                <c:pt idx="267">
                  <c:v>43416</c:v>
                </c:pt>
                <c:pt idx="268">
                  <c:v>43417</c:v>
                </c:pt>
                <c:pt idx="269">
                  <c:v>43418</c:v>
                </c:pt>
                <c:pt idx="270">
                  <c:v>43419</c:v>
                </c:pt>
                <c:pt idx="271">
                  <c:v>43420</c:v>
                </c:pt>
                <c:pt idx="272">
                  <c:v>43421</c:v>
                </c:pt>
                <c:pt idx="273">
                  <c:v>43422</c:v>
                </c:pt>
                <c:pt idx="274">
                  <c:v>43423</c:v>
                </c:pt>
                <c:pt idx="275">
                  <c:v>43424</c:v>
                </c:pt>
                <c:pt idx="276">
                  <c:v>43425</c:v>
                </c:pt>
                <c:pt idx="277">
                  <c:v>43426</c:v>
                </c:pt>
                <c:pt idx="278">
                  <c:v>43427</c:v>
                </c:pt>
                <c:pt idx="279">
                  <c:v>43428</c:v>
                </c:pt>
                <c:pt idx="280">
                  <c:v>43429</c:v>
                </c:pt>
                <c:pt idx="281">
                  <c:v>43430</c:v>
                </c:pt>
                <c:pt idx="282">
                  <c:v>43431</c:v>
                </c:pt>
                <c:pt idx="283">
                  <c:v>43432</c:v>
                </c:pt>
                <c:pt idx="284">
                  <c:v>43433</c:v>
                </c:pt>
                <c:pt idx="285">
                  <c:v>43434</c:v>
                </c:pt>
                <c:pt idx="286">
                  <c:v>43435</c:v>
                </c:pt>
                <c:pt idx="287">
                  <c:v>43436</c:v>
                </c:pt>
                <c:pt idx="288">
                  <c:v>43437</c:v>
                </c:pt>
                <c:pt idx="289">
                  <c:v>43438</c:v>
                </c:pt>
                <c:pt idx="290">
                  <c:v>43439</c:v>
                </c:pt>
                <c:pt idx="291">
                  <c:v>43440</c:v>
                </c:pt>
                <c:pt idx="292">
                  <c:v>43441</c:v>
                </c:pt>
                <c:pt idx="293">
                  <c:v>43442</c:v>
                </c:pt>
                <c:pt idx="294">
                  <c:v>43443</c:v>
                </c:pt>
                <c:pt idx="295">
                  <c:v>43444</c:v>
                </c:pt>
                <c:pt idx="296">
                  <c:v>43445</c:v>
                </c:pt>
                <c:pt idx="297">
                  <c:v>43446</c:v>
                </c:pt>
                <c:pt idx="298">
                  <c:v>43447</c:v>
                </c:pt>
                <c:pt idx="299">
                  <c:v>43448</c:v>
                </c:pt>
                <c:pt idx="300">
                  <c:v>43449</c:v>
                </c:pt>
                <c:pt idx="301">
                  <c:v>43450</c:v>
                </c:pt>
                <c:pt idx="302">
                  <c:v>43451</c:v>
                </c:pt>
                <c:pt idx="303">
                  <c:v>43452</c:v>
                </c:pt>
                <c:pt idx="304">
                  <c:v>43453</c:v>
                </c:pt>
                <c:pt idx="305">
                  <c:v>43454</c:v>
                </c:pt>
                <c:pt idx="306">
                  <c:v>43455</c:v>
                </c:pt>
                <c:pt idx="307">
                  <c:v>43456</c:v>
                </c:pt>
                <c:pt idx="308">
                  <c:v>43457</c:v>
                </c:pt>
                <c:pt idx="309">
                  <c:v>43458</c:v>
                </c:pt>
                <c:pt idx="310">
                  <c:v>43459</c:v>
                </c:pt>
                <c:pt idx="311">
                  <c:v>43460</c:v>
                </c:pt>
                <c:pt idx="312">
                  <c:v>43461</c:v>
                </c:pt>
                <c:pt idx="313">
                  <c:v>43462</c:v>
                </c:pt>
                <c:pt idx="314">
                  <c:v>43463</c:v>
                </c:pt>
                <c:pt idx="315">
                  <c:v>43464</c:v>
                </c:pt>
                <c:pt idx="316">
                  <c:v>43465</c:v>
                </c:pt>
                <c:pt idx="317">
                  <c:v>43466</c:v>
                </c:pt>
                <c:pt idx="318">
                  <c:v>43467</c:v>
                </c:pt>
                <c:pt idx="319">
                  <c:v>43468</c:v>
                </c:pt>
                <c:pt idx="320">
                  <c:v>43469</c:v>
                </c:pt>
                <c:pt idx="321">
                  <c:v>43470</c:v>
                </c:pt>
                <c:pt idx="322">
                  <c:v>43471</c:v>
                </c:pt>
                <c:pt idx="323">
                  <c:v>43472</c:v>
                </c:pt>
                <c:pt idx="324">
                  <c:v>43473</c:v>
                </c:pt>
                <c:pt idx="325">
                  <c:v>43474</c:v>
                </c:pt>
                <c:pt idx="326">
                  <c:v>43475</c:v>
                </c:pt>
                <c:pt idx="327">
                  <c:v>43476</c:v>
                </c:pt>
                <c:pt idx="328">
                  <c:v>43477</c:v>
                </c:pt>
                <c:pt idx="329">
                  <c:v>43478</c:v>
                </c:pt>
                <c:pt idx="330">
                  <c:v>43479</c:v>
                </c:pt>
                <c:pt idx="331">
                  <c:v>43480</c:v>
                </c:pt>
                <c:pt idx="332">
                  <c:v>43481</c:v>
                </c:pt>
                <c:pt idx="333">
                  <c:v>43482</c:v>
                </c:pt>
                <c:pt idx="334">
                  <c:v>43483</c:v>
                </c:pt>
                <c:pt idx="335">
                  <c:v>43484</c:v>
                </c:pt>
                <c:pt idx="336">
                  <c:v>43485</c:v>
                </c:pt>
                <c:pt idx="337">
                  <c:v>43486</c:v>
                </c:pt>
                <c:pt idx="338">
                  <c:v>43487</c:v>
                </c:pt>
                <c:pt idx="339">
                  <c:v>43488</c:v>
                </c:pt>
                <c:pt idx="340">
                  <c:v>43489</c:v>
                </c:pt>
                <c:pt idx="341">
                  <c:v>43490</c:v>
                </c:pt>
                <c:pt idx="342">
                  <c:v>43491</c:v>
                </c:pt>
                <c:pt idx="343">
                  <c:v>43492</c:v>
                </c:pt>
                <c:pt idx="344">
                  <c:v>43493</c:v>
                </c:pt>
                <c:pt idx="345">
                  <c:v>43494</c:v>
                </c:pt>
                <c:pt idx="346">
                  <c:v>43495</c:v>
                </c:pt>
                <c:pt idx="347">
                  <c:v>43496</c:v>
                </c:pt>
                <c:pt idx="348">
                  <c:v>43497</c:v>
                </c:pt>
                <c:pt idx="349">
                  <c:v>43498</c:v>
                </c:pt>
                <c:pt idx="350">
                  <c:v>43499</c:v>
                </c:pt>
                <c:pt idx="351">
                  <c:v>43500</c:v>
                </c:pt>
                <c:pt idx="352">
                  <c:v>43501</c:v>
                </c:pt>
                <c:pt idx="353">
                  <c:v>43502</c:v>
                </c:pt>
                <c:pt idx="354">
                  <c:v>43503</c:v>
                </c:pt>
                <c:pt idx="355">
                  <c:v>43504</c:v>
                </c:pt>
              </c:numCache>
            </c:numRef>
          </c:cat>
          <c:val>
            <c:numRef>
              <c:f>'Daily Forward Rates'!$C$2:$C$357</c:f>
              <c:numCache>
                <c:formatCode>0.00%</c:formatCode>
                <c:ptCount val="356"/>
                <c:pt idx="0">
                  <c:v>1.9998904169657439E-2</c:v>
                </c:pt>
                <c:pt idx="1">
                  <c:v>2.0994018155983118E-2</c:v>
                </c:pt>
                <c:pt idx="2">
                  <c:v>2.099281055886193E-2</c:v>
                </c:pt>
                <c:pt idx="3">
                  <c:v>2.0991603031197403E-2</c:v>
                </c:pt>
                <c:pt idx="4">
                  <c:v>2.099039557298954E-2</c:v>
                </c:pt>
                <c:pt idx="5">
                  <c:v>2.0989188184278862E-2</c:v>
                </c:pt>
                <c:pt idx="6">
                  <c:v>2.09879808649438E-2</c:v>
                </c:pt>
                <c:pt idx="7">
                  <c:v>2.0986773615105925E-2</c:v>
                </c:pt>
                <c:pt idx="8">
                  <c:v>2.297443784646136E-2</c:v>
                </c:pt>
                <c:pt idx="9">
                  <c:v>2.297299108942441E-2</c:v>
                </c:pt>
                <c:pt idx="10">
                  <c:v>2.2971544423564527E-2</c:v>
                </c:pt>
                <c:pt idx="11">
                  <c:v>2.297009784876014E-2</c:v>
                </c:pt>
                <c:pt idx="12">
                  <c:v>2.2968651365092296E-2</c:v>
                </c:pt>
                <c:pt idx="13">
                  <c:v>2.2967204972479949E-2</c:v>
                </c:pt>
                <c:pt idx="14">
                  <c:v>2.2965758670923098E-2</c:v>
                </c:pt>
                <c:pt idx="15">
                  <c:v>2.3946436754740952E-2</c:v>
                </c:pt>
                <c:pt idx="16">
                  <c:v>2.394486429678655E-2</c:v>
                </c:pt>
                <c:pt idx="17">
                  <c:v>2.394329194208511E-2</c:v>
                </c:pt>
                <c:pt idx="18">
                  <c:v>2.3941719690555585E-2</c:v>
                </c:pt>
                <c:pt idx="19">
                  <c:v>2.3940147542360068E-2</c:v>
                </c:pt>
                <c:pt idx="20">
                  <c:v>2.3938575497336467E-2</c:v>
                </c:pt>
                <c:pt idx="21">
                  <c:v>2.3937003555606351E-2</c:v>
                </c:pt>
                <c:pt idx="22">
                  <c:v>2.393543171704815E-2</c:v>
                </c:pt>
                <c:pt idx="23">
                  <c:v>2.3933859981702388E-2</c:v>
                </c:pt>
                <c:pt idx="24">
                  <c:v>2.3932288349609587E-2</c:v>
                </c:pt>
                <c:pt idx="25">
                  <c:v>2.3930716820688702E-2</c:v>
                </c:pt>
                <c:pt idx="26">
                  <c:v>2.3929145394939733E-2</c:v>
                </c:pt>
                <c:pt idx="27">
                  <c:v>2.3927574072443725E-2</c:v>
                </c:pt>
                <c:pt idx="28">
                  <c:v>2.3926002853079109E-2</c:v>
                </c:pt>
                <c:pt idx="29">
                  <c:v>2.4787218390885379E-2</c:v>
                </c:pt>
                <c:pt idx="30">
                  <c:v>2.4785532023842149E-2</c:v>
                </c:pt>
                <c:pt idx="31">
                  <c:v>2.478384577151993E-2</c:v>
                </c:pt>
                <c:pt idx="32">
                  <c:v>2.4782159633959244E-2</c:v>
                </c:pt>
                <c:pt idx="33">
                  <c:v>2.4780473611079046E-2</c:v>
                </c:pt>
                <c:pt idx="34">
                  <c:v>2.4778787702879335E-2</c:v>
                </c:pt>
                <c:pt idx="35">
                  <c:v>2.4777101909441157E-2</c:v>
                </c:pt>
                <c:pt idx="36">
                  <c:v>2.4775416230683467E-2</c:v>
                </c:pt>
                <c:pt idx="37">
                  <c:v>2.4773730666565741E-2</c:v>
                </c:pt>
                <c:pt idx="38">
                  <c:v>2.4772045217128502E-2</c:v>
                </c:pt>
                <c:pt idx="39">
                  <c:v>2.4770359882412274E-2</c:v>
                </c:pt>
                <c:pt idx="40">
                  <c:v>2.4768674662295487E-2</c:v>
                </c:pt>
                <c:pt idx="41">
                  <c:v>2.476698955689971E-2</c:v>
                </c:pt>
                <c:pt idx="42">
                  <c:v>2.4765304566062851E-2</c:v>
                </c:pt>
                <c:pt idx="43">
                  <c:v>2.476361968990648E-2</c:v>
                </c:pt>
                <c:pt idx="44">
                  <c:v>2.4761934928390072E-2</c:v>
                </c:pt>
                <c:pt idx="45">
                  <c:v>2.4760250281432583E-2</c:v>
                </c:pt>
                <c:pt idx="46">
                  <c:v>2.4758565749196104E-2</c:v>
                </c:pt>
                <c:pt idx="47">
                  <c:v>2.475688133147802E-2</c:v>
                </c:pt>
                <c:pt idx="48">
                  <c:v>2.4755197028359377E-2</c:v>
                </c:pt>
                <c:pt idx="49">
                  <c:v>2.4753512839880698E-2</c:v>
                </c:pt>
                <c:pt idx="50">
                  <c:v>2.4751828765960937E-2</c:v>
                </c:pt>
                <c:pt idx="51">
                  <c:v>2.4750144806600094E-2</c:v>
                </c:pt>
                <c:pt idx="52">
                  <c:v>2.4748460961798169E-2</c:v>
                </c:pt>
                <c:pt idx="53">
                  <c:v>2.4746777231595685E-2</c:v>
                </c:pt>
                <c:pt idx="54">
                  <c:v>2.4745093615911595E-2</c:v>
                </c:pt>
                <c:pt idx="55">
                  <c:v>2.4743410114786424E-2</c:v>
                </c:pt>
                <c:pt idx="56">
                  <c:v>2.4741726728179647E-2</c:v>
                </c:pt>
                <c:pt idx="57">
                  <c:v>2.4740043456131788E-2</c:v>
                </c:pt>
                <c:pt idx="58">
                  <c:v>2.4738360298561801E-2</c:v>
                </c:pt>
                <c:pt idx="59">
                  <c:v>2.4736677255510209E-2</c:v>
                </c:pt>
                <c:pt idx="60">
                  <c:v>2.6603072715236098E-2</c:v>
                </c:pt>
                <c:pt idx="61">
                  <c:v>2.6601126117986595E-2</c:v>
                </c:pt>
                <c:pt idx="62">
                  <c:v>2.6599179663216455E-2</c:v>
                </c:pt>
                <c:pt idx="63">
                  <c:v>2.6597233350885152E-2</c:v>
                </c:pt>
                <c:pt idx="64">
                  <c:v>2.6595287180911642E-2</c:v>
                </c:pt>
                <c:pt idx="65">
                  <c:v>2.6593341153336447E-2</c:v>
                </c:pt>
                <c:pt idx="66">
                  <c:v>2.6591395268240614E-2</c:v>
                </c:pt>
                <c:pt idx="67">
                  <c:v>2.658944952546205E-2</c:v>
                </c:pt>
                <c:pt idx="68">
                  <c:v>2.6587503925041278E-2</c:v>
                </c:pt>
                <c:pt idx="69">
                  <c:v>2.6585558467059345E-2</c:v>
                </c:pt>
                <c:pt idx="70">
                  <c:v>2.6583613151354157E-2</c:v>
                </c:pt>
                <c:pt idx="71">
                  <c:v>2.6581667978047285E-2</c:v>
                </c:pt>
                <c:pt idx="72">
                  <c:v>2.6579722947017159E-2</c:v>
                </c:pt>
                <c:pt idx="73">
                  <c:v>2.6577778058344825E-2</c:v>
                </c:pt>
                <c:pt idx="74">
                  <c:v>2.6575833311989761E-2</c:v>
                </c:pt>
                <c:pt idx="75">
                  <c:v>2.6573888707951965E-2</c:v>
                </c:pt>
                <c:pt idx="76">
                  <c:v>2.6571944246150392E-2</c:v>
                </c:pt>
                <c:pt idx="77">
                  <c:v>2.6569999926625565E-2</c:v>
                </c:pt>
                <c:pt idx="78">
                  <c:v>2.6568055749418007E-2</c:v>
                </c:pt>
                <c:pt idx="79">
                  <c:v>2.6566111714487195E-2</c:v>
                </c:pt>
                <c:pt idx="80">
                  <c:v>2.656416782171156E-2</c:v>
                </c:pt>
                <c:pt idx="81">
                  <c:v>2.6562224071293716E-2</c:v>
                </c:pt>
                <c:pt idx="82">
                  <c:v>2.6560280462990526E-2</c:v>
                </c:pt>
                <c:pt idx="83">
                  <c:v>2.6558336996964083E-2</c:v>
                </c:pt>
                <c:pt idx="84">
                  <c:v>2.6556393673173861E-2</c:v>
                </c:pt>
                <c:pt idx="85">
                  <c:v>2.6554450491498294E-2</c:v>
                </c:pt>
                <c:pt idx="86">
                  <c:v>2.6552507452058949E-2</c:v>
                </c:pt>
                <c:pt idx="87">
                  <c:v>2.6550564554815304E-2</c:v>
                </c:pt>
                <c:pt idx="88">
                  <c:v>2.6548621799686312E-2</c:v>
                </c:pt>
                <c:pt idx="89">
                  <c:v>2.6546679186753019E-2</c:v>
                </c:pt>
                <c:pt idx="90">
                  <c:v>2.6544736715974904E-2</c:v>
                </c:pt>
                <c:pt idx="91">
                  <c:v>2.6542794387270918E-2</c:v>
                </c:pt>
                <c:pt idx="92">
                  <c:v>2.2148134480456938E-2</c:v>
                </c:pt>
                <c:pt idx="93">
                  <c:v>2.2146782084875305E-2</c:v>
                </c:pt>
                <c:pt idx="94">
                  <c:v>2.2145429771879832E-2</c:v>
                </c:pt>
                <c:pt idx="95">
                  <c:v>2.2144077541470519E-2</c:v>
                </c:pt>
                <c:pt idx="96">
                  <c:v>2.2142725393647367E-2</c:v>
                </c:pt>
                <c:pt idx="97">
                  <c:v>2.2141373328329328E-2</c:v>
                </c:pt>
                <c:pt idx="98">
                  <c:v>2.2140021345637972E-2</c:v>
                </c:pt>
                <c:pt idx="99">
                  <c:v>2.2138669445451731E-2</c:v>
                </c:pt>
                <c:pt idx="100">
                  <c:v>2.2137317627851649E-2</c:v>
                </c:pt>
                <c:pt idx="101">
                  <c:v>2.2135965892756682E-2</c:v>
                </c:pt>
                <c:pt idx="102">
                  <c:v>2.2134614240247874E-2</c:v>
                </c:pt>
                <c:pt idx="103">
                  <c:v>2.2133262670203657E-2</c:v>
                </c:pt>
                <c:pt idx="104">
                  <c:v>2.2131911182786124E-2</c:v>
                </c:pt>
                <c:pt idx="105">
                  <c:v>2.2130559777792658E-2</c:v>
                </c:pt>
                <c:pt idx="106">
                  <c:v>2.2129208455385352E-2</c:v>
                </c:pt>
                <c:pt idx="107">
                  <c:v>2.2127857215442637E-2</c:v>
                </c:pt>
                <c:pt idx="108">
                  <c:v>2.2126506058045559E-2</c:v>
                </c:pt>
                <c:pt idx="109">
                  <c:v>2.5726751142736148E-2</c:v>
                </c:pt>
                <c:pt idx="110">
                  <c:v>2.5724924514527459E-2</c:v>
                </c:pt>
                <c:pt idx="111">
                  <c:v>2.5723098016033341E-2</c:v>
                </c:pt>
                <c:pt idx="112">
                  <c:v>2.5721271647213273E-2</c:v>
                </c:pt>
                <c:pt idx="113">
                  <c:v>2.5719445408067254E-2</c:v>
                </c:pt>
                <c:pt idx="114">
                  <c:v>2.5717619298595285E-2</c:v>
                </c:pt>
                <c:pt idx="115">
                  <c:v>2.5715793318797364E-2</c:v>
                </c:pt>
                <c:pt idx="116">
                  <c:v>2.5713967468592447E-2</c:v>
                </c:pt>
                <c:pt idx="117">
                  <c:v>2.5712141748061579E-2</c:v>
                </c:pt>
                <c:pt idx="118">
                  <c:v>2.5710316157164237E-2</c:v>
                </c:pt>
                <c:pt idx="119">
                  <c:v>2.5708490695859898E-2</c:v>
                </c:pt>
                <c:pt idx="120">
                  <c:v>2.5706665364189085E-2</c:v>
                </c:pt>
                <c:pt idx="121">
                  <c:v>2.5704840162111275E-2</c:v>
                </c:pt>
                <c:pt idx="122">
                  <c:v>2.5703015089626469E-2</c:v>
                </c:pt>
                <c:pt idx="123">
                  <c:v>2.5701190146734665E-2</c:v>
                </c:pt>
                <c:pt idx="124">
                  <c:v>2.5699365333395341E-2</c:v>
                </c:pt>
                <c:pt idx="125">
                  <c:v>2.5697540649608497E-2</c:v>
                </c:pt>
                <c:pt idx="126">
                  <c:v>2.5695716095414656E-2</c:v>
                </c:pt>
                <c:pt idx="127">
                  <c:v>2.5693891670732771E-2</c:v>
                </c:pt>
                <c:pt idx="128">
                  <c:v>2.5692067375562844E-2</c:v>
                </c:pt>
                <c:pt idx="129">
                  <c:v>2.5690243210026442E-2</c:v>
                </c:pt>
                <c:pt idx="130">
                  <c:v>2.5688419173880428E-2</c:v>
                </c:pt>
                <c:pt idx="131">
                  <c:v>2.5686595267327417E-2</c:v>
                </c:pt>
                <c:pt idx="132">
                  <c:v>2.5684771490245839E-2</c:v>
                </c:pt>
                <c:pt idx="133">
                  <c:v>2.5682947842676218E-2</c:v>
                </c:pt>
                <c:pt idx="134">
                  <c:v>2.5681124324537508E-2</c:v>
                </c:pt>
                <c:pt idx="135">
                  <c:v>2.5679300935910754E-2</c:v>
                </c:pt>
                <c:pt idx="136">
                  <c:v>2.5677477676755434E-2</c:v>
                </c:pt>
                <c:pt idx="137">
                  <c:v>2.5675654547031024E-2</c:v>
                </c:pt>
                <c:pt idx="138">
                  <c:v>2.5673831546737524E-2</c:v>
                </c:pt>
                <c:pt idx="139">
                  <c:v>2.5672008675874936E-2</c:v>
                </c:pt>
                <c:pt idx="140">
                  <c:v>2.5670185934524303E-2</c:v>
                </c:pt>
                <c:pt idx="141">
                  <c:v>2.5668363322483012E-2</c:v>
                </c:pt>
                <c:pt idx="142">
                  <c:v>2.5666540839872631E-2</c:v>
                </c:pt>
                <c:pt idx="143">
                  <c:v>2.5664718486693161E-2</c:v>
                </c:pt>
                <c:pt idx="144">
                  <c:v>2.5662896262904078E-2</c:v>
                </c:pt>
                <c:pt idx="145">
                  <c:v>2.5661074168505382E-2</c:v>
                </c:pt>
                <c:pt idx="146">
                  <c:v>2.5659252203416028E-2</c:v>
                </c:pt>
                <c:pt idx="147">
                  <c:v>2.565743036771706E-2</c:v>
                </c:pt>
                <c:pt idx="148">
                  <c:v>2.565560866140848E-2</c:v>
                </c:pt>
                <c:pt idx="149">
                  <c:v>2.5653787084368718E-2</c:v>
                </c:pt>
                <c:pt idx="150">
                  <c:v>2.5651965636759866E-2</c:v>
                </c:pt>
                <c:pt idx="151">
                  <c:v>2.5650144318379309E-2</c:v>
                </c:pt>
                <c:pt idx="152">
                  <c:v>2.5648323129389139E-2</c:v>
                </c:pt>
                <c:pt idx="153">
                  <c:v>2.5646502069667787E-2</c:v>
                </c:pt>
                <c:pt idx="154">
                  <c:v>2.5644681139215253E-2</c:v>
                </c:pt>
                <c:pt idx="155">
                  <c:v>2.5642860338112583E-2</c:v>
                </c:pt>
                <c:pt idx="156">
                  <c:v>2.5641039666278731E-2</c:v>
                </c:pt>
                <c:pt idx="157">
                  <c:v>2.5639219123673174E-2</c:v>
                </c:pt>
                <c:pt idx="158">
                  <c:v>2.5637398710376957E-2</c:v>
                </c:pt>
                <c:pt idx="159">
                  <c:v>2.5635578426268513E-2</c:v>
                </c:pt>
                <c:pt idx="160">
                  <c:v>2.5633758271469409E-2</c:v>
                </c:pt>
                <c:pt idx="161">
                  <c:v>2.5631938245858077E-2</c:v>
                </c:pt>
                <c:pt idx="162">
                  <c:v>2.5630118349515563E-2</c:v>
                </c:pt>
                <c:pt idx="163">
                  <c:v>2.562829858236082E-2</c:v>
                </c:pt>
                <c:pt idx="164">
                  <c:v>2.5626478944393849E-2</c:v>
                </c:pt>
                <c:pt idx="165">
                  <c:v>2.5624659435655173E-2</c:v>
                </c:pt>
                <c:pt idx="166">
                  <c:v>2.5622840056063745E-2</c:v>
                </c:pt>
                <c:pt idx="167">
                  <c:v>2.5621020805700612E-2</c:v>
                </c:pt>
                <c:pt idx="168">
                  <c:v>2.5619201684444204E-2</c:v>
                </c:pt>
                <c:pt idx="169">
                  <c:v>2.5617382692416091E-2</c:v>
                </c:pt>
                <c:pt idx="170">
                  <c:v>2.5615563829494703E-2</c:v>
                </c:pt>
                <c:pt idx="171">
                  <c:v>2.5613745095720564E-2</c:v>
                </c:pt>
                <c:pt idx="172">
                  <c:v>2.5611926491134196E-2</c:v>
                </c:pt>
                <c:pt idx="173">
                  <c:v>2.5610108015573507E-2</c:v>
                </c:pt>
                <c:pt idx="174">
                  <c:v>2.5608289669160067E-2</c:v>
                </c:pt>
                <c:pt idx="175">
                  <c:v>2.5606471451893875E-2</c:v>
                </c:pt>
                <c:pt idx="176">
                  <c:v>2.5604653363693886E-2</c:v>
                </c:pt>
                <c:pt idx="177">
                  <c:v>2.5602835404600621E-2</c:v>
                </c:pt>
                <c:pt idx="178">
                  <c:v>2.5601017574533036E-2</c:v>
                </c:pt>
                <c:pt idx="179">
                  <c:v>2.5599199873572176E-2</c:v>
                </c:pt>
                <c:pt idx="180">
                  <c:v>2.5597382301677518E-2</c:v>
                </c:pt>
                <c:pt idx="181">
                  <c:v>2.5595564858808539E-2</c:v>
                </c:pt>
                <c:pt idx="182">
                  <c:v>2.559374754496524E-2</c:v>
                </c:pt>
                <c:pt idx="183">
                  <c:v>2.5591930360228665E-2</c:v>
                </c:pt>
                <c:pt idx="184">
                  <c:v>2.5590113304436723E-2</c:v>
                </c:pt>
                <c:pt idx="185">
                  <c:v>2.5588296377670461E-2</c:v>
                </c:pt>
                <c:pt idx="186">
                  <c:v>2.5586479579929877E-2</c:v>
                </c:pt>
                <c:pt idx="187">
                  <c:v>2.5584662911174449E-2</c:v>
                </c:pt>
                <c:pt idx="188">
                  <c:v>2.5582846371444701E-2</c:v>
                </c:pt>
                <c:pt idx="189">
                  <c:v>2.5581029960619062E-2</c:v>
                </c:pt>
                <c:pt idx="190">
                  <c:v>2.5579213678778578E-2</c:v>
                </c:pt>
                <c:pt idx="191">
                  <c:v>2.5577397525923251E-2</c:v>
                </c:pt>
                <c:pt idx="192">
                  <c:v>2.5575581502012557E-2</c:v>
                </c:pt>
                <c:pt idx="193">
                  <c:v>2.5573765607046495E-2</c:v>
                </c:pt>
                <c:pt idx="194">
                  <c:v>2.5571949840984542E-2</c:v>
                </c:pt>
                <c:pt idx="195">
                  <c:v>2.5570134203867223E-2</c:v>
                </c:pt>
                <c:pt idx="196">
                  <c:v>2.5568318695654013E-2</c:v>
                </c:pt>
                <c:pt idx="197">
                  <c:v>2.5566503316344913E-2</c:v>
                </c:pt>
                <c:pt idx="198">
                  <c:v>2.5564688065899399E-2</c:v>
                </c:pt>
                <c:pt idx="199">
                  <c:v>2.5562872944398518E-2</c:v>
                </c:pt>
                <c:pt idx="200">
                  <c:v>2.6539173262218885E-2</c:v>
                </c:pt>
                <c:pt idx="201">
                  <c:v>2.6537216846415079E-2</c:v>
                </c:pt>
                <c:pt idx="202">
                  <c:v>2.653526057483313E-2</c:v>
                </c:pt>
                <c:pt idx="203">
                  <c:v>2.6533304447432515E-2</c:v>
                </c:pt>
                <c:pt idx="204">
                  <c:v>2.653134846429428E-2</c:v>
                </c:pt>
                <c:pt idx="205">
                  <c:v>2.6529392625256332E-2</c:v>
                </c:pt>
                <c:pt idx="206">
                  <c:v>2.6527436930480763E-2</c:v>
                </c:pt>
                <c:pt idx="207">
                  <c:v>2.6525481379805482E-2</c:v>
                </c:pt>
                <c:pt idx="208">
                  <c:v>2.6523525973352058E-2</c:v>
                </c:pt>
                <c:pt idx="209">
                  <c:v>2.6521570711039444E-2</c:v>
                </c:pt>
                <c:pt idx="210">
                  <c:v>2.6519615592827117E-2</c:v>
                </c:pt>
                <c:pt idx="211">
                  <c:v>2.6517660618755601E-2</c:v>
                </c:pt>
                <c:pt idx="212">
                  <c:v>2.6515705788824895E-2</c:v>
                </c:pt>
                <c:pt idx="213">
                  <c:v>2.6513751102994476E-2</c:v>
                </c:pt>
                <c:pt idx="214">
                  <c:v>2.6511796561223822E-2</c:v>
                </c:pt>
                <c:pt idx="215">
                  <c:v>2.6509842163553454E-2</c:v>
                </c:pt>
                <c:pt idx="216">
                  <c:v>2.6507887909983374E-2</c:v>
                </c:pt>
                <c:pt idx="217">
                  <c:v>2.6505933800473058E-2</c:v>
                </c:pt>
                <c:pt idx="218">
                  <c:v>2.6503979835022506E-2</c:v>
                </c:pt>
                <c:pt idx="219">
                  <c:v>2.6502026013550672E-2</c:v>
                </c:pt>
                <c:pt idx="220">
                  <c:v>2.6500072336179126E-2</c:v>
                </c:pt>
                <c:pt idx="221">
                  <c:v>2.649811880282682E-2</c:v>
                </c:pt>
                <c:pt idx="222">
                  <c:v>2.6496165413412709E-2</c:v>
                </c:pt>
                <c:pt idx="223">
                  <c:v>2.6494212168098885E-2</c:v>
                </c:pt>
                <c:pt idx="224">
                  <c:v>2.6492259066682733E-2</c:v>
                </c:pt>
                <c:pt idx="225">
                  <c:v>2.6490306109326345E-2</c:v>
                </c:pt>
                <c:pt idx="226">
                  <c:v>2.6488353295908151E-2</c:v>
                </c:pt>
                <c:pt idx="227">
                  <c:v>2.6486400626387629E-2</c:v>
                </c:pt>
                <c:pt idx="228">
                  <c:v>2.6484448100926872E-2</c:v>
                </c:pt>
                <c:pt idx="229">
                  <c:v>2.6482495719282739E-2</c:v>
                </c:pt>
                <c:pt idx="230">
                  <c:v>2.6480543481657848E-2</c:v>
                </c:pt>
                <c:pt idx="231">
                  <c:v>2.6478591387930628E-2</c:v>
                </c:pt>
                <c:pt idx="232">
                  <c:v>2.6476639438060556E-2</c:v>
                </c:pt>
                <c:pt idx="233">
                  <c:v>2.6474687632128679E-2</c:v>
                </c:pt>
                <c:pt idx="234">
                  <c:v>2.6472735970053951E-2</c:v>
                </c:pt>
                <c:pt idx="235">
                  <c:v>2.6470784451876894E-2</c:v>
                </c:pt>
                <c:pt idx="236">
                  <c:v>2.6468833077516463E-2</c:v>
                </c:pt>
                <c:pt idx="237">
                  <c:v>2.6466881847094226E-2</c:v>
                </c:pt>
                <c:pt idx="238">
                  <c:v>2.6464930760407568E-2</c:v>
                </c:pt>
                <c:pt idx="239">
                  <c:v>2.6462979817618582E-2</c:v>
                </c:pt>
                <c:pt idx="240">
                  <c:v>2.646102901864622E-2</c:v>
                </c:pt>
                <c:pt idx="241">
                  <c:v>2.6459078363490485E-2</c:v>
                </c:pt>
                <c:pt idx="242">
                  <c:v>2.6457127852070328E-2</c:v>
                </c:pt>
                <c:pt idx="243">
                  <c:v>2.645517748450732E-2</c:v>
                </c:pt>
                <c:pt idx="244">
                  <c:v>2.645322726067989E-2</c:v>
                </c:pt>
                <c:pt idx="245">
                  <c:v>2.6451277180628563E-2</c:v>
                </c:pt>
                <c:pt idx="246">
                  <c:v>2.6449327244353338E-2</c:v>
                </c:pt>
                <c:pt idx="247">
                  <c:v>2.6447377451813692E-2</c:v>
                </c:pt>
                <c:pt idx="248">
                  <c:v>2.6445427802969101E-2</c:v>
                </c:pt>
                <c:pt idx="249">
                  <c:v>2.6443478297900613E-2</c:v>
                </c:pt>
                <c:pt idx="250">
                  <c:v>2.6441528936567704E-2</c:v>
                </c:pt>
                <c:pt idx="251">
                  <c:v>2.6439579718848805E-2</c:v>
                </c:pt>
                <c:pt idx="252">
                  <c:v>2.6437630644906007E-2</c:v>
                </c:pt>
                <c:pt idx="253">
                  <c:v>2.6435681714577219E-2</c:v>
                </c:pt>
                <c:pt idx="254">
                  <c:v>2.6433732927984011E-2</c:v>
                </c:pt>
                <c:pt idx="255">
                  <c:v>2.6431784285045334E-2</c:v>
                </c:pt>
                <c:pt idx="256">
                  <c:v>2.6429835785680145E-2</c:v>
                </c:pt>
                <c:pt idx="257">
                  <c:v>2.6427887430050534E-2</c:v>
                </c:pt>
                <c:pt idx="258">
                  <c:v>2.6425939217953887E-2</c:v>
                </c:pt>
                <c:pt idx="259">
                  <c:v>2.6423991149592818E-2</c:v>
                </c:pt>
                <c:pt idx="260">
                  <c:v>2.642204322472419E-2</c:v>
                </c:pt>
                <c:pt idx="261">
                  <c:v>2.6420095443510094E-2</c:v>
                </c:pt>
                <c:pt idx="262">
                  <c:v>2.6418147805910008E-2</c:v>
                </c:pt>
                <c:pt idx="263">
                  <c:v>2.6416200311842886E-2</c:v>
                </c:pt>
                <c:pt idx="264">
                  <c:v>2.6414252961349249E-2</c:v>
                </c:pt>
                <c:pt idx="265">
                  <c:v>2.6412305754388576E-2</c:v>
                </c:pt>
                <c:pt idx="266">
                  <c:v>2.641035869100139E-2</c:v>
                </c:pt>
                <c:pt idx="267">
                  <c:v>2.6408411771147167E-2</c:v>
                </c:pt>
                <c:pt idx="268">
                  <c:v>2.6406464994825907E-2</c:v>
                </c:pt>
                <c:pt idx="269">
                  <c:v>2.6404518361997087E-2</c:v>
                </c:pt>
                <c:pt idx="270">
                  <c:v>2.6402571872660707E-2</c:v>
                </c:pt>
                <c:pt idx="271">
                  <c:v>2.6400625526857291E-2</c:v>
                </c:pt>
                <c:pt idx="272">
                  <c:v>2.6398679324505792E-2</c:v>
                </c:pt>
                <c:pt idx="273">
                  <c:v>2.6396733265606209E-2</c:v>
                </c:pt>
                <c:pt idx="274">
                  <c:v>2.6394787350199067E-2</c:v>
                </c:pt>
                <c:pt idx="275">
                  <c:v>2.6392841578203319E-2</c:v>
                </c:pt>
                <c:pt idx="276">
                  <c:v>2.6390895949700011E-2</c:v>
                </c:pt>
                <c:pt idx="277">
                  <c:v>2.6388950464608096E-2</c:v>
                </c:pt>
                <c:pt idx="278">
                  <c:v>2.6387005122887053E-2</c:v>
                </c:pt>
                <c:pt idx="279">
                  <c:v>2.6385059924617926E-2</c:v>
                </c:pt>
                <c:pt idx="280">
                  <c:v>2.6383114869760194E-2</c:v>
                </c:pt>
                <c:pt idx="281">
                  <c:v>2.6381169958232809E-2</c:v>
                </c:pt>
                <c:pt idx="282">
                  <c:v>2.6379225190116817E-2</c:v>
                </c:pt>
                <c:pt idx="283">
                  <c:v>2.6377280565331174E-2</c:v>
                </c:pt>
                <c:pt idx="284">
                  <c:v>2.6375336083956924E-2</c:v>
                </c:pt>
                <c:pt idx="285">
                  <c:v>2.6373391745913022E-2</c:v>
                </c:pt>
                <c:pt idx="286">
                  <c:v>2.6371447551158944E-2</c:v>
                </c:pt>
                <c:pt idx="287">
                  <c:v>2.6369503499775737E-2</c:v>
                </c:pt>
                <c:pt idx="288">
                  <c:v>2.6367559591641831E-2</c:v>
                </c:pt>
                <c:pt idx="289">
                  <c:v>2.6365615826878797E-2</c:v>
                </c:pt>
                <c:pt idx="290">
                  <c:v>2.6363672205365063E-2</c:v>
                </c:pt>
                <c:pt idx="291">
                  <c:v>-0.29183844085139909</c:v>
                </c:pt>
                <c:pt idx="292">
                  <c:v>-0.29207660965863469</c:v>
                </c:pt>
                <c:pt idx="293">
                  <c:v>-0.29231497283495111</c:v>
                </c:pt>
                <c:pt idx="294">
                  <c:v>-0.29255353053903699</c:v>
                </c:pt>
                <c:pt idx="295">
                  <c:v>-0.29279228292962145</c:v>
                </c:pt>
                <c:pt idx="296">
                  <c:v>-0.29303123016559574</c:v>
                </c:pt>
                <c:pt idx="297">
                  <c:v>-0.29327037240597265</c:v>
                </c:pt>
                <c:pt idx="298">
                  <c:v>-0.29350970980984603</c:v>
                </c:pt>
                <c:pt idx="299">
                  <c:v>-0.29374924253655288</c:v>
                </c:pt>
                <c:pt idx="300">
                  <c:v>-0.2939889707454707</c:v>
                </c:pt>
                <c:pt idx="301">
                  <c:v>-0.29422889459609858</c:v>
                </c:pt>
                <c:pt idx="302">
                  <c:v>-0.29446901424817873</c:v>
                </c:pt>
                <c:pt idx="303">
                  <c:v>-0.29470932986145337</c:v>
                </c:pt>
                <c:pt idx="304">
                  <c:v>-0.29494984159586735</c:v>
                </c:pt>
                <c:pt idx="305">
                  <c:v>-0.29519054961140601</c:v>
                </c:pt>
                <c:pt idx="306">
                  <c:v>-0.29543145406833837</c:v>
                </c:pt>
                <c:pt idx="307">
                  <c:v>-0.29567255512693347</c:v>
                </c:pt>
                <c:pt idx="308">
                  <c:v>-0.29591385294766293</c:v>
                </c:pt>
                <c:pt idx="309">
                  <c:v>-0.29615534769111995</c:v>
                </c:pt>
                <c:pt idx="310">
                  <c:v>-0.2963970395179788</c:v>
                </c:pt>
                <c:pt idx="311">
                  <c:v>-0.29663892858903529</c:v>
                </c:pt>
                <c:pt idx="312">
                  <c:v>-0.2968810150653689</c:v>
                </c:pt>
                <c:pt idx="313">
                  <c:v>-0.29712329910797808</c:v>
                </c:pt>
                <c:pt idx="314">
                  <c:v>-0.29736578087818544</c:v>
                </c:pt>
                <c:pt idx="315">
                  <c:v>-0.29760846053727308</c:v>
                </c:pt>
                <c:pt idx="316">
                  <c:v>0.14627605529992482</c:v>
                </c:pt>
                <c:pt idx="317">
                  <c:v>0.14621742942871219</c:v>
                </c:pt>
                <c:pt idx="318">
                  <c:v>0.14615882705411309</c:v>
                </c:pt>
                <c:pt idx="319">
                  <c:v>0.1461002481667667</c:v>
                </c:pt>
                <c:pt idx="320">
                  <c:v>0.14604169275719059</c:v>
                </c:pt>
                <c:pt idx="321">
                  <c:v>0.14598316081598339</c:v>
                </c:pt>
                <c:pt idx="322">
                  <c:v>0.14592465233374374</c:v>
                </c:pt>
                <c:pt idx="323">
                  <c:v>0.14586616730107027</c:v>
                </c:pt>
                <c:pt idx="324">
                  <c:v>0.14580770570860213</c:v>
                </c:pt>
                <c:pt idx="325">
                  <c:v>0.14574926754689743</c:v>
                </c:pt>
                <c:pt idx="326">
                  <c:v>0.1456908528065548</c:v>
                </c:pt>
                <c:pt idx="327">
                  <c:v>0.14563246147825393</c:v>
                </c:pt>
                <c:pt idx="328">
                  <c:v>0.14557409355255291</c:v>
                </c:pt>
                <c:pt idx="329">
                  <c:v>0.14551574902005038</c:v>
                </c:pt>
                <c:pt idx="330">
                  <c:v>0.14545742787146654</c:v>
                </c:pt>
                <c:pt idx="331">
                  <c:v>0.1453991300973595</c:v>
                </c:pt>
                <c:pt idx="332">
                  <c:v>0.14534085568832789</c:v>
                </c:pt>
                <c:pt idx="333">
                  <c:v>0.14528260463513243</c:v>
                </c:pt>
                <c:pt idx="334">
                  <c:v>0.14522437692825019</c:v>
                </c:pt>
                <c:pt idx="335">
                  <c:v>0.14516617255848241</c:v>
                </c:pt>
                <c:pt idx="336">
                  <c:v>0.14510799151634668</c:v>
                </c:pt>
                <c:pt idx="337">
                  <c:v>0.1450498337925632</c:v>
                </c:pt>
                <c:pt idx="338">
                  <c:v>0.14499169937777112</c:v>
                </c:pt>
                <c:pt idx="339">
                  <c:v>0.14493358826265013</c:v>
                </c:pt>
                <c:pt idx="340">
                  <c:v>0.14487550043783937</c:v>
                </c:pt>
                <c:pt idx="341">
                  <c:v>0.14481743589393747</c:v>
                </c:pt>
                <c:pt idx="342">
                  <c:v>0.1447593946217457</c:v>
                </c:pt>
                <c:pt idx="343">
                  <c:v>0.14470137661186266</c:v>
                </c:pt>
                <c:pt idx="344">
                  <c:v>0.14464338185496806</c:v>
                </c:pt>
                <c:pt idx="345">
                  <c:v>0.14458541034174155</c:v>
                </c:pt>
                <c:pt idx="346">
                  <c:v>0.14452746206286282</c:v>
                </c:pt>
                <c:pt idx="347">
                  <c:v>0.14446953700905207</c:v>
                </c:pt>
                <c:pt idx="348">
                  <c:v>0.14441163517098898</c:v>
                </c:pt>
                <c:pt idx="349">
                  <c:v>0.14435375653935323</c:v>
                </c:pt>
                <c:pt idx="350">
                  <c:v>0.14429590110486501</c:v>
                </c:pt>
                <c:pt idx="351">
                  <c:v>0.14423806885816348</c:v>
                </c:pt>
                <c:pt idx="352">
                  <c:v>0.14418025979004989</c:v>
                </c:pt>
                <c:pt idx="353">
                  <c:v>0.14412247389116339</c:v>
                </c:pt>
                <c:pt idx="354">
                  <c:v>0.14406471115230524</c:v>
                </c:pt>
                <c:pt idx="355">
                  <c:v>0.14400697156403353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4-4519-B643-0EE01D2F822F}"/>
            </c:ext>
          </c:extLst>
        </c:ser>
        <c:ser>
          <c:idx val="2"/>
          <c:order val="2"/>
          <c:tx>
            <c:strRef>
              <c:f>'Daily Forward Rates'!$E$1</c:f>
              <c:strCache>
                <c:ptCount val="1"/>
                <c:pt idx="0">
                  <c:v>Market.LIVE.RateCurve.GBP-LIBOR-BBA-3M</c:v>
                </c:pt>
              </c:strCache>
            </c:strRef>
          </c:tx>
          <c:marker>
            <c:symbol val="none"/>
          </c:marker>
          <c:val>
            <c:numRef>
              <c:f>'Daily Forward Rates'!$E$2:$E$357</c:f>
              <c:numCache>
                <c:formatCode>0.00%</c:formatCode>
                <c:ptCount val="356"/>
                <c:pt idx="0">
                  <c:v>7.248560217485378E-2</c:v>
                </c:pt>
                <c:pt idx="1">
                  <c:v>7.5493187612131196E-2</c:v>
                </c:pt>
                <c:pt idx="2">
                  <c:v>7.5477570205514377E-2</c:v>
                </c:pt>
                <c:pt idx="3">
                  <c:v>7.5461956029726496E-2</c:v>
                </c:pt>
                <c:pt idx="4">
                  <c:v>7.5446345084038136E-2</c:v>
                </c:pt>
                <c:pt idx="5">
                  <c:v>7.5430737367841449E-2</c:v>
                </c:pt>
                <c:pt idx="6">
                  <c:v>7.5415132880366498E-2</c:v>
                </c:pt>
                <c:pt idx="7">
                  <c:v>7.5399531621127003E-2</c:v>
                </c:pt>
                <c:pt idx="8">
                  <c:v>7.737944319397394E-2</c:v>
                </c:pt>
                <c:pt idx="9">
                  <c:v>7.7363011832102813E-2</c:v>
                </c:pt>
                <c:pt idx="10">
                  <c:v>7.7346583959476689E-2</c:v>
                </c:pt>
                <c:pt idx="11">
                  <c:v>7.733015957520406E-2</c:v>
                </c:pt>
                <c:pt idx="12">
                  <c:v>7.7313738678636557E-2</c:v>
                </c:pt>
                <c:pt idx="13">
                  <c:v>7.7297321269004238E-2</c:v>
                </c:pt>
                <c:pt idx="14">
                  <c:v>7.7280907345618211E-2</c:v>
                </c:pt>
                <c:pt idx="15">
                  <c:v>7.7172958671420377E-2</c:v>
                </c:pt>
                <c:pt idx="16">
                  <c:v>7.7156590571074712E-2</c:v>
                </c:pt>
                <c:pt idx="17">
                  <c:v>7.7140225942346485E-2</c:v>
                </c:pt>
                <c:pt idx="18">
                  <c:v>7.7123864784465757E-2</c:v>
                </c:pt>
                <c:pt idx="19">
                  <c:v>7.710750709670311E-2</c:v>
                </c:pt>
                <c:pt idx="20">
                  <c:v>7.7091152878410174E-2</c:v>
                </c:pt>
                <c:pt idx="21">
                  <c:v>7.7074802128776487E-2</c:v>
                </c:pt>
                <c:pt idx="22">
                  <c:v>7.705845484703211E-2</c:v>
                </c:pt>
                <c:pt idx="23">
                  <c:v>7.7042111032528671E-2</c:v>
                </c:pt>
                <c:pt idx="24">
                  <c:v>7.7025770684455708E-2</c:v>
                </c:pt>
                <c:pt idx="25">
                  <c:v>7.7009433802124327E-2</c:v>
                </c:pt>
                <c:pt idx="26">
                  <c:v>7.6993100384805113E-2</c:v>
                </c:pt>
                <c:pt idx="27">
                  <c:v>7.6976770431687602E-2</c:v>
                </c:pt>
                <c:pt idx="28">
                  <c:v>7.6960443942163947E-2</c:v>
                </c:pt>
                <c:pt idx="29">
                  <c:v>7.524139599470181E-2</c:v>
                </c:pt>
                <c:pt idx="30">
                  <c:v>7.5225790721483166E-2</c:v>
                </c:pt>
                <c:pt idx="31">
                  <c:v>7.5210188684928792E-2</c:v>
                </c:pt>
                <c:pt idx="32">
                  <c:v>7.5194589884187701E-2</c:v>
                </c:pt>
                <c:pt idx="33">
                  <c:v>7.5178994318733094E-2</c:v>
                </c:pt>
                <c:pt idx="34">
                  <c:v>7.5163401987835554E-2</c:v>
                </c:pt>
                <c:pt idx="35">
                  <c:v>7.514781289084671E-2</c:v>
                </c:pt>
                <c:pt idx="36">
                  <c:v>7.5132227027037146E-2</c:v>
                </c:pt>
                <c:pt idx="37">
                  <c:v>7.5116644395799015E-2</c:v>
                </c:pt>
                <c:pt idx="38">
                  <c:v>7.5101064996443423E-2</c:v>
                </c:pt>
                <c:pt idx="39">
                  <c:v>7.5085488828322E-2</c:v>
                </c:pt>
                <c:pt idx="40">
                  <c:v>7.506991589070533E-2</c:v>
                </c:pt>
                <c:pt idx="41">
                  <c:v>7.5054346182945042E-2</c:v>
                </c:pt>
                <c:pt idx="42">
                  <c:v>7.5038779704433289E-2</c:v>
                </c:pt>
                <c:pt idx="43">
                  <c:v>7.5023216454440655E-2</c:v>
                </c:pt>
                <c:pt idx="44">
                  <c:v>7.5007656432278247E-2</c:v>
                </c:pt>
                <c:pt idx="45">
                  <c:v>7.4992099637338216E-2</c:v>
                </c:pt>
                <c:pt idx="46">
                  <c:v>7.4976546068931671E-2</c:v>
                </c:pt>
                <c:pt idx="47">
                  <c:v>7.4960995726329194E-2</c:v>
                </c:pt>
                <c:pt idx="48">
                  <c:v>7.4945448608922938E-2</c:v>
                </c:pt>
                <c:pt idx="49">
                  <c:v>7.4929904716064533E-2</c:v>
                </c:pt>
                <c:pt idx="50">
                  <c:v>7.4914364047024562E-2</c:v>
                </c:pt>
                <c:pt idx="51">
                  <c:v>7.4898826601195179E-2</c:v>
                </c:pt>
                <c:pt idx="52">
                  <c:v>7.4883292377846966E-2</c:v>
                </c:pt>
                <c:pt idx="53">
                  <c:v>7.4867761376331554E-2</c:v>
                </c:pt>
                <c:pt idx="54">
                  <c:v>7.4852233596000572E-2</c:v>
                </c:pt>
                <c:pt idx="55">
                  <c:v>7.4836709036165128E-2</c:v>
                </c:pt>
                <c:pt idx="56">
                  <c:v>7.4821187696217373E-2</c:v>
                </c:pt>
                <c:pt idx="57">
                  <c:v>7.4805669575346845E-2</c:v>
                </c:pt>
                <c:pt idx="58">
                  <c:v>7.4790154673067266E-2</c:v>
                </c:pt>
                <c:pt idx="59">
                  <c:v>7.4616824549406102E-2</c:v>
                </c:pt>
                <c:pt idx="60">
                  <c:v>7.4601381476986361E-2</c:v>
                </c:pt>
                <c:pt idx="61">
                  <c:v>7.4585941600667227E-2</c:v>
                </c:pt>
                <c:pt idx="62">
                  <c:v>7.4570504919962421E-2</c:v>
                </c:pt>
                <c:pt idx="63">
                  <c:v>7.4555071434020959E-2</c:v>
                </c:pt>
                <c:pt idx="64">
                  <c:v>7.4539641142356561E-2</c:v>
                </c:pt>
                <c:pt idx="65">
                  <c:v>7.4524214044158765E-2</c:v>
                </c:pt>
                <c:pt idx="66">
                  <c:v>7.4508790138819725E-2</c:v>
                </c:pt>
                <c:pt idx="67">
                  <c:v>7.4493369425772116E-2</c:v>
                </c:pt>
                <c:pt idx="68">
                  <c:v>7.4477951904164952E-2</c:v>
                </c:pt>
                <c:pt idx="69">
                  <c:v>7.4462537573552479E-2</c:v>
                </c:pt>
                <c:pt idx="70">
                  <c:v>7.444712643308371E-2</c:v>
                </c:pt>
                <c:pt idx="71">
                  <c:v>7.4431718482231846E-2</c:v>
                </c:pt>
                <c:pt idx="72">
                  <c:v>7.4416313720267468E-2</c:v>
                </c:pt>
                <c:pt idx="73">
                  <c:v>7.4400912146542209E-2</c:v>
                </c:pt>
                <c:pt idx="74">
                  <c:v>7.4385513760407695E-2</c:v>
                </c:pt>
                <c:pt idx="75">
                  <c:v>7.4370118561215559E-2</c:v>
                </c:pt>
                <c:pt idx="76">
                  <c:v>7.4354726548276906E-2</c:v>
                </c:pt>
                <c:pt idx="77">
                  <c:v>7.4339337720943366E-2</c:v>
                </c:pt>
                <c:pt idx="78">
                  <c:v>7.4323952078566569E-2</c:v>
                </c:pt>
                <c:pt idx="79">
                  <c:v>7.4308569620498144E-2</c:v>
                </c:pt>
                <c:pt idx="80">
                  <c:v>7.4293190346049198E-2</c:v>
                </c:pt>
                <c:pt idx="81">
                  <c:v>7.4277814254530838E-2</c:v>
                </c:pt>
                <c:pt idx="82">
                  <c:v>7.426244134537574E-2</c:v>
                </c:pt>
                <c:pt idx="83">
                  <c:v>7.4247071617854488E-2</c:v>
                </c:pt>
                <c:pt idx="84">
                  <c:v>7.4231705071359233E-2</c:v>
                </c:pt>
                <c:pt idx="85">
                  <c:v>7.421634170516056E-2</c:v>
                </c:pt>
                <c:pt idx="86">
                  <c:v>7.4200981518650622E-2</c:v>
                </c:pt>
                <c:pt idx="87">
                  <c:v>7.4185624511140524E-2</c:v>
                </c:pt>
                <c:pt idx="88">
                  <c:v>7.4170270682062944E-2</c:v>
                </c:pt>
                <c:pt idx="89">
                  <c:v>7.6943874198509565E-2</c:v>
                </c:pt>
                <c:pt idx="90">
                  <c:v>7.6927350583237408E-2</c:v>
                </c:pt>
                <c:pt idx="91">
                  <c:v>7.6910830516414563E-2</c:v>
                </c:pt>
                <c:pt idx="92">
                  <c:v>7.6894313997271091E-2</c:v>
                </c:pt>
                <c:pt idx="93">
                  <c:v>7.6877801024956005E-2</c:v>
                </c:pt>
                <c:pt idx="94">
                  <c:v>7.6861291598901982E-2</c:v>
                </c:pt>
                <c:pt idx="95">
                  <c:v>7.6844785718136466E-2</c:v>
                </c:pt>
                <c:pt idx="96">
                  <c:v>7.6828283382011087E-2</c:v>
                </c:pt>
                <c:pt idx="97">
                  <c:v>7.6811784589755905E-2</c:v>
                </c:pt>
                <c:pt idx="98">
                  <c:v>7.6795289340600981E-2</c:v>
                </c:pt>
                <c:pt idx="99">
                  <c:v>7.6778797633776374E-2</c:v>
                </c:pt>
                <c:pt idx="100">
                  <c:v>7.676230946855267E-2</c:v>
                </c:pt>
                <c:pt idx="101">
                  <c:v>7.6745824844119404E-2</c:v>
                </c:pt>
                <c:pt idx="102">
                  <c:v>7.6729343759706636E-2</c:v>
                </c:pt>
                <c:pt idx="103">
                  <c:v>7.6712866214665998E-2</c:v>
                </c:pt>
                <c:pt idx="104">
                  <c:v>7.6696392208105979E-2</c:v>
                </c:pt>
                <c:pt idx="105">
                  <c:v>7.6679921739337686E-2</c:v>
                </c:pt>
                <c:pt idx="106">
                  <c:v>7.6663454807631704E-2</c:v>
                </c:pt>
                <c:pt idx="107">
                  <c:v>7.6646991412096521E-2</c:v>
                </c:pt>
                <c:pt idx="108">
                  <c:v>7.6630531552083769E-2</c:v>
                </c:pt>
                <c:pt idx="109">
                  <c:v>7.6614075226864031E-2</c:v>
                </c:pt>
                <c:pt idx="110">
                  <c:v>7.6597622435545798E-2</c:v>
                </c:pt>
                <c:pt idx="111">
                  <c:v>7.6581173177480699E-2</c:v>
                </c:pt>
                <c:pt idx="112">
                  <c:v>7.6564727451898795E-2</c:v>
                </c:pt>
                <c:pt idx="113">
                  <c:v>7.6548285257989623E-2</c:v>
                </c:pt>
                <c:pt idx="114">
                  <c:v>7.653184659506429E-2</c:v>
                </c:pt>
                <c:pt idx="115">
                  <c:v>7.6515411462231286E-2</c:v>
                </c:pt>
                <c:pt idx="116">
                  <c:v>7.6498979858923288E-2</c:v>
                </c:pt>
                <c:pt idx="117">
                  <c:v>7.6482551784248787E-2</c:v>
                </c:pt>
                <c:pt idx="118">
                  <c:v>7.6466127237478365E-2</c:v>
                </c:pt>
                <c:pt idx="119">
                  <c:v>7.6449706217882607E-2</c:v>
                </c:pt>
                <c:pt idx="120">
                  <c:v>7.643328872465105E-2</c:v>
                </c:pt>
                <c:pt idx="121">
                  <c:v>7.6416874757094799E-2</c:v>
                </c:pt>
                <c:pt idx="122">
                  <c:v>7.6400464314403393E-2</c:v>
                </c:pt>
                <c:pt idx="123">
                  <c:v>7.6281835759623995E-2</c:v>
                </c:pt>
                <c:pt idx="124">
                  <c:v>7.6265476239080754E-2</c:v>
                </c:pt>
                <c:pt idx="125">
                  <c:v>7.6249120226909439E-2</c:v>
                </c:pt>
                <c:pt idx="126">
                  <c:v>7.6232767722542727E-2</c:v>
                </c:pt>
                <c:pt idx="127">
                  <c:v>7.6216418725170154E-2</c:v>
                </c:pt>
                <c:pt idx="128">
                  <c:v>7.6200073234021781E-2</c:v>
                </c:pt>
                <c:pt idx="129">
                  <c:v>7.6183731248327669E-2</c:v>
                </c:pt>
                <c:pt idx="130">
                  <c:v>7.6167392767358399E-2</c:v>
                </c:pt>
                <c:pt idx="131">
                  <c:v>7.6151057790384558E-2</c:v>
                </c:pt>
                <c:pt idx="132">
                  <c:v>7.6134726316636203E-2</c:v>
                </c:pt>
                <c:pt idx="133">
                  <c:v>7.6118398345343397E-2</c:v>
                </c:pt>
                <c:pt idx="134">
                  <c:v>7.6102073875817244E-2</c:v>
                </c:pt>
                <c:pt idx="135">
                  <c:v>7.6085752907206761E-2</c:v>
                </c:pt>
                <c:pt idx="136">
                  <c:v>7.6069435438823052E-2</c:v>
                </c:pt>
                <c:pt idx="137">
                  <c:v>7.6053121469936702E-2</c:v>
                </c:pt>
                <c:pt idx="138">
                  <c:v>7.6036810999777771E-2</c:v>
                </c:pt>
                <c:pt idx="139">
                  <c:v>7.6020504027535796E-2</c:v>
                </c:pt>
                <c:pt idx="140">
                  <c:v>7.6004200552562406E-2</c:v>
                </c:pt>
                <c:pt idx="141">
                  <c:v>7.598790057404714E-2</c:v>
                </c:pt>
                <c:pt idx="142">
                  <c:v>7.5971604091220057E-2</c:v>
                </c:pt>
                <c:pt idx="143">
                  <c:v>7.5955311103392265E-2</c:v>
                </c:pt>
                <c:pt idx="144">
                  <c:v>7.5939021609793822E-2</c:v>
                </c:pt>
                <c:pt idx="145">
                  <c:v>7.592273560965479E-2</c:v>
                </c:pt>
                <c:pt idx="146">
                  <c:v>7.5906453102205229E-2</c:v>
                </c:pt>
                <c:pt idx="147">
                  <c:v>7.5890174086756246E-2</c:v>
                </c:pt>
                <c:pt idx="148">
                  <c:v>7.5873898562497377E-2</c:v>
                </c:pt>
                <c:pt idx="149">
                  <c:v>7.5857626528780253E-2</c:v>
                </c:pt>
                <c:pt idx="150">
                  <c:v>7.5841357984713365E-2</c:v>
                </c:pt>
                <c:pt idx="151">
                  <c:v>7.5825092929688864E-2</c:v>
                </c:pt>
                <c:pt idx="152">
                  <c:v>7.5808831362855766E-2</c:v>
                </c:pt>
                <c:pt idx="153">
                  <c:v>7.5792573283525178E-2</c:v>
                </c:pt>
                <c:pt idx="154">
                  <c:v>7.5776318690886635E-2</c:v>
                </c:pt>
                <c:pt idx="155">
                  <c:v>7.5760067584291768E-2</c:v>
                </c:pt>
                <c:pt idx="156">
                  <c:v>7.5743819962889591E-2</c:v>
                </c:pt>
                <c:pt idx="157">
                  <c:v>7.5727575825950688E-2</c:v>
                </c:pt>
                <c:pt idx="158">
                  <c:v>7.5711335172826688E-2</c:v>
                </c:pt>
                <c:pt idx="159">
                  <c:v>7.5695098002707129E-2</c:v>
                </c:pt>
                <c:pt idx="160">
                  <c:v>7.5678864314741023E-2</c:v>
                </c:pt>
                <c:pt idx="161">
                  <c:v>7.5662634108361049E-2</c:v>
                </c:pt>
                <c:pt idx="162">
                  <c:v>7.5646407382675696E-2</c:v>
                </c:pt>
                <c:pt idx="163">
                  <c:v>7.5630184137036593E-2</c:v>
                </c:pt>
                <c:pt idx="164">
                  <c:v>7.5613964370673803E-2</c:v>
                </c:pt>
                <c:pt idx="165">
                  <c:v>7.5597748082776861E-2</c:v>
                </c:pt>
                <c:pt idx="166">
                  <c:v>7.5581535272697398E-2</c:v>
                </c:pt>
                <c:pt idx="167">
                  <c:v>7.556532593962495E-2</c:v>
                </c:pt>
                <c:pt idx="168">
                  <c:v>7.5549120082830101E-2</c:v>
                </c:pt>
                <c:pt idx="169">
                  <c:v>7.5532917701583435E-2</c:v>
                </c:pt>
                <c:pt idx="170">
                  <c:v>7.5516718795115012E-2</c:v>
                </c:pt>
                <c:pt idx="171">
                  <c:v>7.5500523362654892E-2</c:v>
                </c:pt>
                <c:pt idx="172">
                  <c:v>7.5484331403514182E-2</c:v>
                </c:pt>
                <c:pt idx="173">
                  <c:v>7.5468142916963465E-2</c:v>
                </c:pt>
                <c:pt idx="174">
                  <c:v>7.5451957902192279E-2</c:v>
                </c:pt>
                <c:pt idx="175">
                  <c:v>7.5435776358430684E-2</c:v>
                </c:pt>
                <c:pt idx="176">
                  <c:v>7.5419598285111356E-2</c:v>
                </c:pt>
                <c:pt idx="177">
                  <c:v>7.5403423681261739E-2</c:v>
                </c:pt>
                <c:pt idx="178">
                  <c:v>7.5387252546273986E-2</c:v>
                </c:pt>
                <c:pt idx="179">
                  <c:v>7.5371084879378158E-2</c:v>
                </c:pt>
                <c:pt idx="180">
                  <c:v>7.5354920679804316E-2</c:v>
                </c:pt>
                <c:pt idx="181">
                  <c:v>7.5338759946863565E-2</c:v>
                </c:pt>
                <c:pt idx="182">
                  <c:v>7.5322602679785966E-2</c:v>
                </c:pt>
                <c:pt idx="183">
                  <c:v>7.5306448877761056E-2</c:v>
                </c:pt>
                <c:pt idx="184">
                  <c:v>7.5290298540140466E-2</c:v>
                </c:pt>
                <c:pt idx="185">
                  <c:v>7.5274151666194777E-2</c:v>
                </c:pt>
                <c:pt idx="186">
                  <c:v>7.5258008255032482E-2</c:v>
                </c:pt>
                <c:pt idx="187">
                  <c:v>7.5241868306086257E-2</c:v>
                </c:pt>
                <c:pt idx="188">
                  <c:v>7.5225731818545638E-2</c:v>
                </c:pt>
                <c:pt idx="189">
                  <c:v>7.5209598791600163E-2</c:v>
                </c:pt>
                <c:pt idx="190">
                  <c:v>7.5193469224601461E-2</c:v>
                </c:pt>
                <c:pt idx="191">
                  <c:v>7.5177343116779594E-2</c:v>
                </c:pt>
                <c:pt idx="192">
                  <c:v>7.516122046736462E-2</c:v>
                </c:pt>
                <c:pt idx="193">
                  <c:v>7.5145101275667647E-2</c:v>
                </c:pt>
                <c:pt idx="194">
                  <c:v>7.5128985540918736E-2</c:v>
                </c:pt>
                <c:pt idx="195">
                  <c:v>7.5112873262347946E-2</c:v>
                </c:pt>
                <c:pt idx="196">
                  <c:v>7.5096764439266384E-2</c:v>
                </c:pt>
                <c:pt idx="197">
                  <c:v>7.508065907090411E-2</c:v>
                </c:pt>
                <c:pt idx="198">
                  <c:v>7.5064557156491185E-2</c:v>
                </c:pt>
                <c:pt idx="199">
                  <c:v>7.5048458695338716E-2</c:v>
                </c:pt>
                <c:pt idx="200">
                  <c:v>7.5032363686717285E-2</c:v>
                </c:pt>
                <c:pt idx="201">
                  <c:v>7.5016272129856953E-2</c:v>
                </c:pt>
                <c:pt idx="202">
                  <c:v>7.5000184023947258E-2</c:v>
                </c:pt>
                <c:pt idx="203">
                  <c:v>7.4984099368380353E-2</c:v>
                </c:pt>
                <c:pt idx="204">
                  <c:v>7.4968018162345773E-2</c:v>
                </c:pt>
                <c:pt idx="205">
                  <c:v>7.495194040507358E-2</c:v>
                </c:pt>
                <c:pt idx="206">
                  <c:v>7.4935866095915404E-2</c:v>
                </c:pt>
                <c:pt idx="207">
                  <c:v>7.4919795234060782E-2</c:v>
                </c:pt>
                <c:pt idx="208">
                  <c:v>7.4903727818739774E-2</c:v>
                </c:pt>
                <c:pt idx="209">
                  <c:v>7.4887663849344532E-2</c:v>
                </c:pt>
                <c:pt idx="210">
                  <c:v>7.4871603324983549E-2</c:v>
                </c:pt>
                <c:pt idx="211">
                  <c:v>7.4855546245048976E-2</c:v>
                </c:pt>
                <c:pt idx="212">
                  <c:v>7.4839492608689828E-2</c:v>
                </c:pt>
                <c:pt idx="213">
                  <c:v>7.4823442415217212E-2</c:v>
                </c:pt>
                <c:pt idx="214">
                  <c:v>7.5059862345507322E-2</c:v>
                </c:pt>
                <c:pt idx="215">
                  <c:v>7.5043710564087762E-2</c:v>
                </c:pt>
                <c:pt idx="216">
                  <c:v>7.5027562258297431E-2</c:v>
                </c:pt>
                <c:pt idx="217">
                  <c:v>7.5011417427406912E-2</c:v>
                </c:pt>
                <c:pt idx="218">
                  <c:v>7.4995276070605743E-2</c:v>
                </c:pt>
                <c:pt idx="219">
                  <c:v>7.497913818720503E-2</c:v>
                </c:pt>
                <c:pt idx="220">
                  <c:v>7.4963003776475357E-2</c:v>
                </c:pt>
                <c:pt idx="221">
                  <c:v>7.4946872837565737E-2</c:v>
                </c:pt>
                <c:pt idx="222">
                  <c:v>7.4930745369868323E-2</c:v>
                </c:pt>
                <c:pt idx="223">
                  <c:v>7.4914621372491608E-2</c:v>
                </c:pt>
                <c:pt idx="224">
                  <c:v>7.4898500844827742E-2</c:v>
                </c:pt>
                <c:pt idx="225">
                  <c:v>7.4882383786025741E-2</c:v>
                </c:pt>
                <c:pt idx="226">
                  <c:v>7.4866270195396711E-2</c:v>
                </c:pt>
                <c:pt idx="227">
                  <c:v>7.4850160072170713E-2</c:v>
                </c:pt>
                <c:pt idx="228">
                  <c:v>7.4834053415618329E-2</c:v>
                </c:pt>
                <c:pt idx="229">
                  <c:v>7.481795022496962E-2</c:v>
                </c:pt>
                <c:pt idx="230">
                  <c:v>7.4801850499495171E-2</c:v>
                </c:pt>
                <c:pt idx="231">
                  <c:v>7.478575423842504E-2</c:v>
                </c:pt>
                <c:pt idx="232">
                  <c:v>7.4769661441070334E-2</c:v>
                </c:pt>
                <c:pt idx="233">
                  <c:v>7.4753572106661115E-2</c:v>
                </c:pt>
                <c:pt idx="234">
                  <c:v>7.4737486234346395E-2</c:v>
                </c:pt>
                <c:pt idx="235">
                  <c:v>7.4721403823599375E-2</c:v>
                </c:pt>
                <c:pt idx="236">
                  <c:v>7.4705324873447498E-2</c:v>
                </c:pt>
                <c:pt idx="237">
                  <c:v>7.4689249383323442E-2</c:v>
                </c:pt>
                <c:pt idx="238">
                  <c:v>7.4673177352376219E-2</c:v>
                </c:pt>
                <c:pt idx="239">
                  <c:v>7.4657108779916936E-2</c:v>
                </c:pt>
                <c:pt idx="240">
                  <c:v>7.4641043665135132E-2</c:v>
                </c:pt>
                <c:pt idx="241">
                  <c:v>7.4624982007341911E-2</c:v>
                </c:pt>
                <c:pt idx="242">
                  <c:v>7.4608923805807859E-2</c:v>
                </c:pt>
                <c:pt idx="243">
                  <c:v>7.4592869059763034E-2</c:v>
                </c:pt>
                <c:pt idx="244">
                  <c:v>7.4576817768437498E-2</c:v>
                </c:pt>
                <c:pt idx="245">
                  <c:v>7.4560769931142357E-2</c:v>
                </c:pt>
                <c:pt idx="246">
                  <c:v>7.4544725547107671E-2</c:v>
                </c:pt>
                <c:pt idx="247">
                  <c:v>7.4528684615563501E-2</c:v>
                </c:pt>
                <c:pt idx="248">
                  <c:v>7.451264713578043E-2</c:v>
                </c:pt>
                <c:pt idx="249">
                  <c:v>7.4496613107069565E-2</c:v>
                </c:pt>
                <c:pt idx="250">
                  <c:v>7.4480582528620443E-2</c:v>
                </c:pt>
                <c:pt idx="251">
                  <c:v>7.446455539974417E-2</c:v>
                </c:pt>
                <c:pt idx="252">
                  <c:v>7.4448531719630284E-2</c:v>
                </c:pt>
                <c:pt idx="253">
                  <c:v>7.4432511487589892E-2</c:v>
                </c:pt>
                <c:pt idx="254">
                  <c:v>7.4416494702893576E-2</c:v>
                </c:pt>
                <c:pt idx="255">
                  <c:v>7.4400481364730875E-2</c:v>
                </c:pt>
                <c:pt idx="256">
                  <c:v>7.4384471472453417E-2</c:v>
                </c:pt>
                <c:pt idx="257">
                  <c:v>7.4368465025250741E-2</c:v>
                </c:pt>
                <c:pt idx="258">
                  <c:v>7.4352462022393428E-2</c:v>
                </c:pt>
                <c:pt idx="259">
                  <c:v>7.4336462463152064E-2</c:v>
                </c:pt>
                <c:pt idx="260">
                  <c:v>7.4320466346797232E-2</c:v>
                </c:pt>
                <c:pt idx="261">
                  <c:v>7.4304473672518467E-2</c:v>
                </c:pt>
                <c:pt idx="262">
                  <c:v>7.4288484439667402E-2</c:v>
                </c:pt>
                <c:pt idx="263">
                  <c:v>7.4272498647474094E-2</c:v>
                </c:pt>
                <c:pt idx="264">
                  <c:v>7.425651629520913E-2</c:v>
                </c:pt>
                <c:pt idx="265">
                  <c:v>7.4240537382021521E-2</c:v>
                </c:pt>
                <c:pt idx="266">
                  <c:v>7.4224561907384468E-2</c:v>
                </c:pt>
                <c:pt idx="267">
                  <c:v>7.4208589870325414E-2</c:v>
                </c:pt>
                <c:pt idx="268">
                  <c:v>7.4192621270277037E-2</c:v>
                </c:pt>
                <c:pt idx="269">
                  <c:v>7.417665610638835E-2</c:v>
                </c:pt>
                <c:pt idx="270">
                  <c:v>7.4160694378010983E-2</c:v>
                </c:pt>
                <c:pt idx="271">
                  <c:v>7.4144736084374996E-2</c:v>
                </c:pt>
                <c:pt idx="272">
                  <c:v>7.4128781224710449E-2</c:v>
                </c:pt>
                <c:pt idx="273">
                  <c:v>7.4112829798287927E-2</c:v>
                </c:pt>
                <c:pt idx="274">
                  <c:v>7.4096881804378012E-2</c:v>
                </c:pt>
                <c:pt idx="275">
                  <c:v>7.4080937242251288E-2</c:v>
                </c:pt>
                <c:pt idx="276">
                  <c:v>7.4064996111137815E-2</c:v>
                </c:pt>
                <c:pt idx="277">
                  <c:v>7.40490584103487E-2</c:v>
                </c:pt>
                <c:pt idx="278">
                  <c:v>7.4033124139154527E-2</c:v>
                </c:pt>
                <c:pt idx="279">
                  <c:v>7.4017193296704309E-2</c:v>
                </c:pt>
                <c:pt idx="280">
                  <c:v>7.4001265882390199E-2</c:v>
                </c:pt>
                <c:pt idx="281">
                  <c:v>7.3985341895401735E-2</c:v>
                </c:pt>
                <c:pt idx="282">
                  <c:v>7.39694213350095E-2</c:v>
                </c:pt>
                <c:pt idx="283">
                  <c:v>7.39535042005246E-2</c:v>
                </c:pt>
                <c:pt idx="284">
                  <c:v>7.3937590491136573E-2</c:v>
                </c:pt>
                <c:pt idx="285">
                  <c:v>7.3921680206156526E-2</c:v>
                </c:pt>
                <c:pt idx="286">
                  <c:v>7.3905773344855041E-2</c:v>
                </c:pt>
                <c:pt idx="287">
                  <c:v>7.3889869906502703E-2</c:v>
                </c:pt>
                <c:pt idx="288">
                  <c:v>7.3873969890248525E-2</c:v>
                </c:pt>
                <c:pt idx="289">
                  <c:v>7.3858073295484661E-2</c:v>
                </c:pt>
                <c:pt idx="290">
                  <c:v>7.3842180121481693E-2</c:v>
                </c:pt>
                <c:pt idx="291">
                  <c:v>7.3826290367388636E-2</c:v>
                </c:pt>
                <c:pt idx="292">
                  <c:v>7.3810404032597643E-2</c:v>
                </c:pt>
                <c:pt idx="293">
                  <c:v>7.3794521116257727E-2</c:v>
                </c:pt>
                <c:pt idx="294">
                  <c:v>7.3778641617761043E-2</c:v>
                </c:pt>
                <c:pt idx="295">
                  <c:v>7.3762765536216079E-2</c:v>
                </c:pt>
                <c:pt idx="296">
                  <c:v>7.3746892871014991E-2</c:v>
                </c:pt>
                <c:pt idx="297">
                  <c:v>7.3731023621347314E-2</c:v>
                </c:pt>
                <c:pt idx="298">
                  <c:v>7.3715157786564678E-2</c:v>
                </c:pt>
                <c:pt idx="299">
                  <c:v>7.3699295365816098E-2</c:v>
                </c:pt>
                <c:pt idx="300">
                  <c:v>7.3683436358493726E-2</c:v>
                </c:pt>
                <c:pt idx="301">
                  <c:v>7.3667580763746576E-2</c:v>
                </c:pt>
                <c:pt idx="302">
                  <c:v>7.3651728580885756E-2</c:v>
                </c:pt>
                <c:pt idx="303">
                  <c:v>7.3635879809222371E-2</c:v>
                </c:pt>
                <c:pt idx="304">
                  <c:v>7.3298288744622631E-2</c:v>
                </c:pt>
                <c:pt idx="305">
                  <c:v>7.3282584960379094E-2</c:v>
                </c:pt>
                <c:pt idx="306">
                  <c:v>7.3266884540569288E-2</c:v>
                </c:pt>
                <c:pt idx="307">
                  <c:v>7.3251187484544844E-2</c:v>
                </c:pt>
                <c:pt idx="308">
                  <c:v>7.3235493791495299E-2</c:v>
                </c:pt>
                <c:pt idx="309">
                  <c:v>7.3219803460772281E-2</c:v>
                </c:pt>
                <c:pt idx="310">
                  <c:v>7.320411649156533E-2</c:v>
                </c:pt>
                <c:pt idx="311">
                  <c:v>7.3188432883266596E-2</c:v>
                </c:pt>
                <c:pt idx="312">
                  <c:v>7.3172752635106142E-2</c:v>
                </c:pt>
                <c:pt idx="313">
                  <c:v>7.3157075746314026E-2</c:v>
                </c:pt>
                <c:pt idx="314">
                  <c:v>7.314140221624188E-2</c:v>
                </c:pt>
                <c:pt idx="315">
                  <c:v>7.3125732044160285E-2</c:v>
                </c:pt>
                <c:pt idx="316">
                  <c:v>7.311006522925878E-2</c:v>
                </c:pt>
                <c:pt idx="317">
                  <c:v>7.3094401771010564E-2</c:v>
                </c:pt>
                <c:pt idx="318">
                  <c:v>7.3078741668443081E-2</c:v>
                </c:pt>
                <c:pt idx="319">
                  <c:v>7.3063084921110577E-2</c:v>
                </c:pt>
                <c:pt idx="320">
                  <c:v>7.3047431528040496E-2</c:v>
                </c:pt>
                <c:pt idx="321">
                  <c:v>7.3031781488706038E-2</c:v>
                </c:pt>
                <c:pt idx="322">
                  <c:v>7.3016134802256216E-2</c:v>
                </c:pt>
                <c:pt idx="323">
                  <c:v>7.3000491468083184E-2</c:v>
                </c:pt>
                <c:pt idx="324">
                  <c:v>7.2984851485376478E-2</c:v>
                </c:pt>
                <c:pt idx="325">
                  <c:v>7.2969214853487729E-2</c:v>
                </c:pt>
                <c:pt idx="326">
                  <c:v>7.2953581571606474E-2</c:v>
                </c:pt>
                <c:pt idx="327">
                  <c:v>7.2937951639165388E-2</c:v>
                </c:pt>
                <c:pt idx="328">
                  <c:v>7.2922325055272963E-2</c:v>
                </c:pt>
                <c:pt idx="329">
                  <c:v>7.2906701819361874E-2</c:v>
                </c:pt>
                <c:pt idx="330">
                  <c:v>7.289108193062166E-2</c:v>
                </c:pt>
                <c:pt idx="331">
                  <c:v>7.2875465388322902E-2</c:v>
                </c:pt>
                <c:pt idx="332">
                  <c:v>7.2859852191857755E-2</c:v>
                </c:pt>
                <c:pt idx="333">
                  <c:v>7.2844242340415755E-2</c:v>
                </c:pt>
                <c:pt idx="334">
                  <c:v>7.2828635833267485E-2</c:v>
                </c:pt>
                <c:pt idx="335">
                  <c:v>7.28130326698051E-2</c:v>
                </c:pt>
                <c:pt idx="336">
                  <c:v>7.2797432849177612E-2</c:v>
                </c:pt>
                <c:pt idx="337">
                  <c:v>7.2781836370777175E-2</c:v>
                </c:pt>
                <c:pt idx="338">
                  <c:v>7.2766243233793326E-2</c:v>
                </c:pt>
                <c:pt idx="339">
                  <c:v>7.2750653437618218E-2</c:v>
                </c:pt>
                <c:pt idx="340">
                  <c:v>7.2735066981441387E-2</c:v>
                </c:pt>
                <c:pt idx="341">
                  <c:v>7.2719483864573942E-2</c:v>
                </c:pt>
                <c:pt idx="342">
                  <c:v>7.2703904086326987E-2</c:v>
                </c:pt>
                <c:pt idx="343">
                  <c:v>7.2688327645971107E-2</c:v>
                </c:pt>
                <c:pt idx="344">
                  <c:v>7.2672754542776885E-2</c:v>
                </c:pt>
                <c:pt idx="345">
                  <c:v>7.2657184776014905E-2</c:v>
                </c:pt>
                <c:pt idx="346">
                  <c:v>7.2641618345077319E-2</c:v>
                </c:pt>
                <c:pt idx="347">
                  <c:v>7.2626055249113142E-2</c:v>
                </c:pt>
                <c:pt idx="348">
                  <c:v>7.261049548743348E-2</c:v>
                </c:pt>
                <c:pt idx="349">
                  <c:v>7.2594939059430486E-2</c:v>
                </c:pt>
                <c:pt idx="350">
                  <c:v>7.257938596421265E-2</c:v>
                </c:pt>
                <c:pt idx="351">
                  <c:v>7.2563836201293697E-2</c:v>
                </c:pt>
                <c:pt idx="352">
                  <c:v>7.2548289769701069E-2</c:v>
                </c:pt>
                <c:pt idx="353">
                  <c:v>7.2532746668948489E-2</c:v>
                </c:pt>
                <c:pt idx="354">
                  <c:v>7.2517206898184972E-2</c:v>
                </c:pt>
                <c:pt idx="355">
                  <c:v>7.2501670456721623E-2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4-4519-B643-0EE01D2F822F}"/>
            </c:ext>
          </c:extLst>
        </c:ser>
        <c:ser>
          <c:idx val="3"/>
          <c:order val="3"/>
          <c:tx>
            <c:strRef>
              <c:f>'Daily Forward Rates'!$F$1</c:f>
              <c:strCache>
                <c:ptCount val="1"/>
                <c:pt idx="0">
                  <c:v>Market.LIVE.RateCurve.GBP-LIBOR-BBA-1M</c:v>
                </c:pt>
              </c:strCache>
            </c:strRef>
          </c:tx>
          <c:marker>
            <c:symbol val="none"/>
          </c:marker>
          <c:val>
            <c:numRef>
              <c:f>'Daily Forward Rates'!$F$2:$F$357</c:f>
              <c:numCache>
                <c:formatCode>0.00%</c:formatCode>
                <c:ptCount val="356"/>
                <c:pt idx="0">
                  <c:v>7.248560217485378E-2</c:v>
                </c:pt>
                <c:pt idx="1">
                  <c:v>7.5493187612131196E-2</c:v>
                </c:pt>
                <c:pt idx="2">
                  <c:v>7.5477570205514377E-2</c:v>
                </c:pt>
                <c:pt idx="3">
                  <c:v>7.5461956029726496E-2</c:v>
                </c:pt>
                <c:pt idx="4">
                  <c:v>7.5446345084038136E-2</c:v>
                </c:pt>
                <c:pt idx="5">
                  <c:v>7.5430737367841449E-2</c:v>
                </c:pt>
                <c:pt idx="6">
                  <c:v>7.5415132880366498E-2</c:v>
                </c:pt>
                <c:pt idx="7">
                  <c:v>7.5399531621127003E-2</c:v>
                </c:pt>
                <c:pt idx="8">
                  <c:v>7.737944319397394E-2</c:v>
                </c:pt>
                <c:pt idx="9">
                  <c:v>7.7363011832102813E-2</c:v>
                </c:pt>
                <c:pt idx="10">
                  <c:v>7.7346583959476689E-2</c:v>
                </c:pt>
                <c:pt idx="11">
                  <c:v>7.733015957520406E-2</c:v>
                </c:pt>
                <c:pt idx="12">
                  <c:v>7.7313738678636557E-2</c:v>
                </c:pt>
                <c:pt idx="13">
                  <c:v>7.7297321269004238E-2</c:v>
                </c:pt>
                <c:pt idx="14">
                  <c:v>7.7280907345618211E-2</c:v>
                </c:pt>
                <c:pt idx="15">
                  <c:v>7.7172958671420377E-2</c:v>
                </c:pt>
                <c:pt idx="16">
                  <c:v>7.7156590571074712E-2</c:v>
                </c:pt>
                <c:pt idx="17">
                  <c:v>7.7140225942346485E-2</c:v>
                </c:pt>
                <c:pt idx="18">
                  <c:v>7.7123864784465757E-2</c:v>
                </c:pt>
                <c:pt idx="19">
                  <c:v>7.710750709670311E-2</c:v>
                </c:pt>
                <c:pt idx="20">
                  <c:v>7.7091152878410174E-2</c:v>
                </c:pt>
                <c:pt idx="21">
                  <c:v>7.7074802128776487E-2</c:v>
                </c:pt>
                <c:pt idx="22">
                  <c:v>7.705845484703211E-2</c:v>
                </c:pt>
                <c:pt idx="23">
                  <c:v>7.7042111032528671E-2</c:v>
                </c:pt>
                <c:pt idx="24">
                  <c:v>7.7025770684455708E-2</c:v>
                </c:pt>
                <c:pt idx="25">
                  <c:v>7.7009433802124327E-2</c:v>
                </c:pt>
                <c:pt idx="26">
                  <c:v>7.6993100384805113E-2</c:v>
                </c:pt>
                <c:pt idx="27">
                  <c:v>7.6976770431687602E-2</c:v>
                </c:pt>
                <c:pt idx="28">
                  <c:v>7.6960443942163947E-2</c:v>
                </c:pt>
                <c:pt idx="29">
                  <c:v>7.524139599470181E-2</c:v>
                </c:pt>
                <c:pt idx="30">
                  <c:v>7.5225790721483166E-2</c:v>
                </c:pt>
                <c:pt idx="31">
                  <c:v>7.5210188684928792E-2</c:v>
                </c:pt>
                <c:pt idx="32">
                  <c:v>7.5194589884187701E-2</c:v>
                </c:pt>
                <c:pt idx="33">
                  <c:v>7.5178994318733094E-2</c:v>
                </c:pt>
                <c:pt idx="34">
                  <c:v>7.5163401987835554E-2</c:v>
                </c:pt>
                <c:pt idx="35">
                  <c:v>7.514781289084671E-2</c:v>
                </c:pt>
                <c:pt idx="36">
                  <c:v>7.5132227027037146E-2</c:v>
                </c:pt>
                <c:pt idx="37">
                  <c:v>7.5116644395799015E-2</c:v>
                </c:pt>
                <c:pt idx="38">
                  <c:v>7.5101064996443423E-2</c:v>
                </c:pt>
                <c:pt idx="39">
                  <c:v>7.5085488828322E-2</c:v>
                </c:pt>
                <c:pt idx="40">
                  <c:v>7.506991589070533E-2</c:v>
                </c:pt>
                <c:pt idx="41">
                  <c:v>7.5054346182945042E-2</c:v>
                </c:pt>
                <c:pt idx="42">
                  <c:v>7.5038779704433289E-2</c:v>
                </c:pt>
                <c:pt idx="43">
                  <c:v>7.5023216454440655E-2</c:v>
                </c:pt>
                <c:pt idx="44">
                  <c:v>7.5007656432278247E-2</c:v>
                </c:pt>
                <c:pt idx="45">
                  <c:v>7.4992099637338216E-2</c:v>
                </c:pt>
                <c:pt idx="46">
                  <c:v>7.4976546068931671E-2</c:v>
                </c:pt>
                <c:pt idx="47">
                  <c:v>7.4960995726329194E-2</c:v>
                </c:pt>
                <c:pt idx="48">
                  <c:v>7.4945448608922938E-2</c:v>
                </c:pt>
                <c:pt idx="49">
                  <c:v>7.4929904716064533E-2</c:v>
                </c:pt>
                <c:pt idx="50">
                  <c:v>7.4914364047024562E-2</c:v>
                </c:pt>
                <c:pt idx="51">
                  <c:v>7.4898826601195179E-2</c:v>
                </c:pt>
                <c:pt idx="52">
                  <c:v>7.4883292377846966E-2</c:v>
                </c:pt>
                <c:pt idx="53">
                  <c:v>7.4867761376331554E-2</c:v>
                </c:pt>
                <c:pt idx="54">
                  <c:v>7.4852233596000572E-2</c:v>
                </c:pt>
                <c:pt idx="55">
                  <c:v>7.4836709036165128E-2</c:v>
                </c:pt>
                <c:pt idx="56">
                  <c:v>7.4821187696217373E-2</c:v>
                </c:pt>
                <c:pt idx="57">
                  <c:v>7.4805669575346845E-2</c:v>
                </c:pt>
                <c:pt idx="58">
                  <c:v>7.4790154673067266E-2</c:v>
                </c:pt>
                <c:pt idx="59">
                  <c:v>7.4616824549406102E-2</c:v>
                </c:pt>
                <c:pt idx="60">
                  <c:v>7.4601381476986361E-2</c:v>
                </c:pt>
                <c:pt idx="61">
                  <c:v>7.4585941600667227E-2</c:v>
                </c:pt>
                <c:pt idx="62">
                  <c:v>7.4570504919962421E-2</c:v>
                </c:pt>
                <c:pt idx="63">
                  <c:v>7.4555071434020959E-2</c:v>
                </c:pt>
                <c:pt idx="64">
                  <c:v>7.4539641142356561E-2</c:v>
                </c:pt>
                <c:pt idx="65">
                  <c:v>7.4524214044158765E-2</c:v>
                </c:pt>
                <c:pt idx="66">
                  <c:v>7.4508790138819725E-2</c:v>
                </c:pt>
                <c:pt idx="67">
                  <c:v>7.4493369425772116E-2</c:v>
                </c:pt>
                <c:pt idx="68">
                  <c:v>7.4477951904164952E-2</c:v>
                </c:pt>
                <c:pt idx="69">
                  <c:v>7.4462537573552479E-2</c:v>
                </c:pt>
                <c:pt idx="70">
                  <c:v>7.444712643308371E-2</c:v>
                </c:pt>
                <c:pt idx="71">
                  <c:v>7.4431718482231846E-2</c:v>
                </c:pt>
                <c:pt idx="72">
                  <c:v>7.4416313720267468E-2</c:v>
                </c:pt>
                <c:pt idx="73">
                  <c:v>7.4400912146542209E-2</c:v>
                </c:pt>
                <c:pt idx="74">
                  <c:v>7.4385513760407695E-2</c:v>
                </c:pt>
                <c:pt idx="75">
                  <c:v>7.4370118561215559E-2</c:v>
                </c:pt>
                <c:pt idx="76">
                  <c:v>7.4354726548276906E-2</c:v>
                </c:pt>
                <c:pt idx="77">
                  <c:v>7.4339337720943366E-2</c:v>
                </c:pt>
                <c:pt idx="78">
                  <c:v>7.4323952078566569E-2</c:v>
                </c:pt>
                <c:pt idx="79">
                  <c:v>7.4308569620498144E-2</c:v>
                </c:pt>
                <c:pt idx="80">
                  <c:v>7.4293190346049198E-2</c:v>
                </c:pt>
                <c:pt idx="81">
                  <c:v>7.4277814254530838E-2</c:v>
                </c:pt>
                <c:pt idx="82">
                  <c:v>7.426244134537574E-2</c:v>
                </c:pt>
                <c:pt idx="83">
                  <c:v>7.4247071617854488E-2</c:v>
                </c:pt>
                <c:pt idx="84">
                  <c:v>7.4231705071359233E-2</c:v>
                </c:pt>
                <c:pt idx="85">
                  <c:v>7.421634170516056E-2</c:v>
                </c:pt>
                <c:pt idx="86">
                  <c:v>7.4200981518650622E-2</c:v>
                </c:pt>
                <c:pt idx="87">
                  <c:v>7.4185624511140524E-2</c:v>
                </c:pt>
                <c:pt idx="88">
                  <c:v>7.4170270682062944E-2</c:v>
                </c:pt>
                <c:pt idx="89">
                  <c:v>7.6950602407066526E-2</c:v>
                </c:pt>
                <c:pt idx="90">
                  <c:v>7.6934075901967658E-2</c:v>
                </c:pt>
                <c:pt idx="91">
                  <c:v>7.6917552946169088E-2</c:v>
                </c:pt>
                <c:pt idx="92">
                  <c:v>7.6901033538981922E-2</c:v>
                </c:pt>
                <c:pt idx="93">
                  <c:v>7.6884517679636222E-2</c:v>
                </c:pt>
                <c:pt idx="94">
                  <c:v>7.6868005367362047E-2</c:v>
                </c:pt>
                <c:pt idx="95">
                  <c:v>7.6851496601389457E-2</c:v>
                </c:pt>
                <c:pt idx="96">
                  <c:v>7.6834991380989037E-2</c:v>
                </c:pt>
                <c:pt idx="97">
                  <c:v>7.6818489705350324E-2</c:v>
                </c:pt>
                <c:pt idx="98">
                  <c:v>7.6801991573784423E-2</c:v>
                </c:pt>
                <c:pt idx="99">
                  <c:v>7.6785496985440349E-2</c:v>
                </c:pt>
                <c:pt idx="100">
                  <c:v>7.6769005939588686E-2</c:v>
                </c:pt>
                <c:pt idx="101">
                  <c:v>7.675251843554054E-2</c:v>
                </c:pt>
                <c:pt idx="102">
                  <c:v>7.6736034472444925E-2</c:v>
                </c:pt>
                <c:pt idx="103">
                  <c:v>7.6719554049572425E-2</c:v>
                </c:pt>
                <c:pt idx="104">
                  <c:v>7.67030771661531E-2</c:v>
                </c:pt>
                <c:pt idx="105">
                  <c:v>7.668660382141701E-2</c:v>
                </c:pt>
                <c:pt idx="106">
                  <c:v>7.6670134014675262E-2</c:v>
                </c:pt>
                <c:pt idx="107">
                  <c:v>7.6653667745117393E-2</c:v>
                </c:pt>
                <c:pt idx="108">
                  <c:v>7.6637205011932941E-2</c:v>
                </c:pt>
                <c:pt idx="109">
                  <c:v>7.6620745814433011E-2</c:v>
                </c:pt>
                <c:pt idx="110">
                  <c:v>7.6604290151847665E-2</c:v>
                </c:pt>
                <c:pt idx="111">
                  <c:v>7.6587838023366439E-2</c:v>
                </c:pt>
                <c:pt idx="112">
                  <c:v>7.6571389428340964E-2</c:v>
                </c:pt>
                <c:pt idx="113">
                  <c:v>7.6554944365920252E-2</c:v>
                </c:pt>
                <c:pt idx="114">
                  <c:v>7.6538502835334365E-2</c:v>
                </c:pt>
                <c:pt idx="115">
                  <c:v>7.652206483589441E-2</c:v>
                </c:pt>
                <c:pt idx="116">
                  <c:v>7.65056303667494E-2</c:v>
                </c:pt>
                <c:pt idx="117">
                  <c:v>7.6489199427291488E-2</c:v>
                </c:pt>
                <c:pt idx="118">
                  <c:v>7.6472772016588642E-2</c:v>
                </c:pt>
                <c:pt idx="119">
                  <c:v>7.6456348133992491E-2</c:v>
                </c:pt>
                <c:pt idx="120">
                  <c:v>7.6439927778692573E-2</c:v>
                </c:pt>
                <c:pt idx="121">
                  <c:v>7.6423510949999995E-2</c:v>
                </c:pt>
                <c:pt idx="122">
                  <c:v>7.6407097647104294E-2</c:v>
                </c:pt>
                <c:pt idx="123">
                  <c:v>7.6296319903998433E-2</c:v>
                </c:pt>
                <c:pt idx="124">
                  <c:v>7.627995415978972E-2</c:v>
                </c:pt>
                <c:pt idx="125">
                  <c:v>7.6263591926060137E-2</c:v>
                </c:pt>
                <c:pt idx="126">
                  <c:v>7.6247233202039744E-2</c:v>
                </c:pt>
                <c:pt idx="127">
                  <c:v>7.6230877987039647E-2</c:v>
                </c:pt>
                <c:pt idx="128">
                  <c:v>7.6214526280289907E-2</c:v>
                </c:pt>
                <c:pt idx="129">
                  <c:v>7.6198178080980061E-2</c:v>
                </c:pt>
                <c:pt idx="130">
                  <c:v>7.6181833388380693E-2</c:v>
                </c:pt>
                <c:pt idx="131">
                  <c:v>7.6165492201843432E-2</c:v>
                </c:pt>
                <c:pt idx="132">
                  <c:v>7.6149154520436246E-2</c:v>
                </c:pt>
                <c:pt idx="133">
                  <c:v>7.6132820343551288E-2</c:v>
                </c:pt>
                <c:pt idx="134">
                  <c:v>7.6116489670378096E-2</c:v>
                </c:pt>
                <c:pt idx="135">
                  <c:v>7.6100162500146729E-2</c:v>
                </c:pt>
                <c:pt idx="136">
                  <c:v>7.6083838832208817E-2</c:v>
                </c:pt>
                <c:pt idx="137">
                  <c:v>7.6067518665632328E-2</c:v>
                </c:pt>
                <c:pt idx="138">
                  <c:v>7.6051201999849938E-2</c:v>
                </c:pt>
                <c:pt idx="139">
                  <c:v>7.6034888834010661E-2</c:v>
                </c:pt>
                <c:pt idx="140">
                  <c:v>7.6018579167385081E-2</c:v>
                </c:pt>
                <c:pt idx="141">
                  <c:v>7.6002272999203258E-2</c:v>
                </c:pt>
                <c:pt idx="142">
                  <c:v>7.5985970328735775E-2</c:v>
                </c:pt>
                <c:pt idx="143">
                  <c:v>7.5969671155253216E-2</c:v>
                </c:pt>
                <c:pt idx="144">
                  <c:v>7.5953375477985641E-2</c:v>
                </c:pt>
                <c:pt idx="145">
                  <c:v>7.5937083296122587E-2</c:v>
                </c:pt>
                <c:pt idx="146">
                  <c:v>7.5920794609056208E-2</c:v>
                </c:pt>
                <c:pt idx="147">
                  <c:v>7.5904509415894994E-2</c:v>
                </c:pt>
                <c:pt idx="148">
                  <c:v>7.5888227715990575E-2</c:v>
                </c:pt>
                <c:pt idx="149">
                  <c:v>7.5871949508491965E-2</c:v>
                </c:pt>
                <c:pt idx="150">
                  <c:v>7.585567479271027E-2</c:v>
                </c:pt>
                <c:pt idx="151">
                  <c:v>7.5839403567956598E-2</c:v>
                </c:pt>
                <c:pt idx="152">
                  <c:v>7.5823135833420485E-2</c:v>
                </c:pt>
                <c:pt idx="153">
                  <c:v>7.5806871588250946E-2</c:v>
                </c:pt>
                <c:pt idx="154">
                  <c:v>7.5790610831921179E-2</c:v>
                </c:pt>
                <c:pt idx="155">
                  <c:v>7.5774353563499153E-2</c:v>
                </c:pt>
                <c:pt idx="156">
                  <c:v>7.5758099782295973E-2</c:v>
                </c:pt>
                <c:pt idx="157">
                  <c:v>7.5741849487582225E-2</c:v>
                </c:pt>
                <c:pt idx="158">
                  <c:v>7.5725602678587967E-2</c:v>
                </c:pt>
                <c:pt idx="159">
                  <c:v>7.5709359354583783E-2</c:v>
                </c:pt>
                <c:pt idx="160">
                  <c:v>7.5693119514840257E-2</c:v>
                </c:pt>
                <c:pt idx="161">
                  <c:v>7.5676883158506403E-2</c:v>
                </c:pt>
                <c:pt idx="162">
                  <c:v>7.5660650284974373E-2</c:v>
                </c:pt>
                <c:pt idx="163">
                  <c:v>7.5644420893433706E-2</c:v>
                </c:pt>
                <c:pt idx="164">
                  <c:v>7.5628194983114461E-2</c:v>
                </c:pt>
                <c:pt idx="165">
                  <c:v>7.5611972553246698E-2</c:v>
                </c:pt>
                <c:pt idx="166">
                  <c:v>7.5595753603222571E-2</c:v>
                </c:pt>
                <c:pt idx="167">
                  <c:v>7.557953813215057E-2</c:v>
                </c:pt>
                <c:pt idx="168">
                  <c:v>7.5563326139301279E-2</c:v>
                </c:pt>
                <c:pt idx="169">
                  <c:v>7.5547117624026328E-2</c:v>
                </c:pt>
                <c:pt idx="170">
                  <c:v>7.5530912585515253E-2</c:v>
                </c:pt>
                <c:pt idx="171">
                  <c:v>7.5514711022998116E-2</c:v>
                </c:pt>
                <c:pt idx="172">
                  <c:v>7.5498512935745499E-2</c:v>
                </c:pt>
                <c:pt idx="173">
                  <c:v>7.5482318323027986E-2</c:v>
                </c:pt>
                <c:pt idx="174">
                  <c:v>7.5466127184075638E-2</c:v>
                </c:pt>
                <c:pt idx="175">
                  <c:v>7.5449939518240083E-2</c:v>
                </c:pt>
                <c:pt idx="176">
                  <c:v>7.5433755324629814E-2</c:v>
                </c:pt>
                <c:pt idx="177">
                  <c:v>7.5417574602555937E-2</c:v>
                </c:pt>
                <c:pt idx="178">
                  <c:v>7.5401397351370081E-2</c:v>
                </c:pt>
                <c:pt idx="179">
                  <c:v>7.5385223570140214E-2</c:v>
                </c:pt>
                <c:pt idx="180">
                  <c:v>7.5369053258299012E-2</c:v>
                </c:pt>
                <c:pt idx="181">
                  <c:v>7.5352886414954967E-2</c:v>
                </c:pt>
                <c:pt idx="182">
                  <c:v>7.5336723039540754E-2</c:v>
                </c:pt>
                <c:pt idx="183">
                  <c:v>7.5320563131124341E-2</c:v>
                </c:pt>
                <c:pt idx="184">
                  <c:v>7.5304406689057357E-2</c:v>
                </c:pt>
                <c:pt idx="185">
                  <c:v>7.528825371265091E-2</c:v>
                </c:pt>
                <c:pt idx="186">
                  <c:v>7.527210420101349E-2</c:v>
                </c:pt>
                <c:pt idx="187">
                  <c:v>7.525595815353725E-2</c:v>
                </c:pt>
                <c:pt idx="188">
                  <c:v>7.5239815569411728E-2</c:v>
                </c:pt>
                <c:pt idx="189">
                  <c:v>7.5223676447866983E-2</c:v>
                </c:pt>
                <c:pt idx="190">
                  <c:v>7.5207540788295169E-2</c:v>
                </c:pt>
                <c:pt idx="191">
                  <c:v>7.5191408589804776E-2</c:v>
                </c:pt>
                <c:pt idx="192">
                  <c:v>7.5175279851706911E-2</c:v>
                </c:pt>
                <c:pt idx="193">
                  <c:v>7.5159154573272158E-2</c:v>
                </c:pt>
                <c:pt idx="194">
                  <c:v>7.51430327537711E-2</c:v>
                </c:pt>
                <c:pt idx="195">
                  <c:v>7.5126914392393274E-2</c:v>
                </c:pt>
                <c:pt idx="196">
                  <c:v>7.5110799488449786E-2</c:v>
                </c:pt>
                <c:pt idx="197">
                  <c:v>7.5094688041211222E-2</c:v>
                </c:pt>
                <c:pt idx="198">
                  <c:v>7.5078580049948163E-2</c:v>
                </c:pt>
                <c:pt idx="199">
                  <c:v>7.5062475513809623E-2</c:v>
                </c:pt>
                <c:pt idx="200">
                  <c:v>7.5046374432187757E-2</c:v>
                </c:pt>
                <c:pt idx="201">
                  <c:v>7.50302768042721E-2</c:v>
                </c:pt>
                <c:pt idx="202">
                  <c:v>7.501418262937376E-2</c:v>
                </c:pt>
                <c:pt idx="203">
                  <c:v>7.4998091906641751E-2</c:v>
                </c:pt>
                <c:pt idx="204">
                  <c:v>7.4982004635468225E-2</c:v>
                </c:pt>
                <c:pt idx="205">
                  <c:v>7.4965920815002196E-2</c:v>
                </c:pt>
                <c:pt idx="206">
                  <c:v>7.4949840444635818E-2</c:v>
                </c:pt>
                <c:pt idx="207">
                  <c:v>7.4933763523437058E-2</c:v>
                </c:pt>
                <c:pt idx="208">
                  <c:v>7.4917690050879115E-2</c:v>
                </c:pt>
                <c:pt idx="209">
                  <c:v>7.4901620026070481E-2</c:v>
                </c:pt>
                <c:pt idx="210">
                  <c:v>7.4885553448281739E-2</c:v>
                </c:pt>
                <c:pt idx="211">
                  <c:v>7.4869490316905041E-2</c:v>
                </c:pt>
                <c:pt idx="212">
                  <c:v>7.4853430631048878E-2</c:v>
                </c:pt>
                <c:pt idx="213">
                  <c:v>7.4837374390024358E-2</c:v>
                </c:pt>
                <c:pt idx="214">
                  <c:v>7.5091705477941528E-2</c:v>
                </c:pt>
                <c:pt idx="215">
                  <c:v>7.5075539918816325E-2</c:v>
                </c:pt>
                <c:pt idx="216">
                  <c:v>7.5059377839737373E-2</c:v>
                </c:pt>
                <c:pt idx="217">
                  <c:v>7.5043219240096826E-2</c:v>
                </c:pt>
                <c:pt idx="218">
                  <c:v>7.502706411896265E-2</c:v>
                </c:pt>
                <c:pt idx="219">
                  <c:v>7.5010912475686475E-2</c:v>
                </c:pt>
                <c:pt idx="220">
                  <c:v>7.499476430945784E-2</c:v>
                </c:pt>
                <c:pt idx="221">
                  <c:v>7.4978619619628373E-2</c:v>
                </c:pt>
                <c:pt idx="222">
                  <c:v>7.4962478405387611E-2</c:v>
                </c:pt>
                <c:pt idx="223">
                  <c:v>7.4946340665925093E-2</c:v>
                </c:pt>
                <c:pt idx="224">
                  <c:v>7.4930206400592447E-2</c:v>
                </c:pt>
                <c:pt idx="225">
                  <c:v>7.4914075608619735E-2</c:v>
                </c:pt>
                <c:pt idx="226">
                  <c:v>7.4897948289237015E-2</c:v>
                </c:pt>
                <c:pt idx="227">
                  <c:v>7.4881824441674349E-2</c:v>
                </c:pt>
                <c:pt idx="228">
                  <c:v>7.4865704065283367E-2</c:v>
                </c:pt>
                <c:pt idx="229">
                  <c:v>7.4849587159172559E-2</c:v>
                </c:pt>
                <c:pt idx="230">
                  <c:v>7.4833473722693555E-2</c:v>
                </c:pt>
                <c:pt idx="231">
                  <c:v>7.4817363755076416E-2</c:v>
                </c:pt>
                <c:pt idx="232">
                  <c:v>7.4801257255591724E-2</c:v>
                </c:pt>
                <c:pt idx="233">
                  <c:v>7.4785154223429018E-2</c:v>
                </c:pt>
                <c:pt idx="234">
                  <c:v>7.4769054657980449E-2</c:v>
                </c:pt>
                <c:pt idx="235">
                  <c:v>7.4752958558313987E-2</c:v>
                </c:pt>
                <c:pt idx="236">
                  <c:v>7.4736865923781259E-2</c:v>
                </c:pt>
                <c:pt idx="237">
                  <c:v>7.4720776753693374E-2</c:v>
                </c:pt>
                <c:pt idx="238">
                  <c:v>7.4704691047199345E-2</c:v>
                </c:pt>
                <c:pt idx="239">
                  <c:v>7.4688608803650802E-2</c:v>
                </c:pt>
                <c:pt idx="240">
                  <c:v>7.4672530022156236E-2</c:v>
                </c:pt>
                <c:pt idx="241">
                  <c:v>7.46564547021078E-2</c:v>
                </c:pt>
                <c:pt idx="242">
                  <c:v>7.4640382842735553E-2</c:v>
                </c:pt>
                <c:pt idx="243">
                  <c:v>7.4624314443269557E-2</c:v>
                </c:pt>
                <c:pt idx="244">
                  <c:v>7.4608249502939872E-2</c:v>
                </c:pt>
                <c:pt idx="245">
                  <c:v>7.4592188021057604E-2</c:v>
                </c:pt>
                <c:pt idx="246">
                  <c:v>7.457612999681229E-2</c:v>
                </c:pt>
                <c:pt idx="247">
                  <c:v>7.4560075429555561E-2</c:v>
                </c:pt>
                <c:pt idx="248">
                  <c:v>7.4544024318476954E-2</c:v>
                </c:pt>
                <c:pt idx="249">
                  <c:v>7.4527976662806528E-2</c:v>
                </c:pt>
                <c:pt idx="250">
                  <c:v>7.451193246185539E-2</c:v>
                </c:pt>
                <c:pt idx="251">
                  <c:v>7.4495891714853602E-2</c:v>
                </c:pt>
                <c:pt idx="252">
                  <c:v>7.4479854421071745E-2</c:v>
                </c:pt>
                <c:pt idx="253">
                  <c:v>7.4463820579780404E-2</c:v>
                </c:pt>
                <c:pt idx="254">
                  <c:v>7.4447790190169116E-2</c:v>
                </c:pt>
                <c:pt idx="255">
                  <c:v>7.4431763251589511E-2</c:v>
                </c:pt>
                <c:pt idx="256">
                  <c:v>7.4415739763231126E-2</c:v>
                </c:pt>
                <c:pt idx="257">
                  <c:v>7.439971972432402E-2</c:v>
                </c:pt>
                <c:pt idx="258">
                  <c:v>7.4383703134260348E-2</c:v>
                </c:pt>
                <c:pt idx="259">
                  <c:v>7.43676899921486E-2</c:v>
                </c:pt>
                <c:pt idx="260">
                  <c:v>7.4351680297299882E-2</c:v>
                </c:pt>
                <c:pt idx="261">
                  <c:v>7.4335674049025302E-2</c:v>
                </c:pt>
                <c:pt idx="262">
                  <c:v>7.4319671246514396E-2</c:v>
                </c:pt>
                <c:pt idx="263">
                  <c:v>7.4303671889037748E-2</c:v>
                </c:pt>
                <c:pt idx="264">
                  <c:v>7.4287675975865941E-2</c:v>
                </c:pt>
                <c:pt idx="265">
                  <c:v>7.4271683506269559E-2</c:v>
                </c:pt>
                <c:pt idx="266">
                  <c:v>7.4255694479478662E-2</c:v>
                </c:pt>
                <c:pt idx="267">
                  <c:v>7.4239708894763834E-2</c:v>
                </c:pt>
                <c:pt idx="268">
                  <c:v>7.4223726751436181E-2</c:v>
                </c:pt>
                <c:pt idx="269">
                  <c:v>7.4207748048604194E-2</c:v>
                </c:pt>
                <c:pt idx="270">
                  <c:v>7.4191772785741072E-2</c:v>
                </c:pt>
                <c:pt idx="271">
                  <c:v>7.4175800961914784E-2</c:v>
                </c:pt>
                <c:pt idx="272">
                  <c:v>7.4159832576476958E-2</c:v>
                </c:pt>
                <c:pt idx="273">
                  <c:v>7.4143867628698179E-2</c:v>
                </c:pt>
                <c:pt idx="274">
                  <c:v>7.4127906117808506E-2</c:v>
                </c:pt>
                <c:pt idx="275">
                  <c:v>7.4111948043078524E-2</c:v>
                </c:pt>
                <c:pt idx="276">
                  <c:v>7.4095993403738292E-2</c:v>
                </c:pt>
                <c:pt idx="277">
                  <c:v>7.4080042199098917E-2</c:v>
                </c:pt>
                <c:pt idx="278">
                  <c:v>7.4064094428349936E-2</c:v>
                </c:pt>
                <c:pt idx="279">
                  <c:v>7.4048150090883502E-2</c:v>
                </c:pt>
                <c:pt idx="280">
                  <c:v>7.4032209185808107E-2</c:v>
                </c:pt>
                <c:pt idx="281">
                  <c:v>7.4016271712475379E-2</c:v>
                </c:pt>
                <c:pt idx="282">
                  <c:v>7.4000337670115379E-2</c:v>
                </c:pt>
                <c:pt idx="283">
                  <c:v>7.3984407057998691E-2</c:v>
                </c:pt>
                <c:pt idx="284">
                  <c:v>7.3968479875355375E-2</c:v>
                </c:pt>
                <c:pt idx="285">
                  <c:v>7.3952556121537061E-2</c:v>
                </c:pt>
                <c:pt idx="286">
                  <c:v>7.3936635795733285E-2</c:v>
                </c:pt>
                <c:pt idx="287">
                  <c:v>7.3920718897174109E-2</c:v>
                </c:pt>
                <c:pt idx="288">
                  <c:v>7.3904805425211162E-2</c:v>
                </c:pt>
                <c:pt idx="289">
                  <c:v>7.3888895379033981E-2</c:v>
                </c:pt>
                <c:pt idx="290">
                  <c:v>7.3872988757953673E-2</c:v>
                </c:pt>
                <c:pt idx="291">
                  <c:v>7.3857085561200297E-2</c:v>
                </c:pt>
                <c:pt idx="292">
                  <c:v>7.3841185788044439E-2</c:v>
                </c:pt>
                <c:pt idx="293">
                  <c:v>7.3825289437716157E-2</c:v>
                </c:pt>
                <c:pt idx="294">
                  <c:v>7.3809396509607605E-2</c:v>
                </c:pt>
                <c:pt idx="295">
                  <c:v>7.3793507002827274E-2</c:v>
                </c:pt>
                <c:pt idx="296">
                  <c:v>7.3777620916726794E-2</c:v>
                </c:pt>
                <c:pt idx="297">
                  <c:v>7.3761738250495701E-2</c:v>
                </c:pt>
                <c:pt idx="298">
                  <c:v>7.3745859003485625E-2</c:v>
                </c:pt>
                <c:pt idx="299">
                  <c:v>7.3729983174926628E-2</c:v>
                </c:pt>
                <c:pt idx="300">
                  <c:v>7.3714110764089291E-2</c:v>
                </c:pt>
                <c:pt idx="301">
                  <c:v>7.3698241770163153E-2</c:v>
                </c:pt>
                <c:pt idx="302">
                  <c:v>7.3682376192540366E-2</c:v>
                </c:pt>
                <c:pt idx="303">
                  <c:v>7.3666514030410468E-2</c:v>
                </c:pt>
                <c:pt idx="304">
                  <c:v>7.3351284052030619E-2</c:v>
                </c:pt>
                <c:pt idx="305">
                  <c:v>7.3335557352559033E-2</c:v>
                </c:pt>
                <c:pt idx="306">
                  <c:v>7.3319834024896391E-2</c:v>
                </c:pt>
                <c:pt idx="307">
                  <c:v>7.3304114068353798E-2</c:v>
                </c:pt>
                <c:pt idx="308">
                  <c:v>7.3288397482242362E-2</c:v>
                </c:pt>
                <c:pt idx="309">
                  <c:v>7.3272684265792143E-2</c:v>
                </c:pt>
                <c:pt idx="310">
                  <c:v>7.3256974418314247E-2</c:v>
                </c:pt>
                <c:pt idx="311">
                  <c:v>7.3241267938998211E-2</c:v>
                </c:pt>
                <c:pt idx="312">
                  <c:v>7.3225564827236189E-2</c:v>
                </c:pt>
                <c:pt idx="313">
                  <c:v>7.3209865082298764E-2</c:v>
                </c:pt>
                <c:pt idx="314">
                  <c:v>7.319416870333495E-2</c:v>
                </c:pt>
                <c:pt idx="315">
                  <c:v>7.3178475689817946E-2</c:v>
                </c:pt>
                <c:pt idx="316">
                  <c:v>7.3162786040856242E-2</c:v>
                </c:pt>
                <c:pt idx="317">
                  <c:v>7.314709975580147E-2</c:v>
                </c:pt>
                <c:pt idx="318">
                  <c:v>7.3131416833924212E-2</c:v>
                </c:pt>
                <c:pt idx="319">
                  <c:v>7.3115737274535575E-2</c:v>
                </c:pt>
                <c:pt idx="320">
                  <c:v>7.3100061076865619E-2</c:v>
                </c:pt>
                <c:pt idx="321">
                  <c:v>7.3084388240184928E-2</c:v>
                </c:pt>
                <c:pt idx="322">
                  <c:v>7.3068718763845131E-2</c:v>
                </c:pt>
                <c:pt idx="323">
                  <c:v>7.3053052647035766E-2</c:v>
                </c:pt>
                <c:pt idx="324">
                  <c:v>7.3037389889148985E-2</c:v>
                </c:pt>
                <c:pt idx="325">
                  <c:v>7.3021730489333803E-2</c:v>
                </c:pt>
                <c:pt idx="326">
                  <c:v>7.3006074446941849E-2</c:v>
                </c:pt>
                <c:pt idx="327">
                  <c:v>7.2990421761243707E-2</c:v>
                </c:pt>
                <c:pt idx="328">
                  <c:v>7.2974772431550483E-2</c:v>
                </c:pt>
                <c:pt idx="329">
                  <c:v>7.2959126457092238E-2</c:v>
                </c:pt>
                <c:pt idx="330">
                  <c:v>7.2943483837139556E-2</c:v>
                </c:pt>
                <c:pt idx="331">
                  <c:v>7.2927844571084588E-2</c:v>
                </c:pt>
                <c:pt idx="332">
                  <c:v>7.291220865807635E-2</c:v>
                </c:pt>
                <c:pt idx="333">
                  <c:v>7.2896576097425947E-2</c:v>
                </c:pt>
                <c:pt idx="334">
                  <c:v>7.2880946888444487E-2</c:v>
                </c:pt>
                <c:pt idx="335">
                  <c:v>7.2865321030443075E-2</c:v>
                </c:pt>
                <c:pt idx="336">
                  <c:v>7.2849698522651773E-2</c:v>
                </c:pt>
                <c:pt idx="337">
                  <c:v>7.2834079364341164E-2</c:v>
                </c:pt>
                <c:pt idx="338">
                  <c:v>7.2818463554862878E-2</c:v>
                </c:pt>
                <c:pt idx="339">
                  <c:v>7.2802851093365928E-2</c:v>
                </c:pt>
                <c:pt idx="340">
                  <c:v>7.2787241979323514E-2</c:v>
                </c:pt>
                <c:pt idx="341">
                  <c:v>7.2771636211844126E-2</c:v>
                </c:pt>
                <c:pt idx="342">
                  <c:v>7.2756033790319918E-2</c:v>
                </c:pt>
                <c:pt idx="343">
                  <c:v>7.274043471398095E-2</c:v>
                </c:pt>
                <c:pt idx="344">
                  <c:v>7.2724838982097806E-2</c:v>
                </c:pt>
                <c:pt idx="345">
                  <c:v>7.2709246594022114E-2</c:v>
                </c:pt>
                <c:pt idx="346">
                  <c:v>7.2693657548943413E-2</c:v>
                </c:pt>
                <c:pt idx="347">
                  <c:v>7.2678071846253856E-2</c:v>
                </c:pt>
                <c:pt idx="348">
                  <c:v>7.2662489485102455E-2</c:v>
                </c:pt>
                <c:pt idx="349">
                  <c:v>7.2646910464962411E-2</c:v>
                </c:pt>
                <c:pt idx="350">
                  <c:v>7.2631334784901691E-2</c:v>
                </c:pt>
                <c:pt idx="351">
                  <c:v>7.2615762444312448E-2</c:v>
                </c:pt>
                <c:pt idx="352">
                  <c:v>7.2600193442546312E-2</c:v>
                </c:pt>
                <c:pt idx="353">
                  <c:v>7.2584627778711774E-2</c:v>
                </c:pt>
                <c:pt idx="354">
                  <c:v>7.2569065452282033E-2</c:v>
                </c:pt>
                <c:pt idx="355">
                  <c:v>7.2553506462446626E-2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4-4519-B643-0EE01D2F822F}"/>
            </c:ext>
          </c:extLst>
        </c:ser>
        <c:ser>
          <c:idx val="4"/>
          <c:order val="4"/>
          <c:tx>
            <c:strRef>
              <c:f>'Daily Forward Rates'!$D$1</c:f>
              <c:strCache>
                <c:ptCount val="1"/>
                <c:pt idx="0">
                  <c:v>Market.LIVE.RateCurve.AUD-LIBOR-BBA-1M</c:v>
                </c:pt>
              </c:strCache>
            </c:strRef>
          </c:tx>
          <c:marker>
            <c:symbol val="none"/>
          </c:marker>
          <c:val>
            <c:numRef>
              <c:f>'Daily Forward Rates'!$D$2:$D$357</c:f>
              <c:numCache>
                <c:formatCode>0.00%</c:formatCode>
                <c:ptCount val="356"/>
                <c:pt idx="0">
                  <c:v>2.0998791850244114E-2</c:v>
                </c:pt>
                <c:pt idx="1">
                  <c:v>2.1246569357756262E-2</c:v>
                </c:pt>
                <c:pt idx="2">
                  <c:v>2.1494291827873768E-2</c:v>
                </c:pt>
                <c:pt idx="3">
                  <c:v>2.1741958760054803E-2</c:v>
                </c:pt>
                <c:pt idx="4">
                  <c:v>2.1989569653514396E-2</c:v>
                </c:pt>
                <c:pt idx="5">
                  <c:v>2.2237124008237519E-2</c:v>
                </c:pt>
                <c:pt idx="6">
                  <c:v>2.248462132392548E-2</c:v>
                </c:pt>
                <c:pt idx="7">
                  <c:v>2.2732061100968481E-2</c:v>
                </c:pt>
                <c:pt idx="8">
                  <c:v>2.3127274251928953E-2</c:v>
                </c:pt>
                <c:pt idx="9">
                  <c:v>2.3407416983182161E-2</c:v>
                </c:pt>
                <c:pt idx="10">
                  <c:v>2.368749072095222E-2</c:v>
                </c:pt>
                <c:pt idx="11">
                  <c:v>2.396749482545979E-2</c:v>
                </c:pt>
                <c:pt idx="12">
                  <c:v>2.4247428657128145E-2</c:v>
                </c:pt>
                <c:pt idx="13">
                  <c:v>2.4527291576664223E-2</c:v>
                </c:pt>
                <c:pt idx="14">
                  <c:v>2.4807082945261238E-2</c:v>
                </c:pt>
                <c:pt idx="15">
                  <c:v>2.3997458091193913E-2</c:v>
                </c:pt>
                <c:pt idx="16">
                  <c:v>2.4141155388990865E-2</c:v>
                </c:pt>
                <c:pt idx="17">
                  <c:v>2.4284819974320637E-2</c:v>
                </c:pt>
                <c:pt idx="18">
                  <c:v>2.4428451678728536E-2</c:v>
                </c:pt>
                <c:pt idx="19">
                  <c:v>2.4572050333678819E-2</c:v>
                </c:pt>
                <c:pt idx="20">
                  <c:v>2.4715615770757315E-2</c:v>
                </c:pt>
                <c:pt idx="21">
                  <c:v>2.4859147821590377E-2</c:v>
                </c:pt>
                <c:pt idx="22">
                  <c:v>2.5002646317966448E-2</c:v>
                </c:pt>
                <c:pt idx="23">
                  <c:v>2.5146111091714496E-2</c:v>
                </c:pt>
                <c:pt idx="24">
                  <c:v>2.5289541974582441E-2</c:v>
                </c:pt>
                <c:pt idx="25">
                  <c:v>2.5432938798682914E-2</c:v>
                </c:pt>
                <c:pt idx="26">
                  <c:v>2.5576301395885404E-2</c:v>
                </c:pt>
                <c:pt idx="27">
                  <c:v>2.571962959842411E-2</c:v>
                </c:pt>
                <c:pt idx="28">
                  <c:v>2.5862923238452185E-2</c:v>
                </c:pt>
                <c:pt idx="29">
                  <c:v>2.4803428637754643E-2</c:v>
                </c:pt>
                <c:pt idx="30">
                  <c:v>2.4866675835207297E-2</c:v>
                </c:pt>
                <c:pt idx="31">
                  <c:v>2.4929909057525568E-2</c:v>
                </c:pt>
                <c:pt idx="32">
                  <c:v>2.4993128271845189E-2</c:v>
                </c:pt>
                <c:pt idx="33">
                  <c:v>2.5056333445707124E-2</c:v>
                </c:pt>
                <c:pt idx="34">
                  <c:v>2.5119524546328154E-2</c:v>
                </c:pt>
                <c:pt idx="35">
                  <c:v>2.5182701541087149E-2</c:v>
                </c:pt>
                <c:pt idx="36">
                  <c:v>2.5245864397403506E-2</c:v>
                </c:pt>
                <c:pt idx="37">
                  <c:v>2.5309013082575049E-2</c:v>
                </c:pt>
                <c:pt idx="38">
                  <c:v>2.5372147564061698E-2</c:v>
                </c:pt>
                <c:pt idx="39">
                  <c:v>2.5435267809282847E-2</c:v>
                </c:pt>
                <c:pt idx="40">
                  <c:v>2.5498373785617368E-2</c:v>
                </c:pt>
                <c:pt idx="41">
                  <c:v>2.5561465460606225E-2</c:v>
                </c:pt>
                <c:pt idx="42">
                  <c:v>2.5624542801466199E-2</c:v>
                </c:pt>
                <c:pt idx="43">
                  <c:v>2.5687605775940869E-2</c:v>
                </c:pt>
                <c:pt idx="44">
                  <c:v>2.5750654351328062E-2</c:v>
                </c:pt>
                <c:pt idx="45">
                  <c:v>2.5813688495209264E-2</c:v>
                </c:pt>
                <c:pt idx="46">
                  <c:v>2.5876708175003871E-2</c:v>
                </c:pt>
                <c:pt idx="47">
                  <c:v>2.5939713358374417E-2</c:v>
                </c:pt>
                <c:pt idx="48">
                  <c:v>2.600270401265925E-2</c:v>
                </c:pt>
                <c:pt idx="49">
                  <c:v>2.6065680105480382E-2</c:v>
                </c:pt>
                <c:pt idx="50">
                  <c:v>2.6128641604500347E-2</c:v>
                </c:pt>
                <c:pt idx="51">
                  <c:v>2.6191588477138539E-2</c:v>
                </c:pt>
                <c:pt idx="52">
                  <c:v>2.6254520691098016E-2</c:v>
                </c:pt>
                <c:pt idx="53">
                  <c:v>2.6317438213879218E-2</c:v>
                </c:pt>
                <c:pt idx="54">
                  <c:v>2.6380341013144681E-2</c:v>
                </c:pt>
                <c:pt idx="55">
                  <c:v>2.6443229056556938E-2</c:v>
                </c:pt>
                <c:pt idx="56">
                  <c:v>2.6506102311656954E-2</c:v>
                </c:pt>
                <c:pt idx="57">
                  <c:v>2.6568960746228831E-2</c:v>
                </c:pt>
                <c:pt idx="58">
                  <c:v>2.6631804327773012E-2</c:v>
                </c:pt>
                <c:pt idx="59">
                  <c:v>2.6694633024195169E-2</c:v>
                </c:pt>
                <c:pt idx="60">
                  <c:v>2.6639797582985736E-2</c:v>
                </c:pt>
                <c:pt idx="61">
                  <c:v>2.6698758553905244E-2</c:v>
                </c:pt>
                <c:pt idx="62">
                  <c:v>2.6757705546448518E-2</c:v>
                </c:pt>
                <c:pt idx="63">
                  <c:v>2.6816638532289883E-2</c:v>
                </c:pt>
                <c:pt idx="64">
                  <c:v>2.6875557482820001E-2</c:v>
                </c:pt>
                <c:pt idx="65">
                  <c:v>2.6934462369875289E-2</c:v>
                </c:pt>
                <c:pt idx="66">
                  <c:v>2.6993353164805889E-2</c:v>
                </c:pt>
                <c:pt idx="67">
                  <c:v>2.7052229839448216E-2</c:v>
                </c:pt>
                <c:pt idx="68">
                  <c:v>2.7111092365152412E-2</c:v>
                </c:pt>
                <c:pt idx="69">
                  <c:v>2.7169940713835938E-2</c:v>
                </c:pt>
                <c:pt idx="70">
                  <c:v>2.7228774856929983E-2</c:v>
                </c:pt>
                <c:pt idx="71">
                  <c:v>2.7287594766270962E-2</c:v>
                </c:pt>
                <c:pt idx="72">
                  <c:v>2.7346400413330585E-2</c:v>
                </c:pt>
                <c:pt idx="73">
                  <c:v>2.7405191769985793E-2</c:v>
                </c:pt>
                <c:pt idx="74">
                  <c:v>2.7463968807748818E-2</c:v>
                </c:pt>
                <c:pt idx="75">
                  <c:v>2.7522731498577646E-2</c:v>
                </c:pt>
                <c:pt idx="76">
                  <c:v>2.7581479813822418E-2</c:v>
                </c:pt>
                <c:pt idx="77">
                  <c:v>2.7640213725643736E-2</c:v>
                </c:pt>
                <c:pt idx="78">
                  <c:v>2.769893320539174E-2</c:v>
                </c:pt>
                <c:pt idx="79">
                  <c:v>2.7757638225145986E-2</c:v>
                </c:pt>
                <c:pt idx="80">
                  <c:v>2.7816328756378184E-2</c:v>
                </c:pt>
                <c:pt idx="81">
                  <c:v>2.7875004771248935E-2</c:v>
                </c:pt>
                <c:pt idx="82">
                  <c:v>2.7933666241108379E-2</c:v>
                </c:pt>
                <c:pt idx="83">
                  <c:v>2.7992313138157643E-2</c:v>
                </c:pt>
                <c:pt idx="84">
                  <c:v>2.8050945433868435E-2</c:v>
                </c:pt>
                <c:pt idx="85">
                  <c:v>2.8109563100482404E-2</c:v>
                </c:pt>
                <c:pt idx="86">
                  <c:v>2.8168166109390214E-2</c:v>
                </c:pt>
                <c:pt idx="87">
                  <c:v>2.8226754432874035E-2</c:v>
                </c:pt>
                <c:pt idx="88">
                  <c:v>2.8285328042405578E-2</c:v>
                </c:pt>
                <c:pt idx="89">
                  <c:v>2.834388691022649E-2</c:v>
                </c:pt>
                <c:pt idx="90">
                  <c:v>2.8402431007970574E-2</c:v>
                </c:pt>
                <c:pt idx="91">
                  <c:v>2.846096030775791E-2</c:v>
                </c:pt>
                <c:pt idx="92">
                  <c:v>2.3365996510681386E-2</c:v>
                </c:pt>
                <c:pt idx="93">
                  <c:v>2.3314421110406935E-2</c:v>
                </c:pt>
                <c:pt idx="94">
                  <c:v>2.3262854992363025E-2</c:v>
                </c:pt>
                <c:pt idx="95">
                  <c:v>2.3211298134261926E-2</c:v>
                </c:pt>
                <c:pt idx="96">
                  <c:v>2.3159750514261668E-2</c:v>
                </c:pt>
                <c:pt idx="97">
                  <c:v>2.3108212110844462E-2</c:v>
                </c:pt>
                <c:pt idx="98">
                  <c:v>2.3056682901803627E-2</c:v>
                </c:pt>
                <c:pt idx="99">
                  <c:v>2.3005162865297191E-2</c:v>
                </c:pt>
                <c:pt idx="100">
                  <c:v>2.2953651979766843E-2</c:v>
                </c:pt>
                <c:pt idx="101">
                  <c:v>2.2902150223046425E-2</c:v>
                </c:pt>
                <c:pt idx="102">
                  <c:v>2.2850657573618149E-2</c:v>
                </c:pt>
                <c:pt idx="103">
                  <c:v>2.2799174009356382E-2</c:v>
                </c:pt>
                <c:pt idx="104">
                  <c:v>2.274769950854072E-2</c:v>
                </c:pt>
                <c:pt idx="105">
                  <c:v>2.2696234049531805E-2</c:v>
                </c:pt>
                <c:pt idx="106">
                  <c:v>2.2644777610325573E-2</c:v>
                </c:pt>
                <c:pt idx="107">
                  <c:v>2.2593330168999004E-2</c:v>
                </c:pt>
                <c:pt idx="108">
                  <c:v>2.2541891704196404E-2</c:v>
                </c:pt>
                <c:pt idx="109">
                  <c:v>2.6042357024464446E-2</c:v>
                </c:pt>
                <c:pt idx="110">
                  <c:v>2.6055052491685826E-2</c:v>
                </c:pt>
                <c:pt idx="111">
                  <c:v>2.6067744909702983E-2</c:v>
                </c:pt>
                <c:pt idx="112">
                  <c:v>2.6080434277340747E-2</c:v>
                </c:pt>
                <c:pt idx="113">
                  <c:v>2.6093120593059238E-2</c:v>
                </c:pt>
                <c:pt idx="114">
                  <c:v>2.6105803855764331E-2</c:v>
                </c:pt>
                <c:pt idx="115">
                  <c:v>2.6118484063916148E-2</c:v>
                </c:pt>
                <c:pt idx="116">
                  <c:v>2.6131161216461085E-2</c:v>
                </c:pt>
                <c:pt idx="117">
                  <c:v>2.6143835311859265E-2</c:v>
                </c:pt>
                <c:pt idx="118">
                  <c:v>2.6156506349138131E-2</c:v>
                </c:pt>
                <c:pt idx="119">
                  <c:v>2.6169174326717282E-2</c:v>
                </c:pt>
                <c:pt idx="120">
                  <c:v>2.6181839243340499E-2</c:v>
                </c:pt>
                <c:pt idx="121">
                  <c:v>2.6194501097792089E-2</c:v>
                </c:pt>
                <c:pt idx="122">
                  <c:v>2.6207159888734788E-2</c:v>
                </c:pt>
                <c:pt idx="123">
                  <c:v>2.6219815614790809E-2</c:v>
                </c:pt>
                <c:pt idx="124">
                  <c:v>2.6232468274866028E-2</c:v>
                </c:pt>
                <c:pt idx="125">
                  <c:v>2.6245117867542134E-2</c:v>
                </c:pt>
                <c:pt idx="126">
                  <c:v>2.6257764391481864E-2</c:v>
                </c:pt>
                <c:pt idx="127">
                  <c:v>2.6270407845469523E-2</c:v>
                </c:pt>
                <c:pt idx="128">
                  <c:v>2.6283048228005756E-2</c:v>
                </c:pt>
                <c:pt idx="129">
                  <c:v>2.6295685538239577E-2</c:v>
                </c:pt>
                <c:pt idx="130">
                  <c:v>2.6308319774469013E-2</c:v>
                </c:pt>
                <c:pt idx="131">
                  <c:v>2.632095093559994E-2</c:v>
                </c:pt>
                <c:pt idx="132">
                  <c:v>2.6333579020214049E-2</c:v>
                </c:pt>
                <c:pt idx="133">
                  <c:v>2.6346204027136166E-2</c:v>
                </c:pt>
                <c:pt idx="134">
                  <c:v>2.6358825954866938E-2</c:v>
                </c:pt>
                <c:pt idx="135">
                  <c:v>2.63714448025959E-2</c:v>
                </c:pt>
                <c:pt idx="136">
                  <c:v>2.6384060568499512E-2</c:v>
                </c:pt>
                <c:pt idx="137">
                  <c:v>2.6396673251564695E-2</c:v>
                </c:pt>
                <c:pt idx="138">
                  <c:v>2.6409282850454185E-2</c:v>
                </c:pt>
                <c:pt idx="139">
                  <c:v>2.6421889363871243E-2</c:v>
                </c:pt>
                <c:pt idx="140">
                  <c:v>2.6434492790397557E-2</c:v>
                </c:pt>
                <c:pt idx="141">
                  <c:v>2.6447093129101096E-2</c:v>
                </c:pt>
                <c:pt idx="142">
                  <c:v>2.6459690378401457E-2</c:v>
                </c:pt>
                <c:pt idx="143">
                  <c:v>2.6472284537042423E-2</c:v>
                </c:pt>
                <c:pt idx="144">
                  <c:v>2.6484875603848823E-2</c:v>
                </c:pt>
                <c:pt idx="145">
                  <c:v>2.6497463577402347E-2</c:v>
                </c:pt>
                <c:pt idx="146">
                  <c:v>2.6510048456446778E-2</c:v>
                </c:pt>
                <c:pt idx="147">
                  <c:v>2.6522630239928513E-2</c:v>
                </c:pt>
                <c:pt idx="148">
                  <c:v>2.6535208926267151E-2</c:v>
                </c:pt>
                <c:pt idx="149">
                  <c:v>2.6547784514328043E-2</c:v>
                </c:pt>
                <c:pt idx="150">
                  <c:v>2.656035700281445E-2</c:v>
                </c:pt>
                <c:pt idx="151">
                  <c:v>2.6572926390227014E-2</c:v>
                </c:pt>
                <c:pt idx="152">
                  <c:v>2.658549267583632E-2</c:v>
                </c:pt>
                <c:pt idx="153">
                  <c:v>2.6598055857818825E-2</c:v>
                </c:pt>
                <c:pt idx="154">
                  <c:v>2.6610615935161452E-2</c:v>
                </c:pt>
                <c:pt idx="155">
                  <c:v>2.6623172906445891E-2</c:v>
                </c:pt>
                <c:pt idx="156">
                  <c:v>2.6635726770537493E-2</c:v>
                </c:pt>
                <c:pt idx="157">
                  <c:v>2.6648277525936903E-2</c:v>
                </c:pt>
                <c:pt idx="158">
                  <c:v>2.6660825171793134E-2</c:v>
                </c:pt>
                <c:pt idx="159">
                  <c:v>2.6673369706444738E-2</c:v>
                </c:pt>
                <c:pt idx="160">
                  <c:v>2.6685911128676021E-2</c:v>
                </c:pt>
                <c:pt idx="161">
                  <c:v>2.6698449437352334E-2</c:v>
                </c:pt>
                <c:pt idx="162">
                  <c:v>2.6710984631055368E-2</c:v>
                </c:pt>
                <c:pt idx="163">
                  <c:v>2.6723516708488382E-2</c:v>
                </c:pt>
                <c:pt idx="164">
                  <c:v>2.6736045668719344E-2</c:v>
                </c:pt>
                <c:pt idx="165">
                  <c:v>2.6748571510086805E-2</c:v>
                </c:pt>
                <c:pt idx="166">
                  <c:v>2.6761094231456117E-2</c:v>
                </c:pt>
                <c:pt idx="167">
                  <c:v>2.6773613831571064E-2</c:v>
                </c:pt>
                <c:pt idx="168">
                  <c:v>2.6786130308972811E-2</c:v>
                </c:pt>
                <c:pt idx="169">
                  <c:v>2.6798643662931942E-2</c:v>
                </c:pt>
                <c:pt idx="170">
                  <c:v>2.6811153891584394E-2</c:v>
                </c:pt>
                <c:pt idx="171">
                  <c:v>2.6823660993998133E-2</c:v>
                </c:pt>
                <c:pt idx="172">
                  <c:v>2.6836164968714327E-2</c:v>
                </c:pt>
                <c:pt idx="173">
                  <c:v>2.6848665814557804E-2</c:v>
                </c:pt>
                <c:pt idx="174">
                  <c:v>2.6861163530191301E-2</c:v>
                </c:pt>
                <c:pt idx="175">
                  <c:v>2.6873658114642263E-2</c:v>
                </c:pt>
                <c:pt idx="176">
                  <c:v>2.6886149566289763E-2</c:v>
                </c:pt>
                <c:pt idx="177">
                  <c:v>2.6898637884039678E-2</c:v>
                </c:pt>
                <c:pt idx="178">
                  <c:v>2.691112306651422E-2</c:v>
                </c:pt>
                <c:pt idx="179">
                  <c:v>2.6923605112619264E-2</c:v>
                </c:pt>
                <c:pt idx="180">
                  <c:v>2.6936084020774409E-2</c:v>
                </c:pt>
                <c:pt idx="181">
                  <c:v>2.694855979029076E-2</c:v>
                </c:pt>
                <c:pt idx="182">
                  <c:v>2.69610324193853E-2</c:v>
                </c:pt>
                <c:pt idx="183">
                  <c:v>2.6973501906963904E-2</c:v>
                </c:pt>
                <c:pt idx="184">
                  <c:v>2.6985968251810877E-2</c:v>
                </c:pt>
                <c:pt idx="185">
                  <c:v>2.6998431452426863E-2</c:v>
                </c:pt>
                <c:pt idx="186">
                  <c:v>2.7010891508122969E-2</c:v>
                </c:pt>
                <c:pt idx="187">
                  <c:v>2.7023348417075654E-2</c:v>
                </c:pt>
                <c:pt idx="188">
                  <c:v>2.7035802178231316E-2</c:v>
                </c:pt>
                <c:pt idx="189">
                  <c:v>2.7048252790333738E-2</c:v>
                </c:pt>
                <c:pt idx="190">
                  <c:v>2.7060700252126701E-2</c:v>
                </c:pt>
                <c:pt idx="191">
                  <c:v>2.7073144562191898E-2</c:v>
                </c:pt>
                <c:pt idx="192">
                  <c:v>2.7085585719759386E-2</c:v>
                </c:pt>
                <c:pt idx="193">
                  <c:v>2.709802372304615E-2</c:v>
                </c:pt>
                <c:pt idx="194">
                  <c:v>2.7110458571079632E-2</c:v>
                </c:pt>
                <c:pt idx="195">
                  <c:v>2.7122890262401E-2</c:v>
                </c:pt>
                <c:pt idx="196">
                  <c:v>2.7135318795997176E-2</c:v>
                </c:pt>
                <c:pt idx="197">
                  <c:v>2.7147744170287758E-2</c:v>
                </c:pt>
                <c:pt idx="198">
                  <c:v>2.7160166384543327E-2</c:v>
                </c:pt>
                <c:pt idx="199">
                  <c:v>2.7172585437061914E-2</c:v>
                </c:pt>
                <c:pt idx="200">
                  <c:v>2.6951377263947918E-2</c:v>
                </c:pt>
                <c:pt idx="201">
                  <c:v>2.6961501506505559E-2</c:v>
                </c:pt>
                <c:pt idx="202">
                  <c:v>2.6971623142614809E-2</c:v>
                </c:pt>
                <c:pt idx="203">
                  <c:v>2.6981742170857359E-2</c:v>
                </c:pt>
                <c:pt idx="204">
                  <c:v>2.6991858591111639E-2</c:v>
                </c:pt>
                <c:pt idx="205">
                  <c:v>2.7001972402040386E-2</c:v>
                </c:pt>
                <c:pt idx="206">
                  <c:v>2.7012083602752091E-2</c:v>
                </c:pt>
                <c:pt idx="207">
                  <c:v>2.7022192193044137E-2</c:v>
                </c:pt>
                <c:pt idx="208">
                  <c:v>2.7032298171255076E-2</c:v>
                </c:pt>
                <c:pt idx="209">
                  <c:v>2.7042401537425431E-2</c:v>
                </c:pt>
                <c:pt idx="210">
                  <c:v>2.7052502290136893E-2</c:v>
                </c:pt>
                <c:pt idx="211">
                  <c:v>2.7062600428497952E-2</c:v>
                </c:pt>
                <c:pt idx="212">
                  <c:v>2.7072695952387038E-2</c:v>
                </c:pt>
                <c:pt idx="213">
                  <c:v>2.708278886010218E-2</c:v>
                </c:pt>
                <c:pt idx="214">
                  <c:v>2.7092879151683902E-2</c:v>
                </c:pt>
                <c:pt idx="215">
                  <c:v>2.7102966825632846E-2</c:v>
                </c:pt>
                <c:pt idx="216">
                  <c:v>2.711305188126012E-2</c:v>
                </c:pt>
                <c:pt idx="217">
                  <c:v>2.7123134318241537E-2</c:v>
                </c:pt>
                <c:pt idx="218">
                  <c:v>2.7133214134996697E-2</c:v>
                </c:pt>
                <c:pt idx="219">
                  <c:v>2.7143291331485075E-2</c:v>
                </c:pt>
                <c:pt idx="220">
                  <c:v>2.7153365906328886E-2</c:v>
                </c:pt>
                <c:pt idx="221">
                  <c:v>2.7163437858677142E-2</c:v>
                </c:pt>
                <c:pt idx="222">
                  <c:v>2.7173507188367751E-2</c:v>
                </c:pt>
                <c:pt idx="223">
                  <c:v>2.7183573893739266E-2</c:v>
                </c:pt>
                <c:pt idx="224">
                  <c:v>2.7193637974791685E-2</c:v>
                </c:pt>
                <c:pt idx="225">
                  <c:v>2.7203699429904082E-2</c:v>
                </c:pt>
                <c:pt idx="226">
                  <c:v>2.7213758259076459E-2</c:v>
                </c:pt>
                <c:pt idx="227">
                  <c:v>2.7223814460849982E-2</c:v>
                </c:pt>
                <c:pt idx="228">
                  <c:v>2.7233868034495234E-2</c:v>
                </c:pt>
                <c:pt idx="229">
                  <c:v>2.7243918979769077E-2</c:v>
                </c:pt>
                <c:pt idx="230">
                  <c:v>2.7253967294969539E-2</c:v>
                </c:pt>
                <c:pt idx="231">
                  <c:v>2.7264012980258712E-2</c:v>
                </c:pt>
                <c:pt idx="232">
                  <c:v>2.727405603401567E-2</c:v>
                </c:pt>
                <c:pt idx="233">
                  <c:v>2.7284096455632567E-2</c:v>
                </c:pt>
                <c:pt idx="234">
                  <c:v>2.7294134244785218E-2</c:v>
                </c:pt>
                <c:pt idx="235">
                  <c:v>2.7304169399893219E-2</c:v>
                </c:pt>
                <c:pt idx="236">
                  <c:v>2.7314201920916048E-2</c:v>
                </c:pt>
                <c:pt idx="237">
                  <c:v>2.7324231806475918E-2</c:v>
                </c:pt>
                <c:pt idx="238">
                  <c:v>2.733425905580289E-2</c:v>
                </c:pt>
                <c:pt idx="239">
                  <c:v>2.7344283668572777E-2</c:v>
                </c:pt>
                <c:pt idx="240">
                  <c:v>2.7354305643326748E-2</c:v>
                </c:pt>
                <c:pt idx="241">
                  <c:v>2.7364324979943233E-2</c:v>
                </c:pt>
                <c:pt idx="242">
                  <c:v>2.7374341677044445E-2</c:v>
                </c:pt>
                <c:pt idx="243">
                  <c:v>2.7384355733860444E-2</c:v>
                </c:pt>
                <c:pt idx="244">
                  <c:v>2.7394367150148091E-2</c:v>
                </c:pt>
                <c:pt idx="245">
                  <c:v>2.7404375924286462E-2</c:v>
                </c:pt>
                <c:pt idx="246">
                  <c:v>2.7414382056356601E-2</c:v>
                </c:pt>
                <c:pt idx="247">
                  <c:v>2.7424385544859153E-2</c:v>
                </c:pt>
                <c:pt idx="248">
                  <c:v>2.7434386388983656E-2</c:v>
                </c:pt>
                <c:pt idx="249">
                  <c:v>2.7444384588649062E-2</c:v>
                </c:pt>
                <c:pt idx="250">
                  <c:v>2.7454380142112877E-2</c:v>
                </c:pt>
                <c:pt idx="251">
                  <c:v>2.7464373049496671E-2</c:v>
                </c:pt>
                <c:pt idx="252">
                  <c:v>2.7474363309017424E-2</c:v>
                </c:pt>
                <c:pt idx="253">
                  <c:v>2.7484350920918277E-2</c:v>
                </c:pt>
                <c:pt idx="254">
                  <c:v>2.7494335883578302E-2</c:v>
                </c:pt>
                <c:pt idx="255">
                  <c:v>2.7504318196308608E-2</c:v>
                </c:pt>
                <c:pt idx="256">
                  <c:v>2.7514297858906578E-2</c:v>
                </c:pt>
                <c:pt idx="257">
                  <c:v>2.7524274869710763E-2</c:v>
                </c:pt>
                <c:pt idx="258">
                  <c:v>2.753424922880221E-2</c:v>
                </c:pt>
                <c:pt idx="259">
                  <c:v>2.7544220934722086E-2</c:v>
                </c:pt>
                <c:pt idx="260">
                  <c:v>2.7554189986659927E-2</c:v>
                </c:pt>
                <c:pt idx="261">
                  <c:v>2.7564156384494165E-2</c:v>
                </c:pt>
                <c:pt idx="262">
                  <c:v>2.7574120126522828E-2</c:v>
                </c:pt>
                <c:pt idx="263">
                  <c:v>2.7584081212908007E-2</c:v>
                </c:pt>
                <c:pt idx="264">
                  <c:v>2.7594039642028778E-2</c:v>
                </c:pt>
                <c:pt idx="265">
                  <c:v>2.7603995413277294E-2</c:v>
                </c:pt>
                <c:pt idx="266">
                  <c:v>2.7613948526369891E-2</c:v>
                </c:pt>
                <c:pt idx="267">
                  <c:v>2.7623898979685646E-2</c:v>
                </c:pt>
                <c:pt idx="268">
                  <c:v>2.763384677338665E-2</c:v>
                </c:pt>
                <c:pt idx="269">
                  <c:v>2.7643791905851978E-2</c:v>
                </c:pt>
                <c:pt idx="270">
                  <c:v>2.7653734376433259E-2</c:v>
                </c:pt>
                <c:pt idx="271">
                  <c:v>2.7663674184927878E-2</c:v>
                </c:pt>
                <c:pt idx="272">
                  <c:v>2.7673611329633863E-2</c:v>
                </c:pt>
                <c:pt idx="273">
                  <c:v>2.7683545810753829E-2</c:v>
                </c:pt>
                <c:pt idx="274">
                  <c:v>2.7693477626707375E-2</c:v>
                </c:pt>
                <c:pt idx="275">
                  <c:v>2.7703406776765083E-2</c:v>
                </c:pt>
                <c:pt idx="276">
                  <c:v>2.7713333260764861E-2</c:v>
                </c:pt>
                <c:pt idx="277">
                  <c:v>2.7723257077085783E-2</c:v>
                </c:pt>
                <c:pt idx="278">
                  <c:v>2.7733178225808897E-2</c:v>
                </c:pt>
                <c:pt idx="279">
                  <c:v>2.7743096705394321E-2</c:v>
                </c:pt>
                <c:pt idx="280">
                  <c:v>2.7753012515112641E-2</c:v>
                </c:pt>
                <c:pt idx="281">
                  <c:v>2.7762925654882809E-2</c:v>
                </c:pt>
                <c:pt idx="282">
                  <c:v>2.777283612296233E-2</c:v>
                </c:pt>
                <c:pt idx="283">
                  <c:v>2.7782743919513297E-2</c:v>
                </c:pt>
                <c:pt idx="284">
                  <c:v>2.779264904271217E-2</c:v>
                </c:pt>
                <c:pt idx="285">
                  <c:v>2.7802551492923655E-2</c:v>
                </c:pt>
                <c:pt idx="286">
                  <c:v>2.7812451268405258E-2</c:v>
                </c:pt>
                <c:pt idx="287">
                  <c:v>2.7822348368508609E-2</c:v>
                </c:pt>
                <c:pt idx="288">
                  <c:v>2.7832242793193185E-2</c:v>
                </c:pt>
                <c:pt idx="289">
                  <c:v>2.7842134540594921E-2</c:v>
                </c:pt>
                <c:pt idx="290">
                  <c:v>2.7852023610997478E-2</c:v>
                </c:pt>
                <c:pt idx="291">
                  <c:v>2.7764035981797663E-2</c:v>
                </c:pt>
                <c:pt idx="292">
                  <c:v>2.7773264913385498E-2</c:v>
                </c:pt>
                <c:pt idx="293">
                  <c:v>2.7782491333065429E-2</c:v>
                </c:pt>
                <c:pt idx="294">
                  <c:v>2.7791715239378623E-2</c:v>
                </c:pt>
                <c:pt idx="295">
                  <c:v>2.7800936631879325E-2</c:v>
                </c:pt>
                <c:pt idx="296">
                  <c:v>2.7810155509676027E-2</c:v>
                </c:pt>
                <c:pt idx="297">
                  <c:v>2.7819371872809251E-2</c:v>
                </c:pt>
                <c:pt idx="298">
                  <c:v>2.7828585719901211E-2</c:v>
                </c:pt>
                <c:pt idx="299">
                  <c:v>2.7837797050384583E-2</c:v>
                </c:pt>
                <c:pt idx="300">
                  <c:v>2.784700586352995E-2</c:v>
                </c:pt>
                <c:pt idx="301">
                  <c:v>2.7856212159256266E-2</c:v>
                </c:pt>
                <c:pt idx="302">
                  <c:v>2.7865415936185745E-2</c:v>
                </c:pt>
                <c:pt idx="303">
                  <c:v>2.7874617193629492E-2</c:v>
                </c:pt>
                <c:pt idx="304">
                  <c:v>2.78838159317496E-2</c:v>
                </c:pt>
                <c:pt idx="305">
                  <c:v>2.7893012148925145E-2</c:v>
                </c:pt>
                <c:pt idx="306">
                  <c:v>2.7902205844953509E-2</c:v>
                </c:pt>
                <c:pt idx="307">
                  <c:v>2.7911397018740569E-2</c:v>
                </c:pt>
                <c:pt idx="308">
                  <c:v>2.7920585670407894E-2</c:v>
                </c:pt>
                <c:pt idx="309">
                  <c:v>2.7929771798618219E-2</c:v>
                </c:pt>
                <c:pt idx="310">
                  <c:v>2.7938955402804222E-2</c:v>
                </c:pt>
                <c:pt idx="311">
                  <c:v>2.7948136482114916E-2</c:v>
                </c:pt>
                <c:pt idx="312">
                  <c:v>2.795731503667187E-2</c:v>
                </c:pt>
                <c:pt idx="313">
                  <c:v>2.7966491064975729E-2</c:v>
                </c:pt>
                <c:pt idx="314">
                  <c:v>2.7975664566337599E-2</c:v>
                </c:pt>
                <c:pt idx="315">
                  <c:v>2.7984835540919573E-2</c:v>
                </c:pt>
                <c:pt idx="316">
                  <c:v>2.7994003987262817E-2</c:v>
                </c:pt>
                <c:pt idx="317">
                  <c:v>2.8003169904921577E-2</c:v>
                </c:pt>
                <c:pt idx="318">
                  <c:v>2.801233329296382E-2</c:v>
                </c:pt>
                <c:pt idx="319">
                  <c:v>2.8021494151511117E-2</c:v>
                </c:pt>
                <c:pt idx="320">
                  <c:v>2.803065247918568E-2</c:v>
                </c:pt>
                <c:pt idx="321">
                  <c:v>2.8039808275136524E-2</c:v>
                </c:pt>
                <c:pt idx="322">
                  <c:v>2.804896153964731E-2</c:v>
                </c:pt>
                <c:pt idx="323">
                  <c:v>2.8058112271218683E-2</c:v>
                </c:pt>
                <c:pt idx="324">
                  <c:v>2.8067260469404887E-2</c:v>
                </c:pt>
                <c:pt idx="325">
                  <c:v>2.807640613327389E-2</c:v>
                </c:pt>
                <c:pt idx="326">
                  <c:v>2.8085549262987786E-2</c:v>
                </c:pt>
                <c:pt idx="327">
                  <c:v>2.809468985708774E-2</c:v>
                </c:pt>
                <c:pt idx="328">
                  <c:v>2.8103827915127999E-2</c:v>
                </c:pt>
                <c:pt idx="329">
                  <c:v>2.811296343617653E-2</c:v>
                </c:pt>
                <c:pt idx="330">
                  <c:v>2.8122096420435949E-2</c:v>
                </c:pt>
                <c:pt idx="331">
                  <c:v>2.8131226866325854E-2</c:v>
                </c:pt>
                <c:pt idx="332">
                  <c:v>2.8140354773278919E-2</c:v>
                </c:pt>
                <c:pt idx="333">
                  <c:v>2.8149480141416716E-2</c:v>
                </c:pt>
                <c:pt idx="334">
                  <c:v>2.8158602969239888E-2</c:v>
                </c:pt>
                <c:pt idx="335">
                  <c:v>2.8167723256302679E-2</c:v>
                </c:pt>
                <c:pt idx="336">
                  <c:v>2.8176841001754105E-2</c:v>
                </c:pt>
                <c:pt idx="337">
                  <c:v>2.8185956205796781E-2</c:v>
                </c:pt>
                <c:pt idx="338">
                  <c:v>2.8195068866728734E-2</c:v>
                </c:pt>
                <c:pt idx="339">
                  <c:v>2.8204178984428396E-2</c:v>
                </c:pt>
                <c:pt idx="340">
                  <c:v>2.8213286557720596E-2</c:v>
                </c:pt>
                <c:pt idx="341">
                  <c:v>2.8222391586970041E-2</c:v>
                </c:pt>
                <c:pt idx="342">
                  <c:v>2.8231494070555807E-2</c:v>
                </c:pt>
                <c:pt idx="343">
                  <c:v>2.8240594007829523E-2</c:v>
                </c:pt>
                <c:pt idx="344">
                  <c:v>2.8249691398993804E-2</c:v>
                </c:pt>
                <c:pt idx="345">
                  <c:v>2.8258786242549294E-2</c:v>
                </c:pt>
                <c:pt idx="346">
                  <c:v>2.8267878538131286E-2</c:v>
                </c:pt>
                <c:pt idx="347">
                  <c:v>2.82769682847267E-2</c:v>
                </c:pt>
                <c:pt idx="348">
                  <c:v>2.8286055482619199E-2</c:v>
                </c:pt>
                <c:pt idx="349">
                  <c:v>2.829514013022838E-2</c:v>
                </c:pt>
                <c:pt idx="350">
                  <c:v>2.830422222686535E-2</c:v>
                </c:pt>
                <c:pt idx="351">
                  <c:v>2.8313301772894817E-2</c:v>
                </c:pt>
                <c:pt idx="352">
                  <c:v>2.8322378766533762E-2</c:v>
                </c:pt>
                <c:pt idx="353">
                  <c:v>2.8331453207701141E-2</c:v>
                </c:pt>
                <c:pt idx="354">
                  <c:v>2.8340525095181257E-2</c:v>
                </c:pt>
                <c:pt idx="355">
                  <c:v>2.8349594429379343E-2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64-4519-B643-0EE01D2F8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48480"/>
        <c:axId val="121350016"/>
      </c:lineChart>
      <c:dateAx>
        <c:axId val="121348480"/>
        <c:scaling>
          <c:orientation val="minMax"/>
        </c:scaling>
        <c:delete val="0"/>
        <c:axPos val="b"/>
        <c:numFmt formatCode="d/m/yyyy;@" sourceLinked="1"/>
        <c:majorTickMark val="out"/>
        <c:minorTickMark val="none"/>
        <c:tickLblPos val="nextTo"/>
        <c:crossAx val="121350016"/>
        <c:crosses val="autoZero"/>
        <c:auto val="1"/>
        <c:lblOffset val="100"/>
        <c:baseTimeUnit val="days"/>
      </c:dateAx>
      <c:valAx>
        <c:axId val="1213500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21348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11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ex.watt@nab.com.au" TargetMode="External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130"/>
  <sheetViews>
    <sheetView tabSelected="1" workbookViewId="0">
      <selection activeCell="F1" sqref="F1:G1"/>
    </sheetView>
  </sheetViews>
  <sheetFormatPr defaultRowHeight="12.75"/>
  <cols>
    <col min="1" max="1" width="5.140625" bestFit="1" customWidth="1"/>
    <col min="2" max="2" width="21.42578125" style="22" bestFit="1" customWidth="1"/>
    <col min="3" max="3" width="27.42578125" style="22" bestFit="1" customWidth="1"/>
    <col min="4" max="4" width="10.85546875" bestFit="1" customWidth="1"/>
    <col min="5" max="5" width="3.28515625" bestFit="1" customWidth="1"/>
    <col min="6" max="6" width="23.140625" style="22" bestFit="1" customWidth="1"/>
    <col min="7" max="7" width="27.42578125" style="22" bestFit="1" customWidth="1"/>
    <col min="8" max="8" width="12.85546875" style="22" bestFit="1" customWidth="1"/>
    <col min="9" max="9" width="16.85546875" style="22" bestFit="1" customWidth="1"/>
    <col min="10" max="10" width="2.140625" style="22" customWidth="1"/>
    <col min="11" max="11" width="22" style="22" bestFit="1" customWidth="1"/>
    <col min="12" max="12" width="38" style="22" customWidth="1"/>
    <col min="13" max="13" width="16" style="73" customWidth="1"/>
    <col min="14" max="14" width="7.28515625" style="22" bestFit="1" customWidth="1"/>
    <col min="15" max="15" width="18.140625" style="22" bestFit="1" customWidth="1"/>
    <col min="16" max="16" width="11" style="22" bestFit="1" customWidth="1"/>
    <col min="17" max="17" width="6.140625" style="22" bestFit="1" customWidth="1"/>
    <col min="18" max="18" width="7.140625" style="22" bestFit="1" customWidth="1"/>
    <col min="19" max="19" width="10.5703125" style="22" bestFit="1" customWidth="1"/>
    <col min="20" max="20" width="9.85546875" style="22" bestFit="1" customWidth="1"/>
    <col min="21" max="21" width="9.42578125" style="22" bestFit="1" customWidth="1"/>
    <col min="22" max="22" width="9.28515625" style="22" bestFit="1" customWidth="1"/>
    <col min="23" max="23" width="13.28515625" style="22" bestFit="1" customWidth="1"/>
    <col min="24" max="26" width="9.42578125" style="22" bestFit="1" customWidth="1"/>
    <col min="27" max="27" width="3" customWidth="1"/>
    <col min="28" max="28" width="23.140625" bestFit="1" customWidth="1"/>
    <col min="29" max="29" width="10" style="64" bestFit="1" customWidth="1"/>
    <col min="30" max="30" width="9.140625" style="64"/>
    <col min="32" max="32" width="23.140625" bestFit="1" customWidth="1"/>
    <col min="33" max="33" width="9.140625" style="64"/>
  </cols>
  <sheetData>
    <row r="1" spans="2:33" ht="13.5" thickBot="1">
      <c r="B1" s="87" t="str">
        <f ca="1">_xll.HLV5r3.Financial.Cache.CreateCurve_Old(B2:C10, B15:B38, C15:C38, D15:D38)</f>
        <v>Market.LIVE.RateCurve.AUD-LIBOR-BBA-3M</v>
      </c>
      <c r="C1" s="88"/>
      <c r="D1" s="2"/>
      <c r="F1" s="87" t="str">
        <f ca="1">_xll.HLV5r3.Financial.Cache.CreateRateCurveWithUnits(F2:G10, F15:F54, G15:G54, H15:H54, I15:I54)</f>
        <v>Market.LIVE.RateCurve.AUD-LIBOR-BBA-6M</v>
      </c>
      <c r="G1" s="88"/>
      <c r="K1" s="87" t="str">
        <f ca="1">_xll.HLV5r3.Financial.Cache.CreateCurve(K2:L12,M14:N37)</f>
        <v>Market.LIVE.RateCurve.AUD-LIBOR-BBA-1M</v>
      </c>
      <c r="L1" s="88"/>
      <c r="P1" s="80" t="s">
        <v>98</v>
      </c>
    </row>
    <row r="2" spans="2:33">
      <c r="B2" s="23" t="s">
        <v>76</v>
      </c>
      <c r="C2" s="24" t="s">
        <v>11</v>
      </c>
      <c r="D2" s="2"/>
      <c r="F2" s="23" t="s">
        <v>76</v>
      </c>
      <c r="G2" s="24" t="s">
        <v>11</v>
      </c>
      <c r="K2" s="23" t="s">
        <v>76</v>
      </c>
      <c r="L2" s="62" t="s">
        <v>68</v>
      </c>
      <c r="M2" s="82" t="s">
        <v>101</v>
      </c>
    </row>
    <row r="3" spans="2:33">
      <c r="B3" s="25" t="s">
        <v>74</v>
      </c>
      <c r="C3" s="26">
        <f ca="1">TODAY()</f>
        <v>43149</v>
      </c>
      <c r="F3" s="25" t="s">
        <v>74</v>
      </c>
      <c r="G3" s="26">
        <f ca="1">TODAY()</f>
        <v>43149</v>
      </c>
      <c r="I3" s="66" t="s">
        <v>78</v>
      </c>
      <c r="K3" s="25" t="s">
        <v>74</v>
      </c>
      <c r="L3" s="26">
        <f ca="1">G3</f>
        <v>43149</v>
      </c>
      <c r="O3" s="73" t="s">
        <v>99</v>
      </c>
      <c r="P3" s="73"/>
      <c r="Q3" s="73"/>
    </row>
    <row r="4" spans="2:33">
      <c r="B4" s="25" t="s">
        <v>97</v>
      </c>
      <c r="C4" s="26">
        <f ca="1">C3</f>
        <v>43149</v>
      </c>
      <c r="F4" s="25" t="s">
        <v>97</v>
      </c>
      <c r="G4" s="26">
        <f ca="1">G3</f>
        <v>43149</v>
      </c>
      <c r="H4" s="73"/>
      <c r="I4" s="66"/>
      <c r="J4" s="73"/>
      <c r="K4" s="25" t="s">
        <v>97</v>
      </c>
      <c r="L4" s="26">
        <f ca="1">L3</f>
        <v>43149</v>
      </c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2:33">
      <c r="B5" s="27" t="s">
        <v>80</v>
      </c>
      <c r="C5" s="28" t="s">
        <v>18</v>
      </c>
      <c r="D5" s="2"/>
      <c r="F5" s="27" t="s">
        <v>80</v>
      </c>
      <c r="G5" s="28" t="s">
        <v>18</v>
      </c>
      <c r="K5" s="27" t="s">
        <v>77</v>
      </c>
      <c r="L5" s="28" t="s">
        <v>18</v>
      </c>
      <c r="O5" s="73"/>
      <c r="P5" s="73"/>
      <c r="Q5" s="73"/>
    </row>
    <row r="6" spans="2:33" ht="13.5" thickBot="1">
      <c r="B6" s="25" t="s">
        <v>12</v>
      </c>
      <c r="C6" s="29" t="s">
        <v>13</v>
      </c>
      <c r="D6" s="2"/>
      <c r="F6" s="25" t="s">
        <v>12</v>
      </c>
      <c r="G6" s="29" t="s">
        <v>13</v>
      </c>
      <c r="K6" s="30" t="s">
        <v>82</v>
      </c>
      <c r="L6" s="63" t="str">
        <f ca="1">B1</f>
        <v>Market.LIVE.RateCurve.AUD-LIBOR-BBA-3M</v>
      </c>
    </row>
    <row r="7" spans="2:33">
      <c r="B7" s="25" t="s">
        <v>14</v>
      </c>
      <c r="C7" s="28" t="s">
        <v>15</v>
      </c>
      <c r="D7" s="2"/>
      <c r="F7" s="25" t="s">
        <v>14</v>
      </c>
      <c r="G7" s="28" t="s">
        <v>67</v>
      </c>
      <c r="I7" s="66" t="s">
        <v>79</v>
      </c>
      <c r="K7" s="27" t="s">
        <v>80</v>
      </c>
      <c r="L7" s="28" t="s">
        <v>18</v>
      </c>
    </row>
    <row r="8" spans="2:33">
      <c r="B8" s="25" t="s">
        <v>37</v>
      </c>
      <c r="C8" s="28" t="str">
        <f>C6&amp;"-"&amp;C7</f>
        <v>AUD-LIBOR-BBA-3M</v>
      </c>
      <c r="D8" s="2"/>
      <c r="F8" s="25" t="s">
        <v>37</v>
      </c>
      <c r="G8" s="28" t="str">
        <f>G6&amp;"-"&amp;G7</f>
        <v>AUD-LIBOR-BBA-6M</v>
      </c>
      <c r="K8" s="25" t="s">
        <v>12</v>
      </c>
      <c r="L8" s="29" t="s">
        <v>13</v>
      </c>
    </row>
    <row r="9" spans="2:33">
      <c r="B9" s="25" t="s">
        <v>75</v>
      </c>
      <c r="C9" s="28" t="str">
        <f>"RateCurve."&amp;C8</f>
        <v>RateCurve.AUD-LIBOR-BBA-3M</v>
      </c>
      <c r="D9" s="2"/>
      <c r="F9" s="25" t="s">
        <v>75</v>
      </c>
      <c r="G9" s="28" t="str">
        <f>"RateCurve."&amp;G8</f>
        <v>RateCurve.AUD-LIBOR-BBA-6M</v>
      </c>
      <c r="K9" s="25" t="s">
        <v>14</v>
      </c>
      <c r="L9" s="28" t="s">
        <v>81</v>
      </c>
    </row>
    <row r="10" spans="2:33" ht="13.5" thickBot="1">
      <c r="B10" s="30" t="s">
        <v>16</v>
      </c>
      <c r="C10" s="31" t="s">
        <v>66</v>
      </c>
      <c r="D10" s="2"/>
      <c r="F10" s="30" t="s">
        <v>16</v>
      </c>
      <c r="G10" s="31" t="s">
        <v>19</v>
      </c>
      <c r="K10" s="25" t="s">
        <v>37</v>
      </c>
      <c r="L10" s="28" t="str">
        <f>L8&amp;"-"&amp;L9</f>
        <v>AUD-LIBOR-BBA-1M</v>
      </c>
    </row>
    <row r="11" spans="2:33" ht="13.5" thickBot="1">
      <c r="B11" s="50"/>
      <c r="C11" s="50"/>
      <c r="D11" s="2"/>
      <c r="K11" s="25" t="s">
        <v>75</v>
      </c>
      <c r="L11" s="28" t="str">
        <f>"RateCurve."&amp;L10</f>
        <v>RateCurve.AUD-LIBOR-BBA-1M</v>
      </c>
      <c r="M11" s="64"/>
      <c r="N11" s="64"/>
      <c r="O11"/>
      <c r="P11"/>
      <c r="Q11"/>
      <c r="R11"/>
      <c r="S11"/>
      <c r="T11"/>
      <c r="U11"/>
      <c r="V11"/>
      <c r="W11"/>
      <c r="X11"/>
      <c r="Y11"/>
      <c r="Z11"/>
      <c r="AC11"/>
      <c r="AD11"/>
      <c r="AG11"/>
    </row>
    <row r="12" spans="2:33" ht="13.5" thickBot="1">
      <c r="B12" s="32" t="s">
        <v>0</v>
      </c>
      <c r="C12" s="33"/>
      <c r="D12" s="3"/>
      <c r="F12" s="32" t="s">
        <v>0</v>
      </c>
      <c r="G12" s="33"/>
      <c r="H12" s="34"/>
      <c r="I12" s="34"/>
      <c r="K12" s="30" t="s">
        <v>16</v>
      </c>
      <c r="L12" s="31" t="s">
        <v>66</v>
      </c>
      <c r="M12" s="64"/>
      <c r="N12" s="64"/>
      <c r="O12"/>
      <c r="P12"/>
      <c r="Q12"/>
      <c r="R12"/>
      <c r="S12"/>
      <c r="T12"/>
      <c r="U12"/>
      <c r="V12"/>
      <c r="W12"/>
      <c r="X12"/>
      <c r="Y12"/>
      <c r="Z12"/>
      <c r="AC12"/>
      <c r="AD12"/>
      <c r="AG12"/>
    </row>
    <row r="13" spans="2:33" ht="13.5" thickBot="1">
      <c r="B13" s="5"/>
      <c r="C13" s="35"/>
      <c r="D13" s="4"/>
      <c r="F13" s="5"/>
      <c r="G13" s="35"/>
      <c r="H13" s="36"/>
      <c r="I13" s="36"/>
      <c r="K13"/>
      <c r="L13"/>
      <c r="M13" s="64"/>
      <c r="N13" s="64"/>
      <c r="O13"/>
      <c r="P13"/>
      <c r="Q13" t="s">
        <v>65</v>
      </c>
      <c r="S13"/>
      <c r="T13"/>
      <c r="U13"/>
      <c r="V13"/>
      <c r="W13"/>
      <c r="X13"/>
      <c r="Y13"/>
      <c r="Z13"/>
      <c r="AC13"/>
      <c r="AD13"/>
      <c r="AG13"/>
    </row>
    <row r="14" spans="2:33" ht="13.5" thickBot="1">
      <c r="B14" s="5" t="s">
        <v>1</v>
      </c>
      <c r="C14" s="6" t="s">
        <v>2</v>
      </c>
      <c r="D14" s="7" t="s">
        <v>9</v>
      </c>
      <c r="F14" s="5" t="s">
        <v>1</v>
      </c>
      <c r="G14" s="6" t="s">
        <v>43</v>
      </c>
      <c r="H14" s="7" t="s">
        <v>38</v>
      </c>
      <c r="I14" s="7" t="s">
        <v>40</v>
      </c>
      <c r="K14" s="73" t="str">
        <f t="array" aca="1" ref="K14:L50" ca="1">_xll.HLV5r3.Financial.Cache.GetQuotedAssetSet(B1)</f>
        <v>AUD-Deposit-1D</v>
      </c>
      <c r="L14" s="65">
        <f ca="1"/>
        <v>0.02</v>
      </c>
      <c r="M14" s="65" t="str">
        <f ca="1">K14</f>
        <v>AUD-Deposit-1D</v>
      </c>
      <c r="N14" s="76">
        <v>1E-3</v>
      </c>
      <c r="O14" s="73" t="str">
        <f t="array" aca="1" ref="O14:P50" ca="1">_xll.HLV5r3.Financial.Cache.GetQuotedAssetSet(K1)</f>
        <v>AUD-Deposit-1D</v>
      </c>
      <c r="P14" s="65">
        <f ca="1"/>
        <v>2.1000000000000001E-2</v>
      </c>
      <c r="Q14" s="77">
        <f t="shared" ref="Q14:Q45" ca="1" si="0">P14-L14</f>
        <v>1.0000000000000009E-3</v>
      </c>
      <c r="R14"/>
      <c r="S14"/>
      <c r="T14"/>
      <c r="U14"/>
      <c r="V14"/>
      <c r="W14"/>
      <c r="X14"/>
      <c r="Y14"/>
      <c r="Z14"/>
      <c r="AC14"/>
      <c r="AD14"/>
      <c r="AG14"/>
    </row>
    <row r="15" spans="2:33">
      <c r="B15" s="37" t="s">
        <v>3</v>
      </c>
      <c r="C15" s="38">
        <v>0.02</v>
      </c>
      <c r="D15" s="67">
        <v>0</v>
      </c>
      <c r="F15" s="37" t="s">
        <v>3</v>
      </c>
      <c r="G15" s="38">
        <f>C15</f>
        <v>0.02</v>
      </c>
      <c r="H15" s="39" t="s">
        <v>20</v>
      </c>
      <c r="I15" s="39" t="s">
        <v>41</v>
      </c>
      <c r="K15" s="73" t="str">
        <f ca="1"/>
        <v>AUD-Deposit-1W</v>
      </c>
      <c r="L15" s="65">
        <f ca="1"/>
        <v>2.1000000000000001E-2</v>
      </c>
      <c r="M15" s="65" t="str">
        <f t="shared" ref="M15:M37" ca="1" si="1">K15</f>
        <v>AUD-Deposit-1W</v>
      </c>
      <c r="N15" s="78">
        <v>1E-3</v>
      </c>
      <c r="O15" s="73" t="str">
        <f ca="1"/>
        <v>AUD-Deposit-1W</v>
      </c>
      <c r="P15" s="65">
        <f ca="1"/>
        <v>2.1999999999999999E-2</v>
      </c>
      <c r="Q15" s="77">
        <f t="shared" ca="1" si="0"/>
        <v>9.9999999999999742E-4</v>
      </c>
      <c r="R15"/>
      <c r="S15"/>
      <c r="T15"/>
      <c r="U15"/>
      <c r="V15"/>
      <c r="W15"/>
      <c r="X15"/>
      <c r="Y15"/>
      <c r="Z15"/>
      <c r="AC15"/>
      <c r="AD15"/>
      <c r="AG15"/>
    </row>
    <row r="16" spans="2:33">
      <c r="B16" s="40" t="s">
        <v>4</v>
      </c>
      <c r="C16" s="41">
        <f>C15+0.001</f>
        <v>2.1000000000000001E-2</v>
      </c>
      <c r="D16" s="68">
        <v>0</v>
      </c>
      <c r="F16" s="40" t="s">
        <v>4</v>
      </c>
      <c r="G16" s="41">
        <f t="shared" ref="G16:G30" si="2">C16</f>
        <v>2.1000000000000001E-2</v>
      </c>
      <c r="H16" s="42" t="s">
        <v>20</v>
      </c>
      <c r="I16" s="42" t="s">
        <v>41</v>
      </c>
      <c r="K16" s="73" t="str">
        <f ca="1"/>
        <v>AUD-Deposit-2W</v>
      </c>
      <c r="L16" s="65">
        <f ca="1"/>
        <v>2.1999999999999999E-2</v>
      </c>
      <c r="M16" s="65" t="str">
        <f t="shared" ca="1" si="1"/>
        <v>AUD-Deposit-2W</v>
      </c>
      <c r="N16" s="78">
        <v>1E-3</v>
      </c>
      <c r="O16" s="73" t="str">
        <f ca="1"/>
        <v>AUD-Deposit-2W</v>
      </c>
      <c r="P16" s="65">
        <f ca="1"/>
        <v>2.3E-2</v>
      </c>
      <c r="Q16" s="77">
        <f t="shared" ca="1" si="0"/>
        <v>1.0000000000000009E-3</v>
      </c>
      <c r="R16"/>
      <c r="S16"/>
      <c r="T16"/>
      <c r="U16"/>
      <c r="V16"/>
      <c r="W16"/>
      <c r="X16"/>
      <c r="Y16"/>
      <c r="Z16"/>
      <c r="AC16"/>
      <c r="AD16"/>
      <c r="AG16"/>
    </row>
    <row r="17" spans="1:33">
      <c r="B17" s="40" t="s">
        <v>5</v>
      </c>
      <c r="C17" s="41">
        <f t="shared" ref="C17:C29" si="3">C16+0.001</f>
        <v>2.2000000000000002E-2</v>
      </c>
      <c r="D17" s="68">
        <v>0</v>
      </c>
      <c r="F17" s="40" t="s">
        <v>5</v>
      </c>
      <c r="G17" s="41">
        <f t="shared" si="2"/>
        <v>2.2000000000000002E-2</v>
      </c>
      <c r="H17" s="42" t="s">
        <v>20</v>
      </c>
      <c r="I17" s="42" t="s">
        <v>41</v>
      </c>
      <c r="K17" s="73" t="str">
        <f ca="1"/>
        <v>AUD-Deposit-1M</v>
      </c>
      <c r="L17" s="65">
        <f ca="1"/>
        <v>2.3E-2</v>
      </c>
      <c r="M17" s="65" t="str">
        <f t="shared" ca="1" si="1"/>
        <v>AUD-Deposit-1M</v>
      </c>
      <c r="N17" s="78">
        <v>1E-3</v>
      </c>
      <c r="O17" s="73" t="str">
        <f ca="1"/>
        <v>AUD-Deposit-1M</v>
      </c>
      <c r="P17" s="65">
        <f ca="1"/>
        <v>2.4E-2</v>
      </c>
      <c r="Q17" s="77">
        <f t="shared" ca="1" si="0"/>
        <v>1.0000000000000009E-3</v>
      </c>
      <c r="R17"/>
      <c r="S17"/>
      <c r="T17"/>
      <c r="U17"/>
      <c r="V17"/>
      <c r="W17"/>
      <c r="X17"/>
      <c r="Y17"/>
      <c r="Z17"/>
      <c r="AC17"/>
      <c r="AD17"/>
      <c r="AG17"/>
    </row>
    <row r="18" spans="1:33">
      <c r="B18" s="40" t="s">
        <v>6</v>
      </c>
      <c r="C18" s="41">
        <f t="shared" si="3"/>
        <v>2.3000000000000003E-2</v>
      </c>
      <c r="D18" s="68">
        <v>0</v>
      </c>
      <c r="F18" s="40" t="s">
        <v>6</v>
      </c>
      <c r="G18" s="41">
        <f t="shared" si="2"/>
        <v>2.3000000000000003E-2</v>
      </c>
      <c r="H18" s="42" t="s">
        <v>20</v>
      </c>
      <c r="I18" s="42" t="s">
        <v>41</v>
      </c>
      <c r="K18" s="73" t="str">
        <f ca="1"/>
        <v>AUD-Deposit-2M</v>
      </c>
      <c r="L18" s="65">
        <f ca="1"/>
        <v>2.4E-2</v>
      </c>
      <c r="M18" s="65" t="str">
        <f t="shared" ca="1" si="1"/>
        <v>AUD-Deposit-2M</v>
      </c>
      <c r="N18" s="78">
        <v>1E-3</v>
      </c>
      <c r="O18" s="73" t="str">
        <f ca="1"/>
        <v>AUD-Deposit-2M</v>
      </c>
      <c r="P18" s="65">
        <f ca="1"/>
        <v>2.5000000000000001E-2</v>
      </c>
      <c r="Q18" s="77">
        <f t="shared" ca="1" si="0"/>
        <v>1.0000000000000009E-3</v>
      </c>
      <c r="R18"/>
      <c r="S18"/>
      <c r="T18"/>
      <c r="U18"/>
      <c r="V18"/>
      <c r="W18"/>
      <c r="X18"/>
      <c r="Y18"/>
      <c r="Z18"/>
      <c r="AC18"/>
      <c r="AD18"/>
      <c r="AG18"/>
    </row>
    <row r="19" spans="1:33">
      <c r="B19" s="40" t="s">
        <v>7</v>
      </c>
      <c r="C19" s="41">
        <f t="shared" si="3"/>
        <v>2.4000000000000004E-2</v>
      </c>
      <c r="D19" s="68">
        <v>0</v>
      </c>
      <c r="F19" s="40" t="s">
        <v>7</v>
      </c>
      <c r="G19" s="41">
        <f t="shared" si="2"/>
        <v>2.4000000000000004E-2</v>
      </c>
      <c r="H19" s="42" t="s">
        <v>20</v>
      </c>
      <c r="I19" s="42" t="s">
        <v>41</v>
      </c>
      <c r="K19" s="73" t="str">
        <f ca="1"/>
        <v>AUD-Deposit-3M</v>
      </c>
      <c r="L19" s="65">
        <f ca="1"/>
        <v>2.5000000000000001E-2</v>
      </c>
      <c r="M19" s="65" t="str">
        <f t="shared" ca="1" si="1"/>
        <v>AUD-Deposit-3M</v>
      </c>
      <c r="N19" s="78">
        <v>1E-3</v>
      </c>
      <c r="O19" s="73" t="str">
        <f ca="1"/>
        <v>AUD-Deposit-3M</v>
      </c>
      <c r="P19" s="65">
        <f ca="1"/>
        <v>2.5999999999999999E-2</v>
      </c>
      <c r="Q19" s="77">
        <f t="shared" ca="1" si="0"/>
        <v>9.9999999999999742E-4</v>
      </c>
      <c r="R19"/>
      <c r="S19"/>
      <c r="T19"/>
      <c r="U19"/>
      <c r="V19"/>
      <c r="W19"/>
      <c r="X19"/>
      <c r="Y19"/>
      <c r="Z19"/>
      <c r="AC19"/>
      <c r="AD19"/>
      <c r="AG19"/>
    </row>
    <row r="20" spans="1:33">
      <c r="B20" s="40" t="s">
        <v>8</v>
      </c>
      <c r="C20" s="41">
        <f t="shared" si="3"/>
        <v>2.5000000000000005E-2</v>
      </c>
      <c r="D20" s="68">
        <v>0</v>
      </c>
      <c r="F20" s="40" t="s">
        <v>8</v>
      </c>
      <c r="G20" s="41">
        <f t="shared" si="2"/>
        <v>2.5000000000000005E-2</v>
      </c>
      <c r="H20" s="42" t="s">
        <v>20</v>
      </c>
      <c r="I20" s="42" t="s">
        <v>41</v>
      </c>
      <c r="K20" s="73" t="str">
        <f ca="1"/>
        <v>AUD-IRSwap-3Y</v>
      </c>
      <c r="L20" s="65">
        <f ca="1"/>
        <v>2.5999999999999999E-2</v>
      </c>
      <c r="M20" s="65" t="str">
        <f t="shared" ca="1" si="1"/>
        <v>AUD-IRSwap-3Y</v>
      </c>
      <c r="N20" s="78">
        <v>1E-3</v>
      </c>
      <c r="O20" s="73" t="str">
        <f ca="1"/>
        <v>AUD-IRSwap-3Y</v>
      </c>
      <c r="P20" s="65">
        <f ca="1"/>
        <v>2.7E-2</v>
      </c>
      <c r="Q20" s="77">
        <f t="shared" ca="1" si="0"/>
        <v>1.0000000000000009E-3</v>
      </c>
      <c r="R20"/>
      <c r="S20"/>
      <c r="T20"/>
      <c r="U20"/>
      <c r="V20"/>
      <c r="W20"/>
      <c r="X20"/>
      <c r="Y20"/>
      <c r="Z20"/>
      <c r="AC20"/>
      <c r="AD20"/>
      <c r="AG20"/>
    </row>
    <row r="21" spans="1:33">
      <c r="B21" s="40" t="s">
        <v>27</v>
      </c>
      <c r="C21" s="41">
        <f t="shared" si="3"/>
        <v>2.6000000000000006E-2</v>
      </c>
      <c r="D21" s="68">
        <v>0</v>
      </c>
      <c r="F21" s="40" t="s">
        <v>27</v>
      </c>
      <c r="G21" s="41">
        <f t="shared" si="2"/>
        <v>2.6000000000000006E-2</v>
      </c>
      <c r="H21" s="42" t="s">
        <v>20</v>
      </c>
      <c r="I21" s="42" t="s">
        <v>41</v>
      </c>
      <c r="K21" s="73" t="str">
        <f ca="1"/>
        <v>AUD-IRSwap-4Y</v>
      </c>
      <c r="L21" s="65">
        <f ca="1"/>
        <v>2.7E-2</v>
      </c>
      <c r="M21" s="65" t="str">
        <f t="shared" ca="1" si="1"/>
        <v>AUD-IRSwap-4Y</v>
      </c>
      <c r="N21" s="78">
        <v>1E-3</v>
      </c>
      <c r="O21" s="73" t="str">
        <f ca="1"/>
        <v>AUD-IRSwap-4Y</v>
      </c>
      <c r="P21" s="65">
        <f ca="1"/>
        <v>2.8000000000000001E-2</v>
      </c>
      <c r="Q21" s="77">
        <f t="shared" ca="1" si="0"/>
        <v>1.0000000000000009E-3</v>
      </c>
      <c r="R21"/>
      <c r="S21"/>
      <c r="T21"/>
      <c r="U21"/>
      <c r="V21"/>
      <c r="W21"/>
      <c r="X21"/>
      <c r="Y21"/>
      <c r="Z21"/>
      <c r="AC21"/>
      <c r="AD21"/>
      <c r="AG21"/>
    </row>
    <row r="22" spans="1:33">
      <c r="B22" s="40" t="s">
        <v>28</v>
      </c>
      <c r="C22" s="41">
        <f t="shared" si="3"/>
        <v>2.7000000000000007E-2</v>
      </c>
      <c r="D22" s="68">
        <v>0</v>
      </c>
      <c r="F22" s="40" t="s">
        <v>28</v>
      </c>
      <c r="G22" s="41">
        <f t="shared" si="2"/>
        <v>2.7000000000000007E-2</v>
      </c>
      <c r="H22" s="42" t="s">
        <v>20</v>
      </c>
      <c r="I22" s="42" t="s">
        <v>41</v>
      </c>
      <c r="K22" s="73" t="str">
        <f ca="1"/>
        <v>AUD-IRSwap-5Y</v>
      </c>
      <c r="L22" s="65">
        <f ca="1"/>
        <v>2.8000000000000001E-2</v>
      </c>
      <c r="M22" s="65" t="str">
        <f t="shared" ca="1" si="1"/>
        <v>AUD-IRSwap-5Y</v>
      </c>
      <c r="N22" s="78">
        <v>1E-3</v>
      </c>
      <c r="O22" s="73" t="str">
        <f ca="1"/>
        <v>AUD-IRSwap-5Y</v>
      </c>
      <c r="P22" s="65">
        <f ca="1"/>
        <v>2.9000000000000001E-2</v>
      </c>
      <c r="Q22" s="77">
        <f t="shared" ca="1" si="0"/>
        <v>1.0000000000000009E-3</v>
      </c>
      <c r="R22"/>
      <c r="S22"/>
      <c r="T22"/>
      <c r="U22"/>
      <c r="V22"/>
      <c r="W22"/>
      <c r="X22"/>
      <c r="Y22"/>
      <c r="Z22"/>
      <c r="AC22"/>
      <c r="AD22"/>
      <c r="AG22"/>
    </row>
    <row r="23" spans="1:33">
      <c r="B23" s="40" t="s">
        <v>29</v>
      </c>
      <c r="C23" s="41">
        <f t="shared" si="3"/>
        <v>2.8000000000000008E-2</v>
      </c>
      <c r="D23" s="68">
        <v>0</v>
      </c>
      <c r="F23" s="40" t="s">
        <v>29</v>
      </c>
      <c r="G23" s="41">
        <f t="shared" si="2"/>
        <v>2.8000000000000008E-2</v>
      </c>
      <c r="H23" s="42" t="s">
        <v>20</v>
      </c>
      <c r="I23" s="42" t="s">
        <v>41</v>
      </c>
      <c r="K23" s="73" t="str">
        <f ca="1"/>
        <v>AUD-IRSwap-6Y</v>
      </c>
      <c r="L23" s="65">
        <f ca="1"/>
        <v>2.9000000000000001E-2</v>
      </c>
      <c r="M23" s="65" t="str">
        <f t="shared" ca="1" si="1"/>
        <v>AUD-IRSwap-6Y</v>
      </c>
      <c r="N23" s="78">
        <v>1E-3</v>
      </c>
      <c r="O23" s="73" t="str">
        <f ca="1"/>
        <v>AUD-IRSwap-6Y</v>
      </c>
      <c r="P23" s="65">
        <f ca="1"/>
        <v>0.03</v>
      </c>
      <c r="Q23" s="77">
        <f t="shared" ca="1" si="0"/>
        <v>9.9999999999999742E-4</v>
      </c>
      <c r="R23"/>
      <c r="S23"/>
      <c r="T23"/>
      <c r="U23"/>
      <c r="V23"/>
      <c r="W23"/>
      <c r="X23"/>
      <c r="Y23"/>
      <c r="Z23"/>
      <c r="AC23"/>
      <c r="AD23"/>
      <c r="AG23"/>
    </row>
    <row r="24" spans="1:33">
      <c r="B24" s="40" t="s">
        <v>30</v>
      </c>
      <c r="C24" s="41">
        <f t="shared" si="3"/>
        <v>2.9000000000000008E-2</v>
      </c>
      <c r="D24" s="68">
        <v>0</v>
      </c>
      <c r="F24" s="40" t="s">
        <v>30</v>
      </c>
      <c r="G24" s="41">
        <f t="shared" si="2"/>
        <v>2.9000000000000008E-2</v>
      </c>
      <c r="H24" s="42" t="s">
        <v>20</v>
      </c>
      <c r="I24" s="42" t="s">
        <v>41</v>
      </c>
      <c r="K24" s="73" t="str">
        <f ca="1"/>
        <v>AUD-IRSwap-7Y</v>
      </c>
      <c r="L24" s="65">
        <f ca="1"/>
        <v>0.03</v>
      </c>
      <c r="M24" s="65" t="str">
        <f t="shared" ca="1" si="1"/>
        <v>AUD-IRSwap-7Y</v>
      </c>
      <c r="N24" s="78">
        <v>1E-3</v>
      </c>
      <c r="O24" s="73" t="str">
        <f ca="1"/>
        <v>AUD-IRSwap-7Y</v>
      </c>
      <c r="P24" s="65">
        <f ca="1"/>
        <v>3.1E-2</v>
      </c>
      <c r="Q24" s="77">
        <f t="shared" ca="1" si="0"/>
        <v>1.0000000000000009E-3</v>
      </c>
      <c r="R24"/>
      <c r="S24"/>
      <c r="T24"/>
      <c r="U24"/>
      <c r="V24"/>
      <c r="W24"/>
      <c r="X24"/>
      <c r="Y24"/>
      <c r="Z24"/>
      <c r="AC24"/>
      <c r="AD24"/>
      <c r="AG24"/>
    </row>
    <row r="25" spans="1:33">
      <c r="B25" s="40" t="s">
        <v>31</v>
      </c>
      <c r="C25" s="41">
        <f t="shared" si="3"/>
        <v>3.0000000000000009E-2</v>
      </c>
      <c r="D25" s="68">
        <v>0</v>
      </c>
      <c r="F25" s="40" t="s">
        <v>31</v>
      </c>
      <c r="G25" s="41">
        <f t="shared" si="2"/>
        <v>3.0000000000000009E-2</v>
      </c>
      <c r="H25" s="42" t="s">
        <v>20</v>
      </c>
      <c r="I25" s="42" t="s">
        <v>41</v>
      </c>
      <c r="K25" s="73" t="str">
        <f ca="1"/>
        <v>AUD-IRSwap-8Y</v>
      </c>
      <c r="L25" s="65">
        <f ca="1"/>
        <v>3.1E-2</v>
      </c>
      <c r="M25" s="65" t="str">
        <f t="shared" ca="1" si="1"/>
        <v>AUD-IRSwap-8Y</v>
      </c>
      <c r="N25" s="78">
        <v>1E-3</v>
      </c>
      <c r="O25" s="73" t="str">
        <f ca="1"/>
        <v>AUD-IRSwap-8Y</v>
      </c>
      <c r="P25" s="65">
        <f ca="1"/>
        <v>3.2000000000000001E-2</v>
      </c>
      <c r="Q25" s="77">
        <f t="shared" ca="1" si="0"/>
        <v>1.0000000000000009E-3</v>
      </c>
      <c r="R25"/>
      <c r="S25"/>
      <c r="T25"/>
      <c r="U25"/>
      <c r="V25"/>
      <c r="W25"/>
      <c r="X25"/>
      <c r="Y25"/>
      <c r="Z25"/>
      <c r="AC25"/>
      <c r="AD25"/>
      <c r="AG25"/>
    </row>
    <row r="26" spans="1:33">
      <c r="B26" s="40" t="s">
        <v>32</v>
      </c>
      <c r="C26" s="41">
        <f t="shared" si="3"/>
        <v>3.100000000000001E-2</v>
      </c>
      <c r="D26" s="68">
        <v>0</v>
      </c>
      <c r="F26" s="40" t="s">
        <v>32</v>
      </c>
      <c r="G26" s="41">
        <f t="shared" si="2"/>
        <v>3.100000000000001E-2</v>
      </c>
      <c r="H26" s="42" t="s">
        <v>20</v>
      </c>
      <c r="I26" s="42" t="s">
        <v>41</v>
      </c>
      <c r="K26" s="73" t="str">
        <f ca="1"/>
        <v>AUD-IRSwap-9Y</v>
      </c>
      <c r="L26" s="65">
        <f ca="1"/>
        <v>3.2000000000000001E-2</v>
      </c>
      <c r="M26" s="65" t="str">
        <f t="shared" ca="1" si="1"/>
        <v>AUD-IRSwap-9Y</v>
      </c>
      <c r="N26" s="78">
        <v>1E-3</v>
      </c>
      <c r="O26" s="73" t="str">
        <f ca="1"/>
        <v>AUD-IRSwap-9Y</v>
      </c>
      <c r="P26" s="65">
        <f ca="1"/>
        <v>3.3000000000000002E-2</v>
      </c>
      <c r="Q26" s="77">
        <f t="shared" ca="1" si="0"/>
        <v>1.0000000000000009E-3</v>
      </c>
      <c r="R26"/>
      <c r="S26"/>
      <c r="T26"/>
      <c r="U26"/>
      <c r="V26"/>
      <c r="W26"/>
      <c r="X26"/>
      <c r="Y26"/>
      <c r="Z26"/>
      <c r="AC26"/>
      <c r="AD26"/>
      <c r="AG26"/>
    </row>
    <row r="27" spans="1:33">
      <c r="B27" s="40" t="s">
        <v>33</v>
      </c>
      <c r="C27" s="41">
        <f t="shared" si="3"/>
        <v>3.2000000000000008E-2</v>
      </c>
      <c r="D27" s="68">
        <v>0</v>
      </c>
      <c r="F27" s="40" t="s">
        <v>33</v>
      </c>
      <c r="G27" s="41">
        <f t="shared" si="2"/>
        <v>3.2000000000000008E-2</v>
      </c>
      <c r="H27" s="42" t="s">
        <v>20</v>
      </c>
      <c r="I27" s="42" t="s">
        <v>41</v>
      </c>
      <c r="K27" s="73" t="str">
        <f ca="1"/>
        <v>AUD-IRSwap-10Y</v>
      </c>
      <c r="L27" s="65">
        <f ca="1"/>
        <v>3.3000000000000002E-2</v>
      </c>
      <c r="M27" s="65" t="str">
        <f t="shared" ca="1" si="1"/>
        <v>AUD-IRSwap-10Y</v>
      </c>
      <c r="N27" s="78">
        <v>1E-3</v>
      </c>
      <c r="O27" s="73" t="str">
        <f ca="1"/>
        <v>AUD-IRSwap-10Y</v>
      </c>
      <c r="P27" s="65">
        <f ca="1"/>
        <v>3.4000000000000002E-2</v>
      </c>
      <c r="Q27" s="77">
        <f t="shared" ca="1" si="0"/>
        <v>1.0000000000000009E-3</v>
      </c>
      <c r="R27"/>
      <c r="S27"/>
      <c r="T27"/>
      <c r="U27"/>
      <c r="V27"/>
      <c r="W27"/>
      <c r="X27"/>
      <c r="Y27"/>
      <c r="Z27"/>
      <c r="AC27"/>
      <c r="AD27"/>
      <c r="AG27"/>
    </row>
    <row r="28" spans="1:33">
      <c r="B28" s="40" t="s">
        <v>34</v>
      </c>
      <c r="C28" s="41">
        <f t="shared" si="3"/>
        <v>3.3000000000000008E-2</v>
      </c>
      <c r="D28" s="68">
        <v>0</v>
      </c>
      <c r="F28" s="40" t="s">
        <v>34</v>
      </c>
      <c r="G28" s="41">
        <f t="shared" si="2"/>
        <v>3.3000000000000008E-2</v>
      </c>
      <c r="H28" s="42" t="s">
        <v>20</v>
      </c>
      <c r="I28" s="42" t="s">
        <v>41</v>
      </c>
      <c r="K28" s="73" t="str">
        <f ca="1"/>
        <v>AUD-IRSwap-15Y</v>
      </c>
      <c r="L28" s="65">
        <f ca="1"/>
        <v>3.4000000000000002E-2</v>
      </c>
      <c r="M28" s="65" t="str">
        <f t="shared" ca="1" si="1"/>
        <v>AUD-IRSwap-15Y</v>
      </c>
      <c r="N28" s="78">
        <v>1E-3</v>
      </c>
      <c r="O28" s="73" t="str">
        <f ca="1"/>
        <v>AUD-IRSwap-15Y</v>
      </c>
      <c r="P28" s="65">
        <f ca="1"/>
        <v>3.5000000000000003E-2</v>
      </c>
      <c r="Q28" s="77">
        <f t="shared" ca="1" si="0"/>
        <v>1.0000000000000009E-3</v>
      </c>
      <c r="R28"/>
      <c r="S28"/>
      <c r="T28"/>
      <c r="U28"/>
      <c r="V28"/>
      <c r="W28"/>
      <c r="X28"/>
      <c r="Y28"/>
      <c r="Z28"/>
      <c r="AC28"/>
      <c r="AD28"/>
      <c r="AG28"/>
    </row>
    <row r="29" spans="1:33">
      <c r="B29" s="40" t="s">
        <v>35</v>
      </c>
      <c r="C29" s="41">
        <f t="shared" si="3"/>
        <v>3.4000000000000009E-2</v>
      </c>
      <c r="D29" s="68">
        <v>0</v>
      </c>
      <c r="F29" s="40" t="s">
        <v>35</v>
      </c>
      <c r="G29" s="41">
        <f t="shared" si="2"/>
        <v>3.4000000000000009E-2</v>
      </c>
      <c r="H29" s="42" t="s">
        <v>20</v>
      </c>
      <c r="I29" s="42" t="s">
        <v>41</v>
      </c>
      <c r="K29" s="73" t="str">
        <f ca="1"/>
        <v>AUD-IRSwap-20Y</v>
      </c>
      <c r="L29" s="65">
        <f ca="1"/>
        <v>3.4099999999999998E-2</v>
      </c>
      <c r="M29" s="65" t="str">
        <f t="shared" ca="1" si="1"/>
        <v>AUD-IRSwap-20Y</v>
      </c>
      <c r="N29" s="78">
        <v>1E-3</v>
      </c>
      <c r="O29" s="73" t="str">
        <f ca="1"/>
        <v>AUD-IRSwap-20Y</v>
      </c>
      <c r="P29" s="65">
        <f ca="1"/>
        <v>3.5099999999999999E-2</v>
      </c>
      <c r="Q29" s="77">
        <f t="shared" ca="1" si="0"/>
        <v>1.0000000000000009E-3</v>
      </c>
      <c r="R29"/>
      <c r="S29"/>
      <c r="T29"/>
      <c r="U29"/>
      <c r="V29"/>
      <c r="W29"/>
      <c r="X29"/>
      <c r="Y29"/>
      <c r="Z29"/>
      <c r="AC29"/>
      <c r="AD29"/>
      <c r="AG29"/>
    </row>
    <row r="30" spans="1:33" ht="13.5" thickBot="1">
      <c r="B30" s="51" t="s">
        <v>36</v>
      </c>
      <c r="C30" s="55">
        <f>C29+0.0001</f>
        <v>3.4100000000000012E-2</v>
      </c>
      <c r="D30" s="69">
        <v>0</v>
      </c>
      <c r="F30" s="40" t="s">
        <v>36</v>
      </c>
      <c r="G30" s="41">
        <f t="shared" si="2"/>
        <v>3.4100000000000012E-2</v>
      </c>
      <c r="H30" s="42" t="s">
        <v>20</v>
      </c>
      <c r="I30" s="42" t="s">
        <v>41</v>
      </c>
      <c r="K30" s="73" t="str">
        <f ca="1"/>
        <v>AUD-IRFuture-IR-1</v>
      </c>
      <c r="L30" s="65">
        <f ca="1"/>
        <v>2.5000000000000001E-2</v>
      </c>
      <c r="M30" s="65" t="str">
        <f t="shared" ca="1" si="1"/>
        <v>AUD-IRFuture-IR-1</v>
      </c>
      <c r="N30" s="78">
        <v>1E-3</v>
      </c>
      <c r="O30" s="73" t="str">
        <f ca="1"/>
        <v>AUD-IRFuture-IR-1</v>
      </c>
      <c r="P30" s="65">
        <f ca="1"/>
        <v>2.5999999999999999E-2</v>
      </c>
      <c r="Q30" s="77">
        <f t="shared" ca="1" si="0"/>
        <v>9.9999999999999742E-4</v>
      </c>
      <c r="R30"/>
      <c r="S30"/>
      <c r="T30"/>
      <c r="U30"/>
      <c r="V30"/>
      <c r="W30"/>
      <c r="X30"/>
      <c r="Y30"/>
      <c r="Z30"/>
      <c r="AC30"/>
      <c r="AD30"/>
      <c r="AG30"/>
    </row>
    <row r="31" spans="1:33">
      <c r="A31">
        <v>1</v>
      </c>
      <c r="B31" s="52" t="str">
        <f>"AUD-IRFuture-IR-"&amp;$A31</f>
        <v>AUD-IRFuture-IR-1</v>
      </c>
      <c r="C31" s="56">
        <f>C20</f>
        <v>2.5000000000000005E-2</v>
      </c>
      <c r="D31" s="68">
        <v>0.15</v>
      </c>
      <c r="F31" s="43" t="str">
        <f>B31</f>
        <v>AUD-IRFuture-IR-1</v>
      </c>
      <c r="G31" s="44">
        <f>C31</f>
        <v>2.5000000000000005E-2</v>
      </c>
      <c r="H31" s="45" t="s">
        <v>20</v>
      </c>
      <c r="I31" s="45" t="s">
        <v>41</v>
      </c>
      <c r="K31" s="73" t="str">
        <f ca="1"/>
        <v>AUD-IRFuture-IR-2</v>
      </c>
      <c r="L31" s="65">
        <f ca="1"/>
        <v>2.5999999999999999E-2</v>
      </c>
      <c r="M31" s="65" t="str">
        <f t="shared" ca="1" si="1"/>
        <v>AUD-IRFuture-IR-2</v>
      </c>
      <c r="N31" s="78">
        <v>1E-3</v>
      </c>
      <c r="O31" s="73" t="str">
        <f ca="1"/>
        <v>AUD-IRFuture-IR-2</v>
      </c>
      <c r="P31" s="65">
        <f ca="1"/>
        <v>2.7E-2</v>
      </c>
      <c r="Q31" s="77">
        <f t="shared" ca="1" si="0"/>
        <v>1.0000000000000009E-3</v>
      </c>
      <c r="R31"/>
      <c r="S31"/>
      <c r="T31"/>
      <c r="U31"/>
      <c r="V31"/>
      <c r="W31"/>
      <c r="X31"/>
      <c r="Y31"/>
      <c r="Z31"/>
      <c r="AC31"/>
      <c r="AD31"/>
      <c r="AG31"/>
    </row>
    <row r="32" spans="1:33">
      <c r="A32">
        <v>2</v>
      </c>
      <c r="B32" s="52" t="str">
        <f t="shared" ref="B32:B38" si="4">"AUD-IRFuture-IR-"&amp;$A32</f>
        <v>AUD-IRFuture-IR-2</v>
      </c>
      <c r="C32" s="57">
        <f t="shared" ref="C32:C38" si="5">C31+0.001</f>
        <v>2.6000000000000006E-2</v>
      </c>
      <c r="D32" s="68">
        <v>0.15</v>
      </c>
      <c r="F32" s="46" t="str">
        <f>B31</f>
        <v>AUD-IRFuture-IR-1</v>
      </c>
      <c r="G32" s="47">
        <v>0.15</v>
      </c>
      <c r="H32" s="20" t="s">
        <v>39</v>
      </c>
      <c r="I32" s="20" t="s">
        <v>42</v>
      </c>
      <c r="K32" s="73" t="str">
        <f ca="1"/>
        <v>AUD-IRFuture-IR-3</v>
      </c>
      <c r="L32" s="65">
        <f ca="1"/>
        <v>2.7E-2</v>
      </c>
      <c r="M32" s="65" t="str">
        <f t="shared" ca="1" si="1"/>
        <v>AUD-IRFuture-IR-3</v>
      </c>
      <c r="N32" s="78">
        <v>1E-3</v>
      </c>
      <c r="O32" s="73" t="str">
        <f ca="1"/>
        <v>AUD-IRFuture-IR-3</v>
      </c>
      <c r="P32" s="65">
        <f ca="1"/>
        <v>2.8000000000000001E-2</v>
      </c>
      <c r="Q32" s="77">
        <f t="shared" ca="1" si="0"/>
        <v>1.0000000000000009E-3</v>
      </c>
      <c r="R32"/>
      <c r="S32"/>
      <c r="T32"/>
      <c r="U32"/>
      <c r="V32"/>
      <c r="W32"/>
      <c r="X32"/>
      <c r="Y32"/>
      <c r="Z32"/>
      <c r="AC32"/>
      <c r="AD32"/>
      <c r="AG32"/>
    </row>
    <row r="33" spans="1:33">
      <c r="A33">
        <v>3</v>
      </c>
      <c r="B33" s="52" t="str">
        <f t="shared" si="4"/>
        <v>AUD-IRFuture-IR-3</v>
      </c>
      <c r="C33" s="57">
        <f t="shared" si="5"/>
        <v>2.7000000000000007E-2</v>
      </c>
      <c r="D33" s="68">
        <v>0.15</v>
      </c>
      <c r="F33" s="46" t="str">
        <f>B32</f>
        <v>AUD-IRFuture-IR-2</v>
      </c>
      <c r="G33" s="47">
        <f>C32</f>
        <v>2.6000000000000006E-2</v>
      </c>
      <c r="H33" s="20" t="s">
        <v>20</v>
      </c>
      <c r="I33" s="20" t="s">
        <v>41</v>
      </c>
      <c r="K33" s="73" t="str">
        <f ca="1"/>
        <v>AUD-IRFuture-IR-4</v>
      </c>
      <c r="L33" s="65">
        <f ca="1"/>
        <v>2.8000000000000001E-2</v>
      </c>
      <c r="M33" s="65" t="str">
        <f t="shared" ca="1" si="1"/>
        <v>AUD-IRFuture-IR-4</v>
      </c>
      <c r="N33" s="78">
        <v>1E-3</v>
      </c>
      <c r="O33" s="73" t="str">
        <f ca="1"/>
        <v>AUD-IRFuture-IR-4</v>
      </c>
      <c r="P33" s="65">
        <f ca="1"/>
        <v>2.9000000000000001E-2</v>
      </c>
      <c r="Q33" s="77">
        <f t="shared" ca="1" si="0"/>
        <v>1.0000000000000009E-3</v>
      </c>
      <c r="R33"/>
      <c r="S33"/>
      <c r="T33"/>
      <c r="U33"/>
      <c r="V33"/>
      <c r="W33"/>
      <c r="X33"/>
      <c r="Y33"/>
      <c r="Z33"/>
      <c r="AC33"/>
      <c r="AD33"/>
      <c r="AG33"/>
    </row>
    <row r="34" spans="1:33">
      <c r="A34">
        <v>4</v>
      </c>
      <c r="B34" s="52" t="str">
        <f t="shared" si="4"/>
        <v>AUD-IRFuture-IR-4</v>
      </c>
      <c r="C34" s="57">
        <f t="shared" si="5"/>
        <v>2.8000000000000008E-2</v>
      </c>
      <c r="D34" s="68">
        <v>0.15</v>
      </c>
      <c r="F34" s="46" t="str">
        <f>B32</f>
        <v>AUD-IRFuture-IR-2</v>
      </c>
      <c r="G34" s="47">
        <v>0.15</v>
      </c>
      <c r="H34" s="20" t="s">
        <v>39</v>
      </c>
      <c r="I34" s="20" t="s">
        <v>42</v>
      </c>
      <c r="K34" s="73" t="str">
        <f ca="1"/>
        <v>AUD-IRFuture-IR-5</v>
      </c>
      <c r="L34" s="65">
        <f ca="1"/>
        <v>2.9000000000000001E-2</v>
      </c>
      <c r="M34" s="65" t="str">
        <f t="shared" ca="1" si="1"/>
        <v>AUD-IRFuture-IR-5</v>
      </c>
      <c r="N34" s="78">
        <v>1E-3</v>
      </c>
      <c r="O34" s="73" t="str">
        <f ca="1"/>
        <v>AUD-IRFuture-IR-5</v>
      </c>
      <c r="P34" s="65">
        <f ca="1"/>
        <v>0.03</v>
      </c>
      <c r="Q34" s="77">
        <f t="shared" ca="1" si="0"/>
        <v>9.9999999999999742E-4</v>
      </c>
      <c r="R34"/>
      <c r="S34"/>
      <c r="T34"/>
      <c r="U34"/>
      <c r="V34"/>
      <c r="W34"/>
      <c r="X34"/>
      <c r="Y34"/>
      <c r="Z34"/>
      <c r="AC34"/>
      <c r="AD34"/>
      <c r="AG34"/>
    </row>
    <row r="35" spans="1:33">
      <c r="A35">
        <v>5</v>
      </c>
      <c r="B35" s="52" t="str">
        <f t="shared" si="4"/>
        <v>AUD-IRFuture-IR-5</v>
      </c>
      <c r="C35" s="57">
        <f t="shared" si="5"/>
        <v>2.9000000000000008E-2</v>
      </c>
      <c r="D35" s="68">
        <v>0.15</v>
      </c>
      <c r="F35" s="46" t="str">
        <f>B33</f>
        <v>AUD-IRFuture-IR-3</v>
      </c>
      <c r="G35" s="47">
        <f>C33</f>
        <v>2.7000000000000007E-2</v>
      </c>
      <c r="H35" s="20" t="s">
        <v>20</v>
      </c>
      <c r="I35" s="20" t="s">
        <v>41</v>
      </c>
      <c r="K35" s="73" t="str">
        <f ca="1"/>
        <v>AUD-IRFuture-IR-6</v>
      </c>
      <c r="L35" s="65">
        <f ca="1"/>
        <v>0.03</v>
      </c>
      <c r="M35" s="65" t="str">
        <f t="shared" ca="1" si="1"/>
        <v>AUD-IRFuture-IR-6</v>
      </c>
      <c r="N35" s="78">
        <v>1E-3</v>
      </c>
      <c r="O35" s="73" t="str">
        <f ca="1"/>
        <v>AUD-IRFuture-IR-6</v>
      </c>
      <c r="P35" s="65">
        <f ca="1"/>
        <v>3.1E-2</v>
      </c>
      <c r="Q35" s="77">
        <f t="shared" ca="1" si="0"/>
        <v>1.0000000000000009E-3</v>
      </c>
      <c r="R35"/>
      <c r="S35"/>
      <c r="T35"/>
      <c r="U35"/>
      <c r="V35"/>
      <c r="W35"/>
      <c r="X35"/>
      <c r="Y35"/>
      <c r="Z35"/>
      <c r="AC35"/>
      <c r="AD35"/>
      <c r="AG35"/>
    </row>
    <row r="36" spans="1:33">
      <c r="A36">
        <v>6</v>
      </c>
      <c r="B36" s="52" t="str">
        <f t="shared" si="4"/>
        <v>AUD-IRFuture-IR-6</v>
      </c>
      <c r="C36" s="57">
        <f t="shared" si="5"/>
        <v>3.0000000000000009E-2</v>
      </c>
      <c r="D36" s="68">
        <v>0.15</v>
      </c>
      <c r="F36" s="46" t="str">
        <f>B33</f>
        <v>AUD-IRFuture-IR-3</v>
      </c>
      <c r="G36" s="47">
        <v>0.15</v>
      </c>
      <c r="H36" s="20" t="s">
        <v>39</v>
      </c>
      <c r="I36" s="20" t="s">
        <v>42</v>
      </c>
      <c r="K36" s="73" t="str">
        <f ca="1"/>
        <v>AUD-IRFuture-IR-7</v>
      </c>
      <c r="L36" s="65">
        <f ca="1"/>
        <v>3.1E-2</v>
      </c>
      <c r="M36" s="65" t="str">
        <f t="shared" ca="1" si="1"/>
        <v>AUD-IRFuture-IR-7</v>
      </c>
      <c r="N36" s="78">
        <v>1E-3</v>
      </c>
      <c r="O36" s="73" t="str">
        <f ca="1"/>
        <v>AUD-IRFuture-IR-7</v>
      </c>
      <c r="P36" s="65">
        <f ca="1"/>
        <v>3.2000000000000001E-2</v>
      </c>
      <c r="Q36" s="77">
        <f t="shared" ca="1" si="0"/>
        <v>1.0000000000000009E-3</v>
      </c>
      <c r="R36"/>
      <c r="S36"/>
      <c r="T36"/>
      <c r="U36"/>
      <c r="V36"/>
      <c r="W36"/>
      <c r="X36"/>
      <c r="Y36"/>
      <c r="Z36"/>
      <c r="AC36"/>
      <c r="AD36"/>
      <c r="AG36"/>
    </row>
    <row r="37" spans="1:33">
      <c r="A37">
        <v>7</v>
      </c>
      <c r="B37" s="52" t="str">
        <f t="shared" si="4"/>
        <v>AUD-IRFuture-IR-7</v>
      </c>
      <c r="C37" s="57">
        <f t="shared" si="5"/>
        <v>3.100000000000001E-2</v>
      </c>
      <c r="D37" s="68">
        <v>0.15</v>
      </c>
      <c r="F37" s="46" t="str">
        <f>B34</f>
        <v>AUD-IRFuture-IR-4</v>
      </c>
      <c r="G37" s="47">
        <f>C34</f>
        <v>2.8000000000000008E-2</v>
      </c>
      <c r="H37" s="20" t="s">
        <v>20</v>
      </c>
      <c r="I37" s="20" t="s">
        <v>41</v>
      </c>
      <c r="K37" s="73" t="str">
        <f ca="1"/>
        <v>AUD-IRFuture-IR-8</v>
      </c>
      <c r="L37" s="65">
        <f ca="1"/>
        <v>3.2000000000000001E-2</v>
      </c>
      <c r="M37" s="65" t="str">
        <f t="shared" ca="1" si="1"/>
        <v>AUD-IRFuture-IR-8</v>
      </c>
      <c r="N37" s="78">
        <v>1E-3</v>
      </c>
      <c r="O37" s="73" t="str">
        <f ca="1"/>
        <v>AUD-IRFuture-IR-8</v>
      </c>
      <c r="P37" s="65">
        <f ca="1"/>
        <v>3.3000000000000002E-2</v>
      </c>
      <c r="Q37" s="77">
        <f t="shared" ca="1" si="0"/>
        <v>1.0000000000000009E-3</v>
      </c>
      <c r="R37"/>
      <c r="S37"/>
      <c r="T37"/>
      <c r="U37"/>
      <c r="V37"/>
      <c r="W37"/>
      <c r="X37"/>
      <c r="Y37"/>
      <c r="Z37"/>
      <c r="AC37"/>
      <c r="AD37"/>
      <c r="AG37"/>
    </row>
    <row r="38" spans="1:33" ht="13.5" thickBot="1">
      <c r="A38">
        <v>8</v>
      </c>
      <c r="B38" s="53" t="str">
        <f t="shared" si="4"/>
        <v>AUD-IRFuture-IR-8</v>
      </c>
      <c r="C38" s="58">
        <f t="shared" si="5"/>
        <v>3.2000000000000008E-2</v>
      </c>
      <c r="D38" s="69">
        <v>0.15</v>
      </c>
      <c r="F38" s="46" t="str">
        <f>B34</f>
        <v>AUD-IRFuture-IR-4</v>
      </c>
      <c r="G38" s="47">
        <v>0.15</v>
      </c>
      <c r="H38" s="20" t="s">
        <v>39</v>
      </c>
      <c r="I38" s="20" t="s">
        <v>42</v>
      </c>
      <c r="K38" s="73" t="e">
        <f ca="1"/>
        <v>#N/A</v>
      </c>
      <c r="L38" s="65" t="e">
        <f ca="1"/>
        <v>#N/A</v>
      </c>
      <c r="M38" s="65"/>
      <c r="N38" s="78">
        <v>1E-3</v>
      </c>
      <c r="O38" s="73" t="e">
        <f ca="1"/>
        <v>#N/A</v>
      </c>
      <c r="P38" s="65" t="e">
        <f ca="1"/>
        <v>#N/A</v>
      </c>
      <c r="Q38" s="77" t="e">
        <f t="shared" ca="1" si="0"/>
        <v>#N/A</v>
      </c>
      <c r="R38"/>
      <c r="S38"/>
      <c r="T38"/>
      <c r="U38"/>
      <c r="V38"/>
      <c r="W38"/>
      <c r="X38"/>
      <c r="Y38"/>
      <c r="Z38"/>
      <c r="AC38"/>
      <c r="AD38"/>
      <c r="AG38"/>
    </row>
    <row r="39" spans="1:33">
      <c r="B39" s="54"/>
      <c r="C39" s="54"/>
      <c r="D39" s="1"/>
      <c r="F39" s="46" t="str">
        <f>B35</f>
        <v>AUD-IRFuture-IR-5</v>
      </c>
      <c r="G39" s="47">
        <f>C35</f>
        <v>2.9000000000000008E-2</v>
      </c>
      <c r="H39" s="20" t="s">
        <v>20</v>
      </c>
      <c r="I39" s="20" t="s">
        <v>41</v>
      </c>
      <c r="K39" s="73" t="e">
        <f ca="1"/>
        <v>#N/A</v>
      </c>
      <c r="L39" s="65" t="e">
        <f ca="1"/>
        <v>#N/A</v>
      </c>
      <c r="M39" s="65"/>
      <c r="N39" s="78">
        <v>1E-3</v>
      </c>
      <c r="O39" s="73" t="e">
        <f ca="1"/>
        <v>#N/A</v>
      </c>
      <c r="P39" s="65" t="e">
        <f ca="1"/>
        <v>#N/A</v>
      </c>
      <c r="Q39" s="77" t="e">
        <f t="shared" ca="1" si="0"/>
        <v>#N/A</v>
      </c>
      <c r="R39"/>
      <c r="S39"/>
      <c r="T39"/>
      <c r="U39"/>
      <c r="V39"/>
      <c r="W39"/>
      <c r="X39"/>
      <c r="Y39"/>
      <c r="Z39"/>
      <c r="AC39"/>
      <c r="AD39"/>
      <c r="AG39"/>
    </row>
    <row r="40" spans="1:33">
      <c r="B40" s="54"/>
      <c r="C40" s="54"/>
      <c r="D40" s="1"/>
      <c r="F40" s="46" t="str">
        <f>B35</f>
        <v>AUD-IRFuture-IR-5</v>
      </c>
      <c r="G40" s="47">
        <v>0.15</v>
      </c>
      <c r="H40" s="20" t="s">
        <v>39</v>
      </c>
      <c r="I40" s="20" t="s">
        <v>42</v>
      </c>
      <c r="K40" s="73" t="e">
        <f ca="1"/>
        <v>#N/A</v>
      </c>
      <c r="L40" s="65" t="e">
        <f ca="1"/>
        <v>#N/A</v>
      </c>
      <c r="M40" s="65"/>
      <c r="N40" s="78">
        <v>1E-3</v>
      </c>
      <c r="O40" s="73" t="e">
        <f ca="1"/>
        <v>#N/A</v>
      </c>
      <c r="P40" s="65" t="e">
        <f ca="1"/>
        <v>#N/A</v>
      </c>
      <c r="Q40" s="77" t="e">
        <f t="shared" ca="1" si="0"/>
        <v>#N/A</v>
      </c>
      <c r="R40"/>
      <c r="S40"/>
      <c r="T40"/>
      <c r="U40"/>
      <c r="V40"/>
      <c r="W40"/>
      <c r="X40"/>
      <c r="Y40"/>
      <c r="Z40"/>
      <c r="AC40"/>
      <c r="AD40"/>
      <c r="AG40"/>
    </row>
    <row r="41" spans="1:33">
      <c r="B41" s="22" t="s">
        <v>22</v>
      </c>
      <c r="C41" s="22" t="b">
        <v>1</v>
      </c>
      <c r="F41" s="46" t="str">
        <f>B36</f>
        <v>AUD-IRFuture-IR-6</v>
      </c>
      <c r="G41" s="47">
        <f>C36</f>
        <v>3.0000000000000009E-2</v>
      </c>
      <c r="H41" s="20" t="s">
        <v>20</v>
      </c>
      <c r="I41" s="20" t="s">
        <v>41</v>
      </c>
      <c r="K41" s="73" t="e">
        <f ca="1"/>
        <v>#N/A</v>
      </c>
      <c r="L41" s="65" t="e">
        <f ca="1"/>
        <v>#N/A</v>
      </c>
      <c r="M41" s="65"/>
      <c r="N41" s="78">
        <v>1E-3</v>
      </c>
      <c r="O41" s="73" t="e">
        <f ca="1"/>
        <v>#N/A</v>
      </c>
      <c r="P41" s="65" t="e">
        <f ca="1"/>
        <v>#N/A</v>
      </c>
      <c r="Q41" s="77" t="e">
        <f t="shared" ca="1" si="0"/>
        <v>#N/A</v>
      </c>
      <c r="R41"/>
      <c r="S41"/>
      <c r="T41"/>
      <c r="U41"/>
      <c r="V41"/>
      <c r="W41"/>
      <c r="X41"/>
      <c r="Y41"/>
      <c r="Z41"/>
      <c r="AC41"/>
      <c r="AD41"/>
      <c r="AG41"/>
    </row>
    <row r="42" spans="1:33">
      <c r="B42" s="16" t="s">
        <v>66</v>
      </c>
      <c r="F42" s="46" t="str">
        <f>B36</f>
        <v>AUD-IRFuture-IR-6</v>
      </c>
      <c r="G42" s="47">
        <v>0.15</v>
      </c>
      <c r="H42" s="20" t="s">
        <v>39</v>
      </c>
      <c r="I42" s="20" t="s">
        <v>42</v>
      </c>
      <c r="K42" s="73" t="e">
        <f ca="1"/>
        <v>#N/A</v>
      </c>
      <c r="L42" s="65" t="e">
        <f ca="1"/>
        <v>#N/A</v>
      </c>
      <c r="M42" s="65"/>
      <c r="N42" s="78">
        <v>1E-3</v>
      </c>
      <c r="O42" s="73" t="e">
        <f ca="1"/>
        <v>#N/A</v>
      </c>
      <c r="P42" s="65" t="e">
        <f ca="1"/>
        <v>#N/A</v>
      </c>
      <c r="Q42" s="77" t="e">
        <f t="shared" ca="1" si="0"/>
        <v>#N/A</v>
      </c>
      <c r="R42"/>
      <c r="S42"/>
      <c r="T42"/>
      <c r="U42"/>
      <c r="V42"/>
      <c r="W42"/>
      <c r="X42"/>
      <c r="Y42"/>
      <c r="Z42"/>
      <c r="AC42"/>
      <c r="AD42"/>
      <c r="AG42"/>
    </row>
    <row r="43" spans="1:33">
      <c r="B43" s="16" t="s">
        <v>23</v>
      </c>
      <c r="C43" s="22" t="b">
        <v>1</v>
      </c>
      <c r="F43" s="46" t="str">
        <f>B37</f>
        <v>AUD-IRFuture-IR-7</v>
      </c>
      <c r="G43" s="47">
        <f>C37</f>
        <v>3.100000000000001E-2</v>
      </c>
      <c r="H43" s="20" t="s">
        <v>20</v>
      </c>
      <c r="I43" s="20" t="s">
        <v>41</v>
      </c>
      <c r="K43" s="73" t="e">
        <f ca="1"/>
        <v>#N/A</v>
      </c>
      <c r="L43" s="65" t="e">
        <f ca="1"/>
        <v>#N/A</v>
      </c>
      <c r="M43" s="65"/>
      <c r="N43" s="78">
        <v>1E-3</v>
      </c>
      <c r="O43" s="73" t="e">
        <f ca="1"/>
        <v>#N/A</v>
      </c>
      <c r="P43" s="65" t="e">
        <f ca="1"/>
        <v>#N/A</v>
      </c>
      <c r="Q43" s="77" t="e">
        <f t="shared" ca="1" si="0"/>
        <v>#N/A</v>
      </c>
      <c r="R43"/>
      <c r="S43"/>
      <c r="T43"/>
      <c r="U43"/>
      <c r="V43"/>
      <c r="W43"/>
      <c r="X43"/>
      <c r="Y43"/>
      <c r="Z43"/>
      <c r="AC43"/>
      <c r="AD43"/>
      <c r="AG43"/>
    </row>
    <row r="44" spans="1:33">
      <c r="B44" s="19" t="s">
        <v>24</v>
      </c>
      <c r="C44" s="22" t="b">
        <v>0</v>
      </c>
      <c r="F44" s="46" t="str">
        <f>B37</f>
        <v>AUD-IRFuture-IR-7</v>
      </c>
      <c r="G44" s="47">
        <v>0.15</v>
      </c>
      <c r="H44" s="20" t="s">
        <v>39</v>
      </c>
      <c r="I44" s="20" t="s">
        <v>42</v>
      </c>
      <c r="K44" s="73" t="e">
        <f ca="1"/>
        <v>#N/A</v>
      </c>
      <c r="L44" s="65" t="e">
        <f ca="1"/>
        <v>#N/A</v>
      </c>
      <c r="M44" s="65"/>
      <c r="N44" s="78">
        <v>1E-3</v>
      </c>
      <c r="O44" s="73" t="e">
        <f ca="1"/>
        <v>#N/A</v>
      </c>
      <c r="P44" s="65" t="e">
        <f ca="1"/>
        <v>#N/A</v>
      </c>
      <c r="Q44" s="77" t="e">
        <f t="shared" ca="1" si="0"/>
        <v>#N/A</v>
      </c>
      <c r="R44"/>
      <c r="S44"/>
      <c r="T44"/>
      <c r="U44"/>
      <c r="V44"/>
      <c r="W44"/>
      <c r="X44"/>
      <c r="Y44"/>
      <c r="Z44"/>
      <c r="AC44"/>
      <c r="AD44"/>
      <c r="AG44"/>
    </row>
    <row r="45" spans="1:33" ht="13.5" thickBot="1">
      <c r="B45" s="17" t="s">
        <v>25</v>
      </c>
      <c r="F45" s="46" t="str">
        <f>B38</f>
        <v>AUD-IRFuture-IR-8</v>
      </c>
      <c r="G45" s="47">
        <f>C38</f>
        <v>3.2000000000000008E-2</v>
      </c>
      <c r="H45" s="20" t="s">
        <v>20</v>
      </c>
      <c r="I45" s="20" t="s">
        <v>41</v>
      </c>
      <c r="K45" s="73" t="e">
        <f ca="1"/>
        <v>#N/A</v>
      </c>
      <c r="L45" s="65" t="e">
        <f ca="1"/>
        <v>#N/A</v>
      </c>
      <c r="M45" s="65"/>
      <c r="N45" s="79">
        <v>1E-3</v>
      </c>
      <c r="O45" s="73" t="e">
        <f ca="1"/>
        <v>#N/A</v>
      </c>
      <c r="P45" s="65" t="e">
        <f ca="1"/>
        <v>#N/A</v>
      </c>
      <c r="Q45" s="77" t="e">
        <f t="shared" ca="1" si="0"/>
        <v>#N/A</v>
      </c>
      <c r="R45"/>
      <c r="S45"/>
      <c r="T45"/>
      <c r="U45"/>
      <c r="V45"/>
      <c r="W45"/>
      <c r="X45"/>
      <c r="Y45"/>
      <c r="Z45"/>
      <c r="AC45"/>
      <c r="AD45"/>
      <c r="AG45"/>
    </row>
    <row r="46" spans="1:33" ht="13.5" thickBot="1">
      <c r="B46" s="17" t="s">
        <v>26</v>
      </c>
      <c r="F46" s="48" t="str">
        <f>B38</f>
        <v>AUD-IRFuture-IR-8</v>
      </c>
      <c r="G46" s="49">
        <v>0.15</v>
      </c>
      <c r="H46" s="21" t="s">
        <v>39</v>
      </c>
      <c r="I46" s="21" t="s">
        <v>42</v>
      </c>
      <c r="K46" s="73" t="e">
        <f ca="1"/>
        <v>#N/A</v>
      </c>
      <c r="L46" s="65" t="e">
        <f ca="1"/>
        <v>#N/A</v>
      </c>
      <c r="M46" s="65"/>
      <c r="N46" s="65"/>
      <c r="O46" s="73" t="e">
        <f ca="1"/>
        <v>#N/A</v>
      </c>
      <c r="P46" s="65" t="e">
        <f ca="1"/>
        <v>#N/A</v>
      </c>
      <c r="Q46" s="73"/>
      <c r="R46"/>
      <c r="S46"/>
      <c r="T46"/>
      <c r="U46"/>
      <c r="V46"/>
      <c r="W46"/>
      <c r="X46"/>
      <c r="Y46"/>
      <c r="Z46"/>
      <c r="AC46"/>
      <c r="AD46"/>
      <c r="AG46"/>
    </row>
    <row r="47" spans="1:33">
      <c r="B47" s="18" t="s">
        <v>19</v>
      </c>
      <c r="C47" s="59">
        <f ca="1">DATE(YEAR(C3),12,28)</f>
        <v>43462</v>
      </c>
      <c r="D47" t="str">
        <f ca="1">(C47-$G$3)&amp;"D"</f>
        <v>313D</v>
      </c>
      <c r="E47" t="s">
        <v>44</v>
      </c>
      <c r="F47" s="46" t="str">
        <f ca="1">"AUD-SpreadFra-"&amp;D47&amp;"-"&amp;E47</f>
        <v>AUD-SpreadFra-313D-3D</v>
      </c>
      <c r="G47" s="47">
        <v>0.01</v>
      </c>
      <c r="H47" s="20" t="s">
        <v>20</v>
      </c>
      <c r="I47" s="20" t="s">
        <v>64</v>
      </c>
      <c r="K47" s="73" t="e">
        <f ca="1"/>
        <v>#N/A</v>
      </c>
      <c r="L47" s="65" t="e">
        <f ca="1"/>
        <v>#N/A</v>
      </c>
      <c r="M47" s="65"/>
      <c r="N47" s="65"/>
      <c r="O47" s="73" t="e">
        <f ca="1"/>
        <v>#N/A</v>
      </c>
      <c r="P47" s="65" t="e">
        <f ca="1"/>
        <v>#N/A</v>
      </c>
      <c r="Q47" s="73"/>
      <c r="R47"/>
      <c r="S47"/>
      <c r="T47"/>
      <c r="U47"/>
      <c r="V47"/>
      <c r="W47"/>
      <c r="X47"/>
      <c r="Y47"/>
      <c r="Z47"/>
      <c r="AC47"/>
      <c r="AD47"/>
      <c r="AG47"/>
    </row>
    <row r="48" spans="1:33">
      <c r="C48" s="59">
        <f ca="1">C47+365</f>
        <v>43827</v>
      </c>
      <c r="D48" t="str">
        <f t="shared" ref="D48:D54" ca="1" si="6">(C48-$G$3)&amp;"D"</f>
        <v>678D</v>
      </c>
      <c r="E48" t="s">
        <v>44</v>
      </c>
      <c r="F48" s="46" t="str">
        <f t="shared" ref="F48:F54" ca="1" si="7">"AUD-SpreadFra-"&amp;D48&amp;"-"&amp;E48</f>
        <v>AUD-SpreadFra-678D-3D</v>
      </c>
      <c r="G48" s="47">
        <v>0.01</v>
      </c>
      <c r="H48" s="20" t="s">
        <v>20</v>
      </c>
      <c r="I48" s="20" t="s">
        <v>64</v>
      </c>
      <c r="K48" s="73" t="e">
        <f ca="1"/>
        <v>#N/A</v>
      </c>
      <c r="L48" s="65" t="e">
        <f ca="1"/>
        <v>#N/A</v>
      </c>
      <c r="M48" s="65"/>
      <c r="N48" s="65"/>
      <c r="O48" s="73" t="e">
        <f ca="1"/>
        <v>#N/A</v>
      </c>
      <c r="P48" s="65" t="e">
        <f ca="1"/>
        <v>#N/A</v>
      </c>
      <c r="Q48" s="73"/>
      <c r="R48"/>
      <c r="S48"/>
      <c r="T48"/>
      <c r="U48"/>
      <c r="V48"/>
      <c r="W48"/>
      <c r="X48"/>
      <c r="Y48"/>
      <c r="Z48"/>
      <c r="AC48"/>
      <c r="AD48"/>
      <c r="AG48"/>
    </row>
    <row r="49" spans="1:33">
      <c r="B49" s="70" t="s">
        <v>70</v>
      </c>
      <c r="C49" s="59">
        <f ca="1">C48+365</f>
        <v>44192</v>
      </c>
      <c r="D49" t="str">
        <f t="shared" ca="1" si="6"/>
        <v>1043D</v>
      </c>
      <c r="E49" t="s">
        <v>44</v>
      </c>
      <c r="F49" s="46" t="str">
        <f t="shared" ca="1" si="7"/>
        <v>AUD-SpreadFra-1043D-3D</v>
      </c>
      <c r="G49" s="47">
        <v>0.01</v>
      </c>
      <c r="H49" s="20" t="s">
        <v>20</v>
      </c>
      <c r="I49" s="20" t="s">
        <v>64</v>
      </c>
      <c r="K49" s="73" t="e">
        <f ca="1"/>
        <v>#N/A</v>
      </c>
      <c r="L49" s="65" t="e">
        <f ca="1"/>
        <v>#N/A</v>
      </c>
      <c r="M49" s="65"/>
      <c r="N49" s="65"/>
      <c r="O49" s="73" t="e">
        <f ca="1"/>
        <v>#N/A</v>
      </c>
      <c r="P49" s="65" t="e">
        <f ca="1"/>
        <v>#N/A</v>
      </c>
      <c r="Q49" s="73"/>
      <c r="R49"/>
      <c r="S49"/>
      <c r="T49"/>
      <c r="U49"/>
      <c r="V49"/>
      <c r="W49"/>
      <c r="X49"/>
      <c r="Y49"/>
      <c r="Z49"/>
      <c r="AC49"/>
      <c r="AD49"/>
      <c r="AG49"/>
    </row>
    <row r="50" spans="1:33">
      <c r="B50" s="71" t="s">
        <v>71</v>
      </c>
      <c r="C50" s="59">
        <f ca="1">C49+365</f>
        <v>44557</v>
      </c>
      <c r="D50" t="str">
        <f t="shared" ca="1" si="6"/>
        <v>1408D</v>
      </c>
      <c r="E50" t="s">
        <v>44</v>
      </c>
      <c r="F50" s="46" t="str">
        <f t="shared" ca="1" si="7"/>
        <v>AUD-SpreadFra-1408D-3D</v>
      </c>
      <c r="G50" s="47">
        <v>0.01</v>
      </c>
      <c r="H50" s="20" t="s">
        <v>20</v>
      </c>
      <c r="I50" s="20" t="s">
        <v>64</v>
      </c>
      <c r="K50" s="73" t="e">
        <f ca="1"/>
        <v>#N/A</v>
      </c>
      <c r="L50" s="65" t="e">
        <f ca="1"/>
        <v>#N/A</v>
      </c>
      <c r="M50" s="65"/>
      <c r="N50" s="65"/>
      <c r="O50" s="73" t="e">
        <f ca="1"/>
        <v>#N/A</v>
      </c>
      <c r="P50" s="65" t="e">
        <f ca="1"/>
        <v>#N/A</v>
      </c>
      <c r="Q50" s="73"/>
      <c r="R50"/>
      <c r="S50"/>
      <c r="T50"/>
      <c r="U50"/>
      <c r="V50"/>
      <c r="W50"/>
      <c r="X50"/>
      <c r="Y50"/>
      <c r="Z50"/>
      <c r="AC50"/>
      <c r="AD50"/>
      <c r="AG50"/>
    </row>
    <row r="51" spans="1:33">
      <c r="B51" s="71" t="s">
        <v>69</v>
      </c>
      <c r="C51" s="59">
        <f t="shared" ref="C51:C54" ca="1" si="8">C50+365</f>
        <v>44922</v>
      </c>
      <c r="D51" t="str">
        <f t="shared" ca="1" si="6"/>
        <v>1773D</v>
      </c>
      <c r="E51" t="s">
        <v>44</v>
      </c>
      <c r="F51" s="46" t="str">
        <f t="shared" ca="1" si="7"/>
        <v>AUD-SpreadFra-1773D-3D</v>
      </c>
      <c r="G51" s="47">
        <v>0.01</v>
      </c>
      <c r="H51" s="20" t="s">
        <v>20</v>
      </c>
      <c r="I51" s="20" t="s">
        <v>64</v>
      </c>
      <c r="K51" s="73"/>
      <c r="L51" s="65"/>
      <c r="M51" s="65"/>
      <c r="N51" s="65"/>
      <c r="O51" s="73"/>
      <c r="P51" s="65"/>
      <c r="Q51" s="73"/>
      <c r="R51"/>
      <c r="S51"/>
      <c r="T51"/>
      <c r="U51"/>
      <c r="V51"/>
      <c r="W51"/>
      <c r="X51"/>
      <c r="Y51"/>
      <c r="Z51"/>
      <c r="AC51"/>
      <c r="AD51"/>
      <c r="AG51"/>
    </row>
    <row r="52" spans="1:33">
      <c r="B52" s="71" t="s">
        <v>72</v>
      </c>
      <c r="C52" s="59">
        <f t="shared" ca="1" si="8"/>
        <v>45287</v>
      </c>
      <c r="D52" t="str">
        <f t="shared" ca="1" si="6"/>
        <v>2138D</v>
      </c>
      <c r="E52" t="s">
        <v>44</v>
      </c>
      <c r="F52" s="46" t="str">
        <f t="shared" ca="1" si="7"/>
        <v>AUD-SpreadFra-2138D-3D</v>
      </c>
      <c r="G52" s="47">
        <v>0.01</v>
      </c>
      <c r="H52" s="20" t="s">
        <v>20</v>
      </c>
      <c r="I52" s="20" t="s">
        <v>64</v>
      </c>
      <c r="K52" s="81" t="s">
        <v>100</v>
      </c>
      <c r="L52" s="64"/>
      <c r="M52" s="64"/>
      <c r="N52" s="64"/>
      <c r="O52"/>
      <c r="P52" s="64"/>
      <c r="Q52"/>
      <c r="R52"/>
      <c r="S52"/>
      <c r="T52"/>
      <c r="U52"/>
      <c r="V52"/>
      <c r="W52"/>
      <c r="X52"/>
      <c r="Y52"/>
      <c r="Z52"/>
      <c r="AC52"/>
      <c r="AD52"/>
      <c r="AG52"/>
    </row>
    <row r="53" spans="1:33">
      <c r="B53" s="72" t="s">
        <v>73</v>
      </c>
      <c r="C53" s="59">
        <f t="shared" ca="1" si="8"/>
        <v>45652</v>
      </c>
      <c r="D53" t="str">
        <f t="shared" ca="1" si="6"/>
        <v>2503D</v>
      </c>
      <c r="E53" t="s">
        <v>44</v>
      </c>
      <c r="F53" s="46" t="str">
        <f t="shared" ca="1" si="7"/>
        <v>AUD-SpreadFra-2503D-3D</v>
      </c>
      <c r="G53" s="47">
        <v>0.01</v>
      </c>
      <c r="H53" s="20" t="s">
        <v>20</v>
      </c>
      <c r="I53" s="20" t="s">
        <v>64</v>
      </c>
      <c r="K53"/>
      <c r="L53" s="64"/>
      <c r="M53" s="64"/>
      <c r="N53" s="64"/>
      <c r="O53"/>
      <c r="P53" s="64"/>
      <c r="Q53"/>
      <c r="R53"/>
      <c r="S53"/>
      <c r="T53"/>
      <c r="U53"/>
      <c r="V53"/>
      <c r="W53"/>
      <c r="X53"/>
      <c r="Y53"/>
      <c r="Z53"/>
      <c r="AC53"/>
      <c r="AD53"/>
      <c r="AG53"/>
    </row>
    <row r="54" spans="1:33" ht="13.5" thickBot="1">
      <c r="B54" s="60" t="s">
        <v>69</v>
      </c>
      <c r="C54" s="59">
        <f t="shared" ca="1" si="8"/>
        <v>46017</v>
      </c>
      <c r="D54" t="str">
        <f t="shared" ca="1" si="6"/>
        <v>2868D</v>
      </c>
      <c r="E54" t="s">
        <v>83</v>
      </c>
      <c r="F54" s="48" t="str">
        <f t="shared" ca="1" si="7"/>
        <v>AUD-SpreadFra-2868D-5D</v>
      </c>
      <c r="G54" s="49">
        <v>0.01</v>
      </c>
      <c r="H54" s="21" t="s">
        <v>20</v>
      </c>
      <c r="I54" s="21" t="s">
        <v>64</v>
      </c>
      <c r="K54"/>
      <c r="L54" s="64"/>
      <c r="M54" s="64"/>
      <c r="N54" s="64"/>
      <c r="O54"/>
      <c r="P54" s="64"/>
      <c r="Q54"/>
      <c r="R54"/>
      <c r="S54"/>
      <c r="T54"/>
      <c r="U54"/>
      <c r="V54"/>
      <c r="W54"/>
      <c r="X54"/>
      <c r="Y54"/>
      <c r="Z54"/>
      <c r="AC54"/>
      <c r="AD54"/>
      <c r="AG54"/>
    </row>
    <row r="55" spans="1:33">
      <c r="K55"/>
      <c r="L55" s="64"/>
      <c r="M55" s="64"/>
      <c r="N55" s="64"/>
      <c r="O55"/>
      <c r="P55" s="64"/>
      <c r="Q55"/>
      <c r="R55"/>
      <c r="S55"/>
      <c r="T55"/>
      <c r="U55"/>
      <c r="V55"/>
      <c r="W55"/>
      <c r="X55"/>
      <c r="Y55"/>
      <c r="Z55"/>
      <c r="AC55"/>
      <c r="AD55"/>
      <c r="AG55"/>
    </row>
    <row r="56" spans="1:33">
      <c r="A56">
        <f t="array" aca="1" ref="A56:B92" ca="1">_xll.HLV5r3.Financial.Cache.GetDaysAndRates($B$1, $C$3,$B$54)</f>
        <v>0</v>
      </c>
      <c r="B56" s="65">
        <f ca="1"/>
        <v>2.0049532765988864E-2</v>
      </c>
      <c r="C56" s="61">
        <f t="array" aca="1" ref="C56:D92" ca="1">_xll.HLV5r3.Financial.Cache.GetTermCurve(B1)</f>
        <v>43149</v>
      </c>
      <c r="D56">
        <f ca="1"/>
        <v>1</v>
      </c>
      <c r="F56">
        <f t="array" aca="1" ref="F56:G92" ca="1">_xll.HLV5r3.Financial.Cache.GetDaysAndRates($F$1, $C$3,$B$54)</f>
        <v>0</v>
      </c>
      <c r="G56" s="65">
        <f ca="1"/>
        <v>2.0049532765988864E-2</v>
      </c>
      <c r="H56" s="61">
        <f t="array" aca="1" ref="H56:I92" ca="1">_xll.HLV5r3.Financial.Cache.GetTermCurve(F1)</f>
        <v>43149</v>
      </c>
      <c r="I56">
        <f ca="1"/>
        <v>1</v>
      </c>
      <c r="K56">
        <f t="array" aca="1" ref="K56:L92" ca="1">_xll.HLV5r3.Financial.Cache.GetDaysAndRates($K$1, $C$3,$B$54)</f>
        <v>0</v>
      </c>
      <c r="L56" s="65">
        <f ca="1"/>
        <v>2.1054614329243826E-2</v>
      </c>
      <c r="M56" s="65"/>
      <c r="O56" s="61">
        <f t="array" aca="1" ref="O56:P92" ca="1">_xll.HLV5r3.Financial.Cache.GetTermCurve(K1)</f>
        <v>43149</v>
      </c>
      <c r="P56">
        <f ca="1"/>
        <v>1</v>
      </c>
      <c r="Q56"/>
      <c r="R56"/>
      <c r="S56"/>
      <c r="T56"/>
      <c r="U56"/>
      <c r="V56"/>
      <c r="W56"/>
      <c r="X56"/>
      <c r="Y56"/>
      <c r="Z56"/>
      <c r="AC56"/>
      <c r="AD56"/>
      <c r="AG56"/>
    </row>
    <row r="57" spans="1:33">
      <c r="A57">
        <f ca="1"/>
        <v>1</v>
      </c>
      <c r="B57" s="65">
        <f ca="1"/>
        <v>2.0049532765988864E-2</v>
      </c>
      <c r="C57" s="61">
        <f ca="1"/>
        <v>43150</v>
      </c>
      <c r="D57">
        <f ca="1"/>
        <v>0.99994520848172697</v>
      </c>
      <c r="F57">
        <f ca="1"/>
        <v>1</v>
      </c>
      <c r="G57" s="65">
        <f ca="1"/>
        <v>2.0049532765988864E-2</v>
      </c>
      <c r="H57" s="61">
        <f ca="1"/>
        <v>43150</v>
      </c>
      <c r="I57">
        <f ca="1"/>
        <v>0.99994520848172697</v>
      </c>
      <c r="K57">
        <f ca="1"/>
        <v>1</v>
      </c>
      <c r="L57" s="65">
        <f ca="1"/>
        <v>2.1054614329243826E-2</v>
      </c>
      <c r="M57" s="65"/>
      <c r="O57" s="61">
        <f ca="1"/>
        <v>43150</v>
      </c>
      <c r="P57">
        <f ca="1"/>
        <v>0.99994246906342399</v>
      </c>
      <c r="Q57"/>
      <c r="R57"/>
      <c r="S57"/>
      <c r="T57"/>
      <c r="U57"/>
      <c r="V57"/>
      <c r="W57"/>
      <c r="X57"/>
      <c r="Y57"/>
      <c r="Z57"/>
      <c r="AC57"/>
      <c r="AD57"/>
      <c r="AG57"/>
    </row>
    <row r="58" spans="1:33">
      <c r="A58">
        <f ca="1"/>
        <v>8</v>
      </c>
      <c r="B58" s="65">
        <f ca="1"/>
        <v>2.0925778202376399E-2</v>
      </c>
      <c r="C58" s="61">
        <f ca="1"/>
        <v>43157</v>
      </c>
      <c r="D58">
        <f ca="1"/>
        <v>0.99954265294752598</v>
      </c>
      <c r="F58">
        <f ca="1"/>
        <v>8</v>
      </c>
      <c r="G58" s="65">
        <f ca="1"/>
        <v>2.0925778202376399E-2</v>
      </c>
      <c r="H58" s="61">
        <f ca="1"/>
        <v>43157</v>
      </c>
      <c r="I58">
        <f ca="1"/>
        <v>0.99954265294752598</v>
      </c>
      <c r="K58">
        <f ca="1"/>
        <v>8</v>
      </c>
      <c r="L58" s="65">
        <f ca="1"/>
        <v>2.1930765636408722E-2</v>
      </c>
      <c r="M58" s="65"/>
      <c r="O58" s="61">
        <f ca="1"/>
        <v>43157</v>
      </c>
      <c r="P58">
        <f ca="1"/>
        <v>0.99952075345785596</v>
      </c>
      <c r="Q58"/>
      <c r="R58"/>
      <c r="S58"/>
      <c r="T58"/>
      <c r="U58"/>
      <c r="V58"/>
      <c r="W58"/>
      <c r="X58"/>
      <c r="Y58"/>
      <c r="Z58"/>
      <c r="AC58"/>
      <c r="AD58"/>
      <c r="AG58"/>
    </row>
    <row r="59" spans="1:33">
      <c r="A59">
        <f ca="1"/>
        <v>15</v>
      </c>
      <c r="B59" s="65">
        <f ca="1"/>
        <v>2.1917801926463198E-2</v>
      </c>
      <c r="C59" s="61">
        <f ca="1"/>
        <v>43164</v>
      </c>
      <c r="D59">
        <f ca="1"/>
        <v>0.999102130519535</v>
      </c>
      <c r="F59">
        <f ca="1"/>
        <v>15</v>
      </c>
      <c r="G59" s="65">
        <f ca="1"/>
        <v>2.1917801926463198E-2</v>
      </c>
      <c r="H59" s="61">
        <f ca="1"/>
        <v>43164</v>
      </c>
      <c r="I59">
        <f ca="1"/>
        <v>0.999102130519535</v>
      </c>
      <c r="K59">
        <f ca="1"/>
        <v>15</v>
      </c>
      <c r="L59" s="65">
        <f ca="1"/>
        <v>2.2922593909993516E-2</v>
      </c>
      <c r="M59" s="65"/>
      <c r="O59" s="61">
        <f ca="1"/>
        <v>43164</v>
      </c>
      <c r="P59">
        <f ca="1"/>
        <v>0.99906110556755301</v>
      </c>
      <c r="Q59"/>
      <c r="R59"/>
      <c r="S59"/>
      <c r="T59"/>
      <c r="U59"/>
      <c r="V59"/>
      <c r="W59"/>
      <c r="X59"/>
      <c r="Y59"/>
      <c r="Z59"/>
      <c r="AC59"/>
      <c r="AD59"/>
      <c r="AG59"/>
    </row>
    <row r="60" spans="1:33">
      <c r="A60">
        <f ca="1"/>
        <v>29</v>
      </c>
      <c r="B60" s="65">
        <f ca="1"/>
        <v>2.2942509438398595E-2</v>
      </c>
      <c r="C60" s="61">
        <f ca="1"/>
        <v>43178</v>
      </c>
      <c r="D60">
        <f ca="1"/>
        <v>0.998184028989483</v>
      </c>
      <c r="F60">
        <f ca="1"/>
        <v>29</v>
      </c>
      <c r="G60" s="65">
        <f ca="1"/>
        <v>2.2942509438398595E-2</v>
      </c>
      <c r="H60" s="61">
        <f ca="1"/>
        <v>43178</v>
      </c>
      <c r="I60">
        <f ca="1"/>
        <v>0.998184028989483</v>
      </c>
      <c r="K60">
        <f ca="1"/>
        <v>29</v>
      </c>
      <c r="L60" s="65">
        <f ca="1"/>
        <v>2.3946620999493184E-2</v>
      </c>
      <c r="M60" s="65"/>
      <c r="O60" s="61">
        <f ca="1"/>
        <v>43178</v>
      </c>
      <c r="P60">
        <f ca="1"/>
        <v>0.99810486230323803</v>
      </c>
      <c r="Q60"/>
      <c r="R60"/>
      <c r="S60"/>
      <c r="T60"/>
      <c r="U60"/>
      <c r="V60"/>
      <c r="W60"/>
      <c r="X60"/>
      <c r="Y60"/>
      <c r="Z60"/>
      <c r="AC60"/>
      <c r="AD60"/>
      <c r="AG60"/>
    </row>
    <row r="61" spans="1:33">
      <c r="A61">
        <f ca="1"/>
        <v>60</v>
      </c>
      <c r="B61" s="65">
        <f ca="1"/>
        <v>2.395913448345155E-2</v>
      </c>
      <c r="C61" s="61">
        <f ca="1"/>
        <v>43209</v>
      </c>
      <c r="D61">
        <f ca="1"/>
        <v>0.99608096015411496</v>
      </c>
      <c r="F61">
        <f ca="1"/>
        <v>60</v>
      </c>
      <c r="G61" s="65">
        <f ca="1"/>
        <v>2.395913448345155E-2</v>
      </c>
      <c r="H61" s="61">
        <f ca="1"/>
        <v>43209</v>
      </c>
      <c r="I61">
        <f ca="1"/>
        <v>0.99608096015411496</v>
      </c>
      <c r="K61">
        <f ca="1"/>
        <v>60</v>
      </c>
      <c r="L61" s="65">
        <f ca="1"/>
        <v>2.4961345971084015E-2</v>
      </c>
      <c r="M61" s="65"/>
      <c r="O61" s="61">
        <f ca="1"/>
        <v>43209</v>
      </c>
      <c r="P61">
        <f ca="1"/>
        <v>0.99591786945398697</v>
      </c>
      <c r="Q61"/>
      <c r="R61"/>
      <c r="S61"/>
      <c r="T61"/>
      <c r="U61"/>
      <c r="V61"/>
      <c r="W61"/>
      <c r="X61"/>
      <c r="Y61"/>
      <c r="Z61"/>
      <c r="AC61"/>
      <c r="AD61"/>
      <c r="AG61"/>
    </row>
    <row r="62" spans="1:33">
      <c r="A62">
        <f ca="1"/>
        <v>92</v>
      </c>
      <c r="B62" s="65">
        <f ca="1"/>
        <v>2.4946369090044662E-2</v>
      </c>
      <c r="C62" s="61">
        <f ca="1"/>
        <v>43241</v>
      </c>
      <c r="D62">
        <f ca="1"/>
        <v>0.99375127927528495</v>
      </c>
      <c r="F62">
        <f ca="1"/>
        <v>92</v>
      </c>
      <c r="G62" s="65">
        <f ca="1"/>
        <v>2.4946369090044662E-2</v>
      </c>
      <c r="H62" s="61">
        <f ca="1"/>
        <v>43241</v>
      </c>
      <c r="I62">
        <f ca="1"/>
        <v>0.99375127927528495</v>
      </c>
      <c r="K62">
        <f ca="1"/>
        <v>92</v>
      </c>
      <c r="L62" s="65">
        <f ca="1"/>
        <v>2.5946441620936511E-2</v>
      </c>
      <c r="M62" s="65"/>
      <c r="O62" s="61">
        <f ca="1"/>
        <v>43241</v>
      </c>
      <c r="P62">
        <f ca="1"/>
        <v>0.99350239599786005</v>
      </c>
      <c r="Q62"/>
      <c r="R62"/>
      <c r="S62"/>
      <c r="T62"/>
      <c r="U62"/>
      <c r="V62"/>
      <c r="W62"/>
      <c r="X62"/>
      <c r="Y62"/>
      <c r="Z62"/>
      <c r="AC62"/>
      <c r="AD62"/>
      <c r="AG62"/>
    </row>
    <row r="63" spans="1:33">
      <c r="A63">
        <f ca="1"/>
        <v>109</v>
      </c>
      <c r="B63" s="65">
        <f ca="1"/>
        <v>2.4514485288141152E-2</v>
      </c>
      <c r="C63" s="61">
        <f ca="1"/>
        <v>43258</v>
      </c>
      <c r="D63">
        <f ca="1"/>
        <v>0.99272814656652397</v>
      </c>
      <c r="F63">
        <f ca="1"/>
        <v>109</v>
      </c>
      <c r="G63" s="65">
        <f ca="1"/>
        <v>2.4541366238069351E-2</v>
      </c>
      <c r="H63" s="61">
        <f ca="1"/>
        <v>43258</v>
      </c>
      <c r="I63">
        <f ca="1"/>
        <v>0.99272022607936095</v>
      </c>
      <c r="K63">
        <f ca="1"/>
        <v>109</v>
      </c>
      <c r="L63" s="65">
        <f ca="1"/>
        <v>2.5515359537072513E-2</v>
      </c>
      <c r="M63" s="65"/>
      <c r="O63" s="61">
        <f ca="1"/>
        <v>43258</v>
      </c>
      <c r="P63">
        <f ca="1"/>
        <v>0.99243331669384005</v>
      </c>
      <c r="Q63"/>
      <c r="R63"/>
      <c r="S63"/>
      <c r="T63"/>
      <c r="U63"/>
      <c r="V63"/>
      <c r="W63"/>
      <c r="X63"/>
      <c r="Y63"/>
      <c r="Z63"/>
      <c r="AC63"/>
      <c r="AD63"/>
      <c r="AG63"/>
    </row>
    <row r="64" spans="1:33">
      <c r="A64">
        <f ca="1"/>
        <v>200</v>
      </c>
      <c r="B64" s="65">
        <f ca="1"/>
        <v>2.5187175740553513E-2</v>
      </c>
      <c r="C64" s="61">
        <f ca="1"/>
        <v>43349</v>
      </c>
      <c r="D64">
        <f ca="1"/>
        <v>0.98633628557957798</v>
      </c>
      <c r="F64">
        <f ca="1"/>
        <v>200</v>
      </c>
      <c r="G64" s="65">
        <f ca="1"/>
        <v>2.5205192032041523E-2</v>
      </c>
      <c r="H64" s="61">
        <f ca="1"/>
        <v>43349</v>
      </c>
      <c r="I64">
        <f ca="1"/>
        <v>0.98632660952409201</v>
      </c>
      <c r="K64">
        <f ca="1"/>
        <v>200</v>
      </c>
      <c r="L64" s="65">
        <f ca="1"/>
        <v>2.618767094769936E-2</v>
      </c>
      <c r="M64" s="65"/>
      <c r="O64" s="61">
        <f ca="1"/>
        <v>43349</v>
      </c>
      <c r="P64">
        <f ca="1"/>
        <v>0.985799156311012</v>
      </c>
      <c r="Q64"/>
      <c r="R64"/>
      <c r="S64"/>
      <c r="T64"/>
      <c r="U64"/>
      <c r="V64"/>
      <c r="W64"/>
      <c r="X64"/>
      <c r="Y64"/>
      <c r="Z64"/>
      <c r="AC64"/>
      <c r="AD64"/>
      <c r="AG64"/>
    </row>
    <row r="65" spans="1:33">
      <c r="A65">
        <f ca="1"/>
        <v>291</v>
      </c>
      <c r="B65" s="65">
        <f ca="1"/>
        <v>2.5751665068724172E-2</v>
      </c>
      <c r="C65" s="61">
        <f ca="1"/>
        <v>43440</v>
      </c>
      <c r="D65">
        <f ca="1"/>
        <v>0.97974301224414095</v>
      </c>
      <c r="F65">
        <f ca="1"/>
        <v>291</v>
      </c>
      <c r="G65" s="65">
        <f ca="1"/>
        <v>2.5765989195400962E-2</v>
      </c>
      <c r="H65" s="61">
        <f ca="1"/>
        <v>43440</v>
      </c>
      <c r="I65">
        <f ca="1"/>
        <v>0.97973189517707104</v>
      </c>
      <c r="K65">
        <f ca="1"/>
        <v>291</v>
      </c>
      <c r="L65" s="65">
        <f ca="1"/>
        <v>2.6751977847706776E-2</v>
      </c>
      <c r="M65" s="65"/>
      <c r="O65" s="61">
        <f ca="1"/>
        <v>43440</v>
      </c>
      <c r="P65">
        <f ca="1"/>
        <v>0.97896705974021903</v>
      </c>
      <c r="Q65"/>
      <c r="R65"/>
      <c r="S65"/>
      <c r="T65"/>
      <c r="U65"/>
      <c r="V65"/>
      <c r="W65"/>
      <c r="X65"/>
      <c r="Y65"/>
      <c r="Z65"/>
      <c r="AC65"/>
      <c r="AD65"/>
      <c r="AG65"/>
    </row>
    <row r="66" spans="1:33">
      <c r="A66">
        <f ca="1"/>
        <v>382</v>
      </c>
      <c r="B66" s="65">
        <f ca="1"/>
        <v>2.6284749974308852E-2</v>
      </c>
      <c r="C66" s="61">
        <f ca="1"/>
        <v>43531</v>
      </c>
      <c r="D66">
        <f ca="1"/>
        <v>0.97295350619366805</v>
      </c>
      <c r="F66">
        <f ca="1"/>
        <v>316</v>
      </c>
      <c r="G66" s="65">
        <f ca="1"/>
        <v>9.4933934104091122E-5</v>
      </c>
      <c r="H66" s="61">
        <f ca="1"/>
        <v>43465</v>
      </c>
      <c r="I66">
        <f ca="1"/>
        <v>0.99991781497411203</v>
      </c>
      <c r="K66">
        <f ca="1"/>
        <v>382</v>
      </c>
      <c r="L66" s="65">
        <f ca="1"/>
        <v>2.728491671819544E-2</v>
      </c>
      <c r="M66" s="65"/>
      <c r="O66" s="61">
        <f ca="1"/>
        <v>43531</v>
      </c>
      <c r="P66">
        <f ca="1"/>
        <v>0.97194236734217099</v>
      </c>
      <c r="Q66"/>
      <c r="R66"/>
      <c r="S66"/>
      <c r="T66"/>
      <c r="U66"/>
      <c r="V66"/>
      <c r="W66"/>
      <c r="X66"/>
      <c r="Y66"/>
      <c r="Z66"/>
      <c r="AC66"/>
      <c r="AD66"/>
      <c r="AG66"/>
    </row>
    <row r="67" spans="1:33">
      <c r="A67">
        <f ca="1"/>
        <v>473</v>
      </c>
      <c r="B67" s="65">
        <f ca="1"/>
        <v>2.6804210366833559E-2</v>
      </c>
      <c r="C67" s="61">
        <f ca="1"/>
        <v>43622</v>
      </c>
      <c r="D67">
        <f ca="1"/>
        <v>0.96597294258548005</v>
      </c>
      <c r="F67">
        <f ca="1"/>
        <v>382</v>
      </c>
      <c r="G67" s="65">
        <f ca="1"/>
        <v>2.5439052466893486E-2</v>
      </c>
      <c r="H67" s="61">
        <f ca="1"/>
        <v>43531</v>
      </c>
      <c r="I67">
        <f ca="1"/>
        <v>0.97380949824037499</v>
      </c>
      <c r="K67">
        <f ca="1"/>
        <v>473</v>
      </c>
      <c r="L67" s="65">
        <f ca="1"/>
        <v>2.7804229141304759E-2</v>
      </c>
      <c r="M67" s="65"/>
      <c r="O67" s="61">
        <f ca="1"/>
        <v>43622</v>
      </c>
      <c r="P67">
        <f ca="1"/>
        <v>0.96473041087374001</v>
      </c>
      <c r="Q67"/>
      <c r="R67"/>
      <c r="S67"/>
      <c r="T67"/>
      <c r="U67"/>
      <c r="V67"/>
      <c r="W67"/>
      <c r="X67"/>
      <c r="Y67"/>
      <c r="Z67"/>
      <c r="AC67"/>
      <c r="AD67"/>
      <c r="AG67"/>
    </row>
    <row r="68" spans="1:33">
      <c r="A68">
        <f ca="1"/>
        <v>564</v>
      </c>
      <c r="B68" s="65">
        <f ca="1"/>
        <v>2.7316338030858311E-2</v>
      </c>
      <c r="C68" s="61">
        <f ca="1"/>
        <v>43713</v>
      </c>
      <c r="D68">
        <f ca="1"/>
        <v>0.958806610012372</v>
      </c>
      <c r="F68">
        <f ca="1"/>
        <v>473</v>
      </c>
      <c r="G68" s="65">
        <f ca="1"/>
        <v>2.6122213392221205E-2</v>
      </c>
      <c r="H68" s="61">
        <f ca="1"/>
        <v>43622</v>
      </c>
      <c r="I68">
        <f ca="1"/>
        <v>0.96682142453757802</v>
      </c>
      <c r="K68">
        <f ca="1"/>
        <v>564</v>
      </c>
      <c r="L68" s="65">
        <f ca="1"/>
        <v>2.8316193347055929E-2</v>
      </c>
      <c r="M68" s="65"/>
      <c r="O68" s="61">
        <f ca="1"/>
        <v>43713</v>
      </c>
      <c r="P68">
        <f ca="1"/>
        <v>0.95733662931458596</v>
      </c>
      <c r="Q68"/>
      <c r="R68"/>
      <c r="S68"/>
      <c r="T68"/>
      <c r="U68"/>
      <c r="V68"/>
      <c r="W68"/>
      <c r="X68"/>
      <c r="Y68"/>
      <c r="Z68"/>
      <c r="AC68"/>
      <c r="AD68"/>
      <c r="AG68"/>
    </row>
    <row r="69" spans="1:33">
      <c r="A69">
        <f ca="1"/>
        <v>662</v>
      </c>
      <c r="B69" s="65">
        <f ca="1"/>
        <v>2.7851432941592869E-2</v>
      </c>
      <c r="C69" s="61">
        <f ca="1"/>
        <v>43811</v>
      </c>
      <c r="D69">
        <f ca="1"/>
        <v>0.95090695856890195</v>
      </c>
      <c r="F69">
        <f ca="1"/>
        <v>564</v>
      </c>
      <c r="G69" s="65">
        <f ca="1"/>
        <v>2.6745206974017499E-2</v>
      </c>
      <c r="H69" s="61">
        <f ca="1"/>
        <v>43713</v>
      </c>
      <c r="I69">
        <f ca="1"/>
        <v>0.95964745984627198</v>
      </c>
      <c r="K69">
        <f ca="1"/>
        <v>662</v>
      </c>
      <c r="L69" s="65">
        <f ca="1"/>
        <v>2.8851086167200002E-2</v>
      </c>
      <c r="M69" s="65"/>
      <c r="O69" s="61">
        <f ca="1"/>
        <v>43811</v>
      </c>
      <c r="P69">
        <f ca="1"/>
        <v>0.94919657187402695</v>
      </c>
      <c r="Q69"/>
      <c r="R69"/>
      <c r="S69"/>
      <c r="T69"/>
      <c r="U69"/>
      <c r="V69"/>
      <c r="W69"/>
      <c r="X69"/>
      <c r="Y69"/>
      <c r="Z69"/>
      <c r="AC69"/>
      <c r="AD69"/>
      <c r="AG69"/>
    </row>
    <row r="70" spans="1:33">
      <c r="A70">
        <f ca="1"/>
        <v>753</v>
      </c>
      <c r="B70" s="65">
        <f ca="1"/>
        <v>2.8347724502345351E-2</v>
      </c>
      <c r="C70" s="61">
        <f ca="1"/>
        <v>43902</v>
      </c>
      <c r="D70">
        <f ca="1"/>
        <v>0.94339001728192595</v>
      </c>
      <c r="F70">
        <f ca="1"/>
        <v>662</v>
      </c>
      <c r="G70" s="65">
        <f ca="1"/>
        <v>2.737124628496268E-2</v>
      </c>
      <c r="H70" s="61">
        <f ca="1"/>
        <v>43811</v>
      </c>
      <c r="I70">
        <f ca="1"/>
        <v>0.951729794994148</v>
      </c>
      <c r="K70">
        <f ca="1"/>
        <v>753</v>
      </c>
      <c r="L70" s="65">
        <f ca="1"/>
        <v>2.9347163082574568E-2</v>
      </c>
      <c r="M70" s="65"/>
      <c r="O70" s="61">
        <f ca="1"/>
        <v>43902</v>
      </c>
      <c r="P70">
        <f ca="1"/>
        <v>0.94146078631497798</v>
      </c>
      <c r="Q70"/>
      <c r="R70"/>
      <c r="S70"/>
      <c r="T70"/>
      <c r="U70"/>
      <c r="V70"/>
      <c r="W70"/>
      <c r="X70"/>
      <c r="Y70"/>
      <c r="Z70"/>
      <c r="AC70"/>
      <c r="AD70"/>
      <c r="AG70"/>
    </row>
    <row r="71" spans="1:33">
      <c r="A71">
        <f ca="1"/>
        <v>1097</v>
      </c>
      <c r="B71" s="65">
        <f ca="1"/>
        <v>2.5953857549958492E-2</v>
      </c>
      <c r="C71" s="61">
        <f ca="1"/>
        <v>44246</v>
      </c>
      <c r="D71">
        <f ca="1"/>
        <v>0.92519401961090997</v>
      </c>
      <c r="F71">
        <f ca="1"/>
        <v>681</v>
      </c>
      <c r="G71" s="65">
        <f ca="1"/>
        <v>1.4684113613938621E-5</v>
      </c>
      <c r="H71" s="61">
        <f ca="1"/>
        <v>43830</v>
      </c>
      <c r="I71">
        <f ca="1"/>
        <v>0.99997260349031603</v>
      </c>
      <c r="K71">
        <f ca="1"/>
        <v>1097</v>
      </c>
      <c r="L71" s="65">
        <f ca="1"/>
        <v>2.6952287986550694E-2</v>
      </c>
      <c r="M71" s="65"/>
      <c r="O71" s="61">
        <f ca="1"/>
        <v>44246</v>
      </c>
      <c r="P71">
        <f ca="1"/>
        <v>0.92244007895217695</v>
      </c>
      <c r="Q71"/>
      <c r="R71"/>
      <c r="S71"/>
      <c r="T71"/>
      <c r="U71"/>
      <c r="V71"/>
      <c r="W71"/>
      <c r="X71"/>
      <c r="Y71"/>
      <c r="Z71"/>
      <c r="AC71"/>
      <c r="AD71"/>
      <c r="AG71"/>
    </row>
    <row r="72" spans="1:33">
      <c r="A72">
        <f ca="1"/>
        <v>1464</v>
      </c>
      <c r="B72" s="65">
        <f ca="1"/>
        <v>2.6911719022840508E-2</v>
      </c>
      <c r="C72" s="61">
        <f ca="1"/>
        <v>44613</v>
      </c>
      <c r="D72">
        <f ca="1"/>
        <v>0.89800440341856202</v>
      </c>
      <c r="F72">
        <f ca="1"/>
        <v>753</v>
      </c>
      <c r="G72" s="65">
        <f ca="1"/>
        <v>2.6613517994751312E-2</v>
      </c>
      <c r="H72" s="61">
        <f ca="1"/>
        <v>43902</v>
      </c>
      <c r="I72">
        <f ca="1"/>
        <v>0.94674810898517203</v>
      </c>
      <c r="K72">
        <f ca="1"/>
        <v>1464</v>
      </c>
      <c r="L72" s="65">
        <f ca="1"/>
        <v>2.7904902738379533E-2</v>
      </c>
      <c r="M72" s="65"/>
      <c r="O72" s="61">
        <f ca="1"/>
        <v>44613</v>
      </c>
      <c r="P72">
        <f ca="1"/>
        <v>0.89445846051316003</v>
      </c>
      <c r="Q72"/>
      <c r="R72"/>
      <c r="S72"/>
      <c r="T72"/>
      <c r="U72"/>
      <c r="V72"/>
      <c r="W72"/>
      <c r="X72"/>
      <c r="Y72"/>
      <c r="Z72"/>
      <c r="AC72"/>
      <c r="AD72"/>
      <c r="AG72"/>
    </row>
    <row r="73" spans="1:33">
      <c r="A73">
        <f ca="1"/>
        <v>1828</v>
      </c>
      <c r="B73" s="65">
        <f ca="1"/>
        <v>2.7962781991364594E-2</v>
      </c>
      <c r="C73" s="61">
        <f ca="1"/>
        <v>44977</v>
      </c>
      <c r="D73">
        <f ca="1"/>
        <v>0.86974387356652105</v>
      </c>
      <c r="F73">
        <f ca="1"/>
        <v>1046</v>
      </c>
      <c r="G73" s="65">
        <f ca="1"/>
        <v>9.5601099099340558E-6</v>
      </c>
      <c r="H73" s="61">
        <f ca="1"/>
        <v>44195</v>
      </c>
      <c r="I73">
        <f ca="1"/>
        <v>0.99997260349031603</v>
      </c>
      <c r="K73">
        <f ca="1"/>
        <v>1828</v>
      </c>
      <c r="L73" s="65">
        <f ca="1"/>
        <v>2.8957875315260395E-2</v>
      </c>
      <c r="M73" s="65"/>
      <c r="O73" s="61">
        <f ca="1"/>
        <v>44977</v>
      </c>
      <c r="P73">
        <f ca="1"/>
        <v>0.86545063201642303</v>
      </c>
      <c r="Q73"/>
      <c r="R73"/>
      <c r="S73"/>
      <c r="T73"/>
      <c r="U73"/>
      <c r="V73"/>
      <c r="W73"/>
      <c r="X73"/>
      <c r="Y73"/>
      <c r="Z73"/>
      <c r="AC73"/>
      <c r="AD73"/>
      <c r="AG73"/>
    </row>
    <row r="74" spans="1:33">
      <c r="A74">
        <f ca="1"/>
        <v>2192</v>
      </c>
      <c r="B74" s="65">
        <f ca="1"/>
        <v>2.9023892507463955E-2</v>
      </c>
      <c r="C74" s="61">
        <f ca="1"/>
        <v>45341</v>
      </c>
      <c r="D74">
        <f ca="1"/>
        <v>0.840571664407612</v>
      </c>
      <c r="F74">
        <f ca="1"/>
        <v>1097</v>
      </c>
      <c r="G74" s="65">
        <f ca="1"/>
        <v>2.6304178375961662E-2</v>
      </c>
      <c r="H74" s="61">
        <f ca="1"/>
        <v>44246</v>
      </c>
      <c r="I74">
        <f ca="1"/>
        <v>0.92422672734998701</v>
      </c>
      <c r="K74">
        <f ca="1"/>
        <v>2192</v>
      </c>
      <c r="L74" s="65">
        <f ca="1"/>
        <v>3.0021136367790469E-2</v>
      </c>
      <c r="M74" s="65"/>
      <c r="O74" s="61">
        <f ca="1"/>
        <v>45341</v>
      </c>
      <c r="P74">
        <f ca="1"/>
        <v>0.83558924941409196</v>
      </c>
      <c r="Q74"/>
      <c r="R74"/>
      <c r="S74"/>
      <c r="T74"/>
      <c r="U74"/>
      <c r="V74"/>
      <c r="W74"/>
      <c r="X74"/>
      <c r="Y74"/>
      <c r="Z74"/>
      <c r="AC74"/>
      <c r="AD74"/>
      <c r="AG74"/>
    </row>
    <row r="75" spans="1:33">
      <c r="A75">
        <f ca="1"/>
        <v>2558</v>
      </c>
      <c r="B75" s="65">
        <f ca="1"/>
        <v>3.0097998011110683E-2</v>
      </c>
      <c r="C75" s="61">
        <f ca="1"/>
        <v>45707</v>
      </c>
      <c r="D75">
        <f ca="1"/>
        <v>0.81046773980782705</v>
      </c>
      <c r="F75">
        <f ca="1"/>
        <v>1411</v>
      </c>
      <c r="G75" s="65">
        <f ca="1"/>
        <v>7.0870814132817372E-6</v>
      </c>
      <c r="H75" s="61">
        <f ca="1"/>
        <v>44560</v>
      </c>
      <c r="I75">
        <f ca="1"/>
        <v>0.99997260349031603</v>
      </c>
      <c r="K75">
        <f ca="1"/>
        <v>2558</v>
      </c>
      <c r="L75" s="65">
        <f ca="1"/>
        <v>3.1097724620516409E-2</v>
      </c>
      <c r="M75" s="65"/>
      <c r="O75" s="61">
        <f ca="1"/>
        <v>45707</v>
      </c>
      <c r="P75">
        <f ca="1"/>
        <v>0.80485200994417305</v>
      </c>
      <c r="Q75"/>
      <c r="R75"/>
      <c r="S75"/>
      <c r="T75"/>
      <c r="U75"/>
      <c r="V75"/>
      <c r="W75"/>
      <c r="X75"/>
      <c r="Y75"/>
      <c r="Z75"/>
      <c r="AC75"/>
      <c r="AD75"/>
      <c r="AG75"/>
    </row>
    <row r="76" spans="1:33">
      <c r="A76">
        <f ca="1"/>
        <v>2923</v>
      </c>
      <c r="B76" s="65">
        <f ca="1"/>
        <v>3.118826993803836E-2</v>
      </c>
      <c r="C76" s="61">
        <f ca="1"/>
        <v>46072</v>
      </c>
      <c r="D76">
        <f ca="1"/>
        <v>0.779740719177202</v>
      </c>
      <c r="F76">
        <f ca="1"/>
        <v>1464</v>
      </c>
      <c r="G76" s="65">
        <f ca="1"/>
        <v>2.7355591217526509E-2</v>
      </c>
      <c r="H76" s="61">
        <f ca="1"/>
        <v>44613</v>
      </c>
      <c r="I76">
        <f ca="1"/>
        <v>0.89641781372080598</v>
      </c>
      <c r="K76">
        <f ca="1"/>
        <v>2923</v>
      </c>
      <c r="L76" s="65">
        <f ca="1"/>
        <v>3.2190916411099835E-2</v>
      </c>
      <c r="M76" s="65"/>
      <c r="O76" s="61">
        <f ca="1"/>
        <v>46072</v>
      </c>
      <c r="P76">
        <f ca="1"/>
        <v>0.77355374661842702</v>
      </c>
      <c r="Q76"/>
      <c r="R76"/>
      <c r="S76"/>
      <c r="T76"/>
      <c r="U76"/>
      <c r="V76"/>
      <c r="W76"/>
      <c r="X76"/>
      <c r="Y76"/>
      <c r="Z76"/>
      <c r="AC76"/>
      <c r="AD76"/>
      <c r="AG76"/>
    </row>
    <row r="77" spans="1:33">
      <c r="A77">
        <f ca="1"/>
        <v>3288</v>
      </c>
      <c r="B77" s="65">
        <f ca="1"/>
        <v>3.2296905599441317E-2</v>
      </c>
      <c r="C77" s="61">
        <f ca="1"/>
        <v>46437</v>
      </c>
      <c r="D77">
        <f ca="1"/>
        <v>0.74843618143019697</v>
      </c>
      <c r="F77">
        <f ca="1"/>
        <v>1776</v>
      </c>
      <c r="G77" s="65">
        <f ca="1"/>
        <v>1.1260968595827592E-5</v>
      </c>
      <c r="H77" s="61">
        <f ca="1"/>
        <v>44925</v>
      </c>
      <c r="I77">
        <f ca="1"/>
        <v>0.99994520848172697</v>
      </c>
      <c r="K77">
        <f ca="1"/>
        <v>3288</v>
      </c>
      <c r="L77" s="65">
        <f ca="1"/>
        <v>3.3302962603167785E-2</v>
      </c>
      <c r="M77" s="65"/>
      <c r="O77" s="61">
        <f ca="1"/>
        <v>46437</v>
      </c>
      <c r="P77">
        <f ca="1"/>
        <v>0.741738582554063</v>
      </c>
      <c r="Q77"/>
      <c r="R77"/>
      <c r="S77"/>
      <c r="T77"/>
      <c r="U77"/>
      <c r="V77"/>
      <c r="W77"/>
      <c r="X77"/>
      <c r="Y77"/>
      <c r="Z77"/>
      <c r="AC77"/>
      <c r="AD77"/>
      <c r="AG77"/>
    </row>
    <row r="78" spans="1:33">
      <c r="A78">
        <f ca="1"/>
        <v>3655</v>
      </c>
      <c r="B78" s="65">
        <f ca="1"/>
        <v>3.3425945754375519E-2</v>
      </c>
      <c r="C78" s="61">
        <f ca="1"/>
        <v>46804</v>
      </c>
      <c r="D78">
        <f ca="1"/>
        <v>0.71653616431134504</v>
      </c>
      <c r="F78">
        <f ca="1"/>
        <v>1828</v>
      </c>
      <c r="G78" s="65">
        <f ca="1"/>
        <v>2.8558492974341654E-2</v>
      </c>
      <c r="H78" s="61">
        <f ca="1"/>
        <v>44977</v>
      </c>
      <c r="I78">
        <f ca="1"/>
        <v>0.86717105241461201</v>
      </c>
      <c r="K78">
        <f ca="1"/>
        <v>3655</v>
      </c>
      <c r="L78" s="65">
        <f ca="1"/>
        <v>3.4435950795926651E-2</v>
      </c>
      <c r="M78" s="65"/>
      <c r="O78" s="61">
        <f ca="1"/>
        <v>46804</v>
      </c>
      <c r="P78">
        <f ca="1"/>
        <v>0.70938606955267702</v>
      </c>
      <c r="Q78"/>
      <c r="R78"/>
      <c r="S78"/>
      <c r="T78"/>
      <c r="U78"/>
      <c r="V78"/>
      <c r="W78"/>
      <c r="X78"/>
      <c r="Y78"/>
      <c r="Z78"/>
      <c r="AC78"/>
      <c r="AD78"/>
      <c r="AG78"/>
    </row>
    <row r="79" spans="1:33">
      <c r="A79">
        <f ca="1"/>
        <v>5482</v>
      </c>
      <c r="B79" s="65">
        <f ca="1"/>
        <v>3.4451765770905141E-2</v>
      </c>
      <c r="C79" s="61">
        <f ca="1"/>
        <v>48631</v>
      </c>
      <c r="D79">
        <f ca="1"/>
        <v>0.59736820908712196</v>
      </c>
      <c r="F79">
        <f ca="1"/>
        <v>2144</v>
      </c>
      <c r="G79" s="65">
        <f ca="1"/>
        <v>2.7982872615517351E-5</v>
      </c>
      <c r="H79" s="61">
        <f ca="1"/>
        <v>45293</v>
      </c>
      <c r="I79">
        <f ca="1"/>
        <v>0.99983564345586895</v>
      </c>
      <c r="K79">
        <f ca="1"/>
        <v>5482</v>
      </c>
      <c r="L79" s="65">
        <f ca="1"/>
        <v>3.5462466006823234E-2</v>
      </c>
      <c r="M79" s="65"/>
      <c r="O79" s="61">
        <f ca="1"/>
        <v>48631</v>
      </c>
      <c r="P79">
        <f ca="1"/>
        <v>0.58844608836446999</v>
      </c>
      <c r="Q79"/>
      <c r="R79"/>
      <c r="S79"/>
      <c r="T79"/>
      <c r="U79"/>
      <c r="V79"/>
      <c r="W79"/>
      <c r="X79"/>
      <c r="Y79"/>
      <c r="Z79"/>
      <c r="AC79"/>
      <c r="AD79"/>
      <c r="AG79"/>
    </row>
    <row r="80" spans="1:33">
      <c r="A80">
        <f ca="1"/>
        <v>7306</v>
      </c>
      <c r="B80" s="65">
        <f ca="1"/>
        <v>3.4435638240990052E-2</v>
      </c>
      <c r="C80" s="61">
        <f ca="1"/>
        <v>50455</v>
      </c>
      <c r="D80">
        <f ca="1"/>
        <v>0.50342084958637701</v>
      </c>
      <c r="F80">
        <f ca="1"/>
        <v>2192</v>
      </c>
      <c r="G80" s="65">
        <f ca="1"/>
        <v>2.979447684497849E-2</v>
      </c>
      <c r="H80" s="61">
        <f ca="1"/>
        <v>45341</v>
      </c>
      <c r="I80">
        <f ca="1"/>
        <v>0.83671897457130995</v>
      </c>
      <c r="K80">
        <f ca="1"/>
        <v>7306</v>
      </c>
      <c r="L80" s="65">
        <f ca="1"/>
        <v>3.5442631465524954E-2</v>
      </c>
      <c r="M80" s="65"/>
      <c r="O80" s="61">
        <f ca="1"/>
        <v>50455</v>
      </c>
      <c r="P80">
        <f ca="1"/>
        <v>0.49346139007009998</v>
      </c>
      <c r="Q80"/>
      <c r="R80"/>
      <c r="S80"/>
      <c r="T80"/>
      <c r="U80"/>
      <c r="V80"/>
      <c r="W80"/>
      <c r="X80"/>
      <c r="Y80"/>
      <c r="Z80"/>
      <c r="AC80"/>
      <c r="AD80"/>
      <c r="AG80"/>
    </row>
    <row r="81" spans="1:33">
      <c r="A81" t="e">
        <f ca="1"/>
        <v>#N/A</v>
      </c>
      <c r="B81" s="22" t="e">
        <f ca="1"/>
        <v>#N/A</v>
      </c>
      <c r="C81" s="22" t="e">
        <f ca="1"/>
        <v>#N/A</v>
      </c>
      <c r="D81" t="e">
        <f ca="1"/>
        <v>#N/A</v>
      </c>
      <c r="F81">
        <f ca="1"/>
        <v>2507</v>
      </c>
      <c r="G81" s="65">
        <f ca="1"/>
        <v>1.1966019968667752E-5</v>
      </c>
      <c r="H81" s="61">
        <f ca="1"/>
        <v>45656</v>
      </c>
      <c r="I81">
        <f ca="1"/>
        <v>0.99991781497411203</v>
      </c>
      <c r="K81" t="e">
        <f ca="1"/>
        <v>#N/A</v>
      </c>
      <c r="L81" s="65" t="e">
        <f ca="1"/>
        <v>#N/A</v>
      </c>
      <c r="M81" s="65"/>
      <c r="O81" s="61" t="e">
        <f ca="1"/>
        <v>#N/A</v>
      </c>
      <c r="P81" t="e">
        <f ca="1"/>
        <v>#N/A</v>
      </c>
      <c r="Q81"/>
      <c r="R81"/>
      <c r="S81"/>
      <c r="T81"/>
      <c r="U81"/>
      <c r="V81"/>
      <c r="W81"/>
      <c r="X81"/>
      <c r="Y81"/>
      <c r="Z81"/>
      <c r="AC81"/>
      <c r="AD81"/>
      <c r="AG81"/>
    </row>
    <row r="82" spans="1:33">
      <c r="A82" t="e">
        <f ca="1"/>
        <v>#N/A</v>
      </c>
      <c r="B82" s="22" t="e">
        <f ca="1"/>
        <v>#N/A</v>
      </c>
      <c r="C82" s="22" t="e">
        <f ca="1"/>
        <v>#N/A</v>
      </c>
      <c r="D82" t="e">
        <f ca="1"/>
        <v>#N/A</v>
      </c>
      <c r="F82">
        <f ca="1"/>
        <v>2558</v>
      </c>
      <c r="G82" s="65">
        <f ca="1"/>
        <v>3.1063791592957912E-2</v>
      </c>
      <c r="H82" s="61">
        <f ca="1"/>
        <v>45707</v>
      </c>
      <c r="I82">
        <f ca="1"/>
        <v>0.80504195852520299</v>
      </c>
      <c r="K82" t="e">
        <f ca="1"/>
        <v>#N/A</v>
      </c>
      <c r="L82" s="65" t="e">
        <f ca="1"/>
        <v>#N/A</v>
      </c>
      <c r="M82" s="65"/>
      <c r="O82" s="61" t="e">
        <f ca="1"/>
        <v>#N/A</v>
      </c>
      <c r="P82" t="e">
        <f ca="1"/>
        <v>#N/A</v>
      </c>
    </row>
    <row r="83" spans="1:33">
      <c r="A83" t="e">
        <f ca="1"/>
        <v>#N/A</v>
      </c>
      <c r="B83" s="22" t="e">
        <f ca="1"/>
        <v>#N/A</v>
      </c>
      <c r="C83" s="22" t="e">
        <f ca="1"/>
        <v>#N/A</v>
      </c>
      <c r="D83" t="e">
        <f ca="1"/>
        <v>#N/A</v>
      </c>
      <c r="F83">
        <f ca="1"/>
        <v>2873</v>
      </c>
      <c r="G83" s="65">
        <f ca="1"/>
        <v>6.9611797695046107E-6</v>
      </c>
      <c r="H83" s="61">
        <f ca="1"/>
        <v>46022</v>
      </c>
      <c r="I83">
        <f ca="1"/>
        <v>0.99994520848172697</v>
      </c>
      <c r="K83" t="e">
        <f ca="1"/>
        <v>#N/A</v>
      </c>
      <c r="L83" s="65" t="e">
        <f ca="1"/>
        <v>#N/A</v>
      </c>
      <c r="M83" s="65"/>
      <c r="O83" s="61" t="e">
        <f ca="1"/>
        <v>#N/A</v>
      </c>
      <c r="P83" t="e">
        <f ca="1"/>
        <v>#N/A</v>
      </c>
    </row>
    <row r="84" spans="1:33">
      <c r="A84" t="e">
        <f ca="1"/>
        <v>#N/A</v>
      </c>
      <c r="B84" s="22" t="e">
        <f ca="1"/>
        <v>#N/A</v>
      </c>
      <c r="C84" s="22" t="e">
        <f ca="1"/>
        <v>#N/A</v>
      </c>
      <c r="D84" t="e">
        <f ca="1"/>
        <v>#N/A</v>
      </c>
      <c r="F84">
        <f ca="1"/>
        <v>2923</v>
      </c>
      <c r="G84" s="65">
        <f ca="1"/>
        <v>3.2369638107391019E-2</v>
      </c>
      <c r="H84" s="61">
        <f ca="1"/>
        <v>46072</v>
      </c>
      <c r="I84">
        <f ca="1"/>
        <v>0.772456246093707</v>
      </c>
      <c r="K84" t="e">
        <f ca="1"/>
        <v>#N/A</v>
      </c>
      <c r="L84" s="65" t="e">
        <f ca="1"/>
        <v>#N/A</v>
      </c>
      <c r="M84" s="65"/>
      <c r="O84" s="61" t="e">
        <f ca="1"/>
        <v>#N/A</v>
      </c>
      <c r="P84" t="e">
        <f ca="1"/>
        <v>#N/A</v>
      </c>
    </row>
    <row r="85" spans="1:33">
      <c r="A85" t="e">
        <f ca="1"/>
        <v>#N/A</v>
      </c>
      <c r="B85" s="22" t="e">
        <f ca="1"/>
        <v>#N/A</v>
      </c>
      <c r="C85" s="22" t="e">
        <f ca="1"/>
        <v>#N/A</v>
      </c>
      <c r="D85" t="e">
        <f ca="1"/>
        <v>#N/A</v>
      </c>
      <c r="F85">
        <f ca="1"/>
        <v>3288</v>
      </c>
      <c r="G85" s="65">
        <f ca="1"/>
        <v>3.3391344320862437E-2</v>
      </c>
      <c r="H85" s="61">
        <f ca="1"/>
        <v>46437</v>
      </c>
      <c r="I85">
        <f ca="1"/>
        <v>0.741153152254303</v>
      </c>
      <c r="K85" t="e">
        <f ca="1"/>
        <v>#N/A</v>
      </c>
      <c r="L85" s="65" t="e">
        <f ca="1"/>
        <v>#N/A</v>
      </c>
      <c r="M85" s="65"/>
      <c r="O85" s="61" t="e">
        <f ca="1"/>
        <v>#N/A</v>
      </c>
      <c r="P85" t="e">
        <f ca="1"/>
        <v>#N/A</v>
      </c>
    </row>
    <row r="86" spans="1:33">
      <c r="A86" t="e">
        <f ca="1"/>
        <v>#N/A</v>
      </c>
      <c r="B86" s="22" t="e">
        <f ca="1"/>
        <v>#N/A</v>
      </c>
      <c r="C86" s="22" t="e">
        <f ca="1"/>
        <v>#N/A</v>
      </c>
      <c r="D86" t="e">
        <f ca="1"/>
        <v>#N/A</v>
      </c>
      <c r="F86">
        <f ca="1"/>
        <v>3655</v>
      </c>
      <c r="G86" s="65">
        <f ca="1"/>
        <v>3.4452407762716852E-2</v>
      </c>
      <c r="H86" s="61">
        <f ca="1"/>
        <v>46804</v>
      </c>
      <c r="I86">
        <f ca="1"/>
        <v>0.70927017373416601</v>
      </c>
      <c r="K86" t="e">
        <f ca="1"/>
        <v>#N/A</v>
      </c>
      <c r="L86" s="65" t="e">
        <f ca="1"/>
        <v>#N/A</v>
      </c>
      <c r="M86" s="65"/>
      <c r="O86" s="61" t="e">
        <f ca="1"/>
        <v>#N/A</v>
      </c>
      <c r="P86" t="e">
        <f ca="1"/>
        <v>#N/A</v>
      </c>
    </row>
    <row r="87" spans="1:33">
      <c r="A87" t="e">
        <f ca="1"/>
        <v>#N/A</v>
      </c>
      <c r="B87" s="22" t="e">
        <f ca="1"/>
        <v>#N/A</v>
      </c>
      <c r="C87" s="22" t="e">
        <f ca="1"/>
        <v>#N/A</v>
      </c>
      <c r="D87" t="e">
        <f ca="1"/>
        <v>#N/A</v>
      </c>
      <c r="F87">
        <f ca="1"/>
        <v>5482</v>
      </c>
      <c r="G87" s="65">
        <f ca="1"/>
        <v>3.5158468239204765E-2</v>
      </c>
      <c r="H87" s="61">
        <f ca="1"/>
        <v>48631</v>
      </c>
      <c r="I87">
        <f ca="1"/>
        <v>0.59111533942703798</v>
      </c>
      <c r="K87" t="e">
        <f ca="1"/>
        <v>#N/A</v>
      </c>
      <c r="L87" s="65" t="e">
        <f ca="1"/>
        <v>#N/A</v>
      </c>
      <c r="M87" s="65"/>
      <c r="O87" s="61" t="e">
        <f ca="1"/>
        <v>#N/A</v>
      </c>
      <c r="P87" t="e">
        <f ca="1"/>
        <v>#N/A</v>
      </c>
    </row>
    <row r="88" spans="1:33">
      <c r="A88" t="e">
        <f ca="1"/>
        <v>#N/A</v>
      </c>
      <c r="B88" s="22" t="e">
        <f ca="1"/>
        <v>#N/A</v>
      </c>
      <c r="C88" s="22" t="e">
        <f ca="1"/>
        <v>#N/A</v>
      </c>
      <c r="D88" t="e">
        <f ca="1"/>
        <v>#N/A</v>
      </c>
      <c r="F88">
        <f ca="1"/>
        <v>7306</v>
      </c>
      <c r="G88" s="65">
        <f ca="1"/>
        <v>3.4968840222169284E-2</v>
      </c>
      <c r="H88" s="61">
        <f ca="1"/>
        <v>50455</v>
      </c>
      <c r="I88">
        <f ca="1"/>
        <v>0.49812223113050103</v>
      </c>
      <c r="K88" t="e">
        <f ca="1"/>
        <v>#N/A</v>
      </c>
      <c r="L88" s="65" t="e">
        <f ca="1"/>
        <v>#N/A</v>
      </c>
      <c r="M88" s="65"/>
      <c r="O88" s="61" t="e">
        <f ca="1"/>
        <v>#N/A</v>
      </c>
      <c r="P88" t="e">
        <f ca="1"/>
        <v>#N/A</v>
      </c>
    </row>
    <row r="89" spans="1:33">
      <c r="A89" t="e">
        <f ca="1"/>
        <v>#N/A</v>
      </c>
      <c r="B89" s="22" t="e">
        <f ca="1"/>
        <v>#N/A</v>
      </c>
      <c r="C89" s="22" t="e">
        <f ca="1"/>
        <v>#N/A</v>
      </c>
      <c r="D89" t="e">
        <f ca="1"/>
        <v>#N/A</v>
      </c>
      <c r="F89" t="e">
        <f ca="1"/>
        <v>#N/A</v>
      </c>
      <c r="G89" s="73" t="e">
        <f ca="1"/>
        <v>#N/A</v>
      </c>
      <c r="H89" s="73" t="e">
        <f ca="1"/>
        <v>#N/A</v>
      </c>
      <c r="I89" t="e">
        <f ca="1"/>
        <v>#N/A</v>
      </c>
      <c r="K89" t="e">
        <f ca="1"/>
        <v>#N/A</v>
      </c>
      <c r="L89" s="73" t="e">
        <f ca="1"/>
        <v>#N/A</v>
      </c>
      <c r="O89" s="73" t="e">
        <f ca="1"/>
        <v>#N/A</v>
      </c>
      <c r="P89" t="e">
        <f ca="1"/>
        <v>#N/A</v>
      </c>
    </row>
    <row r="90" spans="1:33">
      <c r="A90" t="e">
        <f ca="1"/>
        <v>#N/A</v>
      </c>
      <c r="B90" s="22" t="e">
        <f ca="1"/>
        <v>#N/A</v>
      </c>
      <c r="C90" s="22" t="e">
        <f ca="1"/>
        <v>#N/A</v>
      </c>
      <c r="D90" t="e">
        <f ca="1"/>
        <v>#N/A</v>
      </c>
      <c r="F90" t="e">
        <f ca="1"/>
        <v>#N/A</v>
      </c>
      <c r="G90" s="73" t="e">
        <f ca="1"/>
        <v>#N/A</v>
      </c>
      <c r="H90" s="73" t="e">
        <f ca="1"/>
        <v>#N/A</v>
      </c>
      <c r="I90" t="e">
        <f ca="1"/>
        <v>#N/A</v>
      </c>
      <c r="K90" t="e">
        <f ca="1"/>
        <v>#N/A</v>
      </c>
      <c r="L90" s="73" t="e">
        <f ca="1"/>
        <v>#N/A</v>
      </c>
      <c r="O90" s="73" t="e">
        <f ca="1"/>
        <v>#N/A</v>
      </c>
      <c r="P90" t="e">
        <f ca="1"/>
        <v>#N/A</v>
      </c>
    </row>
    <row r="91" spans="1:33">
      <c r="A91" t="e">
        <f ca="1"/>
        <v>#N/A</v>
      </c>
      <c r="B91" s="22" t="e">
        <f ca="1"/>
        <v>#N/A</v>
      </c>
      <c r="C91" s="22" t="e">
        <f ca="1"/>
        <v>#N/A</v>
      </c>
      <c r="D91" t="e">
        <f ca="1"/>
        <v>#N/A</v>
      </c>
      <c r="F91" t="e">
        <f ca="1"/>
        <v>#N/A</v>
      </c>
      <c r="G91" s="73" t="e">
        <f ca="1"/>
        <v>#N/A</v>
      </c>
      <c r="H91" s="73" t="e">
        <f ca="1"/>
        <v>#N/A</v>
      </c>
      <c r="I91" t="e">
        <f ca="1"/>
        <v>#N/A</v>
      </c>
      <c r="K91" t="e">
        <f ca="1"/>
        <v>#N/A</v>
      </c>
      <c r="L91" s="73" t="e">
        <f ca="1"/>
        <v>#N/A</v>
      </c>
      <c r="O91" s="73" t="e">
        <f ca="1"/>
        <v>#N/A</v>
      </c>
      <c r="P91" t="e">
        <f ca="1"/>
        <v>#N/A</v>
      </c>
    </row>
    <row r="92" spans="1:33">
      <c r="A92" t="e">
        <f ca="1"/>
        <v>#N/A</v>
      </c>
      <c r="B92" s="22" t="e">
        <f ca="1"/>
        <v>#N/A</v>
      </c>
      <c r="C92" s="22" t="e">
        <f ca="1"/>
        <v>#N/A</v>
      </c>
      <c r="D92" t="e">
        <f ca="1"/>
        <v>#N/A</v>
      </c>
      <c r="F92" t="e">
        <f ca="1"/>
        <v>#N/A</v>
      </c>
      <c r="G92" s="73" t="e">
        <f ca="1"/>
        <v>#N/A</v>
      </c>
      <c r="H92" s="73" t="e">
        <f ca="1"/>
        <v>#N/A</v>
      </c>
      <c r="I92" t="e">
        <f ca="1"/>
        <v>#N/A</v>
      </c>
      <c r="K92" t="e">
        <f ca="1"/>
        <v>#N/A</v>
      </c>
      <c r="L92" s="73" t="e">
        <f ca="1"/>
        <v>#N/A</v>
      </c>
      <c r="O92" s="73" t="e">
        <f ca="1"/>
        <v>#N/A</v>
      </c>
      <c r="P92" t="e">
        <f ca="1"/>
        <v>#N/A</v>
      </c>
    </row>
    <row r="94" spans="1:33">
      <c r="F94"/>
      <c r="G94" s="65"/>
    </row>
    <row r="95" spans="1:33">
      <c r="F95"/>
      <c r="G95" s="65"/>
    </row>
    <row r="96" spans="1:33">
      <c r="F96"/>
      <c r="G96" s="65"/>
    </row>
    <row r="97" spans="6:7">
      <c r="F97"/>
      <c r="G97" s="65"/>
    </row>
    <row r="98" spans="6:7">
      <c r="F98"/>
      <c r="G98" s="65"/>
    </row>
    <row r="99" spans="6:7">
      <c r="F99"/>
      <c r="G99" s="65"/>
    </row>
    <row r="100" spans="6:7">
      <c r="F100"/>
      <c r="G100" s="65"/>
    </row>
    <row r="101" spans="6:7">
      <c r="F101"/>
      <c r="G101" s="65"/>
    </row>
    <row r="102" spans="6:7">
      <c r="F102"/>
      <c r="G102" s="65"/>
    </row>
    <row r="103" spans="6:7">
      <c r="F103"/>
      <c r="G103" s="65"/>
    </row>
    <row r="104" spans="6:7">
      <c r="F104"/>
      <c r="G104" s="65"/>
    </row>
    <row r="105" spans="6:7">
      <c r="F105"/>
      <c r="G105" s="65"/>
    </row>
    <row r="106" spans="6:7">
      <c r="F106"/>
      <c r="G106" s="65"/>
    </row>
    <row r="107" spans="6:7">
      <c r="F107"/>
      <c r="G107" s="65"/>
    </row>
    <row r="108" spans="6:7">
      <c r="F108"/>
      <c r="G108" s="65"/>
    </row>
    <row r="109" spans="6:7">
      <c r="F109"/>
      <c r="G109" s="65"/>
    </row>
    <row r="110" spans="6:7">
      <c r="F110"/>
      <c r="G110" s="65"/>
    </row>
    <row r="111" spans="6:7">
      <c r="F111"/>
      <c r="G111" s="65"/>
    </row>
    <row r="112" spans="6:7">
      <c r="F112"/>
      <c r="G112" s="65"/>
    </row>
    <row r="113" spans="6:7">
      <c r="F113"/>
      <c r="G113" s="65"/>
    </row>
    <row r="114" spans="6:7">
      <c r="F114"/>
      <c r="G114" s="65"/>
    </row>
    <row r="115" spans="6:7">
      <c r="F115"/>
      <c r="G115" s="65"/>
    </row>
    <row r="116" spans="6:7">
      <c r="F116"/>
      <c r="G116" s="65"/>
    </row>
    <row r="117" spans="6:7">
      <c r="F117"/>
      <c r="G117" s="65"/>
    </row>
    <row r="118" spans="6:7">
      <c r="F118"/>
      <c r="G118" s="65"/>
    </row>
    <row r="119" spans="6:7">
      <c r="F119"/>
    </row>
    <row r="120" spans="6:7">
      <c r="F120"/>
    </row>
    <row r="121" spans="6:7">
      <c r="F121"/>
    </row>
    <row r="122" spans="6:7">
      <c r="F122"/>
    </row>
    <row r="123" spans="6:7">
      <c r="F123"/>
    </row>
    <row r="124" spans="6:7">
      <c r="F124"/>
    </row>
    <row r="125" spans="6:7">
      <c r="F125"/>
    </row>
    <row r="126" spans="6:7">
      <c r="F126"/>
    </row>
    <row r="127" spans="6:7">
      <c r="F127"/>
    </row>
    <row r="128" spans="6:7">
      <c r="F128"/>
    </row>
    <row r="129" spans="6:6">
      <c r="F129"/>
    </row>
    <row r="130" spans="6:6">
      <c r="F130"/>
    </row>
  </sheetData>
  <protectedRanges>
    <protectedRange sqref="B42:B44 B47 C10 G10 L12" name="Range2_1"/>
  </protectedRanges>
  <mergeCells count="3">
    <mergeCell ref="B1:C1"/>
    <mergeCell ref="F1:G1"/>
    <mergeCell ref="K1:L1"/>
  </mergeCells>
  <phoneticPr fontId="2" type="noConversion"/>
  <dataValidations disablePrompts="1" count="3">
    <dataValidation type="list" allowBlank="1" showInputMessage="1" showErrorMessage="1" sqref="G10 C10 L12" xr:uid="{00000000-0002-0000-0000-000000000000}">
      <formula1>$B$42:$B$47</formula1>
    </dataValidation>
    <dataValidation type="list" allowBlank="1" showInputMessage="1" showErrorMessage="1" sqref="C41" xr:uid="{00000000-0002-0000-0000-000001000000}">
      <formula1>$C$43:$C$44</formula1>
    </dataValidation>
    <dataValidation type="list" allowBlank="1" showInputMessage="1" showErrorMessage="1" sqref="B54" xr:uid="{00000000-0002-0000-0000-000002000000}">
      <formula1>$B$49:$B$53</formula1>
    </dataValidation>
  </dataValidations>
  <hyperlinks>
    <hyperlink ref="D65" r:id="rId1" display="alex.watt@nab.com.au" xr:uid="{00000000-0004-0000-0000-000000000000}"/>
    <hyperlink ref="I65" r:id="rId2" display="alex.watt@nab.com.au" xr:uid="{00000000-0004-0000-0000-000001000000}"/>
    <hyperlink ref="P65" r:id="rId3" display="alex.watt@nab.com.au" xr:uid="{00000000-0004-0000-0000-000002000000}"/>
  </hyperlinks>
  <pageMargins left="0.75" right="0.75" top="1" bottom="1" header="0.5" footer="0.5"/>
  <pageSetup paperSize="9" scale="60" orientation="landscape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94"/>
  <sheetViews>
    <sheetView workbookViewId="0">
      <selection activeCell="H56" sqref="H56"/>
    </sheetView>
  </sheetViews>
  <sheetFormatPr defaultRowHeight="12.75"/>
  <cols>
    <col min="1" max="1" width="21.42578125" style="22" bestFit="1" customWidth="1"/>
    <col min="2" max="2" width="18.42578125" style="22" bestFit="1" customWidth="1"/>
    <col min="3" max="3" width="11" bestFit="1" customWidth="1"/>
    <col min="4" max="4" width="5.140625" bestFit="1" customWidth="1"/>
    <col min="5" max="5" width="1.140625" customWidth="1"/>
    <col min="6" max="6" width="23.140625" style="22" bestFit="1" customWidth="1"/>
    <col min="7" max="7" width="18.5703125" style="22" customWidth="1"/>
    <col min="8" max="8" width="12.85546875" style="22" bestFit="1" customWidth="1"/>
    <col min="9" max="9" width="16.85546875" style="22" bestFit="1" customWidth="1"/>
    <col min="10" max="10" width="1.42578125" customWidth="1"/>
  </cols>
  <sheetData>
    <row r="1" spans="1:9" ht="13.5" thickBot="1">
      <c r="A1" s="87" t="str">
        <f ca="1">_xll.HLV5r3.Financial.Cache.CreateCurve_Old(A2:B10, A15:A38, B15:B38, C15:C38)</f>
        <v>Market.LIVE.RateCurve.GBP-LIBOR-BBA-3M</v>
      </c>
      <c r="B1" s="88"/>
      <c r="C1" s="2"/>
      <c r="F1" s="87" t="str">
        <f ca="1">_xll.HLV5r3.Financial.Cache.CreateRateCurveWithUnits(F2:G10, F15:F46, G15:G46, H15:H46, I15:I46)</f>
        <v>Market.LIVE.RateCurve.GBP-LIBOR-BBA-1M</v>
      </c>
      <c r="G1" s="88"/>
    </row>
    <row r="2" spans="1:9">
      <c r="A2" s="23" t="s">
        <v>76</v>
      </c>
      <c r="B2" s="24" t="s">
        <v>11</v>
      </c>
      <c r="C2" s="2"/>
      <c r="F2" s="23" t="s">
        <v>76</v>
      </c>
      <c r="G2" s="24" t="s">
        <v>11</v>
      </c>
    </row>
    <row r="3" spans="1:9">
      <c r="A3" s="25" t="s">
        <v>74</v>
      </c>
      <c r="B3" s="26">
        <f ca="1">TODAY()</f>
        <v>43149</v>
      </c>
      <c r="C3" s="2"/>
      <c r="F3" s="25" t="s">
        <v>74</v>
      </c>
      <c r="G3" s="26">
        <f ca="1">G5</f>
        <v>43149</v>
      </c>
      <c r="H3" s="73"/>
      <c r="I3" s="73"/>
    </row>
    <row r="4" spans="1:9">
      <c r="A4" s="25" t="s">
        <v>97</v>
      </c>
      <c r="B4" s="26">
        <f ca="1">B3</f>
        <v>43149</v>
      </c>
      <c r="C4" s="2"/>
      <c r="F4" s="25" t="s">
        <v>97</v>
      </c>
      <c r="G4" s="26">
        <f ca="1">G3</f>
        <v>43149</v>
      </c>
      <c r="H4" s="73"/>
      <c r="I4" s="73"/>
    </row>
    <row r="5" spans="1:9">
      <c r="A5" s="25" t="s">
        <v>10</v>
      </c>
      <c r="B5" s="26">
        <f ca="1">B4</f>
        <v>43149</v>
      </c>
      <c r="C5" s="2"/>
      <c r="F5" s="25" t="s">
        <v>10</v>
      </c>
      <c r="G5" s="26">
        <f ca="1">B5</f>
        <v>43149</v>
      </c>
      <c r="I5" s="24" t="s">
        <v>62</v>
      </c>
    </row>
    <row r="6" spans="1:9">
      <c r="A6" s="27" t="s">
        <v>80</v>
      </c>
      <c r="B6" s="28" t="s">
        <v>18</v>
      </c>
      <c r="C6" s="2"/>
      <c r="F6" s="27" t="s">
        <v>80</v>
      </c>
      <c r="G6" s="28" t="s">
        <v>18</v>
      </c>
      <c r="I6" s="60" t="s">
        <v>63</v>
      </c>
    </row>
    <row r="7" spans="1:9">
      <c r="A7" s="25" t="s">
        <v>12</v>
      </c>
      <c r="B7" s="29" t="s">
        <v>61</v>
      </c>
      <c r="C7" s="2"/>
      <c r="F7" s="25" t="s">
        <v>12</v>
      </c>
      <c r="G7" s="29" t="str">
        <f>B7</f>
        <v>GBP-LIBOR-BBA</v>
      </c>
    </row>
    <row r="8" spans="1:9">
      <c r="A8" s="25" t="s">
        <v>14</v>
      </c>
      <c r="B8" s="28" t="s">
        <v>15</v>
      </c>
      <c r="C8" s="2"/>
      <c r="F8" s="25" t="s">
        <v>14</v>
      </c>
      <c r="G8" s="28" t="s">
        <v>81</v>
      </c>
    </row>
    <row r="9" spans="1:9">
      <c r="A9" s="25" t="s">
        <v>37</v>
      </c>
      <c r="B9" s="28" t="str">
        <f>B7&amp;"-"&amp;B8</f>
        <v>GBP-LIBOR-BBA-3M</v>
      </c>
      <c r="C9" s="2"/>
      <c r="F9" s="25" t="s">
        <v>37</v>
      </c>
      <c r="G9" s="28" t="str">
        <f>G7&amp;"-"&amp;G8</f>
        <v>GBP-LIBOR-BBA-1M</v>
      </c>
    </row>
    <row r="10" spans="1:9" ht="13.5" thickBot="1">
      <c r="A10" s="30" t="s">
        <v>16</v>
      </c>
      <c r="B10" s="31" t="s">
        <v>19</v>
      </c>
      <c r="C10" s="2"/>
      <c r="F10" s="30" t="s">
        <v>16</v>
      </c>
      <c r="G10" s="31" t="s">
        <v>19</v>
      </c>
    </row>
    <row r="11" spans="1:9" ht="13.5" thickBot="1">
      <c r="A11" s="50"/>
      <c r="B11" s="50"/>
      <c r="C11" s="2"/>
    </row>
    <row r="12" spans="1:9">
      <c r="A12" s="32" t="s">
        <v>0</v>
      </c>
      <c r="B12" s="33"/>
      <c r="C12" s="3"/>
      <c r="D12" s="3"/>
      <c r="F12" s="32" t="s">
        <v>0</v>
      </c>
      <c r="G12" s="33"/>
      <c r="H12" s="34"/>
      <c r="I12" s="34"/>
    </row>
    <row r="13" spans="1:9" ht="13.5" thickBot="1">
      <c r="A13" s="5"/>
      <c r="B13" s="35"/>
      <c r="C13" s="4"/>
      <c r="D13" s="4"/>
      <c r="F13" s="5"/>
      <c r="G13" s="35"/>
      <c r="H13" s="36"/>
      <c r="I13" s="36"/>
    </row>
    <row r="14" spans="1:9" ht="13.5" thickBot="1">
      <c r="A14" s="5" t="s">
        <v>1</v>
      </c>
      <c r="B14" s="6" t="s">
        <v>2</v>
      </c>
      <c r="C14" s="7" t="s">
        <v>9</v>
      </c>
      <c r="D14" s="7" t="s">
        <v>21</v>
      </c>
      <c r="F14" s="5" t="s">
        <v>1</v>
      </c>
      <c r="G14" s="6" t="s">
        <v>43</v>
      </c>
      <c r="H14" s="7" t="s">
        <v>38</v>
      </c>
      <c r="I14" s="7" t="s">
        <v>40</v>
      </c>
    </row>
    <row r="15" spans="1:9">
      <c r="A15" s="37" t="s">
        <v>45</v>
      </c>
      <c r="B15" s="38">
        <v>7.2499999999999995E-2</v>
      </c>
      <c r="C15" s="8"/>
      <c r="D15" s="8"/>
      <c r="F15" s="37" t="str">
        <f>A15</f>
        <v>GBP-Deposit-1D</v>
      </c>
      <c r="G15" s="38">
        <v>7.2499999999999995E-2</v>
      </c>
      <c r="H15" s="39" t="s">
        <v>20</v>
      </c>
      <c r="I15" s="39" t="s">
        <v>41</v>
      </c>
    </row>
    <row r="16" spans="1:9">
      <c r="A16" s="40" t="s">
        <v>46</v>
      </c>
      <c r="B16" s="41">
        <v>7.5199999999999989E-2</v>
      </c>
      <c r="C16" s="9"/>
      <c r="D16" s="9"/>
      <c r="F16" s="40" t="str">
        <f>A16</f>
        <v>GBP-Deposit-1W</v>
      </c>
      <c r="G16" s="41">
        <v>7.5199999999999989E-2</v>
      </c>
      <c r="H16" s="42" t="s">
        <v>20</v>
      </c>
      <c r="I16" s="42" t="s">
        <v>41</v>
      </c>
    </row>
    <row r="17" spans="1:9">
      <c r="A17" s="40" t="s">
        <v>47</v>
      </c>
      <c r="B17" s="41">
        <v>7.6367000000000004E-2</v>
      </c>
      <c r="C17" s="9"/>
      <c r="D17" s="9"/>
      <c r="F17" s="40" t="str">
        <f t="shared" ref="F17:F29" si="0">A17</f>
        <v>GBP-Deposit-2W</v>
      </c>
      <c r="G17" s="41">
        <v>7.6367000000000004E-2</v>
      </c>
      <c r="H17" s="42" t="s">
        <v>20</v>
      </c>
      <c r="I17" s="42" t="s">
        <v>41</v>
      </c>
    </row>
    <row r="18" spans="1:9">
      <c r="A18" s="40" t="s">
        <v>48</v>
      </c>
      <c r="B18" s="41">
        <v>7.7050000000000007E-2</v>
      </c>
      <c r="C18" s="9"/>
      <c r="D18" s="9"/>
      <c r="F18" s="40" t="str">
        <f t="shared" si="0"/>
        <v>GBP-Deposit-1M</v>
      </c>
      <c r="G18" s="41">
        <v>7.7050000000000007E-2</v>
      </c>
      <c r="H18" s="42" t="s">
        <v>20</v>
      </c>
      <c r="I18" s="42" t="s">
        <v>41</v>
      </c>
    </row>
    <row r="19" spans="1:9">
      <c r="A19" s="40" t="s">
        <v>49</v>
      </c>
      <c r="B19" s="41">
        <v>7.6724999999999932E-2</v>
      </c>
      <c r="C19" s="9"/>
      <c r="D19" s="9"/>
      <c r="F19" s="40" t="str">
        <f t="shared" si="0"/>
        <v>GBP-Deposit-2M</v>
      </c>
      <c r="G19" s="41">
        <v>7.6724999999999932E-2</v>
      </c>
      <c r="H19" s="42" t="s">
        <v>20</v>
      </c>
      <c r="I19" s="42" t="s">
        <v>41</v>
      </c>
    </row>
    <row r="20" spans="1:9">
      <c r="A20" s="40" t="s">
        <v>50</v>
      </c>
      <c r="B20" s="41">
        <v>7.6724999999999932E-2</v>
      </c>
      <c r="C20" s="9"/>
      <c r="D20" s="9"/>
      <c r="F20" s="40" t="str">
        <f t="shared" si="0"/>
        <v>GBP-Deposit-3M</v>
      </c>
      <c r="G20" s="41">
        <v>7.6724999999999932E-2</v>
      </c>
      <c r="H20" s="42" t="s">
        <v>20</v>
      </c>
      <c r="I20" s="42" t="s">
        <v>41</v>
      </c>
    </row>
    <row r="21" spans="1:9">
      <c r="A21" s="40" t="s">
        <v>51</v>
      </c>
      <c r="B21" s="41">
        <v>7.4349999999999958E-2</v>
      </c>
      <c r="C21" s="9"/>
      <c r="D21" s="9"/>
      <c r="F21" s="40" t="str">
        <f t="shared" si="0"/>
        <v>GBP-IRSwap-3Y</v>
      </c>
      <c r="G21" s="41">
        <v>7.4349999999999958E-2</v>
      </c>
      <c r="H21" s="42" t="s">
        <v>20</v>
      </c>
      <c r="I21" s="42" t="s">
        <v>41</v>
      </c>
    </row>
    <row r="22" spans="1:9">
      <c r="A22" s="40" t="s">
        <v>52</v>
      </c>
      <c r="B22" s="41">
        <v>7.5887499999999983E-2</v>
      </c>
      <c r="C22" s="9"/>
      <c r="D22" s="9"/>
      <c r="F22" s="40" t="str">
        <f t="shared" si="0"/>
        <v>GBP-IRSwap-4Y</v>
      </c>
      <c r="G22" s="41">
        <v>7.5887499999999983E-2</v>
      </c>
      <c r="H22" s="42" t="s">
        <v>20</v>
      </c>
      <c r="I22" s="42" t="s">
        <v>41</v>
      </c>
    </row>
    <row r="23" spans="1:9">
      <c r="A23" s="40" t="s">
        <v>53</v>
      </c>
      <c r="B23" s="41">
        <v>7.4800000000000019E-2</v>
      </c>
      <c r="C23" s="9"/>
      <c r="D23" s="9"/>
      <c r="F23" s="40" t="str">
        <f t="shared" si="0"/>
        <v>GBP-IRSwap-5Y</v>
      </c>
      <c r="G23" s="41">
        <v>7.4800000000000019E-2</v>
      </c>
      <c r="H23" s="42" t="s">
        <v>20</v>
      </c>
      <c r="I23" s="42" t="s">
        <v>41</v>
      </c>
    </row>
    <row r="24" spans="1:9">
      <c r="A24" s="40" t="s">
        <v>54</v>
      </c>
      <c r="B24" s="41">
        <v>7.4475000000000027E-2</v>
      </c>
      <c r="C24" s="9"/>
      <c r="D24" s="9"/>
      <c r="F24" s="40" t="str">
        <f t="shared" si="0"/>
        <v>GBP-IRSwap-6Y</v>
      </c>
      <c r="G24" s="41">
        <v>7.4475000000000027E-2</v>
      </c>
      <c r="H24" s="42" t="s">
        <v>20</v>
      </c>
      <c r="I24" s="42" t="s">
        <v>41</v>
      </c>
    </row>
    <row r="25" spans="1:9">
      <c r="A25" s="40" t="s">
        <v>55</v>
      </c>
      <c r="B25" s="41">
        <v>7.4150000000000035E-2</v>
      </c>
      <c r="C25" s="9"/>
      <c r="D25" s="9"/>
      <c r="F25" s="40" t="str">
        <f t="shared" si="0"/>
        <v>GBP-IRSwap-7Y</v>
      </c>
      <c r="G25" s="41">
        <v>7.4150000000000035E-2</v>
      </c>
      <c r="H25" s="42" t="s">
        <v>20</v>
      </c>
      <c r="I25" s="42" t="s">
        <v>41</v>
      </c>
    </row>
    <row r="26" spans="1:9">
      <c r="A26" s="40" t="s">
        <v>56</v>
      </c>
      <c r="B26" s="41">
        <v>7.3825000000000029E-2</v>
      </c>
      <c r="C26" s="9"/>
      <c r="D26" s="9"/>
      <c r="F26" s="40" t="str">
        <f t="shared" si="0"/>
        <v>GBP-IRSwap-8Y</v>
      </c>
      <c r="G26" s="41">
        <v>7.3825000000000029E-2</v>
      </c>
      <c r="H26" s="42" t="s">
        <v>20</v>
      </c>
      <c r="I26" s="42" t="s">
        <v>41</v>
      </c>
    </row>
    <row r="27" spans="1:9">
      <c r="A27" s="40" t="s">
        <v>57</v>
      </c>
      <c r="B27" s="41">
        <v>7.2675000000000031E-2</v>
      </c>
      <c r="C27" s="9"/>
      <c r="D27" s="9"/>
      <c r="F27" s="40" t="str">
        <f t="shared" si="0"/>
        <v>GBP-IRSwap-9Y</v>
      </c>
      <c r="G27" s="41">
        <v>7.2675000000000031E-2</v>
      </c>
      <c r="H27" s="42" t="s">
        <v>20</v>
      </c>
      <c r="I27" s="42" t="s">
        <v>41</v>
      </c>
    </row>
    <row r="28" spans="1:9">
      <c r="A28" s="40" t="s">
        <v>58</v>
      </c>
      <c r="B28" s="41">
        <v>7.1150000000000019E-2</v>
      </c>
      <c r="C28" s="9"/>
      <c r="D28" s="9"/>
      <c r="F28" s="40" t="str">
        <f t="shared" si="0"/>
        <v>GBP-IRSwap-10Y</v>
      </c>
      <c r="G28" s="41">
        <v>7.1150000000000019E-2</v>
      </c>
      <c r="H28" s="42" t="s">
        <v>20</v>
      </c>
      <c r="I28" s="42" t="s">
        <v>41</v>
      </c>
    </row>
    <row r="29" spans="1:9">
      <c r="A29" s="40" t="s">
        <v>59</v>
      </c>
      <c r="B29" s="41">
        <v>6.9150000000000031E-2</v>
      </c>
      <c r="C29" s="9"/>
      <c r="D29" s="9"/>
      <c r="F29" s="40" t="str">
        <f t="shared" si="0"/>
        <v>GBP-IRSwap-15Y</v>
      </c>
      <c r="G29" s="41">
        <v>6.9150000000000031E-2</v>
      </c>
      <c r="H29" s="42" t="s">
        <v>20</v>
      </c>
      <c r="I29" s="42" t="s">
        <v>41</v>
      </c>
    </row>
    <row r="30" spans="1:9" ht="13.5" thickBot="1">
      <c r="A30" s="51" t="s">
        <v>60</v>
      </c>
      <c r="B30" s="55">
        <v>6.6975000000000021E-2</v>
      </c>
      <c r="C30" s="10"/>
      <c r="D30" s="10"/>
      <c r="F30" s="40" t="str">
        <f>A30</f>
        <v>GBP-IRSwap-20Y</v>
      </c>
      <c r="G30" s="41">
        <v>6.6975000000000021E-2</v>
      </c>
      <c r="H30" s="42" t="s">
        <v>20</v>
      </c>
      <c r="I30" s="42" t="s">
        <v>41</v>
      </c>
    </row>
    <row r="31" spans="1:9">
      <c r="A31" s="52" t="s">
        <v>87</v>
      </c>
      <c r="B31" s="56">
        <v>7.7399999999999955E-2</v>
      </c>
      <c r="C31" s="68">
        <v>0.2</v>
      </c>
      <c r="D31" s="9"/>
      <c r="F31" s="43" t="str">
        <f>A31</f>
        <v>GBP-IRFuture-L-1</v>
      </c>
      <c r="G31" s="44">
        <v>7.7399999999999955E-2</v>
      </c>
      <c r="H31" s="45" t="s">
        <v>20</v>
      </c>
      <c r="I31" s="45" t="s">
        <v>41</v>
      </c>
    </row>
    <row r="32" spans="1:9">
      <c r="A32" s="52" t="s">
        <v>88</v>
      </c>
      <c r="B32" s="57">
        <v>7.9099999999999962E-2</v>
      </c>
      <c r="C32" s="68">
        <v>0.2</v>
      </c>
      <c r="D32" s="9"/>
      <c r="F32" s="46" t="str">
        <f>F31</f>
        <v>GBP-IRFuture-L-1</v>
      </c>
      <c r="G32" s="47">
        <v>0.15</v>
      </c>
      <c r="H32" s="20" t="s">
        <v>39</v>
      </c>
      <c r="I32" s="20" t="s">
        <v>42</v>
      </c>
    </row>
    <row r="33" spans="1:11">
      <c r="A33" s="52" t="s">
        <v>89</v>
      </c>
      <c r="B33" s="57">
        <v>7.9399999999999971E-2</v>
      </c>
      <c r="C33" s="68">
        <v>0.2</v>
      </c>
      <c r="D33" s="9"/>
      <c r="F33" s="46" t="str">
        <f>A32</f>
        <v>GBP-IRFuture-L-2</v>
      </c>
      <c r="G33" s="47">
        <v>7.9099999999999962E-2</v>
      </c>
      <c r="H33" s="20" t="s">
        <v>20</v>
      </c>
      <c r="I33" s="20" t="s">
        <v>41</v>
      </c>
    </row>
    <row r="34" spans="1:11">
      <c r="A34" s="52" t="s">
        <v>90</v>
      </c>
      <c r="B34" s="57">
        <v>7.9099999999999962E-2</v>
      </c>
      <c r="C34" s="68">
        <v>0.2</v>
      </c>
      <c r="D34" s="9"/>
      <c r="F34" s="46" t="str">
        <f>F33</f>
        <v>GBP-IRFuture-L-2</v>
      </c>
      <c r="G34" s="47">
        <v>0.15</v>
      </c>
      <c r="H34" s="20" t="s">
        <v>39</v>
      </c>
      <c r="I34" s="20" t="s">
        <v>42</v>
      </c>
    </row>
    <row r="35" spans="1:11">
      <c r="A35" s="52" t="s">
        <v>91</v>
      </c>
      <c r="B35" s="57">
        <v>7.8499999999999945E-2</v>
      </c>
      <c r="C35" s="68">
        <v>0.2</v>
      </c>
      <c r="D35" s="9"/>
      <c r="F35" s="46" t="str">
        <f>A33</f>
        <v>GBP-IRFuture-L-3</v>
      </c>
      <c r="G35" s="47">
        <v>7.9399999999999971E-2</v>
      </c>
      <c r="H35" s="20" t="s">
        <v>20</v>
      </c>
      <c r="I35" s="20" t="s">
        <v>41</v>
      </c>
    </row>
    <row r="36" spans="1:11">
      <c r="A36" s="52" t="s">
        <v>92</v>
      </c>
      <c r="B36" s="57">
        <v>7.7600000000000058E-2</v>
      </c>
      <c r="C36" s="68">
        <v>0.2</v>
      </c>
      <c r="D36" s="9"/>
      <c r="F36" s="46" t="str">
        <f>F35</f>
        <v>GBP-IRFuture-L-3</v>
      </c>
      <c r="G36" s="47">
        <v>0.15</v>
      </c>
      <c r="H36" s="20" t="s">
        <v>39</v>
      </c>
      <c r="I36" s="20" t="s">
        <v>42</v>
      </c>
    </row>
    <row r="37" spans="1:11">
      <c r="A37" s="52" t="s">
        <v>93</v>
      </c>
      <c r="B37" s="57">
        <v>7.6700000000000018E-2</v>
      </c>
      <c r="C37" s="68">
        <v>0.2</v>
      </c>
      <c r="D37" s="9"/>
      <c r="F37" s="46" t="str">
        <f>A34</f>
        <v>GBP-IRFuture-L-4</v>
      </c>
      <c r="G37" s="47">
        <v>7.9099999999999962E-2</v>
      </c>
      <c r="H37" s="20" t="s">
        <v>20</v>
      </c>
      <c r="I37" s="20" t="s">
        <v>41</v>
      </c>
    </row>
    <row r="38" spans="1:11" ht="13.5" thickBot="1">
      <c r="A38" s="53" t="s">
        <v>94</v>
      </c>
      <c r="B38" s="58">
        <v>7.549999999999997E-2</v>
      </c>
      <c r="C38" s="69">
        <v>0.2</v>
      </c>
      <c r="D38" s="10"/>
      <c r="F38" s="46" t="str">
        <f>F37</f>
        <v>GBP-IRFuture-L-4</v>
      </c>
      <c r="G38" s="47">
        <v>0.15</v>
      </c>
      <c r="H38" s="20" t="s">
        <v>39</v>
      </c>
      <c r="I38" s="20" t="s">
        <v>42</v>
      </c>
    </row>
    <row r="39" spans="1:11">
      <c r="A39" s="54"/>
      <c r="B39" s="54"/>
      <c r="C39" s="1"/>
      <c r="F39" s="46" t="str">
        <f>A35</f>
        <v>GBP-IRFuture-L-5</v>
      </c>
      <c r="G39" s="47">
        <v>7.8499999999999945E-2</v>
      </c>
      <c r="H39" s="20" t="s">
        <v>20</v>
      </c>
      <c r="I39" s="20" t="s">
        <v>41</v>
      </c>
    </row>
    <row r="40" spans="1:11">
      <c r="A40" s="54"/>
      <c r="B40" s="54"/>
      <c r="C40" s="1"/>
      <c r="F40" s="46" t="str">
        <f>F39</f>
        <v>GBP-IRFuture-L-5</v>
      </c>
      <c r="G40" s="47">
        <v>0.15</v>
      </c>
      <c r="H40" s="20" t="s">
        <v>39</v>
      </c>
      <c r="I40" s="20" t="s">
        <v>42</v>
      </c>
    </row>
    <row r="41" spans="1:11">
      <c r="A41" s="22" t="s">
        <v>22</v>
      </c>
      <c r="B41" s="22" t="b">
        <v>1</v>
      </c>
      <c r="F41" s="46" t="str">
        <f>A36</f>
        <v>GBP-IRFuture-L-6</v>
      </c>
      <c r="G41" s="47">
        <v>7.7600000000000058E-2</v>
      </c>
      <c r="H41" s="20" t="s">
        <v>20</v>
      </c>
      <c r="I41" s="20" t="s">
        <v>41</v>
      </c>
    </row>
    <row r="42" spans="1:11">
      <c r="F42" s="46" t="str">
        <f>F41</f>
        <v>GBP-IRFuture-L-6</v>
      </c>
      <c r="G42" s="47">
        <v>0.15</v>
      </c>
      <c r="H42" s="20" t="s">
        <v>39</v>
      </c>
      <c r="I42" s="20" t="s">
        <v>42</v>
      </c>
    </row>
    <row r="43" spans="1:11">
      <c r="A43" s="16" t="s">
        <v>23</v>
      </c>
      <c r="B43" s="22" t="b">
        <v>1</v>
      </c>
      <c r="F43" s="46" t="str">
        <f>A37</f>
        <v>GBP-IRFuture-L-7</v>
      </c>
      <c r="G43" s="47">
        <v>7.6700000000000018E-2</v>
      </c>
      <c r="H43" s="20" t="s">
        <v>20</v>
      </c>
      <c r="I43" s="20" t="s">
        <v>41</v>
      </c>
    </row>
    <row r="44" spans="1:11">
      <c r="A44" s="16" t="s">
        <v>24</v>
      </c>
      <c r="B44" s="22" t="b">
        <v>0</v>
      </c>
      <c r="F44" s="46" t="str">
        <f>F43</f>
        <v>GBP-IRFuture-L-7</v>
      </c>
      <c r="G44" s="47">
        <v>0.15</v>
      </c>
      <c r="H44" s="20" t="s">
        <v>39</v>
      </c>
      <c r="I44" s="20" t="s">
        <v>42</v>
      </c>
    </row>
    <row r="45" spans="1:11">
      <c r="A45" s="16" t="s">
        <v>25</v>
      </c>
      <c r="F45" s="46" t="str">
        <f>A38</f>
        <v>GBP-IRFuture-L-8</v>
      </c>
      <c r="G45" s="47">
        <v>7.549999999999997E-2</v>
      </c>
      <c r="H45" s="20" t="s">
        <v>20</v>
      </c>
      <c r="I45" s="20" t="s">
        <v>41</v>
      </c>
    </row>
    <row r="46" spans="1:11" ht="13.5" thickBot="1">
      <c r="A46" s="16" t="s">
        <v>26</v>
      </c>
      <c r="B46" s="59"/>
      <c r="F46" s="48" t="str">
        <f>F45</f>
        <v>GBP-IRFuture-L-8</v>
      </c>
      <c r="G46" s="49">
        <v>0.15</v>
      </c>
      <c r="H46" s="21" t="s">
        <v>39</v>
      </c>
      <c r="I46" s="21" t="s">
        <v>42</v>
      </c>
    </row>
    <row r="47" spans="1:11">
      <c r="A47" s="86" t="s">
        <v>19</v>
      </c>
      <c r="B47" s="59">
        <f ca="1">DATE(YEAR(B3),12,28)</f>
        <v>43462</v>
      </c>
      <c r="C47" t="str">
        <f ca="1">(B47-$G$5)&amp;"D"</f>
        <v>313D</v>
      </c>
      <c r="D47" t="s">
        <v>44</v>
      </c>
      <c r="F47" s="46" t="str">
        <f ca="1">$I$6&amp;"-SpreadFra-"&amp;C47&amp;"-"&amp;D47</f>
        <v>GBP-SpreadFra-313D-3D</v>
      </c>
      <c r="G47" s="47">
        <v>0.01</v>
      </c>
      <c r="H47" s="20" t="s">
        <v>20</v>
      </c>
      <c r="I47" s="20" t="s">
        <v>64</v>
      </c>
      <c r="K47" s="81" t="s">
        <v>100</v>
      </c>
    </row>
    <row r="48" spans="1:11">
      <c r="B48" s="59">
        <f t="shared" ref="B48:B49" ca="1" si="1">B47+365</f>
        <v>43827</v>
      </c>
      <c r="C48" t="str">
        <f t="shared" ref="C48:C54" ca="1" si="2">(B48-$G$5)&amp;"D"</f>
        <v>678D</v>
      </c>
      <c r="D48" t="s">
        <v>44</v>
      </c>
      <c r="F48" s="46" t="str">
        <f t="shared" ref="F48:F54" ca="1" si="3">$I$6&amp;"-SpreadFra-"&amp;C48&amp;"-"&amp;D48</f>
        <v>GBP-SpreadFra-678D-3D</v>
      </c>
      <c r="G48" s="47">
        <v>0.01</v>
      </c>
      <c r="H48" s="20" t="s">
        <v>20</v>
      </c>
      <c r="I48" s="20" t="s">
        <v>64</v>
      </c>
    </row>
    <row r="49" spans="1:9">
      <c r="B49" s="59">
        <f t="shared" ca="1" si="1"/>
        <v>44192</v>
      </c>
      <c r="C49" t="str">
        <f t="shared" ca="1" si="2"/>
        <v>1043D</v>
      </c>
      <c r="D49" t="s">
        <v>44</v>
      </c>
      <c r="F49" s="46" t="str">
        <f t="shared" ca="1" si="3"/>
        <v>GBP-SpreadFra-1043D-3D</v>
      </c>
      <c r="G49" s="47">
        <v>0.01</v>
      </c>
      <c r="H49" s="20" t="s">
        <v>20</v>
      </c>
      <c r="I49" s="20" t="s">
        <v>64</v>
      </c>
    </row>
    <row r="50" spans="1:9">
      <c r="B50" s="59">
        <f ca="1">B49+366</f>
        <v>44558</v>
      </c>
      <c r="C50" t="str">
        <f t="shared" ca="1" si="2"/>
        <v>1409D</v>
      </c>
      <c r="D50" t="s">
        <v>44</v>
      </c>
      <c r="F50" s="46" t="str">
        <f t="shared" ca="1" si="3"/>
        <v>GBP-SpreadFra-1409D-3D</v>
      </c>
      <c r="G50" s="47">
        <v>0.01</v>
      </c>
      <c r="H50" s="20" t="s">
        <v>20</v>
      </c>
      <c r="I50" s="20" t="s">
        <v>64</v>
      </c>
    </row>
    <row r="51" spans="1:9">
      <c r="B51" s="59">
        <f ca="1">B50+365</f>
        <v>44923</v>
      </c>
      <c r="C51" t="str">
        <f t="shared" ca="1" si="2"/>
        <v>1774D</v>
      </c>
      <c r="D51" t="s">
        <v>44</v>
      </c>
      <c r="F51" s="46" t="str">
        <f t="shared" ca="1" si="3"/>
        <v>GBP-SpreadFra-1774D-3D</v>
      </c>
      <c r="G51" s="47">
        <v>0.01</v>
      </c>
      <c r="H51" s="20" t="s">
        <v>20</v>
      </c>
      <c r="I51" s="20" t="s">
        <v>64</v>
      </c>
    </row>
    <row r="52" spans="1:9">
      <c r="B52" s="59">
        <f ca="1">B51+365</f>
        <v>45288</v>
      </c>
      <c r="C52" t="str">
        <f t="shared" ca="1" si="2"/>
        <v>2139D</v>
      </c>
      <c r="D52" t="s">
        <v>44</v>
      </c>
      <c r="F52" s="46" t="str">
        <f t="shared" ca="1" si="3"/>
        <v>GBP-SpreadFra-2139D-3D</v>
      </c>
      <c r="G52" s="47">
        <v>0.01</v>
      </c>
      <c r="H52" s="20" t="s">
        <v>20</v>
      </c>
      <c r="I52" s="20" t="s">
        <v>64</v>
      </c>
    </row>
    <row r="53" spans="1:9">
      <c r="B53" s="59">
        <f t="shared" ref="B53:B54" ca="1" si="4">B52+366</f>
        <v>45654</v>
      </c>
      <c r="C53" t="str">
        <f t="shared" ca="1" si="2"/>
        <v>2505D</v>
      </c>
      <c r="D53" t="s">
        <v>44</v>
      </c>
      <c r="F53" s="46" t="str">
        <f t="shared" ca="1" si="3"/>
        <v>GBP-SpreadFra-2505D-3D</v>
      </c>
      <c r="G53" s="47">
        <v>0.01</v>
      </c>
      <c r="H53" s="20" t="s">
        <v>20</v>
      </c>
      <c r="I53" s="20" t="s">
        <v>64</v>
      </c>
    </row>
    <row r="54" spans="1:9" ht="13.5" thickBot="1">
      <c r="B54" s="59">
        <f t="shared" ca="1" si="4"/>
        <v>46020</v>
      </c>
      <c r="C54" t="str">
        <f t="shared" ca="1" si="2"/>
        <v>2871D</v>
      </c>
      <c r="D54" t="s">
        <v>44</v>
      </c>
      <c r="F54" s="48" t="str">
        <f t="shared" ca="1" si="3"/>
        <v>GBP-SpreadFra-2871D-3D</v>
      </c>
      <c r="G54" s="49">
        <v>0.01</v>
      </c>
      <c r="H54" s="21" t="s">
        <v>20</v>
      </c>
      <c r="I54" s="21" t="s">
        <v>64</v>
      </c>
    </row>
    <row r="55" spans="1:9">
      <c r="A55" s="60" t="s">
        <v>69</v>
      </c>
    </row>
    <row r="56" spans="1:9">
      <c r="A56">
        <f t="array" aca="1" ref="A56:B92" ca="1">_xll.HLV5r3.Financial.Cache.GetDaysAndRates($A$1, $B$5,$A$55)</f>
        <v>0</v>
      </c>
      <c r="B56" s="65">
        <f ca="1"/>
        <v>7.3153687805029399E-2</v>
      </c>
      <c r="C56" s="61">
        <f t="array" aca="1" ref="C56:D92" ca="1">_xll.HLV5r3.Financial.Cache.GetTermCurve(A1)</f>
        <v>43149</v>
      </c>
      <c r="D56">
        <f ca="1"/>
        <v>1</v>
      </c>
      <c r="F56">
        <f t="array" aca="1" ref="F56:G92" ca="1">_xll.HLV5r3.Financial.Cache.GetDaysAndRates($F$1, $B$5,$A$55)</f>
        <v>0</v>
      </c>
      <c r="G56" s="65">
        <f ca="1"/>
        <v>7.3153687805029399E-2</v>
      </c>
      <c r="H56" s="61">
        <f t="array" aca="1" ref="H56:I92" ca="1">_xll.HLV5r3.Financial.Cache.GetTermCurve(F1)</f>
        <v>43149</v>
      </c>
      <c r="I56">
        <f ca="1"/>
        <v>1</v>
      </c>
    </row>
    <row r="57" spans="1:9">
      <c r="A57">
        <f ca="1"/>
        <v>1</v>
      </c>
      <c r="B57" s="65">
        <f ca="1"/>
        <v>7.3153687805029399E-2</v>
      </c>
      <c r="C57" s="61">
        <f ca="1"/>
        <v>43150</v>
      </c>
      <c r="D57">
        <f ca="1"/>
        <v>0.99980140930910999</v>
      </c>
      <c r="F57">
        <f ca="1"/>
        <v>1</v>
      </c>
      <c r="G57" s="65">
        <f ca="1"/>
        <v>7.3153687805029399E-2</v>
      </c>
      <c r="H57" s="61">
        <f ca="1"/>
        <v>43150</v>
      </c>
      <c r="I57">
        <f ca="1"/>
        <v>0.99980140930910999</v>
      </c>
    </row>
    <row r="58" spans="1:9">
      <c r="A58">
        <f ca="1"/>
        <v>8</v>
      </c>
      <c r="B58" s="65">
        <f ca="1"/>
        <v>7.5848251316281257E-2</v>
      </c>
      <c r="C58" s="61">
        <f ca="1"/>
        <v>43157</v>
      </c>
      <c r="D58">
        <f ca="1"/>
        <v>0.99835449297814904</v>
      </c>
      <c r="F58">
        <f ca="1"/>
        <v>8</v>
      </c>
      <c r="G58" s="65">
        <f ca="1"/>
        <v>7.5848251316281257E-2</v>
      </c>
      <c r="H58" s="61">
        <f ca="1"/>
        <v>43157</v>
      </c>
      <c r="I58">
        <f ca="1"/>
        <v>0.99835449297814904</v>
      </c>
    </row>
    <row r="59" spans="1:9">
      <c r="A59">
        <f ca="1"/>
        <v>15</v>
      </c>
      <c r="B59" s="65">
        <f ca="1"/>
        <v>7.6978764306630865E-2</v>
      </c>
      <c r="C59" s="61">
        <f ca="1"/>
        <v>43164</v>
      </c>
      <c r="D59">
        <f ca="1"/>
        <v>0.99687144868813804</v>
      </c>
      <c r="F59">
        <f ca="1"/>
        <v>15</v>
      </c>
      <c r="G59" s="65">
        <f ca="1"/>
        <v>7.6978764306630865E-2</v>
      </c>
      <c r="H59" s="61">
        <f ca="1"/>
        <v>43164</v>
      </c>
      <c r="I59">
        <f ca="1"/>
        <v>0.99687144868813804</v>
      </c>
    </row>
    <row r="60" spans="1:9">
      <c r="A60">
        <f ca="1"/>
        <v>29</v>
      </c>
      <c r="B60" s="65">
        <f ca="1"/>
        <v>7.7557430908684388E-2</v>
      </c>
      <c r="C60" s="61">
        <f ca="1"/>
        <v>43178</v>
      </c>
      <c r="D60">
        <f ca="1"/>
        <v>0.99391546735334901</v>
      </c>
      <c r="F60">
        <f ca="1"/>
        <v>29</v>
      </c>
      <c r="G60" s="65">
        <f ca="1"/>
        <v>7.7557430908684388E-2</v>
      </c>
      <c r="H60" s="61">
        <f ca="1"/>
        <v>43178</v>
      </c>
      <c r="I60">
        <f ca="1"/>
        <v>0.99391546735334901</v>
      </c>
    </row>
    <row r="61" spans="1:9">
      <c r="A61">
        <f ca="1"/>
        <v>59</v>
      </c>
      <c r="B61" s="65">
        <f ca="1"/>
        <v>7.6984578985009655E-2</v>
      </c>
      <c r="C61" s="61">
        <f ca="1"/>
        <v>43208</v>
      </c>
      <c r="D61">
        <f ca="1"/>
        <v>0.98774980513928901</v>
      </c>
      <c r="F61">
        <f ca="1"/>
        <v>59</v>
      </c>
      <c r="G61" s="65">
        <f ca="1"/>
        <v>7.6984578985009655E-2</v>
      </c>
      <c r="H61" s="61">
        <f ca="1"/>
        <v>43208</v>
      </c>
      <c r="I61">
        <f ca="1"/>
        <v>0.98774980513928901</v>
      </c>
    </row>
    <row r="62" spans="1:9">
      <c r="A62">
        <f ca="1"/>
        <v>89</v>
      </c>
      <c r="B62" s="65">
        <f ca="1"/>
        <v>7.6743034737388527E-2</v>
      </c>
      <c r="C62" s="61">
        <f ca="1"/>
        <v>43238</v>
      </c>
      <c r="D62">
        <f ca="1"/>
        <v>0.98163528470549699</v>
      </c>
      <c r="F62">
        <f ca="1"/>
        <v>89</v>
      </c>
      <c r="G62" s="65">
        <f ca="1"/>
        <v>7.6743034737388527E-2</v>
      </c>
      <c r="H62" s="61">
        <f ca="1"/>
        <v>43238</v>
      </c>
      <c r="I62">
        <f ca="1"/>
        <v>0.98163528470549699</v>
      </c>
    </row>
    <row r="63" spans="1:9">
      <c r="A63">
        <f ca="1"/>
        <v>123</v>
      </c>
      <c r="B63" s="65">
        <f ca="1"/>
        <v>7.7412372137879437E-2</v>
      </c>
      <c r="C63" s="61">
        <f ca="1"/>
        <v>43272</v>
      </c>
      <c r="D63">
        <f ca="1"/>
        <v>0.97449324861483499</v>
      </c>
      <c r="F63">
        <f ca="1"/>
        <v>123</v>
      </c>
      <c r="G63" s="65">
        <f ca="1"/>
        <v>7.7414303844273391E-2</v>
      </c>
      <c r="H63" s="61">
        <f ca="1"/>
        <v>43272</v>
      </c>
      <c r="I63">
        <f ca="1"/>
        <v>0.97449262630407196</v>
      </c>
    </row>
    <row r="64" spans="1:9">
      <c r="A64">
        <f ca="1"/>
        <v>214</v>
      </c>
      <c r="B64" s="65">
        <f ca="1"/>
        <v>7.8112061699235014E-2</v>
      </c>
      <c r="C64" s="61">
        <f ca="1"/>
        <v>43363</v>
      </c>
      <c r="D64">
        <f ca="1"/>
        <v>0.95565741562190498</v>
      </c>
      <c r="F64">
        <f ca="1"/>
        <v>214</v>
      </c>
      <c r="G64" s="65">
        <f ca="1"/>
        <v>7.8119639020775899E-2</v>
      </c>
      <c r="H64" s="61">
        <f ca="1"/>
        <v>43363</v>
      </c>
      <c r="I64">
        <f ca="1"/>
        <v>0.95565325135702806</v>
      </c>
    </row>
    <row r="65" spans="1:9">
      <c r="A65">
        <f ca="1"/>
        <v>304</v>
      </c>
      <c r="B65" s="65">
        <f ca="1"/>
        <v>7.8471844677808988E-2</v>
      </c>
      <c r="C65" s="61">
        <f ca="1"/>
        <v>43453</v>
      </c>
      <c r="D65">
        <f ca="1"/>
        <v>0.93732561798044001</v>
      </c>
      <c r="F65">
        <f ca="1"/>
        <v>304</v>
      </c>
      <c r="G65" s="65">
        <f ca="1"/>
        <v>7.8487342944325356E-2</v>
      </c>
      <c r="H65" s="61">
        <f ca="1"/>
        <v>43453</v>
      </c>
      <c r="I65">
        <f ca="1"/>
        <v>0.93731375173629505</v>
      </c>
    </row>
    <row r="66" spans="1:9">
      <c r="A66">
        <f ca="1"/>
        <v>394</v>
      </c>
      <c r="B66" s="65">
        <f ca="1"/>
        <v>7.8587305171564203E-2</v>
      </c>
      <c r="C66" s="61">
        <f ca="1"/>
        <v>43543</v>
      </c>
      <c r="D66">
        <f ca="1"/>
        <v>0.91942330085080204</v>
      </c>
      <c r="F66">
        <f ca="1"/>
        <v>394</v>
      </c>
      <c r="G66" s="65">
        <f ca="1"/>
        <v>7.8612665944501892E-2</v>
      </c>
      <c r="H66" s="61">
        <f ca="1"/>
        <v>43543</v>
      </c>
      <c r="I66">
        <f ca="1"/>
        <v>0.91939861634727005</v>
      </c>
    </row>
    <row r="67" spans="1:9">
      <c r="A67">
        <f ca="1"/>
        <v>487</v>
      </c>
      <c r="B67" s="65">
        <f ca="1"/>
        <v>7.8530942555889105E-2</v>
      </c>
      <c r="C67" s="61">
        <f ca="1"/>
        <v>43636</v>
      </c>
      <c r="D67">
        <f ca="1"/>
        <v>0.90143769371517901</v>
      </c>
      <c r="F67">
        <f ca="1"/>
        <v>487</v>
      </c>
      <c r="G67" s="65">
        <f ca="1"/>
        <v>7.8568422402409688E-2</v>
      </c>
      <c r="H67" s="61">
        <f ca="1"/>
        <v>43636</v>
      </c>
      <c r="I67">
        <f ca="1"/>
        <v>0.90139348445988299</v>
      </c>
    </row>
    <row r="68" spans="1:9">
      <c r="A68">
        <f ca="1"/>
        <v>578</v>
      </c>
      <c r="B68" s="65">
        <f ca="1"/>
        <v>7.8338102356928729E-2</v>
      </c>
      <c r="C68" s="61">
        <f ca="1"/>
        <v>43727</v>
      </c>
      <c r="D68">
        <f ca="1"/>
        <v>0.88439270067597198</v>
      </c>
      <c r="F68">
        <f ca="1"/>
        <v>578</v>
      </c>
      <c r="G68" s="65">
        <f ca="1"/>
        <v>7.83889752494904E-2</v>
      </c>
      <c r="H68" s="61">
        <f ca="1"/>
        <v>43727</v>
      </c>
      <c r="I68">
        <f ca="1"/>
        <v>0.88432282541325102</v>
      </c>
    </row>
    <row r="69" spans="1:9">
      <c r="A69">
        <f ca="1"/>
        <v>668</v>
      </c>
      <c r="B69" s="65">
        <f ca="1"/>
        <v>7.806777321529168E-2</v>
      </c>
      <c r="C69" s="61">
        <f ca="1"/>
        <v>43817</v>
      </c>
      <c r="D69">
        <f ca="1"/>
        <v>0.86805659946049096</v>
      </c>
      <c r="F69">
        <f ca="1"/>
        <v>668</v>
      </c>
      <c r="G69" s="65">
        <f ca="1"/>
        <v>7.8133224220291453E-2</v>
      </c>
      <c r="H69" s="61">
        <f ca="1"/>
        <v>43817</v>
      </c>
      <c r="I69">
        <f ca="1"/>
        <v>0.86795461722784895</v>
      </c>
    </row>
    <row r="70" spans="1:9">
      <c r="A70">
        <f ca="1"/>
        <v>759</v>
      </c>
      <c r="B70" s="65">
        <f ca="1"/>
        <v>7.7706589140760229E-2</v>
      </c>
      <c r="C70" s="61">
        <f ca="1"/>
        <v>43908</v>
      </c>
      <c r="D70">
        <f ca="1"/>
        <v>0.85211173691741704</v>
      </c>
      <c r="F70">
        <f ca="1"/>
        <v>759</v>
      </c>
      <c r="G70" s="65">
        <f ca="1"/>
        <v>7.778782112199778E-2</v>
      </c>
      <c r="H70" s="61">
        <f ca="1"/>
        <v>43908</v>
      </c>
      <c r="I70">
        <f ca="1"/>
        <v>0.85197055592940396</v>
      </c>
    </row>
    <row r="71" spans="1:9">
      <c r="A71">
        <f ca="1"/>
        <v>1096</v>
      </c>
      <c r="B71" s="65">
        <f ca="1"/>
        <v>7.3323380284286976E-2</v>
      </c>
      <c r="C71" s="61">
        <f ca="1"/>
        <v>44245</v>
      </c>
      <c r="D71">
        <f ca="1"/>
        <v>0.80398280824707502</v>
      </c>
      <c r="F71">
        <f ca="1"/>
        <v>1096</v>
      </c>
      <c r="G71" s="65">
        <f ca="1"/>
        <v>7.331908903223372E-2</v>
      </c>
      <c r="H71" s="61">
        <f ca="1"/>
        <v>44245</v>
      </c>
      <c r="I71">
        <f ca="1"/>
        <v>0.80399298156352905</v>
      </c>
    </row>
    <row r="72" spans="1:9">
      <c r="A72">
        <f ca="1"/>
        <v>1461</v>
      </c>
      <c r="B72" s="65">
        <f ca="1"/>
        <v>7.5096328307056481E-2</v>
      </c>
      <c r="C72" s="61">
        <f ca="1"/>
        <v>44610</v>
      </c>
      <c r="D72">
        <f ca="1"/>
        <v>0.74244668013383197</v>
      </c>
      <c r="F72">
        <f ca="1"/>
        <v>1461</v>
      </c>
      <c r="G72" s="65">
        <f ca="1"/>
        <v>7.5093022939460852E-2</v>
      </c>
      <c r="H72" s="61">
        <f ca="1"/>
        <v>44610</v>
      </c>
      <c r="I72">
        <f ca="1"/>
        <v>0.74245632214198898</v>
      </c>
    </row>
    <row r="73" spans="1:9">
      <c r="A73">
        <f ca="1"/>
        <v>1828</v>
      </c>
      <c r="B73" s="65">
        <f ca="1"/>
        <v>7.3871129487280029E-2</v>
      </c>
      <c r="C73" s="61">
        <f ca="1"/>
        <v>44977</v>
      </c>
      <c r="D73">
        <f ca="1"/>
        <v>0.69309507438608198</v>
      </c>
      <c r="F73">
        <f ca="1"/>
        <v>1828</v>
      </c>
      <c r="G73" s="65">
        <f ca="1"/>
        <v>7.3868540165188179E-2</v>
      </c>
      <c r="H73" s="61">
        <f ca="1"/>
        <v>44977</v>
      </c>
      <c r="I73">
        <f ca="1"/>
        <v>0.69310389944927098</v>
      </c>
    </row>
    <row r="74" spans="1:9">
      <c r="A74">
        <f ca="1"/>
        <v>2192</v>
      </c>
      <c r="B74" s="65">
        <f ca="1"/>
        <v>7.3527309740359925E-2</v>
      </c>
      <c r="C74" s="61">
        <f ca="1"/>
        <v>45341</v>
      </c>
      <c r="D74">
        <f ca="1"/>
        <v>0.64561146461448704</v>
      </c>
      <c r="F74">
        <f ca="1"/>
        <v>2192</v>
      </c>
      <c r="G74" s="65">
        <f ca="1"/>
        <v>7.3525164331868176E-2</v>
      </c>
      <c r="H74" s="61">
        <f ca="1"/>
        <v>45341</v>
      </c>
      <c r="I74">
        <f ca="1"/>
        <v>0.64561963271616296</v>
      </c>
    </row>
    <row r="75" spans="1:9">
      <c r="A75">
        <f ca="1"/>
        <v>2557</v>
      </c>
      <c r="B75" s="65">
        <f ca="1"/>
        <v>7.3165959235507394E-2</v>
      </c>
      <c r="C75" s="61">
        <f ca="1"/>
        <v>45706</v>
      </c>
      <c r="D75">
        <f ca="1"/>
        <v>0.60173914095348602</v>
      </c>
      <c r="F75">
        <f ca="1"/>
        <v>2557</v>
      </c>
      <c r="G75" s="65">
        <f ca="1"/>
        <v>7.3164132860799924E-2</v>
      </c>
      <c r="H75" s="61">
        <f ca="1"/>
        <v>45706</v>
      </c>
      <c r="I75">
        <f ca="1"/>
        <v>0.60174670173556599</v>
      </c>
    </row>
    <row r="76" spans="1:9">
      <c r="A76">
        <f ca="1"/>
        <v>2922</v>
      </c>
      <c r="B76" s="65">
        <f ca="1"/>
        <v>7.2789804798550684E-2</v>
      </c>
      <c r="C76" s="61">
        <f ca="1"/>
        <v>46071</v>
      </c>
      <c r="D76">
        <f ca="1"/>
        <v>0.56131178665735204</v>
      </c>
      <c r="F76">
        <f ca="1"/>
        <v>2922</v>
      </c>
      <c r="G76" s="65">
        <f ca="1"/>
        <v>7.2788218526275372E-2</v>
      </c>
      <c r="H76" s="61">
        <f ca="1"/>
        <v>46071</v>
      </c>
      <c r="I76">
        <f ca="1"/>
        <v>0.56131878733418406</v>
      </c>
    </row>
    <row r="77" spans="1:9">
      <c r="A77">
        <f ca="1"/>
        <v>3287</v>
      </c>
      <c r="B77" s="65">
        <f ca="1"/>
        <v>7.1313426074146591E-2</v>
      </c>
      <c r="C77" s="61">
        <f ca="1"/>
        <v>46436</v>
      </c>
      <c r="D77">
        <f ca="1"/>
        <v>0.52911263462078195</v>
      </c>
      <c r="F77">
        <f ca="1"/>
        <v>3287</v>
      </c>
      <c r="G77" s="65">
        <f ca="1"/>
        <v>7.131205578480504E-2</v>
      </c>
      <c r="H77" s="61">
        <f ca="1"/>
        <v>46436</v>
      </c>
      <c r="I77">
        <f ca="1"/>
        <v>0.52911904960232603</v>
      </c>
    </row>
    <row r="78" spans="1:9">
      <c r="A78">
        <f ca="1"/>
        <v>3652</v>
      </c>
      <c r="B78" s="65">
        <f ca="1"/>
        <v>6.9321286419121719E-2</v>
      </c>
      <c r="C78" s="61">
        <f ca="1"/>
        <v>46801</v>
      </c>
      <c r="D78">
        <f ca="1"/>
        <v>0.50275557458384101</v>
      </c>
      <c r="F78">
        <f ca="1"/>
        <v>3652</v>
      </c>
      <c r="G78" s="65">
        <f ca="1"/>
        <v>6.9320102500775249E-2</v>
      </c>
      <c r="H78" s="61">
        <f ca="1"/>
        <v>46801</v>
      </c>
      <c r="I78">
        <f ca="1"/>
        <v>0.50276142864361695</v>
      </c>
    </row>
    <row r="79" spans="1:9">
      <c r="A79">
        <f ca="1"/>
        <v>5479</v>
      </c>
      <c r="B79" s="65">
        <f ca="1"/>
        <v>6.691645624928011E-2</v>
      </c>
      <c r="C79" s="61">
        <f ca="1"/>
        <v>48628</v>
      </c>
      <c r="D79">
        <f ca="1"/>
        <v>0.36929086679179102</v>
      </c>
      <c r="F79">
        <f ca="1"/>
        <v>5479</v>
      </c>
      <c r="G79" s="65">
        <f ca="1"/>
        <v>6.6915717206724068E-2</v>
      </c>
      <c r="H79" s="61">
        <f ca="1"/>
        <v>48628</v>
      </c>
      <c r="I79">
        <f ca="1"/>
        <v>0.36929489622163503</v>
      </c>
    </row>
    <row r="80" spans="1:9">
      <c r="A80">
        <f ca="1"/>
        <v>7305</v>
      </c>
      <c r="B80" s="65">
        <f ca="1"/>
        <v>6.3733097442557174E-2</v>
      </c>
      <c r="C80" s="61">
        <f ca="1"/>
        <v>50454</v>
      </c>
      <c r="D80">
        <f ca="1"/>
        <v>0.28210386889834899</v>
      </c>
      <c r="F80">
        <f ca="1"/>
        <v>7305</v>
      </c>
      <c r="G80" s="65">
        <f ca="1"/>
        <v>6.3732595010967508E-2</v>
      </c>
      <c r="H80" s="61">
        <f ca="1"/>
        <v>50454</v>
      </c>
      <c r="I80">
        <f ca="1"/>
        <v>0.28210666112280303</v>
      </c>
    </row>
    <row r="81" spans="1:9">
      <c r="A81" t="e">
        <f ca="1"/>
        <v>#N/A</v>
      </c>
      <c r="B81" s="65" t="e">
        <f ca="1"/>
        <v>#N/A</v>
      </c>
      <c r="C81" s="73" t="e">
        <f ca="1"/>
        <v>#N/A</v>
      </c>
      <c r="D81" t="e">
        <f ca="1"/>
        <v>#N/A</v>
      </c>
      <c r="F81" t="e">
        <f ca="1"/>
        <v>#N/A</v>
      </c>
      <c r="G81" s="65" t="e">
        <f ca="1"/>
        <v>#N/A</v>
      </c>
      <c r="H81" s="73" t="e">
        <f ca="1"/>
        <v>#N/A</v>
      </c>
      <c r="I81" t="e">
        <f ca="1"/>
        <v>#N/A</v>
      </c>
    </row>
    <row r="82" spans="1:9">
      <c r="A82" t="e">
        <f ca="1"/>
        <v>#N/A</v>
      </c>
      <c r="B82" s="65" t="e">
        <f ca="1"/>
        <v>#N/A</v>
      </c>
      <c r="C82" s="73" t="e">
        <f ca="1"/>
        <v>#N/A</v>
      </c>
      <c r="D82" t="e">
        <f ca="1"/>
        <v>#N/A</v>
      </c>
      <c r="F82" t="e">
        <f ca="1"/>
        <v>#N/A</v>
      </c>
      <c r="G82" s="65" t="e">
        <f ca="1"/>
        <v>#N/A</v>
      </c>
      <c r="H82" s="73" t="e">
        <f ca="1"/>
        <v>#N/A</v>
      </c>
      <c r="I82" t="e">
        <f ca="1"/>
        <v>#N/A</v>
      </c>
    </row>
    <row r="83" spans="1:9">
      <c r="A83" t="e">
        <f ca="1"/>
        <v>#N/A</v>
      </c>
      <c r="B83" s="65" t="e">
        <f ca="1"/>
        <v>#N/A</v>
      </c>
      <c r="C83" s="73" t="e">
        <f ca="1"/>
        <v>#N/A</v>
      </c>
      <c r="D83" t="e">
        <f ca="1"/>
        <v>#N/A</v>
      </c>
      <c r="F83" t="e">
        <f ca="1"/>
        <v>#N/A</v>
      </c>
      <c r="G83" s="65" t="e">
        <f ca="1"/>
        <v>#N/A</v>
      </c>
      <c r="H83" s="73" t="e">
        <f ca="1"/>
        <v>#N/A</v>
      </c>
      <c r="I83" t="e">
        <f ca="1"/>
        <v>#N/A</v>
      </c>
    </row>
    <row r="84" spans="1:9">
      <c r="A84" t="e">
        <f ca="1"/>
        <v>#N/A</v>
      </c>
      <c r="B84" s="65" t="e">
        <f ca="1"/>
        <v>#N/A</v>
      </c>
      <c r="C84" s="73" t="e">
        <f ca="1"/>
        <v>#N/A</v>
      </c>
      <c r="D84" t="e">
        <f ca="1"/>
        <v>#N/A</v>
      </c>
      <c r="F84" t="e">
        <f ca="1"/>
        <v>#N/A</v>
      </c>
      <c r="G84" s="65" t="e">
        <f ca="1"/>
        <v>#N/A</v>
      </c>
      <c r="H84" s="73" t="e">
        <f ca="1"/>
        <v>#N/A</v>
      </c>
      <c r="I84" t="e">
        <f ca="1"/>
        <v>#N/A</v>
      </c>
    </row>
    <row r="85" spans="1:9">
      <c r="A85" t="e">
        <f ca="1"/>
        <v>#N/A</v>
      </c>
      <c r="B85" s="65" t="e">
        <f ca="1"/>
        <v>#N/A</v>
      </c>
      <c r="C85" s="73" t="e">
        <f ca="1"/>
        <v>#N/A</v>
      </c>
      <c r="D85" t="e">
        <f ca="1"/>
        <v>#N/A</v>
      </c>
      <c r="F85" t="e">
        <f ca="1"/>
        <v>#N/A</v>
      </c>
      <c r="G85" s="65" t="e">
        <f ca="1"/>
        <v>#N/A</v>
      </c>
      <c r="H85" s="73" t="e">
        <f ca="1"/>
        <v>#N/A</v>
      </c>
      <c r="I85" t="e">
        <f ca="1"/>
        <v>#N/A</v>
      </c>
    </row>
    <row r="86" spans="1:9">
      <c r="A86" t="e">
        <f ca="1"/>
        <v>#N/A</v>
      </c>
      <c r="B86" s="65" t="e">
        <f ca="1"/>
        <v>#N/A</v>
      </c>
      <c r="C86" s="73" t="e">
        <f ca="1"/>
        <v>#N/A</v>
      </c>
      <c r="D86" t="e">
        <f ca="1"/>
        <v>#N/A</v>
      </c>
      <c r="F86" t="e">
        <f ca="1"/>
        <v>#N/A</v>
      </c>
      <c r="G86" s="65" t="e">
        <f ca="1"/>
        <v>#N/A</v>
      </c>
      <c r="H86" s="73" t="e">
        <f ca="1"/>
        <v>#N/A</v>
      </c>
      <c r="I86" t="e">
        <f ca="1"/>
        <v>#N/A</v>
      </c>
    </row>
    <row r="87" spans="1:9">
      <c r="A87" t="e">
        <f ca="1"/>
        <v>#N/A</v>
      </c>
      <c r="B87" s="65" t="e">
        <f ca="1"/>
        <v>#N/A</v>
      </c>
      <c r="C87" s="73" t="e">
        <f ca="1"/>
        <v>#N/A</v>
      </c>
      <c r="D87" t="e">
        <f ca="1"/>
        <v>#N/A</v>
      </c>
      <c r="F87" t="e">
        <f ca="1"/>
        <v>#N/A</v>
      </c>
      <c r="G87" s="65" t="e">
        <f ca="1"/>
        <v>#N/A</v>
      </c>
      <c r="H87" s="73" t="e">
        <f ca="1"/>
        <v>#N/A</v>
      </c>
      <c r="I87" t="e">
        <f ca="1"/>
        <v>#N/A</v>
      </c>
    </row>
    <row r="88" spans="1:9">
      <c r="A88" t="e">
        <f ca="1"/>
        <v>#N/A</v>
      </c>
      <c r="B88" s="65" t="e">
        <f ca="1"/>
        <v>#N/A</v>
      </c>
      <c r="C88" s="73" t="e">
        <f ca="1"/>
        <v>#N/A</v>
      </c>
      <c r="D88" t="e">
        <f ca="1"/>
        <v>#N/A</v>
      </c>
      <c r="F88" t="e">
        <f ca="1"/>
        <v>#N/A</v>
      </c>
      <c r="G88" s="65" t="e">
        <f ca="1"/>
        <v>#N/A</v>
      </c>
      <c r="H88" s="73" t="e">
        <f ca="1"/>
        <v>#N/A</v>
      </c>
      <c r="I88" t="e">
        <f ca="1"/>
        <v>#N/A</v>
      </c>
    </row>
    <row r="89" spans="1:9">
      <c r="A89" t="e">
        <f ca="1"/>
        <v>#N/A</v>
      </c>
      <c r="B89" s="73" t="e">
        <f ca="1"/>
        <v>#N/A</v>
      </c>
      <c r="C89" s="73" t="e">
        <f ca="1"/>
        <v>#N/A</v>
      </c>
      <c r="D89" t="e">
        <f ca="1"/>
        <v>#N/A</v>
      </c>
      <c r="F89" t="e">
        <f ca="1"/>
        <v>#N/A</v>
      </c>
      <c r="G89" s="73" t="e">
        <f ca="1"/>
        <v>#N/A</v>
      </c>
      <c r="H89" s="73" t="e">
        <f ca="1"/>
        <v>#N/A</v>
      </c>
      <c r="I89" t="e">
        <f ca="1"/>
        <v>#N/A</v>
      </c>
    </row>
    <row r="90" spans="1:9">
      <c r="A90" t="e">
        <f ca="1"/>
        <v>#N/A</v>
      </c>
      <c r="B90" s="73" t="e">
        <f ca="1"/>
        <v>#N/A</v>
      </c>
      <c r="C90" s="73" t="e">
        <f ca="1"/>
        <v>#N/A</v>
      </c>
      <c r="D90" t="e">
        <f ca="1"/>
        <v>#N/A</v>
      </c>
      <c r="F90" t="e">
        <f ca="1"/>
        <v>#N/A</v>
      </c>
      <c r="G90" s="73" t="e">
        <f ca="1"/>
        <v>#N/A</v>
      </c>
      <c r="H90" s="73" t="e">
        <f ca="1"/>
        <v>#N/A</v>
      </c>
      <c r="I90" t="e">
        <f ca="1"/>
        <v>#N/A</v>
      </c>
    </row>
    <row r="91" spans="1:9">
      <c r="A91" t="e">
        <f ca="1"/>
        <v>#N/A</v>
      </c>
      <c r="B91" s="73" t="e">
        <f ca="1"/>
        <v>#N/A</v>
      </c>
      <c r="C91" s="73" t="e">
        <f ca="1"/>
        <v>#N/A</v>
      </c>
      <c r="D91" t="e">
        <f ca="1"/>
        <v>#N/A</v>
      </c>
      <c r="F91" t="e">
        <f ca="1"/>
        <v>#N/A</v>
      </c>
      <c r="G91" s="73" t="e">
        <f ca="1"/>
        <v>#N/A</v>
      </c>
      <c r="H91" s="73" t="e">
        <f ca="1"/>
        <v>#N/A</v>
      </c>
      <c r="I91" t="e">
        <f ca="1"/>
        <v>#N/A</v>
      </c>
    </row>
    <row r="92" spans="1:9">
      <c r="A92" t="e">
        <f ca="1"/>
        <v>#N/A</v>
      </c>
      <c r="B92" s="73" t="e">
        <f ca="1"/>
        <v>#N/A</v>
      </c>
      <c r="C92" s="73" t="e">
        <f ca="1"/>
        <v>#N/A</v>
      </c>
      <c r="D92" t="e">
        <f ca="1"/>
        <v>#N/A</v>
      </c>
      <c r="F92" t="e">
        <f ca="1"/>
        <v>#N/A</v>
      </c>
      <c r="G92" s="73" t="e">
        <f ca="1"/>
        <v>#N/A</v>
      </c>
      <c r="H92" s="73" t="e">
        <f ca="1"/>
        <v>#N/A</v>
      </c>
      <c r="I92" t="e">
        <f ca="1"/>
        <v>#N/A</v>
      </c>
    </row>
    <row r="93" spans="1:9">
      <c r="A93"/>
      <c r="B93" s="73"/>
      <c r="C93" s="73"/>
    </row>
    <row r="94" spans="1:9">
      <c r="A94"/>
      <c r="B94" s="73"/>
      <c r="C94" s="73"/>
    </row>
  </sheetData>
  <protectedRanges>
    <protectedRange sqref="B10 A47 A43:A44 G10" name="Range2_1"/>
  </protectedRanges>
  <mergeCells count="2">
    <mergeCell ref="A1:B1"/>
    <mergeCell ref="F1:G1"/>
  </mergeCells>
  <phoneticPr fontId="2" type="noConversion"/>
  <dataValidations count="3">
    <dataValidation type="list" allowBlank="1" showInputMessage="1" showErrorMessage="1" sqref="B41" xr:uid="{00000000-0002-0000-0100-000000000000}">
      <formula1>$B$43:$B$44</formula1>
    </dataValidation>
    <dataValidation type="list" allowBlank="1" showInputMessage="1" showErrorMessage="1" sqref="G10 B10" xr:uid="{00000000-0002-0000-0100-000001000000}">
      <formula1>$A$43:$A$47</formula1>
    </dataValidation>
    <dataValidation type="list" allowBlank="1" showInputMessage="1" showErrorMessage="1" sqref="A55" xr:uid="{00000000-0002-0000-0100-000002000000}">
      <formula1>$B$50:$B$54</formula1>
    </dataValidation>
  </dataValidations>
  <hyperlinks>
    <hyperlink ref="D65" r:id="rId1" display="alex.watt@nab.com.au" xr:uid="{00000000-0004-0000-0100-000000000000}"/>
    <hyperlink ref="I65" r:id="rId2" display="alex.watt@nab.com.au" xr:uid="{00000000-0004-0000-0100-000001000000}"/>
  </hyperlinks>
  <pageMargins left="0.75" right="0.75" top="1" bottom="1" header="0.5" footer="0.5"/>
  <pageSetup paperSize="9" scale="60" orientation="landscape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58"/>
  <sheetViews>
    <sheetView workbookViewId="0">
      <selection activeCell="K2" sqref="K2"/>
    </sheetView>
  </sheetViews>
  <sheetFormatPr defaultColWidth="9.140625" defaultRowHeight="11.25"/>
  <cols>
    <col min="1" max="1" width="8.7109375" style="11" bestFit="1" customWidth="1"/>
    <col min="2" max="2" width="5.42578125" style="75" bestFit="1" customWidth="1"/>
    <col min="3" max="6" width="5.42578125" style="11" bestFit="1" customWidth="1"/>
    <col min="7" max="11" width="10.42578125" style="11" bestFit="1" customWidth="1"/>
    <col min="12" max="16384" width="9.140625" style="11"/>
  </cols>
  <sheetData>
    <row r="1" spans="1:11" s="85" customFormat="1" ht="185.25" thickBot="1">
      <c r="A1" s="83" t="s">
        <v>17</v>
      </c>
      <c r="B1" s="84" t="str">
        <f ca="1">AUDCurve!B1</f>
        <v>Market.LIVE.RateCurve.AUD-LIBOR-BBA-3M</v>
      </c>
      <c r="C1" s="83" t="str">
        <f ca="1">AUDCurve!F1</f>
        <v>Market.LIVE.RateCurve.AUD-LIBOR-BBA-6M</v>
      </c>
      <c r="D1" s="83" t="str">
        <f ca="1">AUDCurve!K1</f>
        <v>Market.LIVE.RateCurve.AUD-LIBOR-BBA-1M</v>
      </c>
      <c r="E1" s="83" t="str">
        <f ca="1">GBPCurve!A1</f>
        <v>Market.LIVE.RateCurve.GBP-LIBOR-BBA-3M</v>
      </c>
      <c r="F1" s="83" t="str">
        <f ca="1">GBPCurve!F1</f>
        <v>Market.LIVE.RateCurve.GBP-LIBOR-BBA-1M</v>
      </c>
      <c r="G1" s="83" t="s">
        <v>84</v>
      </c>
      <c r="H1" s="83" t="s">
        <v>85</v>
      </c>
      <c r="I1" s="83" t="s">
        <v>86</v>
      </c>
      <c r="J1" s="83" t="s">
        <v>95</v>
      </c>
      <c r="K1" s="83" t="s">
        <v>96</v>
      </c>
    </row>
    <row r="2" spans="1:11">
      <c r="A2" s="12">
        <f ca="1">AUDCurve!C3</f>
        <v>43149</v>
      </c>
      <c r="B2" s="74">
        <f t="shared" ref="B2:B65" ca="1" si="0">(G2-G3)/($A3-$A2)*365</f>
        <v>1.9998904169657439E-2</v>
      </c>
      <c r="C2" s="74">
        <f t="shared" ref="C2:C65" ca="1" si="1">(H2-H3)/($A3-$A2)*365</f>
        <v>1.9998904169657439E-2</v>
      </c>
      <c r="D2" s="74">
        <f t="shared" ref="D2:D65" ca="1" si="2">(I2-I3)/($A3-$A2)*365</f>
        <v>2.0998791850244114E-2</v>
      </c>
      <c r="E2" s="74">
        <f t="shared" ref="E2:E65" ca="1" si="3">(J2-J3)/($A3-$A2)*365</f>
        <v>7.248560217485378E-2</v>
      </c>
      <c r="F2" s="74">
        <f t="shared" ref="F2:F65" ca="1" si="4">(K2-K3)/($A3-$A2)*365</f>
        <v>7.248560217485378E-2</v>
      </c>
      <c r="G2" s="13">
        <f t="array" aca="1" ref="G2:G358" ca="1">_xll.HLV5r3.Financial.Cache.GetValues(B$1, $A2:$A358)</f>
        <v>1</v>
      </c>
      <c r="H2" s="13">
        <f t="array" aca="1" ref="H2:H358" ca="1">_xll.HLV5r3.Financial.Cache.GetValues(C$1, $A2:$A358)</f>
        <v>1</v>
      </c>
      <c r="I2" s="13">
        <f t="array" aca="1" ref="I2:I358" ca="1">_xll.HLV5r3.Financial.Cache.GetValues(D$1, $A2:$A358)</f>
        <v>1</v>
      </c>
      <c r="J2" s="13">
        <f t="array" aca="1" ref="J2:J358" ca="1">_xll.HLV5r3.Financial.Cache.GetValues(E$1, $A2:$A358)</f>
        <v>1</v>
      </c>
      <c r="K2" s="13">
        <f t="array" aca="1" ref="K2:K358" ca="1">_xll.HLV5r3.Financial.Cache.GetValues(F$1, $A2:$A358)</f>
        <v>1</v>
      </c>
    </row>
    <row r="3" spans="1:11">
      <c r="A3" s="14">
        <f t="shared" ref="A3:A67" ca="1" si="5">A2+1</f>
        <v>43150</v>
      </c>
      <c r="B3" s="74">
        <f t="shared" ca="1" si="0"/>
        <v>2.024688435738442E-2</v>
      </c>
      <c r="C3" s="74">
        <f t="shared" ca="1" si="1"/>
        <v>2.0994018155983118E-2</v>
      </c>
      <c r="D3" s="74">
        <f t="shared" ca="1" si="2"/>
        <v>2.1246569357756262E-2</v>
      </c>
      <c r="E3" s="74">
        <f t="shared" ca="1" si="3"/>
        <v>7.5493187612131196E-2</v>
      </c>
      <c r="F3" s="74">
        <f t="shared" ca="1" si="4"/>
        <v>7.5493187612131196E-2</v>
      </c>
      <c r="G3" s="13">
        <f ca="1"/>
        <v>0.99994520848172697</v>
      </c>
      <c r="H3" s="13">
        <f ca="1"/>
        <v>0.99994520848172697</v>
      </c>
      <c r="I3" s="13">
        <f ca="1"/>
        <v>0.99994246906342399</v>
      </c>
      <c r="J3" s="13">
        <f ca="1"/>
        <v>0.99980140930910999</v>
      </c>
      <c r="K3" s="13">
        <f ca="1"/>
        <v>0.99980140930910999</v>
      </c>
    </row>
    <row r="4" spans="1:11">
      <c r="A4" s="14">
        <f t="shared" ca="1" si="5"/>
        <v>43151</v>
      </c>
      <c r="B4" s="74">
        <f t="shared" ca="1" si="0"/>
        <v>2.0494811520987422E-2</v>
      </c>
      <c r="C4" s="74">
        <f t="shared" ca="1" si="1"/>
        <v>2.099281055886193E-2</v>
      </c>
      <c r="D4" s="74">
        <f t="shared" ca="1" si="2"/>
        <v>2.1494291827873768E-2</v>
      </c>
      <c r="E4" s="74">
        <f t="shared" ca="1" si="3"/>
        <v>7.5477570205514377E-2</v>
      </c>
      <c r="F4" s="74">
        <f t="shared" ca="1" si="4"/>
        <v>7.5477570205514377E-2</v>
      </c>
      <c r="G4" s="13">
        <f ca="1"/>
        <v>0.99988973756567934</v>
      </c>
      <c r="H4" s="13">
        <f ca="1"/>
        <v>0.99988769062376537</v>
      </c>
      <c r="I4" s="13">
        <f ca="1"/>
        <v>0.99988425928436164</v>
      </c>
      <c r="J4" s="13">
        <f ca="1"/>
        <v>0.99959457865811785</v>
      </c>
      <c r="K4" s="13">
        <f ca="1"/>
        <v>0.99959457865811785</v>
      </c>
    </row>
    <row r="5" spans="1:11">
      <c r="A5" s="14">
        <f t="shared" ca="1" si="5"/>
        <v>43152</v>
      </c>
      <c r="B5" s="74">
        <f t="shared" ca="1" si="0"/>
        <v>2.0742685158627872E-2</v>
      </c>
      <c r="C5" s="74">
        <f t="shared" ca="1" si="1"/>
        <v>2.0991603031197403E-2</v>
      </c>
      <c r="D5" s="74">
        <f t="shared" ca="1" si="2"/>
        <v>2.1741958760054803E-2</v>
      </c>
      <c r="E5" s="74">
        <f t="shared" ca="1" si="3"/>
        <v>7.5461956029726496E-2</v>
      </c>
      <c r="F5" s="74">
        <f t="shared" ca="1" si="4"/>
        <v>7.5461956029726496E-2</v>
      </c>
      <c r="G5" s="13">
        <f ca="1"/>
        <v>0.99983358739712869</v>
      </c>
      <c r="H5" s="13">
        <f ca="1"/>
        <v>0.99983017607428903</v>
      </c>
      <c r="I5" s="13">
        <f ca="1"/>
        <v>0.99982537081360034</v>
      </c>
      <c r="J5" s="13">
        <f ca="1"/>
        <v>0.9993877907945411</v>
      </c>
      <c r="K5" s="13">
        <f ca="1"/>
        <v>0.9993877907945411</v>
      </c>
    </row>
    <row r="6" spans="1:11">
      <c r="A6" s="14">
        <f t="shared" ca="1" si="5"/>
        <v>43153</v>
      </c>
      <c r="B6" s="74">
        <f t="shared" ca="1" si="0"/>
        <v>2.0990504768912954E-2</v>
      </c>
      <c r="C6" s="74">
        <f t="shared" ca="1" si="1"/>
        <v>2.099039557298954E-2</v>
      </c>
      <c r="D6" s="74">
        <f t="shared" ca="1" si="2"/>
        <v>2.1989569653514396E-2</v>
      </c>
      <c r="E6" s="74">
        <f t="shared" ca="1" si="3"/>
        <v>7.5446345084038136E-2</v>
      </c>
      <c r="F6" s="74">
        <f t="shared" ca="1" si="4"/>
        <v>7.5446345084038136E-2</v>
      </c>
      <c r="G6" s="13">
        <f ca="1"/>
        <v>0.99977675812272149</v>
      </c>
      <c r="H6" s="13">
        <f ca="1"/>
        <v>0.99977266483310767</v>
      </c>
      <c r="I6" s="13">
        <f ca="1"/>
        <v>0.99976580380329882</v>
      </c>
      <c r="J6" s="13">
        <f ca="1"/>
        <v>0.99918104570952815</v>
      </c>
      <c r="K6" s="13">
        <f ca="1"/>
        <v>0.99918104570952815</v>
      </c>
    </row>
    <row r="7" spans="1:11">
      <c r="A7" s="14">
        <f t="shared" ca="1" si="5"/>
        <v>43154</v>
      </c>
      <c r="B7" s="74">
        <f t="shared" ca="1" si="0"/>
        <v>2.1238269850611946E-2</v>
      </c>
      <c r="C7" s="74">
        <f t="shared" ca="1" si="1"/>
        <v>2.0989188184278862E-2</v>
      </c>
      <c r="D7" s="74">
        <f t="shared" ca="1" si="2"/>
        <v>2.2237124008237519E-2</v>
      </c>
      <c r="E7" s="74">
        <f t="shared" ca="1" si="3"/>
        <v>7.5430737367841449E-2</v>
      </c>
      <c r="F7" s="74">
        <f t="shared" ca="1" si="4"/>
        <v>7.5430737367841449E-2</v>
      </c>
      <c r="G7" s="13">
        <f ca="1"/>
        <v>0.99971924989047789</v>
      </c>
      <c r="H7" s="13">
        <f ca="1"/>
        <v>0.99971515690003099</v>
      </c>
      <c r="I7" s="13">
        <f ca="1"/>
        <v>0.99970555840698783</v>
      </c>
      <c r="J7" s="13">
        <f ca="1"/>
        <v>0.99897434339422941</v>
      </c>
      <c r="K7" s="13">
        <f ca="1"/>
        <v>0.99897434339422941</v>
      </c>
    </row>
    <row r="8" spans="1:11">
      <c r="A8" s="14">
        <f t="shared" ca="1" si="5"/>
        <v>43155</v>
      </c>
      <c r="B8" s="74">
        <f t="shared" ca="1" si="0"/>
        <v>2.1485979902656216E-2</v>
      </c>
      <c r="C8" s="74">
        <f t="shared" ca="1" si="1"/>
        <v>2.09879808649438E-2</v>
      </c>
      <c r="D8" s="74">
        <f t="shared" ca="1" si="2"/>
        <v>2.248462132392548E-2</v>
      </c>
      <c r="E8" s="74">
        <f t="shared" ca="1" si="3"/>
        <v>7.5415132880366498E-2</v>
      </c>
      <c r="F8" s="74">
        <f t="shared" ca="1" si="4"/>
        <v>7.5415132880366498E-2</v>
      </c>
      <c r="G8" s="13">
        <f ca="1"/>
        <v>0.99966106284979128</v>
      </c>
      <c r="H8" s="13">
        <f ca="1"/>
        <v>0.99965765227486858</v>
      </c>
      <c r="I8" s="13">
        <f ca="1"/>
        <v>0.999644634779568</v>
      </c>
      <c r="J8" s="13">
        <f ca="1"/>
        <v>0.99876768383979697</v>
      </c>
      <c r="K8" s="13">
        <f ca="1"/>
        <v>0.99876768383979697</v>
      </c>
    </row>
    <row r="9" spans="1:11">
      <c r="A9" s="14">
        <f t="shared" ca="1" si="5"/>
        <v>43156</v>
      </c>
      <c r="B9" s="74">
        <f t="shared" ca="1" si="0"/>
        <v>2.1733634424179749E-2</v>
      </c>
      <c r="C9" s="74">
        <f t="shared" ca="1" si="1"/>
        <v>2.0986773615105925E-2</v>
      </c>
      <c r="D9" s="74">
        <f t="shared" ca="1" si="2"/>
        <v>2.2732061100968481E-2</v>
      </c>
      <c r="E9" s="74">
        <f t="shared" ca="1" si="3"/>
        <v>7.5399531621127003E-2</v>
      </c>
      <c r="F9" s="74">
        <f t="shared" ca="1" si="4"/>
        <v>7.5399531621127003E-2</v>
      </c>
      <c r="G9" s="13">
        <f ca="1"/>
        <v>0.99960219715142784</v>
      </c>
      <c r="H9" s="13">
        <f ca="1"/>
        <v>0.99960015095743038</v>
      </c>
      <c r="I9" s="13">
        <f ca="1"/>
        <v>0.99958303307731067</v>
      </c>
      <c r="J9" s="13">
        <f ca="1"/>
        <v>0.99856106703738501</v>
      </c>
      <c r="K9" s="13">
        <f ca="1"/>
        <v>0.99856106703738501</v>
      </c>
    </row>
    <row r="10" spans="1:11">
      <c r="A10" s="14">
        <f t="shared" ca="1" si="5"/>
        <v>43157</v>
      </c>
      <c r="B10" s="74">
        <f t="shared" ca="1" si="0"/>
        <v>2.2129234439349776E-2</v>
      </c>
      <c r="C10" s="74">
        <f t="shared" ca="1" si="1"/>
        <v>2.297443784646136E-2</v>
      </c>
      <c r="D10" s="74">
        <f t="shared" ca="1" si="2"/>
        <v>2.3127274251928953E-2</v>
      </c>
      <c r="E10" s="74">
        <f t="shared" ca="1" si="3"/>
        <v>7.737944319397394E-2</v>
      </c>
      <c r="F10" s="74">
        <f t="shared" ca="1" si="4"/>
        <v>7.737944319397394E-2</v>
      </c>
      <c r="G10" s="13">
        <f ca="1"/>
        <v>0.99954265294752598</v>
      </c>
      <c r="H10" s="13">
        <f ca="1"/>
        <v>0.99954265294752598</v>
      </c>
      <c r="I10" s="13">
        <f ca="1"/>
        <v>0.99952075345785596</v>
      </c>
      <c r="J10" s="13">
        <f ca="1"/>
        <v>0.99835449297814904</v>
      </c>
      <c r="K10" s="13">
        <f ca="1"/>
        <v>0.99835449297814904</v>
      </c>
    </row>
    <row r="11" spans="1:11">
      <c r="A11" s="14">
        <f t="shared" ca="1" si="5"/>
        <v>43158</v>
      </c>
      <c r="B11" s="74">
        <f t="shared" ca="1" si="0"/>
        <v>2.2409634590488947E-2</v>
      </c>
      <c r="C11" s="74">
        <f t="shared" ca="1" si="1"/>
        <v>2.297299108942441E-2</v>
      </c>
      <c r="D11" s="74">
        <f t="shared" ca="1" si="2"/>
        <v>2.3407416983182161E-2</v>
      </c>
      <c r="E11" s="74">
        <f t="shared" ca="1" si="3"/>
        <v>7.7363011832102813E-2</v>
      </c>
      <c r="F11" s="74">
        <f t="shared" ca="1" si="4"/>
        <v>7.7363011832102813E-2</v>
      </c>
      <c r="G11" s="13">
        <f ca="1"/>
        <v>0.99948202490796612</v>
      </c>
      <c r="H11" s="13">
        <f ca="1"/>
        <v>0.99947970928219321</v>
      </c>
      <c r="I11" s="13">
        <f ca="1"/>
        <v>0.9994573910626452</v>
      </c>
      <c r="J11" s="13">
        <f ca="1"/>
        <v>0.99814249450364501</v>
      </c>
      <c r="K11" s="13">
        <f ca="1"/>
        <v>0.99814249450364501</v>
      </c>
    </row>
    <row r="12" spans="1:11">
      <c r="A12" s="14">
        <f t="shared" ca="1" si="5"/>
        <v>43159</v>
      </c>
      <c r="B12" s="74">
        <f t="shared" ca="1" si="0"/>
        <v>2.2689968010308759E-2</v>
      </c>
      <c r="C12" s="74">
        <f t="shared" ca="1" si="1"/>
        <v>2.2971544423564527E-2</v>
      </c>
      <c r="D12" s="74">
        <f t="shared" ca="1" si="2"/>
        <v>2.368749072095222E-2</v>
      </c>
      <c r="E12" s="74">
        <f t="shared" ca="1" si="3"/>
        <v>7.7346583959476689E-2</v>
      </c>
      <c r="F12" s="74">
        <f t="shared" ca="1" si="4"/>
        <v>7.7346583959476689E-2</v>
      </c>
      <c r="G12" s="13">
        <f ca="1"/>
        <v>0.99942062864881409</v>
      </c>
      <c r="H12" s="13">
        <f ca="1"/>
        <v>0.99941676958057835</v>
      </c>
      <c r="I12" s="13">
        <f ca="1"/>
        <v>0.99939326115310223</v>
      </c>
      <c r="J12" s="13">
        <f ca="1"/>
        <v>0.99793054104657075</v>
      </c>
      <c r="K12" s="13">
        <f ca="1"/>
        <v>0.99793054104657075</v>
      </c>
    </row>
    <row r="13" spans="1:11">
      <c r="A13" s="14">
        <f t="shared" ca="1" si="5"/>
        <v>43160</v>
      </c>
      <c r="B13" s="74">
        <f t="shared" ca="1" si="0"/>
        <v>2.2970234057489991E-2</v>
      </c>
      <c r="C13" s="74">
        <f t="shared" ca="1" si="1"/>
        <v>2.297009784876014E-2</v>
      </c>
      <c r="D13" s="74">
        <f t="shared" ca="1" si="2"/>
        <v>2.396749482545979E-2</v>
      </c>
      <c r="E13" s="74">
        <f t="shared" ca="1" si="3"/>
        <v>7.733015957520406E-2</v>
      </c>
      <c r="F13" s="74">
        <f t="shared" ca="1" si="4"/>
        <v>7.733015957520406E-2</v>
      </c>
      <c r="G13" s="13">
        <f ca="1"/>
        <v>0.99935846435289544</v>
      </c>
      <c r="H13" s="13">
        <f ca="1"/>
        <v>0.99935383384243159</v>
      </c>
      <c r="I13" s="13">
        <f ca="1"/>
        <v>0.99932836391825031</v>
      </c>
      <c r="J13" s="13">
        <f ca="1"/>
        <v>0.99771863259736671</v>
      </c>
      <c r="K13" s="13">
        <f ca="1"/>
        <v>0.99771863259736671</v>
      </c>
    </row>
    <row r="14" spans="1:11">
      <c r="A14" s="14">
        <f t="shared" ca="1" si="5"/>
        <v>43161</v>
      </c>
      <c r="B14" s="74">
        <f t="shared" ca="1" si="0"/>
        <v>2.3250432091321271E-2</v>
      </c>
      <c r="C14" s="74">
        <f t="shared" ca="1" si="1"/>
        <v>2.2968651365092296E-2</v>
      </c>
      <c r="D14" s="74">
        <f t="shared" ca="1" si="2"/>
        <v>2.4247428657128145E-2</v>
      </c>
      <c r="E14" s="74">
        <f t="shared" ca="1" si="3"/>
        <v>7.7313738678636557E-2</v>
      </c>
      <c r="F14" s="74">
        <f t="shared" ca="1" si="4"/>
        <v>7.7313738678636557E-2</v>
      </c>
      <c r="G14" s="13">
        <f ca="1"/>
        <v>0.99929553220479272</v>
      </c>
      <c r="H14" s="13">
        <f ca="1"/>
        <v>0.99929090206750348</v>
      </c>
      <c r="I14" s="13">
        <f ca="1"/>
        <v>0.99926269954886549</v>
      </c>
      <c r="J14" s="13">
        <f ca="1"/>
        <v>0.99750676914647574</v>
      </c>
      <c r="K14" s="13">
        <f ca="1"/>
        <v>0.99750676914647574</v>
      </c>
    </row>
    <row r="15" spans="1:11">
      <c r="A15" s="14">
        <f t="shared" ca="1" si="5"/>
        <v>43162</v>
      </c>
      <c r="B15" s="74">
        <f t="shared" ca="1" si="0"/>
        <v>2.3530561471091227E-2</v>
      </c>
      <c r="C15" s="74">
        <f t="shared" ca="1" si="1"/>
        <v>2.2967204972479949E-2</v>
      </c>
      <c r="D15" s="74">
        <f t="shared" ca="1" si="2"/>
        <v>2.4527291576664223E-2</v>
      </c>
      <c r="E15" s="74">
        <f t="shared" ca="1" si="3"/>
        <v>7.7297321269004238E-2</v>
      </c>
      <c r="F15" s="74">
        <f t="shared" ca="1" si="4"/>
        <v>7.7297321269004238E-2</v>
      </c>
      <c r="G15" s="13">
        <f ca="1"/>
        <v>0.9992318323908439</v>
      </c>
      <c r="H15" s="13">
        <f ca="1"/>
        <v>0.99922797425554433</v>
      </c>
      <c r="I15" s="13">
        <f ca="1"/>
        <v>0.99919626823747609</v>
      </c>
      <c r="J15" s="13">
        <f ca="1"/>
        <v>0.99729495068434248</v>
      </c>
      <c r="K15" s="13">
        <f ca="1"/>
        <v>0.99729495068434248</v>
      </c>
    </row>
    <row r="16" spans="1:11">
      <c r="A16" s="14">
        <f t="shared" ca="1" si="5"/>
        <v>43163</v>
      </c>
      <c r="B16" s="74">
        <f t="shared" ca="1" si="0"/>
        <v>2.3810621556655809E-2</v>
      </c>
      <c r="C16" s="74">
        <f t="shared" ca="1" si="1"/>
        <v>2.2965758670923098E-2</v>
      </c>
      <c r="D16" s="74">
        <f t="shared" ca="1" si="2"/>
        <v>2.4807082945261238E-2</v>
      </c>
      <c r="E16" s="74">
        <f t="shared" ca="1" si="3"/>
        <v>7.7280907345618211E-2</v>
      </c>
      <c r="F16" s="74">
        <f t="shared" ca="1" si="4"/>
        <v>7.7280907345618211E-2</v>
      </c>
      <c r="G16" s="13">
        <f ca="1"/>
        <v>0.99916736509914228</v>
      </c>
      <c r="H16" s="13">
        <f ca="1"/>
        <v>0.99916505040630466</v>
      </c>
      <c r="I16" s="13">
        <f ca="1"/>
        <v>0.99912907017836194</v>
      </c>
      <c r="J16" s="13">
        <f ca="1"/>
        <v>0.99708317720141371</v>
      </c>
      <c r="K16" s="13">
        <f ca="1"/>
        <v>0.99708317720141371</v>
      </c>
    </row>
    <row r="17" spans="1:11">
      <c r="A17" s="14">
        <f t="shared" ca="1" si="5"/>
        <v>43164</v>
      </c>
      <c r="B17" s="74">
        <f t="shared" ca="1" si="0"/>
        <v>2.3001276572294227E-2</v>
      </c>
      <c r="C17" s="74">
        <f t="shared" ca="1" si="1"/>
        <v>2.3946436754740952E-2</v>
      </c>
      <c r="D17" s="74">
        <f t="shared" ca="1" si="2"/>
        <v>2.3997458091193913E-2</v>
      </c>
      <c r="E17" s="74">
        <f t="shared" ca="1" si="3"/>
        <v>7.7172958671420377E-2</v>
      </c>
      <c r="F17" s="74">
        <f t="shared" ca="1" si="4"/>
        <v>7.7172958671420377E-2</v>
      </c>
      <c r="G17" s="13">
        <f ca="1"/>
        <v>0.999102130519535</v>
      </c>
      <c r="H17" s="13">
        <f ca="1"/>
        <v>0.999102130519535</v>
      </c>
      <c r="I17" s="13">
        <f ca="1"/>
        <v>0.99906110556755301</v>
      </c>
      <c r="J17" s="13">
        <f ca="1"/>
        <v>0.99687144868813804</v>
      </c>
      <c r="K17" s="13">
        <f ca="1"/>
        <v>0.99687144868813804</v>
      </c>
    </row>
    <row r="18" spans="1:11">
      <c r="A18" s="14">
        <f t="shared" ca="1" si="5"/>
        <v>43165</v>
      </c>
      <c r="B18" s="74">
        <f t="shared" ca="1" si="0"/>
        <v>2.3145241915144554E-2</v>
      </c>
      <c r="C18" s="74">
        <f t="shared" ca="1" si="1"/>
        <v>2.394486429678655E-2</v>
      </c>
      <c r="D18" s="74">
        <f t="shared" ca="1" si="2"/>
        <v>2.4141155388990865E-2</v>
      </c>
      <c r="E18" s="74">
        <f t="shared" ca="1" si="3"/>
        <v>7.7156590571074712E-2</v>
      </c>
      <c r="F18" s="74">
        <f t="shared" ca="1" si="4"/>
        <v>7.7156590571074712E-2</v>
      </c>
      <c r="G18" s="13">
        <f ca="1"/>
        <v>0.99903911332344653</v>
      </c>
      <c r="H18" s="13">
        <f ca="1"/>
        <v>0.99903652384349462</v>
      </c>
      <c r="I18" s="13">
        <f ca="1"/>
        <v>0.99899535910702919</v>
      </c>
      <c r="J18" s="13">
        <f ca="1"/>
        <v>0.9966600159246547</v>
      </c>
      <c r="K18" s="13">
        <f ca="1"/>
        <v>0.9966600159246547</v>
      </c>
    </row>
    <row r="19" spans="1:11">
      <c r="A19" s="14">
        <f t="shared" ca="1" si="5"/>
        <v>43166</v>
      </c>
      <c r="B19" s="74">
        <f t="shared" ca="1" si="0"/>
        <v>2.3289175690833219E-2</v>
      </c>
      <c r="C19" s="74">
        <f t="shared" ca="1" si="1"/>
        <v>2.394329194208511E-2</v>
      </c>
      <c r="D19" s="74">
        <f t="shared" ca="1" si="2"/>
        <v>2.4284819974320637E-2</v>
      </c>
      <c r="E19" s="74">
        <f t="shared" ca="1" si="3"/>
        <v>7.7140225942346485E-2</v>
      </c>
      <c r="F19" s="74">
        <f t="shared" ca="1" si="4"/>
        <v>7.7140225942346485E-2</v>
      </c>
      <c r="G19" s="13">
        <f ca="1"/>
        <v>0.9989757017017612</v>
      </c>
      <c r="H19" s="13">
        <f ca="1"/>
        <v>0.99897092147555822</v>
      </c>
      <c r="I19" s="13">
        <f ca="1"/>
        <v>0.99892921895527853</v>
      </c>
      <c r="J19" s="13">
        <f ca="1"/>
        <v>0.99644862800528189</v>
      </c>
      <c r="K19" s="13">
        <f ca="1"/>
        <v>0.99644862800528189</v>
      </c>
    </row>
    <row r="20" spans="1:11">
      <c r="A20" s="14">
        <f t="shared" ca="1" si="5"/>
        <v>43167</v>
      </c>
      <c r="B20" s="74">
        <f t="shared" ca="1" si="0"/>
        <v>2.3433077729892449E-2</v>
      </c>
      <c r="C20" s="74">
        <f t="shared" ca="1" si="1"/>
        <v>2.3941719690555585E-2</v>
      </c>
      <c r="D20" s="74">
        <f t="shared" ca="1" si="2"/>
        <v>2.4428451678728536E-2</v>
      </c>
      <c r="E20" s="74">
        <f t="shared" ca="1" si="3"/>
        <v>7.7123864784465757E-2</v>
      </c>
      <c r="F20" s="74">
        <f t="shared" ca="1" si="4"/>
        <v>7.7123864784465757E-2</v>
      </c>
      <c r="G20" s="13">
        <f ca="1"/>
        <v>0.9989118957409644</v>
      </c>
      <c r="H20" s="13">
        <f ca="1"/>
        <v>0.99890532341544291</v>
      </c>
      <c r="I20" s="13">
        <f ca="1"/>
        <v>0.99886268520192423</v>
      </c>
      <c r="J20" s="13">
        <f ca="1"/>
        <v>0.99623728492050834</v>
      </c>
      <c r="K20" s="13">
        <f ca="1"/>
        <v>0.99623728492050834</v>
      </c>
    </row>
    <row r="21" spans="1:11">
      <c r="A21" s="14">
        <f t="shared" ca="1" si="5"/>
        <v>43168</v>
      </c>
      <c r="B21" s="74">
        <f t="shared" ca="1" si="0"/>
        <v>2.357694786338127E-2</v>
      </c>
      <c r="C21" s="74">
        <f t="shared" ca="1" si="1"/>
        <v>2.3940147542360068E-2</v>
      </c>
      <c r="D21" s="74">
        <f t="shared" ca="1" si="2"/>
        <v>2.4572050333678819E-2</v>
      </c>
      <c r="E21" s="74">
        <f t="shared" ca="1" si="3"/>
        <v>7.710750709670311E-2</v>
      </c>
      <c r="F21" s="74">
        <f t="shared" ca="1" si="4"/>
        <v>7.710750709670311E-2</v>
      </c>
      <c r="G21" s="13">
        <f ca="1"/>
        <v>0.99884769552800579</v>
      </c>
      <c r="H21" s="13">
        <f ca="1"/>
        <v>0.99883972966286605</v>
      </c>
      <c r="I21" s="13">
        <f ca="1"/>
        <v>0.998795757937051</v>
      </c>
      <c r="J21" s="13">
        <f ca="1"/>
        <v>0.99602598666082487</v>
      </c>
      <c r="K21" s="13">
        <f ca="1"/>
        <v>0.99602598666082487</v>
      </c>
    </row>
    <row r="22" spans="1:11">
      <c r="A22" s="14">
        <f t="shared" ca="1" si="5"/>
        <v>43169</v>
      </c>
      <c r="B22" s="74">
        <f t="shared" ca="1" si="0"/>
        <v>2.3720785922075049E-2</v>
      </c>
      <c r="C22" s="74">
        <f t="shared" ca="1" si="1"/>
        <v>2.3938575497336467E-2</v>
      </c>
      <c r="D22" s="74">
        <f t="shared" ca="1" si="2"/>
        <v>2.4715615770757315E-2</v>
      </c>
      <c r="E22" s="74">
        <f t="shared" ca="1" si="3"/>
        <v>7.7091152878410174E-2</v>
      </c>
      <c r="F22" s="74">
        <f t="shared" ca="1" si="4"/>
        <v>7.7091152878410174E-2</v>
      </c>
      <c r="G22" s="13">
        <f ca="1"/>
        <v>0.99878310115029789</v>
      </c>
      <c r="H22" s="13">
        <f ca="1"/>
        <v>0.99877414021754451</v>
      </c>
      <c r="I22" s="13">
        <f ca="1"/>
        <v>0.9987284372512053</v>
      </c>
      <c r="J22" s="13">
        <f ca="1"/>
        <v>0.99581473321672431</v>
      </c>
      <c r="K22" s="13">
        <f ca="1"/>
        <v>0.99581473321672431</v>
      </c>
    </row>
    <row r="23" spans="1:11">
      <c r="A23" s="14">
        <f t="shared" ca="1" si="5"/>
        <v>43170</v>
      </c>
      <c r="B23" s="74">
        <f t="shared" ca="1" si="0"/>
        <v>2.3864591736992291E-2</v>
      </c>
      <c r="C23" s="74">
        <f t="shared" ca="1" si="1"/>
        <v>2.3937003555606351E-2</v>
      </c>
      <c r="D23" s="74">
        <f t="shared" ca="1" si="2"/>
        <v>2.4859147821590377E-2</v>
      </c>
      <c r="E23" s="74">
        <f t="shared" ca="1" si="3"/>
        <v>7.7074802128776487E-2</v>
      </c>
      <c r="F23" s="74">
        <f t="shared" ca="1" si="4"/>
        <v>7.7074802128776487E-2</v>
      </c>
      <c r="G23" s="13">
        <f ca="1"/>
        <v>0.99871811269571686</v>
      </c>
      <c r="H23" s="13">
        <f ca="1"/>
        <v>0.99870855507919565</v>
      </c>
      <c r="I23" s="13">
        <f ca="1"/>
        <v>0.99866072323539501</v>
      </c>
      <c r="J23" s="13">
        <f ca="1"/>
        <v>0.99560352457870127</v>
      </c>
      <c r="K23" s="13">
        <f ca="1"/>
        <v>0.99560352457870127</v>
      </c>
    </row>
    <row r="24" spans="1:11">
      <c r="A24" s="14">
        <f t="shared" ca="1" si="5"/>
        <v>43171</v>
      </c>
      <c r="B24" s="74">
        <f t="shared" ca="1" si="0"/>
        <v>2.4008365139192023E-2</v>
      </c>
      <c r="C24" s="74">
        <f t="shared" ca="1" si="1"/>
        <v>2.393543171704815E-2</v>
      </c>
      <c r="D24" s="74">
        <f t="shared" ca="1" si="2"/>
        <v>2.5002646317966448E-2</v>
      </c>
      <c r="E24" s="74">
        <f t="shared" ca="1" si="3"/>
        <v>7.705845484703211E-2</v>
      </c>
      <c r="F24" s="74">
        <f t="shared" ca="1" si="4"/>
        <v>7.705845484703211E-2</v>
      </c>
      <c r="G24" s="13">
        <f ca="1"/>
        <v>0.99865273025260182</v>
      </c>
      <c r="H24" s="13">
        <f ca="1"/>
        <v>0.99864297424753645</v>
      </c>
      <c r="I24" s="13">
        <f ca="1"/>
        <v>0.99859261598108928</v>
      </c>
      <c r="J24" s="13">
        <f ca="1"/>
        <v>0.99539236073725257</v>
      </c>
      <c r="K24" s="13">
        <f ca="1"/>
        <v>0.99539236073725257</v>
      </c>
    </row>
    <row r="25" spans="1:11">
      <c r="A25" s="14">
        <f t="shared" ca="1" si="5"/>
        <v>43172</v>
      </c>
      <c r="B25" s="74">
        <f t="shared" ca="1" si="0"/>
        <v>2.4152105959814318E-2</v>
      </c>
      <c r="C25" s="74">
        <f t="shared" ca="1" si="1"/>
        <v>2.3933859981702388E-2</v>
      </c>
      <c r="D25" s="74">
        <f t="shared" ca="1" si="2"/>
        <v>2.5146111091714496E-2</v>
      </c>
      <c r="E25" s="74">
        <f t="shared" ca="1" si="3"/>
        <v>7.7042111032528671E-2</v>
      </c>
      <c r="F25" s="74">
        <f t="shared" ca="1" si="4"/>
        <v>7.7042111032528671E-2</v>
      </c>
      <c r="G25" s="13">
        <f ca="1"/>
        <v>0.99858695390975472</v>
      </c>
      <c r="H25" s="13">
        <f ca="1"/>
        <v>0.99857739772228427</v>
      </c>
      <c r="I25" s="13">
        <f ca="1"/>
        <v>0.99852411558021814</v>
      </c>
      <c r="J25" s="13">
        <f ca="1"/>
        <v>0.99518124168287714</v>
      </c>
      <c r="K25" s="13">
        <f ca="1"/>
        <v>0.99518124168287714</v>
      </c>
    </row>
    <row r="26" spans="1:11">
      <c r="A26" s="14">
        <f t="shared" ca="1" si="5"/>
        <v>43173</v>
      </c>
      <c r="B26" s="74">
        <f t="shared" ca="1" si="0"/>
        <v>2.4295814029958729E-2</v>
      </c>
      <c r="C26" s="74">
        <f t="shared" ca="1" si="1"/>
        <v>2.3932288349609587E-2</v>
      </c>
      <c r="D26" s="74">
        <f t="shared" ca="1" si="2"/>
        <v>2.5289541974582441E-2</v>
      </c>
      <c r="E26" s="74">
        <f t="shared" ca="1" si="3"/>
        <v>7.7025770684455708E-2</v>
      </c>
      <c r="F26" s="74">
        <f t="shared" ca="1" si="4"/>
        <v>7.7025770684455708E-2</v>
      </c>
      <c r="G26" s="13">
        <f ca="1"/>
        <v>0.99852078375644016</v>
      </c>
      <c r="H26" s="13">
        <f ca="1"/>
        <v>0.99851182550315631</v>
      </c>
      <c r="I26" s="13">
        <f ca="1"/>
        <v>0.99845522212517235</v>
      </c>
      <c r="J26" s="13">
        <f ca="1"/>
        <v>0.99497016740607569</v>
      </c>
      <c r="K26" s="13">
        <f ca="1"/>
        <v>0.99497016740607569</v>
      </c>
    </row>
    <row r="27" spans="1:11">
      <c r="A27" s="14">
        <f t="shared" ca="1" si="5"/>
        <v>43174</v>
      </c>
      <c r="B27" s="74">
        <f t="shared" ca="1" si="0"/>
        <v>2.4439489181008467E-2</v>
      </c>
      <c r="C27" s="74">
        <f t="shared" ca="1" si="1"/>
        <v>2.3930716820688702E-2</v>
      </c>
      <c r="D27" s="74">
        <f t="shared" ca="1" si="2"/>
        <v>2.5432938798682914E-2</v>
      </c>
      <c r="E27" s="74">
        <f t="shared" ca="1" si="3"/>
        <v>7.7009433802124327E-2</v>
      </c>
      <c r="F27" s="74">
        <f t="shared" ca="1" si="4"/>
        <v>7.7009433802124327E-2</v>
      </c>
      <c r="G27" s="13">
        <f ca="1"/>
        <v>0.99845421988238547</v>
      </c>
      <c r="H27" s="13">
        <f ca="1"/>
        <v>0.99844625758986971</v>
      </c>
      <c r="I27" s="13">
        <f ca="1"/>
        <v>0.99838593570880363</v>
      </c>
      <c r="J27" s="13">
        <f ca="1"/>
        <v>0.99475913789735115</v>
      </c>
      <c r="K27" s="13">
        <f ca="1"/>
        <v>0.99475913789735115</v>
      </c>
    </row>
    <row r="28" spans="1:11">
      <c r="A28" s="14">
        <f t="shared" ca="1" si="5"/>
        <v>43175</v>
      </c>
      <c r="B28" s="74">
        <f t="shared" ca="1" si="0"/>
        <v>2.4583131244265699E-2</v>
      </c>
      <c r="C28" s="74">
        <f t="shared" ca="1" si="1"/>
        <v>2.3929145394939733E-2</v>
      </c>
      <c r="D28" s="74">
        <f t="shared" ca="1" si="2"/>
        <v>2.5576301395885404E-2</v>
      </c>
      <c r="E28" s="74">
        <f t="shared" ca="1" si="3"/>
        <v>7.6993100384805113E-2</v>
      </c>
      <c r="F28" s="74">
        <f t="shared" ca="1" si="4"/>
        <v>7.6993100384805113E-2</v>
      </c>
      <c r="G28" s="13">
        <f ca="1"/>
        <v>0.99838726237777997</v>
      </c>
      <c r="H28" s="13">
        <f ca="1"/>
        <v>0.9983806939821418</v>
      </c>
      <c r="I28" s="13">
        <f ca="1"/>
        <v>0.99831625642442368</v>
      </c>
      <c r="J28" s="13">
        <f ca="1"/>
        <v>0.99454815314720835</v>
      </c>
      <c r="K28" s="13">
        <f ca="1"/>
        <v>0.99454815314720835</v>
      </c>
    </row>
    <row r="29" spans="1:11">
      <c r="A29" s="14">
        <f t="shared" ca="1" si="5"/>
        <v>43176</v>
      </c>
      <c r="B29" s="74">
        <f t="shared" ca="1" si="0"/>
        <v>2.4726740051113638E-2</v>
      </c>
      <c r="C29" s="74">
        <f t="shared" ca="1" si="1"/>
        <v>2.3927574072443725E-2</v>
      </c>
      <c r="D29" s="74">
        <f t="shared" ca="1" si="2"/>
        <v>2.571962959842411E-2</v>
      </c>
      <c r="E29" s="74">
        <f t="shared" ca="1" si="3"/>
        <v>7.6976770431687602E-2</v>
      </c>
      <c r="F29" s="74">
        <f t="shared" ca="1" si="4"/>
        <v>7.6976770431687602E-2</v>
      </c>
      <c r="G29" s="13">
        <f ca="1"/>
        <v>0.99831991133327513</v>
      </c>
      <c r="H29" s="13">
        <f ca="1"/>
        <v>0.99831513467968991</v>
      </c>
      <c r="I29" s="13">
        <f ca="1"/>
        <v>0.99824618436580481</v>
      </c>
      <c r="J29" s="13">
        <f ca="1"/>
        <v>0.99433721314615409</v>
      </c>
      <c r="K29" s="13">
        <f ca="1"/>
        <v>0.99433721314615409</v>
      </c>
    </row>
    <row r="30" spans="1:11">
      <c r="A30" s="14">
        <f t="shared" ca="1" si="5"/>
        <v>43177</v>
      </c>
      <c r="B30" s="74">
        <f t="shared" ca="1" si="0"/>
        <v>2.4870315433016543E-2</v>
      </c>
      <c r="C30" s="74">
        <f t="shared" ca="1" si="1"/>
        <v>2.3926002853079109E-2</v>
      </c>
      <c r="D30" s="74">
        <f t="shared" ca="1" si="2"/>
        <v>2.5862923238452185E-2</v>
      </c>
      <c r="E30" s="74">
        <f t="shared" ca="1" si="3"/>
        <v>7.6960443942163947E-2</v>
      </c>
      <c r="F30" s="74">
        <f t="shared" ca="1" si="4"/>
        <v>7.6960443942163947E-2</v>
      </c>
      <c r="G30" s="13">
        <f ca="1"/>
        <v>0.99825216683998441</v>
      </c>
      <c r="H30" s="13">
        <f ca="1"/>
        <v>0.99824957968223116</v>
      </c>
      <c r="I30" s="13">
        <f ca="1"/>
        <v>0.99817571962717899</v>
      </c>
      <c r="J30" s="13">
        <f ca="1"/>
        <v>0.99412631788469741</v>
      </c>
      <c r="K30" s="13">
        <f ca="1"/>
        <v>0.99412631788469741</v>
      </c>
    </row>
    <row r="31" spans="1:11">
      <c r="A31" s="14">
        <f t="shared" ca="1" si="5"/>
        <v>43178</v>
      </c>
      <c r="B31" s="74">
        <f t="shared" ca="1" si="0"/>
        <v>2.3811082665944894E-2</v>
      </c>
      <c r="C31" s="74">
        <f t="shared" ca="1" si="1"/>
        <v>2.4787218390885379E-2</v>
      </c>
      <c r="D31" s="74">
        <f t="shared" ca="1" si="2"/>
        <v>2.4803428637754643E-2</v>
      </c>
      <c r="E31" s="74">
        <f t="shared" ca="1" si="3"/>
        <v>7.524139599470181E-2</v>
      </c>
      <c r="F31" s="74">
        <f t="shared" ca="1" si="4"/>
        <v>7.524139599470181E-2</v>
      </c>
      <c r="G31" s="13">
        <f ca="1"/>
        <v>0.998184028989483</v>
      </c>
      <c r="H31" s="13">
        <f ca="1"/>
        <v>0.998184028989483</v>
      </c>
      <c r="I31" s="13">
        <f ca="1"/>
        <v>0.99810486230323803</v>
      </c>
      <c r="J31" s="13">
        <f ca="1"/>
        <v>0.99391546735334901</v>
      </c>
      <c r="K31" s="13">
        <f ca="1"/>
        <v>0.99391546735334901</v>
      </c>
    </row>
    <row r="32" spans="1:11">
      <c r="A32" s="14">
        <f t="shared" ca="1" si="5"/>
        <v>43179</v>
      </c>
      <c r="B32" s="74">
        <f t="shared" ca="1" si="0"/>
        <v>2.3874605738129495E-2</v>
      </c>
      <c r="C32" s="74">
        <f t="shared" ca="1" si="1"/>
        <v>2.4785532023842149E-2</v>
      </c>
      <c r="D32" s="74">
        <f t="shared" ca="1" si="2"/>
        <v>2.4866675835207297E-2</v>
      </c>
      <c r="E32" s="74">
        <f t="shared" ca="1" si="3"/>
        <v>7.5225790721483166E-2</v>
      </c>
      <c r="F32" s="74">
        <f t="shared" ca="1" si="4"/>
        <v>7.5225790721483166E-2</v>
      </c>
      <c r="G32" s="13">
        <f ca="1"/>
        <v>0.9981187931465626</v>
      </c>
      <c r="H32" s="13">
        <f ca="1"/>
        <v>0.99811611880211071</v>
      </c>
      <c r="I32" s="13">
        <f ca="1"/>
        <v>0.99803690770423048</v>
      </c>
      <c r="J32" s="13">
        <f ca="1"/>
        <v>0.99370932654240463</v>
      </c>
      <c r="K32" s="13">
        <f ca="1"/>
        <v>0.99370932654240463</v>
      </c>
    </row>
    <row r="33" spans="1:11">
      <c r="A33" s="14">
        <f t="shared" ca="1" si="5"/>
        <v>43180</v>
      </c>
      <c r="B33" s="74">
        <f t="shared" ca="1" si="0"/>
        <v>2.3938115321822107E-2</v>
      </c>
      <c r="C33" s="74">
        <f t="shared" ca="1" si="1"/>
        <v>2.478384577151993E-2</v>
      </c>
      <c r="D33" s="74">
        <f t="shared" ca="1" si="2"/>
        <v>2.4929909057525568E-2</v>
      </c>
      <c r="E33" s="74">
        <f t="shared" ca="1" si="3"/>
        <v>7.5210188684928792E-2</v>
      </c>
      <c r="F33" s="74">
        <f t="shared" ca="1" si="4"/>
        <v>7.5210188684928792E-2</v>
      </c>
      <c r="G33" s="13">
        <f ca="1"/>
        <v>0.998053383267828</v>
      </c>
      <c r="H33" s="13">
        <f ca="1"/>
        <v>0.9980482132349221</v>
      </c>
      <c r="I33" s="13">
        <f ca="1"/>
        <v>0.99796877982522991</v>
      </c>
      <c r="J33" s="13">
        <f ca="1"/>
        <v>0.99350322848563344</v>
      </c>
      <c r="K33" s="13">
        <f ca="1"/>
        <v>0.99350322848563344</v>
      </c>
    </row>
    <row r="34" spans="1:11">
      <c r="A34" s="14">
        <f t="shared" ca="1" si="5"/>
        <v>43181</v>
      </c>
      <c r="B34" s="74">
        <f t="shared" ca="1" si="0"/>
        <v>2.4001611384077415E-2</v>
      </c>
      <c r="C34" s="74">
        <f t="shared" ca="1" si="1"/>
        <v>2.4782159633959244E-2</v>
      </c>
      <c r="D34" s="74">
        <f t="shared" ca="1" si="2"/>
        <v>2.4993128271845189E-2</v>
      </c>
      <c r="E34" s="74">
        <f t="shared" ca="1" si="3"/>
        <v>7.5194589884187701E-2</v>
      </c>
      <c r="F34" s="74">
        <f t="shared" ca="1" si="4"/>
        <v>7.5194589884187701E-2</v>
      </c>
      <c r="G34" s="13">
        <f ca="1"/>
        <v>0.99798779939023397</v>
      </c>
      <c r="H34" s="13">
        <f ca="1"/>
        <v>0.99798031228760287</v>
      </c>
      <c r="I34" s="13">
        <f ca="1"/>
        <v>0.99790047870452436</v>
      </c>
      <c r="J34" s="13">
        <f ca="1"/>
        <v>0.99329717317416788</v>
      </c>
      <c r="K34" s="13">
        <f ca="1"/>
        <v>0.99329717317416788</v>
      </c>
    </row>
    <row r="35" spans="1:11">
      <c r="A35" s="14">
        <f t="shared" ca="1" si="5"/>
        <v>43182</v>
      </c>
      <c r="B35" s="74">
        <f t="shared" ca="1" si="0"/>
        <v>2.4065093891788014E-2</v>
      </c>
      <c r="C35" s="74">
        <f t="shared" ca="1" si="1"/>
        <v>2.4780473611079046E-2</v>
      </c>
      <c r="D35" s="74">
        <f t="shared" ca="1" si="2"/>
        <v>2.5056333445707124E-2</v>
      </c>
      <c r="E35" s="74">
        <f t="shared" ca="1" si="3"/>
        <v>7.5178994318733094E-2</v>
      </c>
      <c r="F35" s="74">
        <f t="shared" ca="1" si="4"/>
        <v>7.5178994318733094E-2</v>
      </c>
      <c r="G35" s="13">
        <f ca="1"/>
        <v>0.99792204155082553</v>
      </c>
      <c r="H35" s="13">
        <f ca="1"/>
        <v>0.99791241595983859</v>
      </c>
      <c r="I35" s="13">
        <f ca="1"/>
        <v>0.99783200438049191</v>
      </c>
      <c r="J35" s="13">
        <f ca="1"/>
        <v>0.99309116059914271</v>
      </c>
      <c r="K35" s="13">
        <f ca="1"/>
        <v>0.99309116059914271</v>
      </c>
    </row>
    <row r="36" spans="1:11">
      <c r="A36" s="14">
        <f t="shared" ca="1" si="5"/>
        <v>43183</v>
      </c>
      <c r="B36" s="74">
        <f t="shared" ca="1" si="0"/>
        <v>2.4128562812170684E-2</v>
      </c>
      <c r="C36" s="74">
        <f t="shared" ca="1" si="1"/>
        <v>2.4778787702879335E-2</v>
      </c>
      <c r="D36" s="74">
        <f t="shared" ca="1" si="2"/>
        <v>2.5119524546328154E-2</v>
      </c>
      <c r="E36" s="74">
        <f t="shared" ca="1" si="3"/>
        <v>7.5163401987835554E-2</v>
      </c>
      <c r="F36" s="74">
        <f t="shared" ca="1" si="4"/>
        <v>7.5163401987835554E-2</v>
      </c>
      <c r="G36" s="13">
        <f ca="1"/>
        <v>0.99785610978673844</v>
      </c>
      <c r="H36" s="13">
        <f ca="1"/>
        <v>0.99784452425131509</v>
      </c>
      <c r="I36" s="13">
        <f ca="1"/>
        <v>0.99776335689159956</v>
      </c>
      <c r="J36" s="13">
        <f ca="1"/>
        <v>0.99288519075169412</v>
      </c>
      <c r="K36" s="13">
        <f ca="1"/>
        <v>0.99288519075169412</v>
      </c>
    </row>
    <row r="37" spans="1:11">
      <c r="A37" s="14">
        <f t="shared" ca="1" si="5"/>
        <v>43184</v>
      </c>
      <c r="B37" s="74">
        <f t="shared" ca="1" si="0"/>
        <v>2.4192018112118019E-2</v>
      </c>
      <c r="C37" s="74">
        <f t="shared" ca="1" si="1"/>
        <v>2.4777101909441157E-2</v>
      </c>
      <c r="D37" s="74">
        <f t="shared" ca="1" si="2"/>
        <v>2.5182701541087149E-2</v>
      </c>
      <c r="E37" s="74">
        <f t="shared" ca="1" si="3"/>
        <v>7.514781289084671E-2</v>
      </c>
      <c r="F37" s="74">
        <f t="shared" ca="1" si="4"/>
        <v>7.514781289084671E-2</v>
      </c>
      <c r="G37" s="13">
        <f ca="1"/>
        <v>0.99779000413519825</v>
      </c>
      <c r="H37" s="13">
        <f ca="1"/>
        <v>0.99777663716171816</v>
      </c>
      <c r="I37" s="13">
        <f ca="1"/>
        <v>0.99769453627640414</v>
      </c>
      <c r="J37" s="13">
        <f ca="1"/>
        <v>0.99267926362296033</v>
      </c>
      <c r="K37" s="13">
        <f ca="1"/>
        <v>0.99267926362296033</v>
      </c>
    </row>
    <row r="38" spans="1:11">
      <c r="A38" s="14">
        <f t="shared" ca="1" si="5"/>
        <v>43185</v>
      </c>
      <c r="B38" s="74">
        <f t="shared" ca="1" si="0"/>
        <v>2.4255459758887321E-2</v>
      </c>
      <c r="C38" s="74">
        <f t="shared" ca="1" si="1"/>
        <v>2.4775416230683467E-2</v>
      </c>
      <c r="D38" s="74">
        <f t="shared" ca="1" si="2"/>
        <v>2.5245864397403506E-2</v>
      </c>
      <c r="E38" s="74">
        <f t="shared" ca="1" si="3"/>
        <v>7.5132227027037146E-2</v>
      </c>
      <c r="F38" s="74">
        <f t="shared" ca="1" si="4"/>
        <v>7.5132227027037146E-2</v>
      </c>
      <c r="G38" s="13">
        <f ca="1"/>
        <v>0.99772372463352121</v>
      </c>
      <c r="H38" s="13">
        <f ca="1"/>
        <v>0.99770875469073339</v>
      </c>
      <c r="I38" s="13">
        <f ca="1"/>
        <v>0.99762554257355185</v>
      </c>
      <c r="J38" s="13">
        <f ca="1"/>
        <v>0.9924733792040813</v>
      </c>
      <c r="K38" s="13">
        <f ca="1"/>
        <v>0.9924733792040813</v>
      </c>
    </row>
    <row r="39" spans="1:11">
      <c r="A39" s="14">
        <f t="shared" ca="1" si="5"/>
        <v>43186</v>
      </c>
      <c r="B39" s="74">
        <f t="shared" ca="1" si="0"/>
        <v>2.4318887719411708E-2</v>
      </c>
      <c r="C39" s="74">
        <f t="shared" ca="1" si="1"/>
        <v>2.4773730666565741E-2</v>
      </c>
      <c r="D39" s="74">
        <f t="shared" ca="1" si="2"/>
        <v>2.5309013082575049E-2</v>
      </c>
      <c r="E39" s="74">
        <f t="shared" ca="1" si="3"/>
        <v>7.5116644395799015E-2</v>
      </c>
      <c r="F39" s="74">
        <f t="shared" ca="1" si="4"/>
        <v>7.5116644395799015E-2</v>
      </c>
      <c r="G39" s="13">
        <f ca="1"/>
        <v>0.9976572713191133</v>
      </c>
      <c r="H39" s="13">
        <f ca="1"/>
        <v>0.99764087683804659</v>
      </c>
      <c r="I39" s="13">
        <f ca="1"/>
        <v>0.99755637582177814</v>
      </c>
      <c r="J39" s="13">
        <f ca="1"/>
        <v>0.992267537486199</v>
      </c>
      <c r="K39" s="13">
        <f ca="1"/>
        <v>0.992267537486199</v>
      </c>
    </row>
    <row r="40" spans="1:11">
      <c r="A40" s="14">
        <f t="shared" ca="1" si="5"/>
        <v>43187</v>
      </c>
      <c r="B40" s="74">
        <f t="shared" ca="1" si="0"/>
        <v>2.4382301960907959E-2</v>
      </c>
      <c r="C40" s="74">
        <f t="shared" ca="1" si="1"/>
        <v>2.4772045217128502E-2</v>
      </c>
      <c r="D40" s="74">
        <f t="shared" ca="1" si="2"/>
        <v>2.5372147564061698E-2</v>
      </c>
      <c r="E40" s="74">
        <f t="shared" ca="1" si="3"/>
        <v>7.5101064996443423E-2</v>
      </c>
      <c r="F40" s="74">
        <f t="shared" ca="1" si="4"/>
        <v>7.5101064996443423E-2</v>
      </c>
      <c r="G40" s="13">
        <f ca="1"/>
        <v>0.99759064422947108</v>
      </c>
      <c r="H40" s="13">
        <f ca="1"/>
        <v>0.99757300360334367</v>
      </c>
      <c r="I40" s="13">
        <f ca="1"/>
        <v>0.99748703605990807</v>
      </c>
      <c r="J40" s="13">
        <f ca="1"/>
        <v>0.99206173846045709</v>
      </c>
      <c r="K40" s="13">
        <f ca="1"/>
        <v>0.99206173846045709</v>
      </c>
    </row>
    <row r="41" spans="1:11">
      <c r="A41" s="14">
        <f t="shared" ca="1" si="5"/>
        <v>43188</v>
      </c>
      <c r="B41" s="74">
        <f t="shared" ca="1" si="0"/>
        <v>2.4445702450390239E-2</v>
      </c>
      <c r="C41" s="74">
        <f t="shared" ca="1" si="1"/>
        <v>2.4770359882412274E-2</v>
      </c>
      <c r="D41" s="74">
        <f t="shared" ca="1" si="2"/>
        <v>2.5435267809282847E-2</v>
      </c>
      <c r="E41" s="74">
        <f t="shared" ca="1" si="3"/>
        <v>7.5085488828322E-2</v>
      </c>
      <c r="F41" s="74">
        <f t="shared" ca="1" si="4"/>
        <v>7.5085488828322E-2</v>
      </c>
      <c r="G41" s="13">
        <f ca="1"/>
        <v>0.99752384340218092</v>
      </c>
      <c r="H41" s="13">
        <f ca="1"/>
        <v>0.99750513498631044</v>
      </c>
      <c r="I41" s="13">
        <f ca="1"/>
        <v>0.99741752332685585</v>
      </c>
      <c r="J41" s="13">
        <f ca="1"/>
        <v>0.99185598211800108</v>
      </c>
      <c r="K41" s="13">
        <f ca="1"/>
        <v>0.99185598211800108</v>
      </c>
    </row>
    <row r="42" spans="1:11">
      <c r="A42" s="14">
        <f t="shared" ca="1" si="5"/>
        <v>43189</v>
      </c>
      <c r="B42" s="74">
        <f t="shared" ca="1" si="0"/>
        <v>2.4509089154994279E-2</v>
      </c>
      <c r="C42" s="74">
        <f t="shared" ca="1" si="1"/>
        <v>2.4768674662295487E-2</v>
      </c>
      <c r="D42" s="74">
        <f t="shared" ca="1" si="2"/>
        <v>2.5498373785617368E-2</v>
      </c>
      <c r="E42" s="74">
        <f t="shared" ca="1" si="3"/>
        <v>7.506991589070533E-2</v>
      </c>
      <c r="F42" s="74">
        <f t="shared" ca="1" si="4"/>
        <v>7.506991589070533E-2</v>
      </c>
      <c r="G42" s="13">
        <f ca="1"/>
        <v>0.99745686887491958</v>
      </c>
      <c r="H42" s="13">
        <f ca="1"/>
        <v>0.9974372709866326</v>
      </c>
      <c r="I42" s="13">
        <f ca="1"/>
        <v>0.99734783766162494</v>
      </c>
      <c r="J42" s="13">
        <f ca="1"/>
        <v>0.99165026844997828</v>
      </c>
      <c r="K42" s="13">
        <f ca="1"/>
        <v>0.99165026844997828</v>
      </c>
    </row>
    <row r="43" spans="1:11">
      <c r="A43" s="14">
        <f t="shared" ca="1" si="5"/>
        <v>43190</v>
      </c>
      <c r="B43" s="74">
        <f t="shared" ca="1" si="0"/>
        <v>2.457246204193686E-2</v>
      </c>
      <c r="C43" s="74">
        <f t="shared" ca="1" si="1"/>
        <v>2.476698955689971E-2</v>
      </c>
      <c r="D43" s="74">
        <f t="shared" ca="1" si="2"/>
        <v>2.5561465460606225E-2</v>
      </c>
      <c r="E43" s="74">
        <f t="shared" ca="1" si="3"/>
        <v>7.5054346182945042E-2</v>
      </c>
      <c r="F43" s="74">
        <f t="shared" ca="1" si="4"/>
        <v>7.5054346182945042E-2</v>
      </c>
      <c r="G43" s="13">
        <f ca="1"/>
        <v>0.99738972068545384</v>
      </c>
      <c r="H43" s="13">
        <f ca="1"/>
        <v>0.99736941160399617</v>
      </c>
      <c r="I43" s="13">
        <f ca="1"/>
        <v>0.99727797910330818</v>
      </c>
      <c r="J43" s="13">
        <f ca="1"/>
        <v>0.99144459744753799</v>
      </c>
      <c r="K43" s="13">
        <f ca="1"/>
        <v>0.99144459744753799</v>
      </c>
    </row>
    <row r="44" spans="1:11">
      <c r="A44" s="14">
        <f t="shared" ca="1" si="5"/>
        <v>43191</v>
      </c>
      <c r="B44" s="74">
        <f t="shared" ca="1" si="0"/>
        <v>2.4635821078353715E-2</v>
      </c>
      <c r="C44" s="74">
        <f t="shared" ca="1" si="1"/>
        <v>2.4765304566062851E-2</v>
      </c>
      <c r="D44" s="74">
        <f t="shared" ca="1" si="2"/>
        <v>2.5624542801466199E-2</v>
      </c>
      <c r="E44" s="74">
        <f t="shared" ca="1" si="3"/>
        <v>7.5038779704433289E-2</v>
      </c>
      <c r="F44" s="74">
        <f t="shared" ca="1" si="4"/>
        <v>7.5038779704433289E-2</v>
      </c>
      <c r="G44" s="13">
        <f ca="1"/>
        <v>0.99732239887164031</v>
      </c>
      <c r="H44" s="13">
        <f ca="1"/>
        <v>0.99730155683808686</v>
      </c>
      <c r="I44" s="13">
        <f ca="1"/>
        <v>0.99720794769108734</v>
      </c>
      <c r="J44" s="13">
        <f ca="1"/>
        <v>0.99123896910183129</v>
      </c>
      <c r="K44" s="13">
        <f ca="1"/>
        <v>0.99123896910183129</v>
      </c>
    </row>
    <row r="45" spans="1:11">
      <c r="A45" s="14">
        <f t="shared" ca="1" si="5"/>
        <v>43192</v>
      </c>
      <c r="B45" s="74">
        <f t="shared" ca="1" si="0"/>
        <v>2.469916623129953E-2</v>
      </c>
      <c r="C45" s="74">
        <f t="shared" ca="1" si="1"/>
        <v>2.476361968990648E-2</v>
      </c>
      <c r="D45" s="74">
        <f t="shared" ca="1" si="2"/>
        <v>2.5687605775940869E-2</v>
      </c>
      <c r="E45" s="74">
        <f t="shared" ca="1" si="3"/>
        <v>7.5023216454440655E-2</v>
      </c>
      <c r="F45" s="74">
        <f t="shared" ca="1" si="4"/>
        <v>7.5023216454440655E-2</v>
      </c>
      <c r="G45" s="13">
        <f ca="1"/>
        <v>0.99725490347142565</v>
      </c>
      <c r="H45" s="13">
        <f ca="1"/>
        <v>0.99723370668859079</v>
      </c>
      <c r="I45" s="13">
        <f ca="1"/>
        <v>0.99713774346423401</v>
      </c>
      <c r="J45" s="13">
        <f ca="1"/>
        <v>0.99103338340401093</v>
      </c>
      <c r="K45" s="13">
        <f ca="1"/>
        <v>0.99103338340401093</v>
      </c>
    </row>
    <row r="46" spans="1:11">
      <c r="A46" s="14">
        <f t="shared" ca="1" si="5"/>
        <v>43193</v>
      </c>
      <c r="B46" s="74">
        <f t="shared" ca="1" si="0"/>
        <v>2.4762497468112654E-2</v>
      </c>
      <c r="C46" s="74">
        <f t="shared" ca="1" si="1"/>
        <v>2.4761934928390072E-2</v>
      </c>
      <c r="D46" s="74">
        <f t="shared" ca="1" si="2"/>
        <v>2.5750654351328062E-2</v>
      </c>
      <c r="E46" s="74">
        <f t="shared" ca="1" si="3"/>
        <v>7.5007656432278247E-2</v>
      </c>
      <c r="F46" s="74">
        <f t="shared" ca="1" si="4"/>
        <v>7.5007656432278247E-2</v>
      </c>
      <c r="G46" s="13">
        <f ca="1"/>
        <v>0.99718723452284674</v>
      </c>
      <c r="H46" s="13">
        <f ca="1"/>
        <v>0.99716586115519379</v>
      </c>
      <c r="I46" s="13">
        <f ca="1"/>
        <v>0.99706736646210814</v>
      </c>
      <c r="J46" s="13">
        <f ca="1"/>
        <v>0.99082784034523164</v>
      </c>
      <c r="K46" s="13">
        <f ca="1"/>
        <v>0.99082784034523164</v>
      </c>
    </row>
    <row r="47" spans="1:11">
      <c r="A47" s="14">
        <f t="shared" ca="1" si="5"/>
        <v>43194</v>
      </c>
      <c r="B47" s="74">
        <f t="shared" ca="1" si="0"/>
        <v>2.4825814755807252E-2</v>
      </c>
      <c r="C47" s="74">
        <f t="shared" ca="1" si="1"/>
        <v>2.4760250281432583E-2</v>
      </c>
      <c r="D47" s="74">
        <f t="shared" ca="1" si="2"/>
        <v>2.5813688495209264E-2</v>
      </c>
      <c r="E47" s="74">
        <f t="shared" ca="1" si="3"/>
        <v>7.4992099637338216E-2</v>
      </c>
      <c r="F47" s="74">
        <f t="shared" ca="1" si="4"/>
        <v>7.4992099637338216E-2</v>
      </c>
      <c r="G47" s="13">
        <f ca="1"/>
        <v>0.99711939206403</v>
      </c>
      <c r="H47" s="13">
        <f ca="1"/>
        <v>0.99709802023758176</v>
      </c>
      <c r="I47" s="13">
        <f ca="1"/>
        <v>0.9969968167241593</v>
      </c>
      <c r="J47" s="13">
        <f ca="1"/>
        <v>0.99062233991665005</v>
      </c>
      <c r="K47" s="13">
        <f ca="1"/>
        <v>0.99062233991665005</v>
      </c>
    </row>
    <row r="48" spans="1:11">
      <c r="A48" s="14">
        <f t="shared" ca="1" si="5"/>
        <v>43195</v>
      </c>
      <c r="B48" s="74">
        <f t="shared" ca="1" si="0"/>
        <v>2.4889118061721671E-2</v>
      </c>
      <c r="C48" s="74">
        <f t="shared" ca="1" si="1"/>
        <v>2.4758565749196104E-2</v>
      </c>
      <c r="D48" s="74">
        <f t="shared" ca="1" si="2"/>
        <v>2.5876708175003871E-2</v>
      </c>
      <c r="E48" s="74">
        <f t="shared" ca="1" si="3"/>
        <v>7.4976546068931671E-2</v>
      </c>
      <c r="F48" s="74">
        <f t="shared" ca="1" si="4"/>
        <v>7.4976546068931671E-2</v>
      </c>
      <c r="G48" s="13">
        <f ca="1"/>
        <v>0.99705137613319217</v>
      </c>
      <c r="H48" s="13">
        <f ca="1"/>
        <v>0.99703018393544085</v>
      </c>
      <c r="I48" s="13">
        <f ca="1"/>
        <v>0.99692609428992585</v>
      </c>
      <c r="J48" s="13">
        <f ca="1"/>
        <v>0.99041688210942447</v>
      </c>
      <c r="K48" s="13">
        <f ca="1"/>
        <v>0.99041688210942447</v>
      </c>
    </row>
    <row r="49" spans="1:11">
      <c r="A49" s="14">
        <f t="shared" ca="1" si="5"/>
        <v>43196</v>
      </c>
      <c r="B49" s="74">
        <f t="shared" ca="1" si="0"/>
        <v>2.4952407352991646E-2</v>
      </c>
      <c r="C49" s="74">
        <f t="shared" ca="1" si="1"/>
        <v>2.475688133147802E-2</v>
      </c>
      <c r="D49" s="74">
        <f t="shared" ca="1" si="2"/>
        <v>2.5939713358374417E-2</v>
      </c>
      <c r="E49" s="74">
        <f t="shared" ca="1" si="3"/>
        <v>7.4960995726329194E-2</v>
      </c>
      <c r="F49" s="74">
        <f t="shared" ca="1" si="4"/>
        <v>7.4960995726329194E-2</v>
      </c>
      <c r="G49" s="13">
        <f ca="1"/>
        <v>0.99698318676863951</v>
      </c>
      <c r="H49" s="13">
        <f ca="1"/>
        <v>0.99696235224845675</v>
      </c>
      <c r="I49" s="13">
        <f ca="1"/>
        <v>0.99685519919903542</v>
      </c>
      <c r="J49" s="13">
        <f ca="1"/>
        <v>0.99021146691471507</v>
      </c>
      <c r="K49" s="13">
        <f ca="1"/>
        <v>0.99021146691471507</v>
      </c>
    </row>
    <row r="50" spans="1:11">
      <c r="A50" s="14">
        <f t="shared" ca="1" si="5"/>
        <v>43197</v>
      </c>
      <c r="B50" s="74">
        <f t="shared" ca="1" si="0"/>
        <v>2.5015682596996047E-2</v>
      </c>
      <c r="C50" s="74">
        <f t="shared" ca="1" si="1"/>
        <v>2.4755197028359377E-2</v>
      </c>
      <c r="D50" s="74">
        <f t="shared" ca="1" si="2"/>
        <v>2.600270401265925E-2</v>
      </c>
      <c r="E50" s="74">
        <f t="shared" ca="1" si="3"/>
        <v>7.4945448608922938E-2</v>
      </c>
      <c r="F50" s="74">
        <f t="shared" ca="1" si="4"/>
        <v>7.4945448608922938E-2</v>
      </c>
      <c r="G50" s="13">
        <f ca="1"/>
        <v>0.9969148240087683</v>
      </c>
      <c r="H50" s="13">
        <f ca="1"/>
        <v>0.99689452517631572</v>
      </c>
      <c r="I50" s="13">
        <f ca="1"/>
        <v>0.99678413149120426</v>
      </c>
      <c r="J50" s="13">
        <f ca="1"/>
        <v>0.99000609432368403</v>
      </c>
      <c r="K50" s="13">
        <f ca="1"/>
        <v>0.99000609432368403</v>
      </c>
    </row>
    <row r="51" spans="1:11">
      <c r="A51" s="14">
        <f t="shared" ca="1" si="5"/>
        <v>43198</v>
      </c>
      <c r="B51" s="74">
        <f t="shared" ca="1" si="0"/>
        <v>2.507894376074904E-2</v>
      </c>
      <c r="C51" s="74">
        <f t="shared" ca="1" si="1"/>
        <v>2.4753512839880698E-2</v>
      </c>
      <c r="D51" s="74">
        <f t="shared" ca="1" si="2"/>
        <v>2.6065680105480382E-2</v>
      </c>
      <c r="E51" s="74">
        <f t="shared" ca="1" si="3"/>
        <v>7.4929904716064533E-2</v>
      </c>
      <c r="F51" s="74">
        <f t="shared" ca="1" si="4"/>
        <v>7.4929904716064533E-2</v>
      </c>
      <c r="G51" s="13">
        <f ca="1"/>
        <v>0.9968462878920642</v>
      </c>
      <c r="H51" s="13">
        <f ca="1"/>
        <v>0.99682670271870377</v>
      </c>
      <c r="I51" s="13">
        <f ca="1"/>
        <v>0.99671289120623807</v>
      </c>
      <c r="J51" s="13">
        <f ca="1"/>
        <v>0.9898007643274952</v>
      </c>
      <c r="K51" s="13">
        <f ca="1"/>
        <v>0.9898007643274952</v>
      </c>
    </row>
    <row r="52" spans="1:11">
      <c r="A52" s="14">
        <f t="shared" ca="1" si="5"/>
        <v>43199</v>
      </c>
      <c r="B52" s="74">
        <f t="shared" ca="1" si="0"/>
        <v>2.5142190811670018E-2</v>
      </c>
      <c r="C52" s="74">
        <f t="shared" ca="1" si="1"/>
        <v>2.4751828765960937E-2</v>
      </c>
      <c r="D52" s="74">
        <f t="shared" ca="1" si="2"/>
        <v>2.6128641604500347E-2</v>
      </c>
      <c r="E52" s="74">
        <f t="shared" ca="1" si="3"/>
        <v>7.4914364047024562E-2</v>
      </c>
      <c r="F52" s="74">
        <f t="shared" ca="1" si="4"/>
        <v>7.4914364047024562E-2</v>
      </c>
      <c r="G52" s="13">
        <f ca="1"/>
        <v>0.99677757845710324</v>
      </c>
      <c r="H52" s="13">
        <f ca="1"/>
        <v>0.99675888487530684</v>
      </c>
      <c r="I52" s="13">
        <f ca="1"/>
        <v>0.99664147838403128</v>
      </c>
      <c r="J52" s="13">
        <f ca="1"/>
        <v>0.9895954769173142</v>
      </c>
      <c r="K52" s="13">
        <f ca="1"/>
        <v>0.9895954769173142</v>
      </c>
    </row>
    <row r="53" spans="1:11">
      <c r="A53" s="14">
        <f t="shared" ca="1" si="5"/>
        <v>43200</v>
      </c>
      <c r="B53" s="74">
        <f t="shared" ca="1" si="0"/>
        <v>2.5205423716975761E-2</v>
      </c>
      <c r="C53" s="74">
        <f t="shared" ca="1" si="1"/>
        <v>2.4750144806600094E-2</v>
      </c>
      <c r="D53" s="74">
        <f t="shared" ca="1" si="2"/>
        <v>2.6191588477138539E-2</v>
      </c>
      <c r="E53" s="74">
        <f t="shared" ca="1" si="3"/>
        <v>7.4898826601195179E-2</v>
      </c>
      <c r="F53" s="74">
        <f t="shared" ca="1" si="4"/>
        <v>7.4898826601195179E-2</v>
      </c>
      <c r="G53" s="13">
        <f ca="1"/>
        <v>0.99670869574255072</v>
      </c>
      <c r="H53" s="13">
        <f ca="1"/>
        <v>0.99669107164581106</v>
      </c>
      <c r="I53" s="13">
        <f ca="1"/>
        <v>0.99656989306456689</v>
      </c>
      <c r="J53" s="13">
        <f ca="1"/>
        <v>0.98939023208430865</v>
      </c>
      <c r="K53" s="13">
        <f ca="1"/>
        <v>0.98939023208430865</v>
      </c>
    </row>
    <row r="54" spans="1:11">
      <c r="A54" s="14">
        <f t="shared" ca="1" si="5"/>
        <v>43201</v>
      </c>
      <c r="B54" s="74">
        <f t="shared" ca="1" si="0"/>
        <v>2.5268642443923572E-2</v>
      </c>
      <c r="C54" s="74">
        <f t="shared" ca="1" si="1"/>
        <v>2.4748460961798169E-2</v>
      </c>
      <c r="D54" s="74">
        <f t="shared" ca="1" si="2"/>
        <v>2.6254520691098016E-2</v>
      </c>
      <c r="E54" s="74">
        <f t="shared" ca="1" si="3"/>
        <v>7.4883292377846966E-2</v>
      </c>
      <c r="F54" s="74">
        <f t="shared" ca="1" si="4"/>
        <v>7.4883292377846966E-2</v>
      </c>
      <c r="G54" s="13">
        <f ca="1"/>
        <v>0.99663963978716175</v>
      </c>
      <c r="H54" s="13">
        <f ca="1"/>
        <v>0.99662326302990256</v>
      </c>
      <c r="I54" s="13">
        <f ca="1"/>
        <v>0.9964981352879172</v>
      </c>
      <c r="J54" s="13">
        <f ca="1"/>
        <v>0.98918502981964784</v>
      </c>
      <c r="K54" s="13">
        <f ca="1"/>
        <v>0.98918502981964784</v>
      </c>
    </row>
    <row r="55" spans="1:11">
      <c r="A55" s="14">
        <f t="shared" ca="1" si="5"/>
        <v>43202</v>
      </c>
      <c r="B55" s="74">
        <f t="shared" ca="1" si="0"/>
        <v>2.53318469598518E-2</v>
      </c>
      <c r="C55" s="74">
        <f t="shared" ca="1" si="1"/>
        <v>2.4746777231595685E-2</v>
      </c>
      <c r="D55" s="74">
        <f t="shared" ca="1" si="2"/>
        <v>2.6317438213879218E-2</v>
      </c>
      <c r="E55" s="74">
        <f t="shared" ca="1" si="3"/>
        <v>7.4867761376331554E-2</v>
      </c>
      <c r="F55" s="74">
        <f t="shared" ca="1" si="4"/>
        <v>7.4867761376331554E-2</v>
      </c>
      <c r="G55" s="13">
        <f ca="1"/>
        <v>0.99657041062978113</v>
      </c>
      <c r="H55" s="13">
        <f ca="1"/>
        <v>0.9965554590272675</v>
      </c>
      <c r="I55" s="13">
        <f ca="1"/>
        <v>0.99642620509424296</v>
      </c>
      <c r="J55" s="13">
        <f ca="1"/>
        <v>0.98897987011450306</v>
      </c>
      <c r="K55" s="13">
        <f ca="1"/>
        <v>0.98897987011450306</v>
      </c>
    </row>
    <row r="56" spans="1:11">
      <c r="A56" s="14">
        <f t="shared" ca="1" si="5"/>
        <v>43203</v>
      </c>
      <c r="B56" s="74">
        <f t="shared" ca="1" si="0"/>
        <v>2.5395037232058271E-2</v>
      </c>
      <c r="C56" s="74">
        <f t="shared" ca="1" si="1"/>
        <v>2.4745093615911595E-2</v>
      </c>
      <c r="D56" s="74">
        <f t="shared" ca="1" si="2"/>
        <v>2.6380341013144681E-2</v>
      </c>
      <c r="E56" s="74">
        <f t="shared" ca="1" si="3"/>
        <v>7.4852233596000572E-2</v>
      </c>
      <c r="F56" s="74">
        <f t="shared" ca="1" si="4"/>
        <v>7.4852233596000572E-2</v>
      </c>
      <c r="G56" s="13">
        <f ca="1"/>
        <v>0.99650100830934318</v>
      </c>
      <c r="H56" s="13">
        <f ca="1"/>
        <v>0.99648765963759189</v>
      </c>
      <c r="I56" s="13">
        <f ca="1"/>
        <v>0.99635410252379397</v>
      </c>
      <c r="J56" s="13">
        <f ca="1"/>
        <v>0.98877475296004735</v>
      </c>
      <c r="K56" s="13">
        <f ca="1"/>
        <v>0.98877475296004735</v>
      </c>
    </row>
    <row r="57" spans="1:11">
      <c r="A57" s="14">
        <f t="shared" ca="1" si="5"/>
        <v>43204</v>
      </c>
      <c r="B57" s="74">
        <f t="shared" ca="1" si="0"/>
        <v>2.5458213227881332E-2</v>
      </c>
      <c r="C57" s="74">
        <f t="shared" ca="1" si="1"/>
        <v>2.4743410114786424E-2</v>
      </c>
      <c r="D57" s="74">
        <f t="shared" ca="1" si="2"/>
        <v>2.6443229056556938E-2</v>
      </c>
      <c r="E57" s="74">
        <f t="shared" ca="1" si="3"/>
        <v>7.4836709036165128E-2</v>
      </c>
      <c r="F57" s="74">
        <f t="shared" ca="1" si="4"/>
        <v>7.4836709036165128E-2</v>
      </c>
      <c r="G57" s="13">
        <f ca="1"/>
        <v>0.99643143286487179</v>
      </c>
      <c r="H57" s="13">
        <f ca="1"/>
        <v>0.996419864860562</v>
      </c>
      <c r="I57" s="13">
        <f ca="1"/>
        <v>0.99628182761690864</v>
      </c>
      <c r="J57" s="13">
        <f ca="1"/>
        <v>0.98856967834745557</v>
      </c>
      <c r="K57" s="13">
        <f ca="1"/>
        <v>0.98856967834745557</v>
      </c>
    </row>
    <row r="58" spans="1:11">
      <c r="A58" s="14">
        <f t="shared" ca="1" si="5"/>
        <v>43205</v>
      </c>
      <c r="B58" s="74">
        <f t="shared" ca="1" si="0"/>
        <v>2.5521374914578288E-2</v>
      </c>
      <c r="C58" s="74">
        <f t="shared" ca="1" si="1"/>
        <v>2.4741726728179647E-2</v>
      </c>
      <c r="D58" s="74">
        <f t="shared" ca="1" si="2"/>
        <v>2.6506102311656954E-2</v>
      </c>
      <c r="E58" s="74">
        <f t="shared" ca="1" si="3"/>
        <v>7.4821187696217373E-2</v>
      </c>
      <c r="F58" s="74">
        <f t="shared" ca="1" si="4"/>
        <v>7.4821187696217373E-2</v>
      </c>
      <c r="G58" s="13">
        <f ca="1"/>
        <v>0.99636168433548034</v>
      </c>
      <c r="H58" s="13">
        <f ca="1"/>
        <v>0.99635207469586395</v>
      </c>
      <c r="I58" s="13">
        <f ca="1"/>
        <v>0.99620938041401397</v>
      </c>
      <c r="J58" s="13">
        <f ca="1"/>
        <v>0.98836464626790443</v>
      </c>
      <c r="K58" s="13">
        <f ca="1"/>
        <v>0.98836464626790443</v>
      </c>
    </row>
    <row r="59" spans="1:11">
      <c r="A59" s="14">
        <f t="shared" ca="1" si="5"/>
        <v>43206</v>
      </c>
      <c r="B59" s="74">
        <f t="shared" ca="1" si="0"/>
        <v>2.5584522259649578E-2</v>
      </c>
      <c r="C59" s="74">
        <f t="shared" ca="1" si="1"/>
        <v>2.4740043456131788E-2</v>
      </c>
      <c r="D59" s="74">
        <f t="shared" ca="1" si="2"/>
        <v>2.6568960746228831E-2</v>
      </c>
      <c r="E59" s="74">
        <f t="shared" ca="1" si="3"/>
        <v>7.4805669575346845E-2</v>
      </c>
      <c r="F59" s="74">
        <f t="shared" ca="1" si="4"/>
        <v>7.4805669575346845E-2</v>
      </c>
      <c r="G59" s="13">
        <f ca="1"/>
        <v>0.9962917627603719</v>
      </c>
      <c r="H59" s="13">
        <f ca="1"/>
        <v>0.99628428914318401</v>
      </c>
      <c r="I59" s="13">
        <f ca="1"/>
        <v>0.99613676095562587</v>
      </c>
      <c r="J59" s="13">
        <f ca="1"/>
        <v>0.98815965671257233</v>
      </c>
      <c r="K59" s="13">
        <f ca="1"/>
        <v>0.98815965671257233</v>
      </c>
    </row>
    <row r="60" spans="1:11">
      <c r="A60" s="14">
        <f t="shared" ca="1" si="5"/>
        <v>43207</v>
      </c>
      <c r="B60" s="74">
        <f t="shared" ca="1" si="0"/>
        <v>2.5647655230230937E-2</v>
      </c>
      <c r="C60" s="74">
        <f t="shared" ca="1" si="1"/>
        <v>2.4738360298561801E-2</v>
      </c>
      <c r="D60" s="74">
        <f t="shared" ca="1" si="2"/>
        <v>2.6631804327773012E-2</v>
      </c>
      <c r="E60" s="74">
        <f t="shared" ca="1" si="3"/>
        <v>7.4790154673067266E-2</v>
      </c>
      <c r="F60" s="74">
        <f t="shared" ca="1" si="4"/>
        <v>7.4790154673067266E-2</v>
      </c>
      <c r="G60" s="13">
        <f ca="1"/>
        <v>0.99622166817883862</v>
      </c>
      <c r="H60" s="13">
        <f ca="1"/>
        <v>0.99621650820220831</v>
      </c>
      <c r="I60" s="13">
        <f ca="1"/>
        <v>0.99606396928234853</v>
      </c>
      <c r="J60" s="13">
        <f ca="1"/>
        <v>0.98795470967263987</v>
      </c>
      <c r="K60" s="13">
        <f ca="1"/>
        <v>0.98795470967263987</v>
      </c>
    </row>
    <row r="61" spans="1:11">
      <c r="A61" s="14">
        <f t="shared" ca="1" si="5"/>
        <v>43208</v>
      </c>
      <c r="B61" s="74">
        <f t="shared" ca="1" si="0"/>
        <v>2.5710773793903852E-2</v>
      </c>
      <c r="C61" s="74">
        <f t="shared" ca="1" si="1"/>
        <v>2.4736677255510209E-2</v>
      </c>
      <c r="D61" s="74">
        <f t="shared" ca="1" si="2"/>
        <v>2.6694633024195169E-2</v>
      </c>
      <c r="E61" s="74">
        <f t="shared" ca="1" si="3"/>
        <v>7.4616824549406102E-2</v>
      </c>
      <c r="F61" s="74">
        <f t="shared" ca="1" si="4"/>
        <v>7.4616824549406102E-2</v>
      </c>
      <c r="G61" s="13">
        <f ca="1"/>
        <v>0.99615140063026264</v>
      </c>
      <c r="H61" s="13">
        <f ca="1"/>
        <v>0.99614873187262321</v>
      </c>
      <c r="I61" s="13">
        <f ca="1"/>
        <v>0.99599100543487518</v>
      </c>
      <c r="J61" s="13">
        <f ca="1"/>
        <v>0.98774980513928901</v>
      </c>
      <c r="K61" s="13">
        <f ca="1"/>
        <v>0.98774980513928901</v>
      </c>
    </row>
    <row r="62" spans="1:11">
      <c r="A62" s="14">
        <f t="shared" ca="1" si="5"/>
        <v>43209</v>
      </c>
      <c r="B62" s="74">
        <f t="shared" ca="1" si="0"/>
        <v>2.565651497874688E-2</v>
      </c>
      <c r="C62" s="74">
        <f t="shared" ca="1" si="1"/>
        <v>2.6603072715236098E-2</v>
      </c>
      <c r="D62" s="74">
        <f t="shared" ca="1" si="2"/>
        <v>2.6639797582985736E-2</v>
      </c>
      <c r="E62" s="74">
        <f t="shared" ca="1" si="3"/>
        <v>7.4601381476986361E-2</v>
      </c>
      <c r="F62" s="74">
        <f t="shared" ca="1" si="4"/>
        <v>7.4601381476986361E-2</v>
      </c>
      <c r="G62" s="13">
        <f ca="1"/>
        <v>0.99608096015411496</v>
      </c>
      <c r="H62" s="13">
        <f ca="1"/>
        <v>0.99608096015411496</v>
      </c>
      <c r="I62" s="13">
        <f ca="1"/>
        <v>0.99591786945398697</v>
      </c>
      <c r="J62" s="13">
        <f ca="1"/>
        <v>0.98754537548298926</v>
      </c>
      <c r="K62" s="13">
        <f ca="1"/>
        <v>0.98754537548298926</v>
      </c>
    </row>
    <row r="63" spans="1:11">
      <c r="A63" s="14">
        <f t="shared" ca="1" si="5"/>
        <v>43210</v>
      </c>
      <c r="B63" s="74">
        <f t="shared" ca="1" si="0"/>
        <v>2.5715775467584079E-2</v>
      </c>
      <c r="C63" s="74">
        <f t="shared" ca="1" si="1"/>
        <v>2.6601126117986595E-2</v>
      </c>
      <c r="D63" s="74">
        <f t="shared" ca="1" si="2"/>
        <v>2.6698758553905244E-2</v>
      </c>
      <c r="E63" s="74">
        <f t="shared" ca="1" si="3"/>
        <v>7.4585941600667227E-2</v>
      </c>
      <c r="F63" s="74">
        <f t="shared" ca="1" si="4"/>
        <v>7.4585941600667227E-2</v>
      </c>
      <c r="G63" s="13">
        <f ca="1"/>
        <v>0.99601066833225538</v>
      </c>
      <c r="H63" s="13">
        <f ca="1"/>
        <v>0.99600807502338828</v>
      </c>
      <c r="I63" s="13">
        <f ca="1"/>
        <v>0.99584488370718427</v>
      </c>
      <c r="J63" s="13">
        <f ca="1"/>
        <v>0.98734098813647697</v>
      </c>
      <c r="K63" s="13">
        <f ca="1"/>
        <v>0.98734098813647697</v>
      </c>
    </row>
    <row r="64" spans="1:11">
      <c r="A64" s="14">
        <f t="shared" ca="1" si="5"/>
        <v>43211</v>
      </c>
      <c r="B64" s="74">
        <f t="shared" ca="1" si="0"/>
        <v>2.5775022422097615E-2</v>
      </c>
      <c r="C64" s="74">
        <f t="shared" ca="1" si="1"/>
        <v>2.6599179663216455E-2</v>
      </c>
      <c r="D64" s="74">
        <f t="shared" ca="1" si="2"/>
        <v>2.6757705546448518E-2</v>
      </c>
      <c r="E64" s="74">
        <f t="shared" ca="1" si="3"/>
        <v>7.4570504919962421E-2</v>
      </c>
      <c r="F64" s="74">
        <f t="shared" ca="1" si="4"/>
        <v>7.4570504919962421E-2</v>
      </c>
      <c r="G64" s="13">
        <f ca="1"/>
        <v>0.99594021415289213</v>
      </c>
      <c r="H64" s="13">
        <f ca="1"/>
        <v>0.99593519522580476</v>
      </c>
      <c r="I64" s="13">
        <f ca="1"/>
        <v>0.99577173642347494</v>
      </c>
      <c r="J64" s="13">
        <f ca="1"/>
        <v>0.98713664309099569</v>
      </c>
      <c r="K64" s="13">
        <f ca="1"/>
        <v>0.98713664309099569</v>
      </c>
    </row>
    <row r="65" spans="1:11">
      <c r="A65" s="14">
        <f t="shared" ca="1" si="5"/>
        <v>43212</v>
      </c>
      <c r="B65" s="74">
        <f t="shared" ca="1" si="0"/>
        <v>2.5834255813597107E-2</v>
      </c>
      <c r="C65" s="74">
        <f t="shared" ca="1" si="1"/>
        <v>2.6597233350885152E-2</v>
      </c>
      <c r="D65" s="74">
        <f t="shared" ca="1" si="2"/>
        <v>2.6816638532289883E-2</v>
      </c>
      <c r="E65" s="74">
        <f t="shared" ca="1" si="3"/>
        <v>7.4555071434020959E-2</v>
      </c>
      <c r="F65" s="74">
        <f t="shared" ca="1" si="4"/>
        <v>7.4555071434020959E-2</v>
      </c>
      <c r="G65" s="13">
        <f ca="1"/>
        <v>0.99586959765310556</v>
      </c>
      <c r="H65" s="13">
        <f ca="1"/>
        <v>0.99586232076097403</v>
      </c>
      <c r="I65" s="13">
        <f ca="1"/>
        <v>0.9956984276411559</v>
      </c>
      <c r="J65" s="13">
        <f ca="1"/>
        <v>0.98693234033779031</v>
      </c>
      <c r="K65" s="13">
        <f ca="1"/>
        <v>0.98693234033779031</v>
      </c>
    </row>
    <row r="66" spans="1:11">
      <c r="A66" s="14">
        <f t="shared" ca="1" si="5"/>
        <v>43213</v>
      </c>
      <c r="B66" s="74">
        <f t="shared" ref="B66:B129" ca="1" si="6">(G66-G67)/($A67-$A66)*365</f>
        <v>2.5893475613432693E-2</v>
      </c>
      <c r="C66" s="74">
        <f t="shared" ref="C66:C129" ca="1" si="7">(H66-H67)/($A67-$A66)*365</f>
        <v>2.6595287180911642E-2</v>
      </c>
      <c r="D66" s="74">
        <f t="shared" ref="D66:D129" ca="1" si="8">(I66-I67)/($A67-$A66)*365</f>
        <v>2.6875557482820001E-2</v>
      </c>
      <c r="E66" s="74">
        <f t="shared" ref="E66:E129" ca="1" si="9">(J66-J67)/($A67-$A66)*365</f>
        <v>7.4539641142356561E-2</v>
      </c>
      <c r="F66" s="74">
        <f t="shared" ref="F66:F129" ca="1" si="10">(K66-K67)/($A67-$A66)*365</f>
        <v>7.4539641142356561E-2</v>
      </c>
      <c r="G66" s="13">
        <f ca="1"/>
        <v>0.99579881887005461</v>
      </c>
      <c r="H66" s="13">
        <f ca="1"/>
        <v>0.99578945162850585</v>
      </c>
      <c r="I66" s="13">
        <f ca="1"/>
        <v>0.99562495739860168</v>
      </c>
      <c r="J66" s="13">
        <f ca="1"/>
        <v>0.98672807986810807</v>
      </c>
      <c r="K66" s="13">
        <f ca="1"/>
        <v>0.98672807986810807</v>
      </c>
    </row>
    <row r="67" spans="1:11">
      <c r="A67" s="14">
        <f t="shared" ca="1" si="5"/>
        <v>43214</v>
      </c>
      <c r="B67" s="74">
        <f t="shared" ca="1" si="6"/>
        <v>2.5952681792711374E-2</v>
      </c>
      <c r="C67" s="74">
        <f t="shared" ca="1" si="7"/>
        <v>2.6593341153336447E-2</v>
      </c>
      <c r="D67" s="74">
        <f t="shared" ca="1" si="8"/>
        <v>2.6934462369875289E-2</v>
      </c>
      <c r="E67" s="74">
        <f t="shared" ca="1" si="9"/>
        <v>7.4524214044158765E-2</v>
      </c>
      <c r="F67" s="74">
        <f t="shared" ca="1" si="10"/>
        <v>7.4524214044158765E-2</v>
      </c>
      <c r="G67" s="13">
        <f ca="1"/>
        <v>0.99572787784097672</v>
      </c>
      <c r="H67" s="13">
        <f ca="1"/>
        <v>0.9957165878280102</v>
      </c>
      <c r="I67" s="13">
        <f ca="1"/>
        <v>0.99555132573426519</v>
      </c>
      <c r="J67" s="13">
        <f ca="1"/>
        <v>0.9865238616731975</v>
      </c>
      <c r="K67" s="13">
        <f ca="1"/>
        <v>0.9865238616731975</v>
      </c>
    </row>
    <row r="68" spans="1:11">
      <c r="A68" s="14">
        <f t="shared" ref="A68:A131" ca="1" si="11">A67+1</f>
        <v>43215</v>
      </c>
      <c r="B68" s="74">
        <f t="shared" ca="1" si="6"/>
        <v>2.6011874322864337E-2</v>
      </c>
      <c r="C68" s="74">
        <f t="shared" ca="1" si="7"/>
        <v>2.6591395268240614E-2</v>
      </c>
      <c r="D68" s="74">
        <f t="shared" ca="1" si="8"/>
        <v>2.6993353164805889E-2</v>
      </c>
      <c r="E68" s="74">
        <f t="shared" ca="1" si="9"/>
        <v>7.4508790138819725E-2</v>
      </c>
      <c r="F68" s="74">
        <f t="shared" ca="1" si="10"/>
        <v>7.4508790138819725E-2</v>
      </c>
      <c r="G68" s="13">
        <f ca="1"/>
        <v>0.99565677460318847</v>
      </c>
      <c r="H68" s="13">
        <f ca="1"/>
        <v>0.99564372935909695</v>
      </c>
      <c r="I68" s="13">
        <f ca="1"/>
        <v>0.99547753268667649</v>
      </c>
      <c r="J68" s="13">
        <f ca="1"/>
        <v>0.98631968574430939</v>
      </c>
      <c r="K68" s="13">
        <f ca="1"/>
        <v>0.98631968574430939</v>
      </c>
    </row>
    <row r="69" spans="1:11">
      <c r="A69" s="14">
        <f t="shared" ca="1" si="11"/>
        <v>43216</v>
      </c>
      <c r="B69" s="74">
        <f t="shared" ca="1" si="6"/>
        <v>2.6071053175241721E-2</v>
      </c>
      <c r="C69" s="74">
        <f t="shared" ca="1" si="7"/>
        <v>2.658944952546205E-2</v>
      </c>
      <c r="D69" s="74">
        <f t="shared" ca="1" si="8"/>
        <v>2.7052229839448216E-2</v>
      </c>
      <c r="E69" s="74">
        <f t="shared" ca="1" si="9"/>
        <v>7.4493369425772116E-2</v>
      </c>
      <c r="F69" s="74">
        <f t="shared" ca="1" si="10"/>
        <v>7.4493369425772116E-2</v>
      </c>
      <c r="G69" s="13">
        <f ca="1"/>
        <v>0.99558550919408473</v>
      </c>
      <c r="H69" s="13">
        <f ca="1"/>
        <v>0.99557087622137574</v>
      </c>
      <c r="I69" s="13">
        <f ca="1"/>
        <v>0.99540357829444415</v>
      </c>
      <c r="J69" s="13">
        <f ca="1"/>
        <v>0.98611555207269619</v>
      </c>
      <c r="K69" s="13">
        <f ca="1"/>
        <v>0.98611555207269619</v>
      </c>
    </row>
    <row r="70" spans="1:11">
      <c r="A70" s="14">
        <f t="shared" ca="1" si="11"/>
        <v>43217</v>
      </c>
      <c r="B70" s="74">
        <f t="shared" ca="1" si="6"/>
        <v>2.613021832099105E-2</v>
      </c>
      <c r="C70" s="74">
        <f t="shared" ca="1" si="7"/>
        <v>2.6587503925041278E-2</v>
      </c>
      <c r="D70" s="74">
        <f t="shared" ca="1" si="8"/>
        <v>2.7111092365152412E-2</v>
      </c>
      <c r="E70" s="74">
        <f t="shared" ca="1" si="9"/>
        <v>7.4477951904164952E-2</v>
      </c>
      <c r="F70" s="74">
        <f t="shared" ca="1" si="10"/>
        <v>7.4477951904164952E-2</v>
      </c>
      <c r="G70" s="13">
        <f ca="1"/>
        <v>0.99551408165113886</v>
      </c>
      <c r="H70" s="13">
        <f ca="1"/>
        <v>0.99549802841445667</v>
      </c>
      <c r="I70" s="13">
        <f ca="1"/>
        <v>0.99532946259625388</v>
      </c>
      <c r="J70" s="13">
        <f ca="1"/>
        <v>0.98591146064961188</v>
      </c>
      <c r="K70" s="13">
        <f ca="1"/>
        <v>0.98591146064961188</v>
      </c>
    </row>
    <row r="71" spans="1:11">
      <c r="A71" s="14">
        <f t="shared" ca="1" si="11"/>
        <v>43218</v>
      </c>
      <c r="B71" s="74">
        <f t="shared" ca="1" si="6"/>
        <v>2.6189369731584033E-2</v>
      </c>
      <c r="C71" s="74">
        <f t="shared" ca="1" si="7"/>
        <v>2.6585558467059345E-2</v>
      </c>
      <c r="D71" s="74">
        <f t="shared" ca="1" si="8"/>
        <v>2.7169940713835938E-2</v>
      </c>
      <c r="E71" s="74">
        <f t="shared" ca="1" si="9"/>
        <v>7.4462537573552479E-2</v>
      </c>
      <c r="F71" s="74">
        <f t="shared" ca="1" si="10"/>
        <v>7.4462537573552479E-2</v>
      </c>
      <c r="G71" s="13">
        <f ca="1"/>
        <v>0.99544249201190327</v>
      </c>
      <c r="H71" s="13">
        <f ca="1"/>
        <v>0.99542518593794971</v>
      </c>
      <c r="I71" s="13">
        <f ca="1"/>
        <v>0.9952551856308699</v>
      </c>
      <c r="J71" s="13">
        <f ca="1"/>
        <v>0.9857074114663128</v>
      </c>
      <c r="K71" s="13">
        <f ca="1"/>
        <v>0.9857074114663128</v>
      </c>
    </row>
    <row r="72" spans="1:11">
      <c r="A72" s="14">
        <f t="shared" ca="1" si="11"/>
        <v>43219</v>
      </c>
      <c r="B72" s="74">
        <f t="shared" ca="1" si="6"/>
        <v>2.6248507378451857E-2</v>
      </c>
      <c r="C72" s="74">
        <f t="shared" ca="1" si="7"/>
        <v>2.6583613151354157E-2</v>
      </c>
      <c r="D72" s="74">
        <f t="shared" ca="1" si="8"/>
        <v>2.7228774856929983E-2</v>
      </c>
      <c r="E72" s="74">
        <f t="shared" ca="1" si="9"/>
        <v>7.444712643308371E-2</v>
      </c>
      <c r="F72" s="74">
        <f t="shared" ca="1" si="10"/>
        <v>7.444712643308371E-2</v>
      </c>
      <c r="G72" s="13">
        <f ca="1"/>
        <v>0.99537074031400852</v>
      </c>
      <c r="H72" s="13">
        <f ca="1"/>
        <v>0.99535234879146461</v>
      </c>
      <c r="I72" s="13">
        <f ca="1"/>
        <v>0.99518074743713336</v>
      </c>
      <c r="J72" s="13">
        <f ca="1"/>
        <v>0.98550340451405649</v>
      </c>
      <c r="K72" s="13">
        <f ca="1"/>
        <v>0.98550340451405649</v>
      </c>
    </row>
    <row r="73" spans="1:11">
      <c r="A73" s="14">
        <f t="shared" ca="1" si="11"/>
        <v>43220</v>
      </c>
      <c r="B73" s="74">
        <f t="shared" ca="1" si="6"/>
        <v>2.6307631232661E-2</v>
      </c>
      <c r="C73" s="74">
        <f t="shared" ca="1" si="7"/>
        <v>2.6581667978047285E-2</v>
      </c>
      <c r="D73" s="74">
        <f t="shared" ca="1" si="8"/>
        <v>2.7287594766270962E-2</v>
      </c>
      <c r="E73" s="74">
        <f t="shared" ca="1" si="9"/>
        <v>7.4431718482231846E-2</v>
      </c>
      <c r="F73" s="74">
        <f t="shared" ca="1" si="10"/>
        <v>7.4431718482231846E-2</v>
      </c>
      <c r="G73" s="13">
        <f ca="1"/>
        <v>0.99529882659516344</v>
      </c>
      <c r="H73" s="13">
        <f ca="1"/>
        <v>0.99527951697461159</v>
      </c>
      <c r="I73" s="13">
        <f ca="1"/>
        <v>0.99510614805396369</v>
      </c>
      <c r="J73" s="13">
        <f ca="1"/>
        <v>0.98529943978410284</v>
      </c>
      <c r="K73" s="13">
        <f ca="1"/>
        <v>0.98529943978410284</v>
      </c>
    </row>
    <row r="74" spans="1:11">
      <c r="A74" s="14">
        <f t="shared" ca="1" si="11"/>
        <v>43221</v>
      </c>
      <c r="B74" s="74">
        <f t="shared" ca="1" si="6"/>
        <v>2.6366741265845262E-2</v>
      </c>
      <c r="C74" s="74">
        <f t="shared" ca="1" si="7"/>
        <v>2.6579722947017159E-2</v>
      </c>
      <c r="D74" s="74">
        <f t="shared" ca="1" si="8"/>
        <v>2.7346400413330585E-2</v>
      </c>
      <c r="E74" s="74">
        <f t="shared" ca="1" si="9"/>
        <v>7.4416313720267468E-2</v>
      </c>
      <c r="F74" s="74">
        <f t="shared" ca="1" si="10"/>
        <v>7.4416313720267468E-2</v>
      </c>
      <c r="G74" s="13">
        <f ca="1"/>
        <v>0.99522675089315615</v>
      </c>
      <c r="H74" s="13">
        <f ca="1"/>
        <v>0.9952066904870005</v>
      </c>
      <c r="I74" s="13">
        <f ca="1"/>
        <v>0.99503138752035747</v>
      </c>
      <c r="J74" s="13">
        <f ca="1"/>
        <v>0.98509551726771316</v>
      </c>
      <c r="K74" s="13">
        <f ca="1"/>
        <v>0.98509551726771316</v>
      </c>
    </row>
    <row r="75" spans="1:11">
      <c r="A75" s="14">
        <f t="shared" ca="1" si="11"/>
        <v>43222</v>
      </c>
      <c r="B75" s="74">
        <f t="shared" ca="1" si="6"/>
        <v>2.6425837449354783E-2</v>
      </c>
      <c r="C75" s="74">
        <f t="shared" ca="1" si="7"/>
        <v>2.6577778058344825E-2</v>
      </c>
      <c r="D75" s="74">
        <f t="shared" ca="1" si="8"/>
        <v>2.7405191769985793E-2</v>
      </c>
      <c r="E75" s="74">
        <f t="shared" ca="1" si="9"/>
        <v>7.4400912146542209E-2</v>
      </c>
      <c r="F75" s="74">
        <f t="shared" ca="1" si="10"/>
        <v>7.4400912146542209E-2</v>
      </c>
      <c r="G75" s="13">
        <f ca="1"/>
        <v>0.99515451324585247</v>
      </c>
      <c r="H75" s="13">
        <f ca="1"/>
        <v>0.99513386932824155</v>
      </c>
      <c r="I75" s="13">
        <f ca="1"/>
        <v>0.99495646587538944</v>
      </c>
      <c r="J75" s="13">
        <f ca="1"/>
        <v>0.98489163695615078</v>
      </c>
      <c r="K75" s="13">
        <f ca="1"/>
        <v>0.98489163695615078</v>
      </c>
    </row>
    <row r="76" spans="1:11">
      <c r="A76" s="14">
        <f t="shared" ca="1" si="11"/>
        <v>43223</v>
      </c>
      <c r="B76" s="74">
        <f t="shared" ca="1" si="6"/>
        <v>2.6484919754377612E-2</v>
      </c>
      <c r="C76" s="74">
        <f t="shared" ca="1" si="7"/>
        <v>2.6575833311989761E-2</v>
      </c>
      <c r="D76" s="74">
        <f t="shared" ca="1" si="8"/>
        <v>2.7463968807748818E-2</v>
      </c>
      <c r="E76" s="74">
        <f t="shared" ca="1" si="9"/>
        <v>7.4385513760407695E-2</v>
      </c>
      <c r="F76" s="74">
        <f t="shared" ca="1" si="10"/>
        <v>7.4385513760407695E-2</v>
      </c>
      <c r="G76" s="13">
        <f ca="1"/>
        <v>0.9950821136911967</v>
      </c>
      <c r="H76" s="13">
        <f ca="1"/>
        <v>0.99506105349794471</v>
      </c>
      <c r="I76" s="13">
        <f ca="1"/>
        <v>0.9948813831582114</v>
      </c>
      <c r="J76" s="13">
        <f ca="1"/>
        <v>0.98468779884068081</v>
      </c>
      <c r="K76" s="13">
        <f ca="1"/>
        <v>0.98468779884068081</v>
      </c>
    </row>
    <row r="77" spans="1:11">
      <c r="A77" s="14">
        <f t="shared" ca="1" si="11"/>
        <v>43224</v>
      </c>
      <c r="B77" s="74">
        <f t="shared" ca="1" si="6"/>
        <v>2.6543988152588072E-2</v>
      </c>
      <c r="C77" s="74">
        <f t="shared" ca="1" si="7"/>
        <v>2.6573888707951965E-2</v>
      </c>
      <c r="D77" s="74">
        <f t="shared" ca="1" si="8"/>
        <v>2.7522731498577646E-2</v>
      </c>
      <c r="E77" s="74">
        <f t="shared" ca="1" si="9"/>
        <v>7.4370118561215559E-2</v>
      </c>
      <c r="F77" s="74">
        <f t="shared" ca="1" si="10"/>
        <v>7.4370118561215559E-2</v>
      </c>
      <c r="G77" s="13">
        <f ca="1"/>
        <v>0.99500955226721211</v>
      </c>
      <c r="H77" s="13">
        <f ca="1"/>
        <v>0.99498824299572008</v>
      </c>
      <c r="I77" s="13">
        <f ca="1"/>
        <v>0.99480613940805318</v>
      </c>
      <c r="J77" s="13">
        <f ca="1"/>
        <v>0.9844840029125701</v>
      </c>
      <c r="K77" s="13">
        <f ca="1"/>
        <v>0.9844840029125701</v>
      </c>
    </row>
    <row r="78" spans="1:11">
      <c r="A78" s="14">
        <f t="shared" ca="1" si="11"/>
        <v>43225</v>
      </c>
      <c r="B78" s="74">
        <f t="shared" ca="1" si="6"/>
        <v>2.6603042615336303E-2</v>
      </c>
      <c r="C78" s="74">
        <f t="shared" ca="1" si="7"/>
        <v>2.6571944246150392E-2</v>
      </c>
      <c r="D78" s="74">
        <f t="shared" ca="1" si="8"/>
        <v>2.7581479813822418E-2</v>
      </c>
      <c r="E78" s="74">
        <f t="shared" ca="1" si="9"/>
        <v>7.4354726548276906E-2</v>
      </c>
      <c r="F78" s="74">
        <f t="shared" ca="1" si="10"/>
        <v>7.4354726548276906E-2</v>
      </c>
      <c r="G78" s="13">
        <f ca="1"/>
        <v>0.99493682901199954</v>
      </c>
      <c r="H78" s="13">
        <f ca="1"/>
        <v>0.99491543782117775</v>
      </c>
      <c r="I78" s="13">
        <f ca="1"/>
        <v>0.99473073466422146</v>
      </c>
      <c r="J78" s="13">
        <f ca="1"/>
        <v>0.98428024916308732</v>
      </c>
      <c r="K78" s="13">
        <f ca="1"/>
        <v>0.98428024916308732</v>
      </c>
    </row>
    <row r="79" spans="1:11">
      <c r="A79" s="14">
        <f t="shared" ca="1" si="11"/>
        <v>43226</v>
      </c>
      <c r="B79" s="74">
        <f t="shared" ca="1" si="6"/>
        <v>2.6662083113850876E-2</v>
      </c>
      <c r="C79" s="74">
        <f t="shared" ca="1" si="7"/>
        <v>2.6569999926625565E-2</v>
      </c>
      <c r="D79" s="74">
        <f t="shared" ca="1" si="8"/>
        <v>2.7640213725643736E-2</v>
      </c>
      <c r="E79" s="74">
        <f t="shared" ca="1" si="9"/>
        <v>7.4339337720943366E-2</v>
      </c>
      <c r="F79" s="74">
        <f t="shared" ca="1" si="10"/>
        <v>7.4339337720943366E-2</v>
      </c>
      <c r="G79" s="13">
        <f ca="1"/>
        <v>0.99486394396373834</v>
      </c>
      <c r="H79" s="13">
        <f ca="1"/>
        <v>0.99484263797392802</v>
      </c>
      <c r="I79" s="13">
        <f ca="1"/>
        <v>0.9946551689661014</v>
      </c>
      <c r="J79" s="13">
        <f ca="1"/>
        <v>0.984076537583503</v>
      </c>
      <c r="K79" s="13">
        <f ca="1"/>
        <v>0.984076537583503</v>
      </c>
    </row>
    <row r="80" spans="1:11">
      <c r="A80" s="14">
        <f t="shared" ca="1" si="11"/>
        <v>43227</v>
      </c>
      <c r="B80" s="74">
        <f t="shared" ca="1" si="6"/>
        <v>2.6721109619846639E-2</v>
      </c>
      <c r="C80" s="74">
        <f t="shared" ca="1" si="7"/>
        <v>2.6568055749418007E-2</v>
      </c>
      <c r="D80" s="74">
        <f t="shared" ca="1" si="8"/>
        <v>2.769893320539174E-2</v>
      </c>
      <c r="E80" s="74">
        <f t="shared" ca="1" si="9"/>
        <v>7.4323952078566569E-2</v>
      </c>
      <c r="F80" s="74">
        <f t="shared" ca="1" si="10"/>
        <v>7.4323952078566569E-2</v>
      </c>
      <c r="G80" s="13">
        <f ca="1"/>
        <v>0.99479089716068669</v>
      </c>
      <c r="H80" s="13">
        <f ca="1"/>
        <v>0.9947698434535811</v>
      </c>
      <c r="I80" s="13">
        <f ca="1"/>
        <v>0.99457944235315443</v>
      </c>
      <c r="J80" s="13">
        <f ca="1"/>
        <v>0.98387286816508945</v>
      </c>
      <c r="K80" s="13">
        <f ca="1"/>
        <v>0.98387286816508945</v>
      </c>
    </row>
    <row r="81" spans="1:11">
      <c r="A81" s="14">
        <f t="shared" ca="1" si="11"/>
        <v>43228</v>
      </c>
      <c r="B81" s="74">
        <f t="shared" ca="1" si="6"/>
        <v>2.6780122104592685E-2</v>
      </c>
      <c r="C81" s="74">
        <f t="shared" ca="1" si="7"/>
        <v>2.6566111714487195E-2</v>
      </c>
      <c r="D81" s="74">
        <f t="shared" ca="1" si="8"/>
        <v>2.7757638225145986E-2</v>
      </c>
      <c r="E81" s="74">
        <f t="shared" ca="1" si="9"/>
        <v>7.4308569620498144E-2</v>
      </c>
      <c r="F81" s="74">
        <f t="shared" ca="1" si="10"/>
        <v>7.4308569620498144E-2</v>
      </c>
      <c r="G81" s="13">
        <f ca="1"/>
        <v>0.99471768864118026</v>
      </c>
      <c r="H81" s="13">
        <f ca="1"/>
        <v>0.99469705425974708</v>
      </c>
      <c r="I81" s="13">
        <f ca="1"/>
        <v>0.99450355486492048</v>
      </c>
      <c r="J81" s="13">
        <f ca="1"/>
        <v>0.98366924089912078</v>
      </c>
      <c r="K81" s="13">
        <f ca="1"/>
        <v>0.98366924089912078</v>
      </c>
    </row>
    <row r="82" spans="1:11">
      <c r="A82" s="14">
        <f t="shared" ca="1" si="11"/>
        <v>43229</v>
      </c>
      <c r="B82" s="74">
        <f t="shared" ca="1" si="6"/>
        <v>2.683912053964177E-2</v>
      </c>
      <c r="C82" s="74">
        <f t="shared" ca="1" si="7"/>
        <v>2.656416782171156E-2</v>
      </c>
      <c r="D82" s="74">
        <f t="shared" ca="1" si="8"/>
        <v>2.7816328756378184E-2</v>
      </c>
      <c r="E82" s="74">
        <f t="shared" ca="1" si="9"/>
        <v>7.4293190346049198E-2</v>
      </c>
      <c r="F82" s="74">
        <f t="shared" ca="1" si="10"/>
        <v>7.4293190346049198E-2</v>
      </c>
      <c r="G82" s="13">
        <f ca="1"/>
        <v>0.99464431844363344</v>
      </c>
      <c r="H82" s="13">
        <f ca="1"/>
        <v>0.99462427039203616</v>
      </c>
      <c r="I82" s="13">
        <f ca="1"/>
        <v>0.99442750654101597</v>
      </c>
      <c r="J82" s="13">
        <f ca="1"/>
        <v>0.98346565577687284</v>
      </c>
      <c r="K82" s="13">
        <f ca="1"/>
        <v>0.98346565577687284</v>
      </c>
    </row>
    <row r="83" spans="1:11">
      <c r="A83" s="14">
        <f t="shared" ca="1" si="11"/>
        <v>43230</v>
      </c>
      <c r="B83" s="74">
        <f t="shared" ca="1" si="6"/>
        <v>2.6898104896546648E-2</v>
      </c>
      <c r="C83" s="74">
        <f t="shared" ca="1" si="7"/>
        <v>2.6562224071293716E-2</v>
      </c>
      <c r="D83" s="74">
        <f t="shared" ca="1" si="8"/>
        <v>2.7875004771248935E-2</v>
      </c>
      <c r="E83" s="74">
        <f t="shared" ca="1" si="9"/>
        <v>7.4277814254530838E-2</v>
      </c>
      <c r="F83" s="74">
        <f t="shared" ca="1" si="10"/>
        <v>7.4277814254530838E-2</v>
      </c>
      <c r="G83" s="13">
        <f ca="1"/>
        <v>0.99457078660653853</v>
      </c>
      <c r="H83" s="13">
        <f ca="1"/>
        <v>0.99455149185005887</v>
      </c>
      <c r="I83" s="13">
        <f ca="1"/>
        <v>0.99435129742113548</v>
      </c>
      <c r="J83" s="13">
        <f ca="1"/>
        <v>0.98326211278962339</v>
      </c>
      <c r="K83" s="13">
        <f ca="1"/>
        <v>0.98326211278962339</v>
      </c>
    </row>
    <row r="84" spans="1:11">
      <c r="A84" s="14">
        <f t="shared" ca="1" si="11"/>
        <v>43231</v>
      </c>
      <c r="B84" s="74">
        <f t="shared" ca="1" si="6"/>
        <v>2.6957075146535892E-2</v>
      </c>
      <c r="C84" s="74">
        <f t="shared" ca="1" si="7"/>
        <v>2.6560280462990526E-2</v>
      </c>
      <c r="D84" s="74">
        <f t="shared" ca="1" si="8"/>
        <v>2.7933666241108379E-2</v>
      </c>
      <c r="E84" s="74">
        <f t="shared" ca="1" si="9"/>
        <v>7.426244134537574E-2</v>
      </c>
      <c r="F84" s="74">
        <f t="shared" ca="1" si="10"/>
        <v>7.426244134537574E-2</v>
      </c>
      <c r="G84" s="13">
        <f ca="1"/>
        <v>0.9944970931684658</v>
      </c>
      <c r="H84" s="13">
        <f ca="1"/>
        <v>0.99447871863342518</v>
      </c>
      <c r="I84" s="13">
        <f ca="1"/>
        <v>0.99427492754504987</v>
      </c>
      <c r="J84" s="13">
        <f ca="1"/>
        <v>0.98305861192865207</v>
      </c>
      <c r="K84" s="13">
        <f ca="1"/>
        <v>0.98305861192865207</v>
      </c>
    </row>
    <row r="85" spans="1:11">
      <c r="A85" s="14">
        <f t="shared" ca="1" si="11"/>
        <v>43232</v>
      </c>
      <c r="B85" s="74">
        <f t="shared" ca="1" si="6"/>
        <v>2.701603126136487E-2</v>
      </c>
      <c r="C85" s="74">
        <f t="shared" ca="1" si="7"/>
        <v>2.6558336996964083E-2</v>
      </c>
      <c r="D85" s="74">
        <f t="shared" ca="1" si="8"/>
        <v>2.7992313138157643E-2</v>
      </c>
      <c r="E85" s="74">
        <f t="shared" ca="1" si="9"/>
        <v>7.4247071617854488E-2</v>
      </c>
      <c r="F85" s="74">
        <f t="shared" ca="1" si="10"/>
        <v>7.4247071617854488E-2</v>
      </c>
      <c r="G85" s="13">
        <f ca="1"/>
        <v>0.99442323816806433</v>
      </c>
      <c r="H85" s="13">
        <f ca="1"/>
        <v>0.99440595074174576</v>
      </c>
      <c r="I85" s="13">
        <f ca="1"/>
        <v>0.99419839695260848</v>
      </c>
      <c r="J85" s="13">
        <f ca="1"/>
        <v>0.98285515318524008</v>
      </c>
      <c r="K85" s="13">
        <f ca="1"/>
        <v>0.98285515318524008</v>
      </c>
    </row>
    <row r="86" spans="1:11">
      <c r="A86" s="14">
        <f t="shared" ca="1" si="11"/>
        <v>43233</v>
      </c>
      <c r="B86" s="74">
        <f t="shared" ca="1" si="6"/>
        <v>2.707497321258634E-2</v>
      </c>
      <c r="C86" s="74">
        <f t="shared" ca="1" si="7"/>
        <v>2.6556393673173861E-2</v>
      </c>
      <c r="D86" s="74">
        <f t="shared" ca="1" si="8"/>
        <v>2.8050945433868435E-2</v>
      </c>
      <c r="E86" s="74">
        <f t="shared" ca="1" si="9"/>
        <v>7.4231705071359233E-2</v>
      </c>
      <c r="F86" s="74">
        <f t="shared" ca="1" si="10"/>
        <v>7.4231705071359233E-2</v>
      </c>
      <c r="G86" s="13">
        <f ca="1"/>
        <v>0.99434922164406059</v>
      </c>
      <c r="H86" s="13">
        <f ca="1"/>
        <v>0.99433318817463079</v>
      </c>
      <c r="I86" s="13">
        <f ca="1"/>
        <v>0.99412170568373681</v>
      </c>
      <c r="J86" s="13">
        <f ca="1"/>
        <v>0.98265173655067062</v>
      </c>
      <c r="K86" s="13">
        <f ca="1"/>
        <v>0.98265173655067062</v>
      </c>
    </row>
    <row r="87" spans="1:11">
      <c r="A87" s="14">
        <f t="shared" ca="1" si="11"/>
        <v>43234</v>
      </c>
      <c r="B87" s="74">
        <f t="shared" ca="1" si="6"/>
        <v>2.713390097142887E-2</v>
      </c>
      <c r="C87" s="74">
        <f t="shared" ca="1" si="7"/>
        <v>2.6554450491498294E-2</v>
      </c>
      <c r="D87" s="74">
        <f t="shared" ca="1" si="8"/>
        <v>2.8109563100482404E-2</v>
      </c>
      <c r="E87" s="74">
        <f t="shared" ca="1" si="9"/>
        <v>7.421634170516056E-2</v>
      </c>
      <c r="F87" s="74">
        <f t="shared" ca="1" si="10"/>
        <v>7.421634170516056E-2</v>
      </c>
      <c r="G87" s="13">
        <f ca="1"/>
        <v>0.99427504363525898</v>
      </c>
      <c r="H87" s="13">
        <f ca="1"/>
        <v>0.99426043093169059</v>
      </c>
      <c r="I87" s="13">
        <f ca="1"/>
        <v>0.99404485377843854</v>
      </c>
      <c r="J87" s="13">
        <f ca="1"/>
        <v>0.98244836201622854</v>
      </c>
      <c r="K87" s="13">
        <f ca="1"/>
        <v>0.98244836201622854</v>
      </c>
    </row>
    <row r="88" spans="1:11">
      <c r="A88" s="14">
        <f t="shared" ca="1" si="11"/>
        <v>43235</v>
      </c>
      <c r="B88" s="74">
        <f t="shared" ca="1" si="6"/>
        <v>2.719281450972888E-2</v>
      </c>
      <c r="C88" s="74">
        <f t="shared" ca="1" si="7"/>
        <v>2.6552507452058949E-2</v>
      </c>
      <c r="D88" s="74">
        <f t="shared" ca="1" si="8"/>
        <v>2.8168166109390214E-2</v>
      </c>
      <c r="E88" s="74">
        <f t="shared" ca="1" si="9"/>
        <v>7.4200981518650622E-2</v>
      </c>
      <c r="F88" s="74">
        <f t="shared" ca="1" si="10"/>
        <v>7.4200981518650622E-2</v>
      </c>
      <c r="G88" s="13">
        <f ca="1"/>
        <v>0.99420070418054274</v>
      </c>
      <c r="H88" s="13">
        <f ca="1"/>
        <v>0.9941876790125358</v>
      </c>
      <c r="I88" s="13">
        <f ca="1"/>
        <v>0.99396784127679338</v>
      </c>
      <c r="J88" s="13">
        <f ca="1"/>
        <v>0.9822450295732007</v>
      </c>
      <c r="K88" s="13">
        <f ca="1"/>
        <v>0.9822450295732007</v>
      </c>
    </row>
    <row r="89" spans="1:11">
      <c r="A89" s="14">
        <f t="shared" ca="1" si="11"/>
        <v>43236</v>
      </c>
      <c r="B89" s="74">
        <f t="shared" ca="1" si="6"/>
        <v>2.7251713798958077E-2</v>
      </c>
      <c r="C89" s="74">
        <f t="shared" ca="1" si="7"/>
        <v>2.6550564554815304E-2</v>
      </c>
      <c r="D89" s="74">
        <f t="shared" ca="1" si="8"/>
        <v>2.8226754432874035E-2</v>
      </c>
      <c r="E89" s="74">
        <f t="shared" ca="1" si="9"/>
        <v>7.4185624511140524E-2</v>
      </c>
      <c r="F89" s="74">
        <f t="shared" ca="1" si="10"/>
        <v>7.4185624511140524E-2</v>
      </c>
      <c r="G89" s="13">
        <f ca="1"/>
        <v>0.99412620331887225</v>
      </c>
      <c r="H89" s="13">
        <f ca="1"/>
        <v>0.99411493241677673</v>
      </c>
      <c r="I89" s="13">
        <f ca="1"/>
        <v>0.99389066821895944</v>
      </c>
      <c r="J89" s="13">
        <f ca="1"/>
        <v>0.98204173921287563</v>
      </c>
      <c r="K89" s="13">
        <f ca="1"/>
        <v>0.98204173921287563</v>
      </c>
    </row>
    <row r="90" spans="1:11">
      <c r="A90" s="14">
        <f t="shared" ca="1" si="11"/>
        <v>43237</v>
      </c>
      <c r="B90" s="74">
        <f t="shared" ca="1" si="6"/>
        <v>2.7310598810507125E-2</v>
      </c>
      <c r="C90" s="74">
        <f t="shared" ca="1" si="7"/>
        <v>2.6548621799686312E-2</v>
      </c>
      <c r="D90" s="74">
        <f t="shared" ca="1" si="8"/>
        <v>2.8285328042405578E-2</v>
      </c>
      <c r="E90" s="74">
        <f t="shared" ca="1" si="9"/>
        <v>7.4170270682062944E-2</v>
      </c>
      <c r="F90" s="74">
        <f t="shared" ca="1" si="10"/>
        <v>7.4170270682062944E-2</v>
      </c>
      <c r="G90" s="13">
        <f ca="1"/>
        <v>0.99405154108928606</v>
      </c>
      <c r="H90" s="13">
        <f ca="1"/>
        <v>0.99404219114402381</v>
      </c>
      <c r="I90" s="13">
        <f ca="1"/>
        <v>0.99381333464517074</v>
      </c>
      <c r="J90" s="13">
        <f ca="1"/>
        <v>0.98183849092654374</v>
      </c>
      <c r="K90" s="13">
        <f ca="1"/>
        <v>0.98183849092654374</v>
      </c>
    </row>
    <row r="91" spans="1:11">
      <c r="A91" s="14">
        <f t="shared" ca="1" si="11"/>
        <v>43238</v>
      </c>
      <c r="B91" s="74">
        <f t="shared" ca="1" si="6"/>
        <v>2.7369469516212441E-2</v>
      </c>
      <c r="C91" s="74">
        <f t="shared" ca="1" si="7"/>
        <v>2.6546679186753019E-2</v>
      </c>
      <c r="D91" s="74">
        <f t="shared" ca="1" si="8"/>
        <v>2.834388691022649E-2</v>
      </c>
      <c r="E91" s="74">
        <f t="shared" ca="1" si="9"/>
        <v>7.6943874198509565E-2</v>
      </c>
      <c r="F91" s="74">
        <f t="shared" ca="1" si="10"/>
        <v>7.6950602407066526E-2</v>
      </c>
      <c r="G91" s="13">
        <f ca="1"/>
        <v>0.99397671753090111</v>
      </c>
      <c r="H91" s="13">
        <f ca="1"/>
        <v>0.99396945519388769</v>
      </c>
      <c r="I91" s="13">
        <f ca="1"/>
        <v>0.99373584059573949</v>
      </c>
      <c r="J91" s="13">
        <f ca="1"/>
        <v>0.98163528470549699</v>
      </c>
      <c r="K91" s="13">
        <f ca="1"/>
        <v>0.98163528470549699</v>
      </c>
    </row>
    <row r="92" spans="1:11">
      <c r="A92" s="14">
        <f t="shared" ca="1" si="11"/>
        <v>43239</v>
      </c>
      <c r="B92" s="74">
        <f t="shared" ca="1" si="6"/>
        <v>2.7428325887586258E-2</v>
      </c>
      <c r="C92" s="74">
        <f t="shared" ca="1" si="7"/>
        <v>2.6544736715974904E-2</v>
      </c>
      <c r="D92" s="74">
        <f t="shared" ca="1" si="8"/>
        <v>2.8402431007970574E-2</v>
      </c>
      <c r="E92" s="74">
        <f t="shared" ca="1" si="9"/>
        <v>7.6927350583237408E-2</v>
      </c>
      <c r="F92" s="74">
        <f t="shared" ca="1" si="10"/>
        <v>7.6934075901967658E-2</v>
      </c>
      <c r="G92" s="13">
        <f ca="1"/>
        <v>0.99390173268291149</v>
      </c>
      <c r="H92" s="13">
        <f ca="1"/>
        <v>0.99389672456597877</v>
      </c>
      <c r="I92" s="13">
        <f ca="1"/>
        <v>0.99365818611105394</v>
      </c>
      <c r="J92" s="13">
        <f ca="1"/>
        <v>0.98142447957070655</v>
      </c>
      <c r="K92" s="13">
        <f ca="1"/>
        <v>0.98142446113725845</v>
      </c>
    </row>
    <row r="93" spans="1:11">
      <c r="A93" s="14">
        <f t="shared" ca="1" si="11"/>
        <v>43240</v>
      </c>
      <c r="B93" s="74">
        <f t="shared" ca="1" si="6"/>
        <v>2.7487167896100284E-2</v>
      </c>
      <c r="C93" s="74">
        <f t="shared" ca="1" si="7"/>
        <v>2.6542794387270918E-2</v>
      </c>
      <c r="D93" s="74">
        <f t="shared" ca="1" si="8"/>
        <v>2.846096030775791E-2</v>
      </c>
      <c r="E93" s="74">
        <f t="shared" ca="1" si="9"/>
        <v>7.6910830516414563E-2</v>
      </c>
      <c r="F93" s="74">
        <f t="shared" ca="1" si="10"/>
        <v>7.6917552946169088E-2</v>
      </c>
      <c r="G93" s="13">
        <f ca="1"/>
        <v>0.99382658658458933</v>
      </c>
      <c r="H93" s="13">
        <f ca="1"/>
        <v>0.99382399925990761</v>
      </c>
      <c r="I93" s="13">
        <f ca="1"/>
        <v>0.99358037123158005</v>
      </c>
      <c r="J93" s="13">
        <f ca="1"/>
        <v>0.98121371970609494</v>
      </c>
      <c r="K93" s="13">
        <f ca="1"/>
        <v>0.98121368284711608</v>
      </c>
    </row>
    <row r="94" spans="1:11">
      <c r="A94" s="14">
        <f t="shared" ca="1" si="11"/>
        <v>43241</v>
      </c>
      <c r="B94" s="74">
        <f t="shared" ca="1" si="6"/>
        <v>2.2379461498041042E-2</v>
      </c>
      <c r="C94" s="74">
        <f t="shared" ca="1" si="7"/>
        <v>2.2148134480456938E-2</v>
      </c>
      <c r="D94" s="74">
        <f t="shared" ca="1" si="8"/>
        <v>2.3365996510681386E-2</v>
      </c>
      <c r="E94" s="74">
        <f t="shared" ca="1" si="9"/>
        <v>7.6894313997271091E-2</v>
      </c>
      <c r="F94" s="74">
        <f t="shared" ca="1" si="10"/>
        <v>7.6901033538981922E-2</v>
      </c>
      <c r="G94" s="13">
        <f ca="1"/>
        <v>0.99375127927528495</v>
      </c>
      <c r="H94" s="13">
        <f ca="1"/>
        <v>0.99375127927528495</v>
      </c>
      <c r="I94" s="13">
        <f ca="1"/>
        <v>0.99350239599786017</v>
      </c>
      <c r="J94" s="13">
        <f ca="1"/>
        <v>0.98100300510194038</v>
      </c>
      <c r="K94" s="13">
        <f ca="1"/>
        <v>0.98100294982534575</v>
      </c>
    </row>
    <row r="95" spans="1:11">
      <c r="A95" s="14">
        <f t="shared" ca="1" si="11"/>
        <v>43242</v>
      </c>
      <c r="B95" s="74">
        <f t="shared" ca="1" si="6"/>
        <v>2.232789243635569E-2</v>
      </c>
      <c r="C95" s="74">
        <f t="shared" ca="1" si="7"/>
        <v>2.2146782084875305E-2</v>
      </c>
      <c r="D95" s="74">
        <f t="shared" ca="1" si="8"/>
        <v>2.3314421110406935E-2</v>
      </c>
      <c r="E95" s="74">
        <f t="shared" ca="1" si="9"/>
        <v>7.6877801024956005E-2</v>
      </c>
      <c r="F95" s="74">
        <f t="shared" ca="1" si="10"/>
        <v>7.6884517679636222E-2</v>
      </c>
      <c r="G95" s="13">
        <f ca="1"/>
        <v>0.99368996568213963</v>
      </c>
      <c r="H95" s="13">
        <f ca="1"/>
        <v>0.99369059945479055</v>
      </c>
      <c r="I95" s="13">
        <f ca="1"/>
        <v>0.99343837956906378</v>
      </c>
      <c r="J95" s="13">
        <f ca="1"/>
        <v>0.9807923357485232</v>
      </c>
      <c r="K95" s="13">
        <f ca="1"/>
        <v>0.98079226206222525</v>
      </c>
    </row>
    <row r="96" spans="1:11">
      <c r="A96" s="14">
        <f t="shared" ca="1" si="11"/>
        <v>43243</v>
      </c>
      <c r="B96" s="74">
        <f t="shared" ca="1" si="6"/>
        <v>2.2276332253533537E-2</v>
      </c>
      <c r="C96" s="74">
        <f t="shared" ca="1" si="7"/>
        <v>2.2145429771879832E-2</v>
      </c>
      <c r="D96" s="74">
        <f t="shared" ca="1" si="8"/>
        <v>2.3262854992363025E-2</v>
      </c>
      <c r="E96" s="74">
        <f t="shared" ca="1" si="9"/>
        <v>7.6861291598901982E-2</v>
      </c>
      <c r="F96" s="74">
        <f t="shared" ca="1" si="10"/>
        <v>7.6868005367362047E-2</v>
      </c>
      <c r="G96" s="13">
        <f ca="1"/>
        <v>0.99362879337409482</v>
      </c>
      <c r="H96" s="13">
        <f ca="1"/>
        <v>0.99362992333948952</v>
      </c>
      <c r="I96" s="13">
        <f ca="1"/>
        <v>0.9933745044427339</v>
      </c>
      <c r="J96" s="13">
        <f ca="1"/>
        <v>0.98058171163612606</v>
      </c>
      <c r="K96" s="13">
        <f ca="1"/>
        <v>0.98058161954803447</v>
      </c>
    </row>
    <row r="97" spans="1:11">
      <c r="A97" s="14">
        <f t="shared" ca="1" si="11"/>
        <v>43244</v>
      </c>
      <c r="B97" s="74">
        <f t="shared" ca="1" si="6"/>
        <v>2.2224780927732612E-2</v>
      </c>
      <c r="C97" s="74">
        <f t="shared" ca="1" si="7"/>
        <v>2.2144077541470519E-2</v>
      </c>
      <c r="D97" s="74">
        <f t="shared" ca="1" si="8"/>
        <v>2.3211298134261926E-2</v>
      </c>
      <c r="E97" s="74">
        <f t="shared" ca="1" si="9"/>
        <v>7.6844785718136466E-2</v>
      </c>
      <c r="F97" s="74">
        <f t="shared" ca="1" si="10"/>
        <v>7.6851496601389457E-2</v>
      </c>
      <c r="G97" s="13">
        <f ca="1"/>
        <v>0.99356776232682487</v>
      </c>
      <c r="H97" s="13">
        <f ca="1"/>
        <v>0.9935692509291556</v>
      </c>
      <c r="I97" s="13">
        <f ca="1"/>
        <v>0.99331077059343975</v>
      </c>
      <c r="J97" s="13">
        <f ca="1"/>
        <v>0.98037113275503318</v>
      </c>
      <c r="K97" s="13">
        <f ca="1"/>
        <v>0.98037102227305539</v>
      </c>
    </row>
    <row r="98" spans="1:11">
      <c r="A98" s="14">
        <f t="shared" ca="1" si="11"/>
        <v>43245</v>
      </c>
      <c r="B98" s="74">
        <f t="shared" ca="1" si="6"/>
        <v>2.2173238436989373E-2</v>
      </c>
      <c r="C98" s="74">
        <f t="shared" ca="1" si="7"/>
        <v>2.2142725393647367E-2</v>
      </c>
      <c r="D98" s="74">
        <f t="shared" ca="1" si="8"/>
        <v>2.3159750514261668E-2</v>
      </c>
      <c r="E98" s="74">
        <f t="shared" ca="1" si="9"/>
        <v>7.6828283382011087E-2</v>
      </c>
      <c r="F98" s="74">
        <f t="shared" ca="1" si="10"/>
        <v>7.6834991380989037E-2</v>
      </c>
      <c r="G98" s="13">
        <f ca="1"/>
        <v>0.99350687251606395</v>
      </c>
      <c r="H98" s="13">
        <f ca="1"/>
        <v>0.99350858222356253</v>
      </c>
      <c r="I98" s="13">
        <f ca="1"/>
        <v>0.99324717799581164</v>
      </c>
      <c r="J98" s="13">
        <f ca="1"/>
        <v>0.98016059909553144</v>
      </c>
      <c r="K98" s="13">
        <f ca="1"/>
        <v>0.98016047022757213</v>
      </c>
    </row>
    <row r="99" spans="1:11">
      <c r="A99" s="14">
        <f t="shared" ca="1" si="11"/>
        <v>43246</v>
      </c>
      <c r="B99" s="74">
        <f t="shared" ca="1" si="6"/>
        <v>2.2121704759704985E-2</v>
      </c>
      <c r="C99" s="74">
        <f t="shared" ca="1" si="7"/>
        <v>2.2141373328329328E-2</v>
      </c>
      <c r="D99" s="74">
        <f t="shared" ca="1" si="8"/>
        <v>2.3108212110844462E-2</v>
      </c>
      <c r="E99" s="74">
        <f t="shared" ca="1" si="9"/>
        <v>7.6811784589755905E-2</v>
      </c>
      <c r="F99" s="74">
        <f t="shared" ca="1" si="10"/>
        <v>7.6818489705350324E-2</v>
      </c>
      <c r="G99" s="13">
        <f ca="1"/>
        <v>0.99344612391760645</v>
      </c>
      <c r="H99" s="13">
        <f ca="1"/>
        <v>0.99344791722248404</v>
      </c>
      <c r="I99" s="13">
        <f ca="1"/>
        <v>0.99318372662453969</v>
      </c>
      <c r="J99" s="13">
        <f ca="1"/>
        <v>0.97995011064790949</v>
      </c>
      <c r="K99" s="13">
        <f ca="1"/>
        <v>0.97994996340187079</v>
      </c>
    </row>
    <row r="100" spans="1:11">
      <c r="A100" s="14">
        <f t="shared" ca="1" si="11"/>
        <v>43247</v>
      </c>
      <c r="B100" s="74">
        <f t="shared" ca="1" si="6"/>
        <v>2.2070179873753815E-2</v>
      </c>
      <c r="C100" s="74">
        <f t="shared" ca="1" si="7"/>
        <v>2.2140021345637972E-2</v>
      </c>
      <c r="D100" s="74">
        <f t="shared" ca="1" si="8"/>
        <v>2.3056682901803627E-2</v>
      </c>
      <c r="E100" s="74">
        <f t="shared" ca="1" si="9"/>
        <v>7.6795289340600981E-2</v>
      </c>
      <c r="F100" s="74">
        <f t="shared" ca="1" si="10"/>
        <v>7.6801991573784423E-2</v>
      </c>
      <c r="G100" s="13">
        <f ca="1"/>
        <v>0.99338551650730589</v>
      </c>
      <c r="H100" s="13">
        <f ca="1"/>
        <v>0.9933872559256941</v>
      </c>
      <c r="I100" s="13">
        <f ca="1"/>
        <v>0.99312041645437299</v>
      </c>
      <c r="J100" s="13">
        <f ca="1"/>
        <v>0.9797396674024581</v>
      </c>
      <c r="K100" s="13">
        <f ca="1"/>
        <v>0.9797395017862397</v>
      </c>
    </row>
    <row r="101" spans="1:11">
      <c r="A101" s="14">
        <f t="shared" ca="1" si="11"/>
        <v>43248</v>
      </c>
      <c r="B101" s="74">
        <f t="shared" ca="1" si="6"/>
        <v>2.2018663757415458E-2</v>
      </c>
      <c r="C101" s="74">
        <f t="shared" ca="1" si="7"/>
        <v>2.2138669445451731E-2</v>
      </c>
      <c r="D101" s="74">
        <f t="shared" ca="1" si="8"/>
        <v>2.3005162865297191E-2</v>
      </c>
      <c r="E101" s="74">
        <f t="shared" ca="1" si="9"/>
        <v>7.6778797633776374E-2</v>
      </c>
      <c r="F101" s="74">
        <f t="shared" ca="1" si="10"/>
        <v>7.6785496985440349E-2</v>
      </c>
      <c r="G101" s="13">
        <f ca="1"/>
        <v>0.99332505026107643</v>
      </c>
      <c r="H101" s="13">
        <f ca="1"/>
        <v>0.99332659833296633</v>
      </c>
      <c r="I101" s="13">
        <f ca="1"/>
        <v>0.99305724746012147</v>
      </c>
      <c r="J101" s="13">
        <f ca="1"/>
        <v>0.97952926934947016</v>
      </c>
      <c r="K101" s="13">
        <f ca="1"/>
        <v>0.97952908537096905</v>
      </c>
    </row>
    <row r="102" spans="1:11">
      <c r="A102" s="14">
        <f t="shared" ca="1" si="11"/>
        <v>43249</v>
      </c>
      <c r="B102" s="74">
        <f t="shared" ca="1" si="6"/>
        <v>2.1967156388766895E-2</v>
      </c>
      <c r="C102" s="74">
        <f t="shared" ca="1" si="7"/>
        <v>2.2137317627851649E-2</v>
      </c>
      <c r="D102" s="74">
        <f t="shared" ca="1" si="8"/>
        <v>2.2953651979766843E-2</v>
      </c>
      <c r="E102" s="74">
        <f t="shared" ca="1" si="9"/>
        <v>7.676230946855267E-2</v>
      </c>
      <c r="F102" s="74">
        <f t="shared" ca="1" si="10"/>
        <v>7.6769005939588686E-2</v>
      </c>
      <c r="G102" s="13">
        <f ca="1"/>
        <v>0.99326472515489173</v>
      </c>
      <c r="H102" s="13">
        <f ca="1"/>
        <v>0.99326594444407468</v>
      </c>
      <c r="I102" s="13">
        <f ca="1"/>
        <v>0.99299421961665491</v>
      </c>
      <c r="J102" s="13">
        <f ca="1"/>
        <v>0.97931891647924063</v>
      </c>
      <c r="K102" s="13">
        <f ca="1"/>
        <v>0.97931871414635141</v>
      </c>
    </row>
    <row r="103" spans="1:11">
      <c r="A103" s="14">
        <f t="shared" ca="1" si="11"/>
        <v>43250</v>
      </c>
      <c r="B103" s="74">
        <f t="shared" ca="1" si="6"/>
        <v>2.1915657746087724E-2</v>
      </c>
      <c r="C103" s="74">
        <f t="shared" ca="1" si="7"/>
        <v>2.2135965892756682E-2</v>
      </c>
      <c r="D103" s="74">
        <f t="shared" ca="1" si="8"/>
        <v>2.2902150223046425E-2</v>
      </c>
      <c r="E103" s="74">
        <f t="shared" ca="1" si="9"/>
        <v>7.6745824844119404E-2</v>
      </c>
      <c r="F103" s="74">
        <f t="shared" ca="1" si="10"/>
        <v>7.675251843554054E-2</v>
      </c>
      <c r="G103" s="13">
        <f ca="1"/>
        <v>0.99320454116478551</v>
      </c>
      <c r="H103" s="13">
        <f ca="1"/>
        <v>0.99320529425879289</v>
      </c>
      <c r="I103" s="13">
        <f ca="1"/>
        <v>0.99293133289890212</v>
      </c>
      <c r="J103" s="13">
        <f ca="1"/>
        <v>0.97910860878206651</v>
      </c>
      <c r="K103" s="13">
        <f ca="1"/>
        <v>0.9791083881026813</v>
      </c>
    </row>
    <row r="104" spans="1:11">
      <c r="A104" s="14">
        <f t="shared" ca="1" si="11"/>
        <v>43251</v>
      </c>
      <c r="B104" s="74">
        <f t="shared" ca="1" si="6"/>
        <v>2.1864167807414403E-2</v>
      </c>
      <c r="C104" s="74">
        <f t="shared" ca="1" si="7"/>
        <v>2.2134614240247874E-2</v>
      </c>
      <c r="D104" s="74">
        <f t="shared" ca="1" si="8"/>
        <v>2.2850657573618149E-2</v>
      </c>
      <c r="E104" s="74">
        <f t="shared" ca="1" si="9"/>
        <v>7.6729343759706636E-2</v>
      </c>
      <c r="F104" s="74">
        <f t="shared" ca="1" si="10"/>
        <v>7.6736034472444925E-2</v>
      </c>
      <c r="G104" s="13">
        <f ca="1"/>
        <v>0.99314449826685103</v>
      </c>
      <c r="H104" s="13">
        <f ca="1"/>
        <v>0.99314464777689493</v>
      </c>
      <c r="I104" s="13">
        <f ca="1"/>
        <v>0.99286858728185268</v>
      </c>
      <c r="J104" s="13">
        <f ca="1"/>
        <v>0.97889834624824701</v>
      </c>
      <c r="K104" s="13">
        <f ca="1"/>
        <v>0.97889810723025517</v>
      </c>
    </row>
    <row r="105" spans="1:11">
      <c r="A105" s="14">
        <f t="shared" ca="1" si="11"/>
        <v>43252</v>
      </c>
      <c r="B105" s="74">
        <f t="shared" ca="1" si="6"/>
        <v>2.1812686551026528E-2</v>
      </c>
      <c r="C105" s="74">
        <f t="shared" ca="1" si="7"/>
        <v>2.2133262670203657E-2</v>
      </c>
      <c r="D105" s="74">
        <f t="shared" ca="1" si="8"/>
        <v>2.2799174009356382E-2</v>
      </c>
      <c r="E105" s="74">
        <f t="shared" ca="1" si="9"/>
        <v>7.6712866214665998E-2</v>
      </c>
      <c r="F105" s="74">
        <f t="shared" ca="1" si="10"/>
        <v>7.6719554049572425E-2</v>
      </c>
      <c r="G105" s="13">
        <f ca="1"/>
        <v>0.99308459643724167</v>
      </c>
      <c r="H105" s="13">
        <f ca="1"/>
        <v>0.99308400499815452</v>
      </c>
      <c r="I105" s="13">
        <f ca="1"/>
        <v>0.99280598274055509</v>
      </c>
      <c r="J105" s="13">
        <f ca="1"/>
        <v>0.97868812886808343</v>
      </c>
      <c r="K105" s="13">
        <f ca="1"/>
        <v>0.97868787151937175</v>
      </c>
    </row>
    <row r="106" spans="1:11">
      <c r="A106" s="14">
        <f t="shared" ca="1" si="11"/>
        <v>43253</v>
      </c>
      <c r="B106" s="74">
        <f t="shared" ca="1" si="6"/>
        <v>2.1761213955082126E-2</v>
      </c>
      <c r="C106" s="74">
        <f t="shared" ca="1" si="7"/>
        <v>2.2131911182786124E-2</v>
      </c>
      <c r="D106" s="74">
        <f t="shared" ca="1" si="8"/>
        <v>2.274769950854072E-2</v>
      </c>
      <c r="E106" s="74">
        <f t="shared" ca="1" si="9"/>
        <v>7.6696392208105979E-2</v>
      </c>
      <c r="F106" s="74">
        <f t="shared" ca="1" si="10"/>
        <v>7.67030771661531E-2</v>
      </c>
      <c r="G106" s="13">
        <f ca="1"/>
        <v>0.99302483565217037</v>
      </c>
      <c r="H106" s="13">
        <f ca="1"/>
        <v>0.99302336592234575</v>
      </c>
      <c r="I106" s="13">
        <f ca="1"/>
        <v>0.9927435192501185</v>
      </c>
      <c r="J106" s="13">
        <f ca="1"/>
        <v>0.97847795663187886</v>
      </c>
      <c r="K106" s="13">
        <f ca="1"/>
        <v>0.97847768096033183</v>
      </c>
    </row>
    <row r="107" spans="1:11">
      <c r="A107" s="14">
        <f t="shared" ca="1" si="11"/>
        <v>43254</v>
      </c>
      <c r="B107" s="74">
        <f t="shared" ca="1" si="6"/>
        <v>2.1709749997658179E-2</v>
      </c>
      <c r="C107" s="74">
        <f t="shared" ca="1" si="7"/>
        <v>2.2130559777792658E-2</v>
      </c>
      <c r="D107" s="74">
        <f t="shared" ca="1" si="8"/>
        <v>2.2696234049531805E-2</v>
      </c>
      <c r="E107" s="74">
        <f t="shared" ca="1" si="9"/>
        <v>7.6679921739337686E-2</v>
      </c>
      <c r="F107" s="74">
        <f t="shared" ca="1" si="10"/>
        <v>7.668660382141701E-2</v>
      </c>
      <c r="G107" s="13">
        <f ca="1"/>
        <v>0.99296521588790987</v>
      </c>
      <c r="H107" s="13">
        <f ca="1"/>
        <v>0.99296273054924222</v>
      </c>
      <c r="I107" s="13">
        <f ca="1"/>
        <v>0.99268119678571154</v>
      </c>
      <c r="J107" s="13">
        <f ca="1"/>
        <v>0.97826782952993885</v>
      </c>
      <c r="K107" s="13">
        <f ca="1"/>
        <v>0.97826753554343826</v>
      </c>
    </row>
    <row r="108" spans="1:11">
      <c r="A108" s="14">
        <f t="shared" ca="1" si="11"/>
        <v>43255</v>
      </c>
      <c r="B108" s="74">
        <f t="shared" ca="1" si="6"/>
        <v>2.1658294657196375E-2</v>
      </c>
      <c r="C108" s="74">
        <f t="shared" ca="1" si="7"/>
        <v>2.2129208455385352E-2</v>
      </c>
      <c r="D108" s="74">
        <f t="shared" ca="1" si="8"/>
        <v>2.2644777610325573E-2</v>
      </c>
      <c r="E108" s="74">
        <f t="shared" ca="1" si="9"/>
        <v>7.6663454807631704E-2</v>
      </c>
      <c r="F108" s="74">
        <f t="shared" ca="1" si="10"/>
        <v>7.6670134014675262E-2</v>
      </c>
      <c r="G108" s="13">
        <f ca="1"/>
        <v>0.992905737120793</v>
      </c>
      <c r="H108" s="13">
        <f ca="1"/>
        <v>0.99290209887861813</v>
      </c>
      <c r="I108" s="13">
        <f ca="1"/>
        <v>0.99261901532256214</v>
      </c>
      <c r="J108" s="13">
        <f ca="1"/>
        <v>0.9780577475525708</v>
      </c>
      <c r="K108" s="13">
        <f ca="1"/>
        <v>0.97805743525899602</v>
      </c>
    </row>
    <row r="109" spans="1:11">
      <c r="A109" s="14">
        <f t="shared" ca="1" si="11"/>
        <v>43256</v>
      </c>
      <c r="B109" s="74">
        <f t="shared" ca="1" si="6"/>
        <v>2.1606847911652127E-2</v>
      </c>
      <c r="C109" s="74">
        <f t="shared" ca="1" si="7"/>
        <v>2.2127857215442637E-2</v>
      </c>
      <c r="D109" s="74">
        <f t="shared" ca="1" si="8"/>
        <v>2.2593330168999004E-2</v>
      </c>
      <c r="E109" s="74">
        <f t="shared" ca="1" si="9"/>
        <v>7.6646991412096521E-2</v>
      </c>
      <c r="F109" s="74">
        <f t="shared" ca="1" si="10"/>
        <v>7.6653667745117393E-2</v>
      </c>
      <c r="G109" s="13">
        <f ca="1"/>
        <v>0.99284639932721164</v>
      </c>
      <c r="H109" s="13">
        <f ca="1"/>
        <v>0.99284147091024721</v>
      </c>
      <c r="I109" s="13">
        <f ca="1"/>
        <v>0.99255697483595851</v>
      </c>
      <c r="J109" s="13">
        <f ca="1"/>
        <v>0.97784771069008414</v>
      </c>
      <c r="K109" s="13">
        <f ca="1"/>
        <v>0.97784738009731198</v>
      </c>
    </row>
    <row r="110" spans="1:11">
      <c r="A110" s="14">
        <f t="shared" ca="1" si="11"/>
        <v>43257</v>
      </c>
      <c r="B110" s="74">
        <f t="shared" ca="1" si="6"/>
        <v>2.1555409739345555E-2</v>
      </c>
      <c r="C110" s="74">
        <f t="shared" ca="1" si="7"/>
        <v>2.2126506058045559E-2</v>
      </c>
      <c r="D110" s="74">
        <f t="shared" ca="1" si="8"/>
        <v>2.2541891704196404E-2</v>
      </c>
      <c r="E110" s="74">
        <f t="shared" ca="1" si="9"/>
        <v>7.6630531552083769E-2</v>
      </c>
      <c r="F110" s="74">
        <f t="shared" ca="1" si="10"/>
        <v>7.6637205011932941E-2</v>
      </c>
      <c r="G110" s="13">
        <f ca="1"/>
        <v>0.99278720248361807</v>
      </c>
      <c r="H110" s="13">
        <f ca="1"/>
        <v>0.99278084664390354</v>
      </c>
      <c r="I110" s="13">
        <f ca="1"/>
        <v>0.99249507530124892</v>
      </c>
      <c r="J110" s="13">
        <f ca="1"/>
        <v>0.97763771893279072</v>
      </c>
      <c r="K110" s="13">
        <f ca="1"/>
        <v>0.97763737004869522</v>
      </c>
    </row>
    <row r="111" spans="1:11">
      <c r="A111" s="14">
        <f t="shared" ca="1" si="11"/>
        <v>43258</v>
      </c>
      <c r="B111" s="74">
        <f t="shared" ca="1" si="6"/>
        <v>2.5063393696702629E-2</v>
      </c>
      <c r="C111" s="74">
        <f t="shared" ca="1" si="7"/>
        <v>2.5726751142736148E-2</v>
      </c>
      <c r="D111" s="74">
        <f t="shared" ca="1" si="8"/>
        <v>2.6042357024464446E-2</v>
      </c>
      <c r="E111" s="74">
        <f t="shared" ca="1" si="9"/>
        <v>7.6614075226864031E-2</v>
      </c>
      <c r="F111" s="74">
        <f t="shared" ca="1" si="10"/>
        <v>7.6620745814433011E-2</v>
      </c>
      <c r="G111" s="13">
        <f ca="1"/>
        <v>0.99272814656652397</v>
      </c>
      <c r="H111" s="13">
        <f ca="1"/>
        <v>0.99272022607936095</v>
      </c>
      <c r="I111" s="13">
        <f ca="1"/>
        <v>0.99243331669384016</v>
      </c>
      <c r="J111" s="13">
        <f ca="1"/>
        <v>0.97742777227100419</v>
      </c>
      <c r="K111" s="13">
        <f ca="1"/>
        <v>0.97742740510345705</v>
      </c>
    </row>
    <row r="112" spans="1:11">
      <c r="A112" s="14">
        <f t="shared" ca="1" si="11"/>
        <v>43259</v>
      </c>
      <c r="B112" s="74">
        <f t="shared" ca="1" si="6"/>
        <v>2.5076244041988827E-2</v>
      </c>
      <c r="C112" s="74">
        <f t="shared" ca="1" si="7"/>
        <v>2.5724924514527459E-2</v>
      </c>
      <c r="D112" s="74">
        <f t="shared" ca="1" si="8"/>
        <v>2.6055052491685826E-2</v>
      </c>
      <c r="E112" s="74">
        <f t="shared" ca="1" si="9"/>
        <v>7.6597622435545798E-2</v>
      </c>
      <c r="F112" s="74">
        <f t="shared" ca="1" si="10"/>
        <v>7.6604290151847665E-2</v>
      </c>
      <c r="G112" s="13">
        <f ca="1"/>
        <v>0.99265947973447821</v>
      </c>
      <c r="H112" s="13">
        <f ca="1"/>
        <v>0.99264974182965482</v>
      </c>
      <c r="I112" s="13">
        <f ca="1"/>
        <v>0.99236196777048546</v>
      </c>
      <c r="J112" s="13">
        <f ca="1"/>
        <v>0.97721787069504018</v>
      </c>
      <c r="K112" s="13">
        <f ca="1"/>
        <v>0.97721748525191066</v>
      </c>
    </row>
    <row r="113" spans="1:11">
      <c r="A113" s="14">
        <f t="shared" ca="1" si="11"/>
        <v>43260</v>
      </c>
      <c r="B113" s="74">
        <f t="shared" ca="1" si="6"/>
        <v>2.5089091438811328E-2</v>
      </c>
      <c r="C113" s="74">
        <f t="shared" ca="1" si="7"/>
        <v>2.5723098016033341E-2</v>
      </c>
      <c r="D113" s="74">
        <f t="shared" ca="1" si="8"/>
        <v>2.6067744909702983E-2</v>
      </c>
      <c r="E113" s="74">
        <f t="shared" ca="1" si="9"/>
        <v>7.6581173177480699E-2</v>
      </c>
      <c r="F113" s="74">
        <f t="shared" ca="1" si="10"/>
        <v>7.6587838023366439E-2</v>
      </c>
      <c r="G113" s="13">
        <f ca="1"/>
        <v>0.99259077769600701</v>
      </c>
      <c r="H113" s="13">
        <f ca="1"/>
        <v>0.99257926258440954</v>
      </c>
      <c r="I113" s="13">
        <f ca="1"/>
        <v>0.99229058406502879</v>
      </c>
      <c r="J113" s="13">
        <f ca="1"/>
        <v>0.97700801419521677</v>
      </c>
      <c r="K113" s="13">
        <f ca="1"/>
        <v>0.97700761048437135</v>
      </c>
    </row>
    <row r="114" spans="1:11">
      <c r="A114" s="14">
        <f t="shared" ca="1" si="11"/>
        <v>43261</v>
      </c>
      <c r="B114" s="74">
        <f t="shared" ca="1" si="6"/>
        <v>2.5101935885994964E-2</v>
      </c>
      <c r="C114" s="74">
        <f t="shared" ca="1" si="7"/>
        <v>2.5721271647213273E-2</v>
      </c>
      <c r="D114" s="74">
        <f t="shared" ca="1" si="8"/>
        <v>2.6080434277340747E-2</v>
      </c>
      <c r="E114" s="74">
        <f t="shared" ca="1" si="9"/>
        <v>7.6564727451898795E-2</v>
      </c>
      <c r="F114" s="74">
        <f t="shared" ca="1" si="10"/>
        <v>7.6571389428340964E-2</v>
      </c>
      <c r="G114" s="13">
        <f ca="1"/>
        <v>0.99252204045918835</v>
      </c>
      <c r="H114" s="13">
        <f ca="1"/>
        <v>0.99250878834326972</v>
      </c>
      <c r="I114" s="13">
        <f ca="1"/>
        <v>0.99221916558582413</v>
      </c>
      <c r="J114" s="13">
        <f ca="1"/>
        <v>0.97679820276185381</v>
      </c>
      <c r="K114" s="13">
        <f ca="1"/>
        <v>0.97679778079115664</v>
      </c>
    </row>
    <row r="115" spans="1:11">
      <c r="A115" s="14">
        <f t="shared" ca="1" si="11"/>
        <v>43262</v>
      </c>
      <c r="B115" s="74">
        <f t="shared" ca="1" si="6"/>
        <v>2.5114777382283515E-2</v>
      </c>
      <c r="C115" s="74">
        <f t="shared" ca="1" si="7"/>
        <v>2.5719445408067254E-2</v>
      </c>
      <c r="D115" s="74">
        <f t="shared" ca="1" si="8"/>
        <v>2.6093120593059238E-2</v>
      </c>
      <c r="E115" s="74">
        <f t="shared" ca="1" si="9"/>
        <v>7.6548285257989623E-2</v>
      </c>
      <c r="F115" s="74">
        <f t="shared" ca="1" si="10"/>
        <v>7.6554944365920252E-2</v>
      </c>
      <c r="G115" s="13">
        <f ca="1"/>
        <v>0.99245326803210343</v>
      </c>
      <c r="H115" s="13">
        <f ca="1"/>
        <v>0.9924383191058801</v>
      </c>
      <c r="I115" s="13">
        <f ca="1"/>
        <v>0.99214771234122867</v>
      </c>
      <c r="J115" s="13">
        <f ca="1"/>
        <v>0.97658843638527326</v>
      </c>
      <c r="K115" s="13">
        <f ca="1"/>
        <v>0.97658799616258585</v>
      </c>
    </row>
    <row r="116" spans="1:11">
      <c r="A116" s="14">
        <f t="shared" ca="1" si="11"/>
        <v>43263</v>
      </c>
      <c r="B116" s="74">
        <f t="shared" ca="1" si="6"/>
        <v>2.5127615926056057E-2</v>
      </c>
      <c r="C116" s="74">
        <f t="shared" ca="1" si="7"/>
        <v>2.5717619298595285E-2</v>
      </c>
      <c r="D116" s="74">
        <f t="shared" ca="1" si="8"/>
        <v>2.6105803855764331E-2</v>
      </c>
      <c r="E116" s="74">
        <f t="shared" ca="1" si="9"/>
        <v>7.653184659506429E-2</v>
      </c>
      <c r="F116" s="74">
        <f t="shared" ca="1" si="10"/>
        <v>7.6538502835334365E-2</v>
      </c>
      <c r="G116" s="13">
        <f ca="1"/>
        <v>0.9923844604228369</v>
      </c>
      <c r="H116" s="13">
        <f ca="1"/>
        <v>0.99236785487188539</v>
      </c>
      <c r="I116" s="13">
        <f ca="1"/>
        <v>0.99207622433960385</v>
      </c>
      <c r="J116" s="13">
        <f ca="1"/>
        <v>0.97637871505579932</v>
      </c>
      <c r="K116" s="13">
        <f ca="1"/>
        <v>0.97637825658898059</v>
      </c>
    </row>
    <row r="117" spans="1:11">
      <c r="A117" s="14">
        <f t="shared" ca="1" si="11"/>
        <v>43264</v>
      </c>
      <c r="B117" s="74">
        <f t="shared" ca="1" si="6"/>
        <v>2.5140451516177942E-2</v>
      </c>
      <c r="C117" s="74">
        <f t="shared" ca="1" si="7"/>
        <v>2.5715793318797364E-2</v>
      </c>
      <c r="D117" s="74">
        <f t="shared" ca="1" si="8"/>
        <v>2.6118484063916148E-2</v>
      </c>
      <c r="E117" s="74">
        <f t="shared" ca="1" si="9"/>
        <v>7.6515411462231286E-2</v>
      </c>
      <c r="F117" s="74">
        <f t="shared" ca="1" si="10"/>
        <v>7.652206483589441E-2</v>
      </c>
      <c r="G117" s="13">
        <f ca="1"/>
        <v>0.99231561763947784</v>
      </c>
      <c r="H117" s="13">
        <f ca="1"/>
        <v>0.99229739564093034</v>
      </c>
      <c r="I117" s="13">
        <f ca="1"/>
        <v>0.99200470158931409</v>
      </c>
      <c r="J117" s="13">
        <f ca="1"/>
        <v>0.97616903876375805</v>
      </c>
      <c r="K117" s="13">
        <f ca="1"/>
        <v>0.9761685620606646</v>
      </c>
    </row>
    <row r="118" spans="1:11">
      <c r="A118" s="14">
        <f t="shared" ca="1" si="11"/>
        <v>43265</v>
      </c>
      <c r="B118" s="74">
        <f t="shared" ca="1" si="6"/>
        <v>2.5153284151433475E-2</v>
      </c>
      <c r="C118" s="74">
        <f t="shared" ca="1" si="7"/>
        <v>2.5713967468592447E-2</v>
      </c>
      <c r="D118" s="74">
        <f t="shared" ca="1" si="8"/>
        <v>2.6131161216461085E-2</v>
      </c>
      <c r="E118" s="74">
        <f t="shared" ca="1" si="9"/>
        <v>7.6498979858923288E-2</v>
      </c>
      <c r="F118" s="74">
        <f t="shared" ca="1" si="10"/>
        <v>7.65056303667494E-2</v>
      </c>
      <c r="G118" s="13">
        <f ca="1"/>
        <v>0.99224673969011845</v>
      </c>
      <c r="H118" s="13">
        <f ca="1"/>
        <v>0.99222694141265966</v>
      </c>
      <c r="I118" s="13">
        <f ca="1"/>
        <v>0.99193314409872801</v>
      </c>
      <c r="J118" s="13">
        <f ca="1"/>
        <v>0.97595940749947796</v>
      </c>
      <c r="K118" s="13">
        <f ca="1"/>
        <v>0.97595891256796352</v>
      </c>
    </row>
    <row r="119" spans="1:11">
      <c r="A119" s="14">
        <f t="shared" ca="1" si="11"/>
        <v>43266</v>
      </c>
      <c r="B119" s="74">
        <f t="shared" ca="1" si="6"/>
        <v>2.5166113830080161E-2</v>
      </c>
      <c r="C119" s="74">
        <f t="shared" ca="1" si="7"/>
        <v>2.5712141748061579E-2</v>
      </c>
      <c r="D119" s="74">
        <f t="shared" ca="1" si="8"/>
        <v>2.6143835311859265E-2</v>
      </c>
      <c r="E119" s="74">
        <f t="shared" ca="1" si="9"/>
        <v>7.6482551784248787E-2</v>
      </c>
      <c r="F119" s="74">
        <f t="shared" ca="1" si="10"/>
        <v>7.6489199427291488E-2</v>
      </c>
      <c r="G119" s="13">
        <f ca="1"/>
        <v>0.99217782658285425</v>
      </c>
      <c r="H119" s="13">
        <f ca="1"/>
        <v>0.99215649218671831</v>
      </c>
      <c r="I119" s="13">
        <f ca="1"/>
        <v>0.99186155187621716</v>
      </c>
      <c r="J119" s="13">
        <f ca="1"/>
        <v>0.97574982125328913</v>
      </c>
      <c r="K119" s="13">
        <f ca="1"/>
        <v>0.9757493081012053</v>
      </c>
    </row>
    <row r="120" spans="1:11">
      <c r="A120" s="14">
        <f t="shared" ca="1" si="11"/>
        <v>43267</v>
      </c>
      <c r="B120" s="74">
        <f t="shared" ca="1" si="6"/>
        <v>2.5178940551185969E-2</v>
      </c>
      <c r="C120" s="74">
        <f t="shared" ca="1" si="7"/>
        <v>2.5710316157164237E-2</v>
      </c>
      <c r="D120" s="74">
        <f t="shared" ca="1" si="8"/>
        <v>2.6156506349138131E-2</v>
      </c>
      <c r="E120" s="74">
        <f t="shared" ca="1" si="9"/>
        <v>7.6466127237478365E-2</v>
      </c>
      <c r="F120" s="74">
        <f t="shared" ca="1" si="10"/>
        <v>7.6472772016588642E-2</v>
      </c>
      <c r="G120" s="13">
        <f ca="1"/>
        <v>0.99210887832578554</v>
      </c>
      <c r="H120" s="13">
        <f ca="1"/>
        <v>0.99208604796275102</v>
      </c>
      <c r="I120" s="13">
        <f ca="1"/>
        <v>0.99178992493015727</v>
      </c>
      <c r="J120" s="13">
        <f ca="1"/>
        <v>0.97554028001552406</v>
      </c>
      <c r="K120" s="13">
        <f ca="1"/>
        <v>0.97553974865071957</v>
      </c>
    </row>
    <row r="121" spans="1:11">
      <c r="A121" s="14">
        <f t="shared" ca="1" si="11"/>
        <v>43268</v>
      </c>
      <c r="B121" s="74">
        <f t="shared" ca="1" si="6"/>
        <v>2.5191764313292064E-2</v>
      </c>
      <c r="C121" s="74">
        <f t="shared" ca="1" si="7"/>
        <v>2.5708490695859898E-2</v>
      </c>
      <c r="D121" s="74">
        <f t="shared" ca="1" si="8"/>
        <v>2.6169174326717282E-2</v>
      </c>
      <c r="E121" s="74">
        <f t="shared" ca="1" si="9"/>
        <v>7.6449706217882607E-2</v>
      </c>
      <c r="F121" s="74">
        <f t="shared" ca="1" si="10"/>
        <v>7.6456348133992491E-2</v>
      </c>
      <c r="G121" s="13">
        <f ca="1"/>
        <v>0.99203989492701516</v>
      </c>
      <c r="H121" s="13">
        <f ca="1"/>
        <v>0.99201560874040262</v>
      </c>
      <c r="I121" s="13">
        <f ca="1"/>
        <v>0.99171826326892676</v>
      </c>
      <c r="J121" s="13">
        <f ca="1"/>
        <v>0.97533078377651727</v>
      </c>
      <c r="K121" s="13">
        <f ca="1"/>
        <v>0.97533023420683851</v>
      </c>
    </row>
    <row r="122" spans="1:11">
      <c r="A122" s="14">
        <f t="shared" ca="1" si="11"/>
        <v>43269</v>
      </c>
      <c r="B122" s="74">
        <f t="shared" ca="1" si="6"/>
        <v>2.5204585114899092E-2</v>
      </c>
      <c r="C122" s="74">
        <f t="shared" ca="1" si="7"/>
        <v>2.5706665364189085E-2</v>
      </c>
      <c r="D122" s="74">
        <f t="shared" ca="1" si="8"/>
        <v>2.6181839243340499E-2</v>
      </c>
      <c r="E122" s="74">
        <f t="shared" ca="1" si="9"/>
        <v>7.643328872465105E-2</v>
      </c>
      <c r="F122" s="74">
        <f t="shared" ca="1" si="10"/>
        <v>7.6439927778692573E-2</v>
      </c>
      <c r="G122" s="13">
        <f ca="1"/>
        <v>0.99197087639464998</v>
      </c>
      <c r="H122" s="13">
        <f ca="1"/>
        <v>0.99194517451931807</v>
      </c>
      <c r="I122" s="13">
        <f ca="1"/>
        <v>0.99164656690090836</v>
      </c>
      <c r="J122" s="13">
        <f ca="1"/>
        <v>0.97512133252660527</v>
      </c>
      <c r="K122" s="13">
        <f ca="1"/>
        <v>0.97512076475989606</v>
      </c>
    </row>
    <row r="123" spans="1:11">
      <c r="A123" s="14">
        <f t="shared" ca="1" si="11"/>
        <v>43270</v>
      </c>
      <c r="B123" s="74">
        <f t="shared" ca="1" si="6"/>
        <v>2.5217402954872403E-2</v>
      </c>
      <c r="C123" s="74">
        <f t="shared" ca="1" si="7"/>
        <v>2.5704840162111275E-2</v>
      </c>
      <c r="D123" s="74">
        <f t="shared" ca="1" si="8"/>
        <v>2.6194501097792089E-2</v>
      </c>
      <c r="E123" s="74">
        <f t="shared" ca="1" si="9"/>
        <v>7.6416874757094799E-2</v>
      </c>
      <c r="F123" s="74">
        <f t="shared" ca="1" si="10"/>
        <v>7.6423510949999995E-2</v>
      </c>
      <c r="G123" s="13">
        <f ca="1"/>
        <v>0.99190182273680094</v>
      </c>
      <c r="H123" s="13">
        <f ca="1"/>
        <v>0.99187474529914221</v>
      </c>
      <c r="I123" s="13">
        <f ca="1"/>
        <v>0.99157483583448824</v>
      </c>
      <c r="J123" s="13">
        <f ca="1"/>
        <v>0.97491192625612677</v>
      </c>
      <c r="K123" s="13">
        <f ca="1"/>
        <v>0.97491134030022841</v>
      </c>
    </row>
    <row r="124" spans="1:11">
      <c r="A124" s="14">
        <f t="shared" ca="1" si="11"/>
        <v>43271</v>
      </c>
      <c r="B124" s="74">
        <f t="shared" ca="1" si="6"/>
        <v>2.5230217831915258E-2</v>
      </c>
      <c r="C124" s="74">
        <f t="shared" ca="1" si="7"/>
        <v>2.5703015089626469E-2</v>
      </c>
      <c r="D124" s="74">
        <f t="shared" ca="1" si="8"/>
        <v>2.6207159888734788E-2</v>
      </c>
      <c r="E124" s="74">
        <f t="shared" ca="1" si="9"/>
        <v>7.6400464314403393E-2</v>
      </c>
      <c r="F124" s="74">
        <f t="shared" ca="1" si="10"/>
        <v>7.6407097647104294E-2</v>
      </c>
      <c r="G124" s="13">
        <f ca="1"/>
        <v>0.99183273396158211</v>
      </c>
      <c r="H124" s="13">
        <f ca="1"/>
        <v>0.99180432107951999</v>
      </c>
      <c r="I124" s="13">
        <f ca="1"/>
        <v>0.99150307007805594</v>
      </c>
      <c r="J124" s="13">
        <f ca="1"/>
        <v>0.9747025649554224</v>
      </c>
      <c r="K124" s="13">
        <f ca="1"/>
        <v>0.97470196081817362</v>
      </c>
    </row>
    <row r="125" spans="1:11">
      <c r="A125" s="14">
        <f t="shared" ca="1" si="11"/>
        <v>43272</v>
      </c>
      <c r="B125" s="74">
        <f t="shared" ca="1" si="6"/>
        <v>2.5243029744406731E-2</v>
      </c>
      <c r="C125" s="74">
        <f t="shared" ca="1" si="7"/>
        <v>2.5701190146734665E-2</v>
      </c>
      <c r="D125" s="74">
        <f t="shared" ca="1" si="8"/>
        <v>2.6219815614790809E-2</v>
      </c>
      <c r="E125" s="74">
        <f t="shared" ca="1" si="9"/>
        <v>7.6281835759623995E-2</v>
      </c>
      <c r="F125" s="74">
        <f t="shared" ca="1" si="10"/>
        <v>7.6296319903998433E-2</v>
      </c>
      <c r="G125" s="13">
        <f ca="1"/>
        <v>0.99176361007711111</v>
      </c>
      <c r="H125" s="13">
        <f ca="1"/>
        <v>0.99173390186009636</v>
      </c>
      <c r="I125" s="13">
        <f ca="1"/>
        <v>0.99143126964000461</v>
      </c>
      <c r="J125" s="13">
        <f ca="1"/>
        <v>0.97449324861483499</v>
      </c>
      <c r="K125" s="13">
        <f ca="1"/>
        <v>0.97449262630407196</v>
      </c>
    </row>
    <row r="126" spans="1:11">
      <c r="A126" s="14">
        <f t="shared" ca="1" si="11"/>
        <v>43273</v>
      </c>
      <c r="B126" s="74">
        <f t="shared" ca="1" si="6"/>
        <v>2.5255838691252697E-2</v>
      </c>
      <c r="C126" s="74">
        <f t="shared" ca="1" si="7"/>
        <v>2.5699365333395341E-2</v>
      </c>
      <c r="D126" s="74">
        <f t="shared" ca="1" si="8"/>
        <v>2.6232468274866028E-2</v>
      </c>
      <c r="E126" s="74">
        <f t="shared" ca="1" si="9"/>
        <v>7.6265476239080754E-2</v>
      </c>
      <c r="F126" s="74">
        <f t="shared" ca="1" si="10"/>
        <v>7.627995415978972E-2</v>
      </c>
      <c r="G126" s="13">
        <f ca="1"/>
        <v>0.99169445109151</v>
      </c>
      <c r="H126" s="13">
        <f ca="1"/>
        <v>0.99166348764051626</v>
      </c>
      <c r="I126" s="13">
        <f ca="1"/>
        <v>0.99135943452873121</v>
      </c>
      <c r="J126" s="13">
        <f ca="1"/>
        <v>0.97428425728398671</v>
      </c>
      <c r="K126" s="13">
        <f ca="1"/>
        <v>0.97428359529063635</v>
      </c>
    </row>
    <row r="127" spans="1:11">
      <c r="A127" s="14">
        <f t="shared" ca="1" si="11"/>
        <v>43274</v>
      </c>
      <c r="B127" s="74">
        <f t="shared" ca="1" si="6"/>
        <v>2.5268644671277984E-2</v>
      </c>
      <c r="C127" s="74">
        <f t="shared" ca="1" si="7"/>
        <v>2.5697540649608497E-2</v>
      </c>
      <c r="D127" s="74">
        <f t="shared" ca="1" si="8"/>
        <v>2.6245117867542134E-2</v>
      </c>
      <c r="E127" s="74">
        <f t="shared" ca="1" si="9"/>
        <v>7.6249120226909439E-2</v>
      </c>
      <c r="F127" s="74">
        <f t="shared" ca="1" si="10"/>
        <v>7.6263591926060137E-2</v>
      </c>
      <c r="G127" s="13">
        <f ca="1"/>
        <v>0.99162525701290383</v>
      </c>
      <c r="H127" s="13">
        <f ca="1"/>
        <v>0.99159307842042477</v>
      </c>
      <c r="I127" s="13">
        <f ca="1"/>
        <v>0.99128756475263569</v>
      </c>
      <c r="J127" s="13">
        <f ca="1"/>
        <v>0.97407531077374265</v>
      </c>
      <c r="K127" s="13">
        <f ca="1"/>
        <v>0.9740746091148561</v>
      </c>
    </row>
    <row r="128" spans="1:11">
      <c r="A128" s="14">
        <f t="shared" ca="1" si="11"/>
        <v>43275</v>
      </c>
      <c r="B128" s="74">
        <f t="shared" ca="1" si="6"/>
        <v>2.5281447682659053E-2</v>
      </c>
      <c r="C128" s="74">
        <f t="shared" ca="1" si="7"/>
        <v>2.5695716095414656E-2</v>
      </c>
      <c r="D128" s="74">
        <f t="shared" ca="1" si="8"/>
        <v>2.6257764391481864E-2</v>
      </c>
      <c r="E128" s="74">
        <f t="shared" ca="1" si="9"/>
        <v>7.6232767722542727E-2</v>
      </c>
      <c r="F128" s="74">
        <f t="shared" ca="1" si="10"/>
        <v>7.6247233202039744E-2</v>
      </c>
      <c r="G128" s="13">
        <f ca="1"/>
        <v>0.99155602784942087</v>
      </c>
      <c r="H128" s="13">
        <f ca="1"/>
        <v>0.99152267419946694</v>
      </c>
      <c r="I128" s="13">
        <f ca="1"/>
        <v>0.99121566032012187</v>
      </c>
      <c r="J128" s="13">
        <f ca="1"/>
        <v>0.97386640907449085</v>
      </c>
      <c r="K128" s="13">
        <f ca="1"/>
        <v>0.97386566776711347</v>
      </c>
    </row>
    <row r="129" spans="1:11">
      <c r="A129" s="14">
        <f t="shared" ca="1" si="11"/>
        <v>43276</v>
      </c>
      <c r="B129" s="74">
        <f t="shared" ca="1" si="6"/>
        <v>2.5294247724544916E-2</v>
      </c>
      <c r="C129" s="74">
        <f t="shared" ca="1" si="7"/>
        <v>2.5693891670732771E-2</v>
      </c>
      <c r="D129" s="74">
        <f t="shared" ca="1" si="8"/>
        <v>2.6270407845469523E-2</v>
      </c>
      <c r="E129" s="74">
        <f t="shared" ca="1" si="9"/>
        <v>7.6216418725170154E-2</v>
      </c>
      <c r="F129" s="74">
        <f t="shared" ca="1" si="10"/>
        <v>7.6230877987039647E-2</v>
      </c>
      <c r="G129" s="13">
        <f ca="1"/>
        <v>0.99148676360919441</v>
      </c>
      <c r="H129" s="13">
        <f ca="1"/>
        <v>0.99145227497728772</v>
      </c>
      <c r="I129" s="13">
        <f ca="1"/>
        <v>0.99114372123959726</v>
      </c>
      <c r="J129" s="13">
        <f ca="1"/>
        <v>0.97365755217662087</v>
      </c>
      <c r="K129" s="13">
        <f ca="1"/>
        <v>0.97365677123779282</v>
      </c>
    </row>
    <row r="130" spans="1:11">
      <c r="A130" s="14">
        <f t="shared" ca="1" si="11"/>
        <v>43277</v>
      </c>
      <c r="B130" s="74">
        <f t="shared" ref="B130:B193" ca="1" si="12">(G130-G131)/($A131-$A130)*365</f>
        <v>2.5307044795274125E-2</v>
      </c>
      <c r="C130" s="74">
        <f t="shared" ref="C130:C193" ca="1" si="13">(H130-H131)/($A131-$A130)*365</f>
        <v>2.5692067375562844E-2</v>
      </c>
      <c r="D130" s="74">
        <f t="shared" ref="D130:D193" ca="1" si="14">(I130-I131)/($A131-$A130)*365</f>
        <v>2.6283048228005756E-2</v>
      </c>
      <c r="E130" s="74">
        <f t="shared" ref="E130:E193" ca="1" si="15">(J130-J131)/($A131-$A130)*365</f>
        <v>7.6200073234021781E-2</v>
      </c>
      <c r="F130" s="74">
        <f t="shared" ref="F130:F193" ca="1" si="16">(K130-K131)/($A131-$A130)*365</f>
        <v>7.6214526280289907E-2</v>
      </c>
      <c r="G130" s="13">
        <f ca="1"/>
        <v>0.99141746430036004</v>
      </c>
      <c r="H130" s="13">
        <f ca="1"/>
        <v>0.99138188075353229</v>
      </c>
      <c r="I130" s="13">
        <f ca="1"/>
        <v>0.99107174751947269</v>
      </c>
      <c r="J130" s="13">
        <f ca="1"/>
        <v>0.97344874007052451</v>
      </c>
      <c r="K130" s="13">
        <f ca="1"/>
        <v>0.97344791951728038</v>
      </c>
    </row>
    <row r="131" spans="1:11">
      <c r="A131" s="14">
        <f t="shared" ca="1" si="11"/>
        <v>43278</v>
      </c>
      <c r="B131" s="74">
        <f t="shared" ca="1" si="12"/>
        <v>2.5319838893712032E-2</v>
      </c>
      <c r="C131" s="74">
        <f t="shared" ca="1" si="13"/>
        <v>2.5690243210026442E-2</v>
      </c>
      <c r="D131" s="74">
        <f t="shared" ca="1" si="14"/>
        <v>2.6295685538239577E-2</v>
      </c>
      <c r="E131" s="74">
        <f t="shared" ca="1" si="15"/>
        <v>7.6183731248327669E-2</v>
      </c>
      <c r="F131" s="74">
        <f t="shared" ca="1" si="16"/>
        <v>7.6198178080980061E-2</v>
      </c>
      <c r="G131" s="13">
        <f ca="1"/>
        <v>0.99134812993105792</v>
      </c>
      <c r="H131" s="13">
        <f ca="1"/>
        <v>0.99131149152784581</v>
      </c>
      <c r="I131" s="13">
        <f ca="1"/>
        <v>0.99099973916816309</v>
      </c>
      <c r="J131" s="13">
        <f ca="1"/>
        <v>0.97323997274659568</v>
      </c>
      <c r="K131" s="13">
        <f ca="1"/>
        <v>0.97323911259596452</v>
      </c>
    </row>
    <row r="132" spans="1:11">
      <c r="A132" s="14">
        <f t="shared" ref="A132:A195" ca="1" si="17">A131+1</f>
        <v>43279</v>
      </c>
      <c r="B132" s="74">
        <f t="shared" ca="1" si="12"/>
        <v>2.533263001860242E-2</v>
      </c>
      <c r="C132" s="74">
        <f t="shared" ca="1" si="13"/>
        <v>2.5688419173880428E-2</v>
      </c>
      <c r="D132" s="74">
        <f t="shared" ca="1" si="14"/>
        <v>2.6308319774469013E-2</v>
      </c>
      <c r="E132" s="74">
        <f t="shared" ca="1" si="15"/>
        <v>7.6167392767358399E-2</v>
      </c>
      <c r="F132" s="74">
        <f t="shared" ca="1" si="16"/>
        <v>7.6181833388380693E-2</v>
      </c>
      <c r="G132" s="13">
        <f ca="1"/>
        <v>0.99127876050943131</v>
      </c>
      <c r="H132" s="13">
        <f ca="1"/>
        <v>0.99124110729987314</v>
      </c>
      <c r="I132" s="13">
        <f ca="1"/>
        <v>0.99092769619408572</v>
      </c>
      <c r="J132" s="13">
        <f ca="1"/>
        <v>0.9730312501952304</v>
      </c>
      <c r="K132" s="13">
        <f ca="1"/>
        <v>0.9730303504642358</v>
      </c>
    </row>
    <row r="133" spans="1:11">
      <c r="A133" s="14">
        <f t="shared" ca="1" si="17"/>
        <v>43280</v>
      </c>
      <c r="B133" s="74">
        <f t="shared" ca="1" si="12"/>
        <v>2.534541816828384E-2</v>
      </c>
      <c r="C133" s="74">
        <f t="shared" ca="1" si="13"/>
        <v>2.5686595267327417E-2</v>
      </c>
      <c r="D133" s="74">
        <f t="shared" ca="1" si="14"/>
        <v>2.632095093559994E-2</v>
      </c>
      <c r="E133" s="74">
        <f t="shared" ca="1" si="15"/>
        <v>7.6151057790384558E-2</v>
      </c>
      <c r="F133" s="74">
        <f t="shared" ca="1" si="16"/>
        <v>7.6165492201843432E-2</v>
      </c>
      <c r="G133" s="13">
        <f ca="1"/>
        <v>0.99120935604362692</v>
      </c>
      <c r="H133" s="13">
        <f ca="1"/>
        <v>0.99117072806925977</v>
      </c>
      <c r="I133" s="13">
        <f ca="1"/>
        <v>0.99085561860566251</v>
      </c>
      <c r="J133" s="13">
        <f ca="1"/>
        <v>0.97282257240682668</v>
      </c>
      <c r="K133" s="13">
        <f ca="1"/>
        <v>0.97282163311248682</v>
      </c>
    </row>
    <row r="134" spans="1:11">
      <c r="A134" s="14">
        <f t="shared" ca="1" si="17"/>
        <v>43281</v>
      </c>
      <c r="B134" s="74">
        <f t="shared" ca="1" si="12"/>
        <v>2.535820334170269E-2</v>
      </c>
      <c r="C134" s="74">
        <f t="shared" ca="1" si="13"/>
        <v>2.5684771490245839E-2</v>
      </c>
      <c r="D134" s="74">
        <f t="shared" ca="1" si="14"/>
        <v>2.6333579020214049E-2</v>
      </c>
      <c r="E134" s="74">
        <f t="shared" ca="1" si="15"/>
        <v>7.6134726316636203E-2</v>
      </c>
      <c r="F134" s="74">
        <f t="shared" ca="1" si="16"/>
        <v>7.6149154520436246E-2</v>
      </c>
      <c r="G134" s="13">
        <f ca="1"/>
        <v>0.99113991654179601</v>
      </c>
      <c r="H134" s="13">
        <f ca="1"/>
        <v>0.99110035383565065</v>
      </c>
      <c r="I134" s="13">
        <f ca="1"/>
        <v>0.9907835064113184</v>
      </c>
      <c r="J134" s="13">
        <f ca="1"/>
        <v>0.97261393937178453</v>
      </c>
      <c r="K134" s="13">
        <f ca="1"/>
        <v>0.9726129605311119</v>
      </c>
    </row>
    <row r="135" spans="1:11">
      <c r="A135" s="14">
        <f t="shared" ca="1" si="17"/>
        <v>43282</v>
      </c>
      <c r="B135" s="74">
        <f t="shared" ca="1" si="12"/>
        <v>2.5370985537643276E-2</v>
      </c>
      <c r="C135" s="74">
        <f t="shared" ca="1" si="13"/>
        <v>2.5682947842676218E-2</v>
      </c>
      <c r="D135" s="74">
        <f t="shared" ca="1" si="14"/>
        <v>2.6346204027136166E-2</v>
      </c>
      <c r="E135" s="74">
        <f t="shared" ca="1" si="15"/>
        <v>7.6118398345343397E-2</v>
      </c>
      <c r="F135" s="74">
        <f t="shared" ca="1" si="16"/>
        <v>7.6132820343551288E-2</v>
      </c>
      <c r="G135" s="13">
        <f ca="1"/>
        <v>0.99107044201209271</v>
      </c>
      <c r="H135" s="13">
        <f ca="1"/>
        <v>0.99102998459869107</v>
      </c>
      <c r="I135" s="13">
        <f ca="1"/>
        <v>0.9907113596194822</v>
      </c>
      <c r="J135" s="13">
        <f ca="1"/>
        <v>0.97240535108050608</v>
      </c>
      <c r="K135" s="13">
        <f ca="1"/>
        <v>0.97240433271050797</v>
      </c>
    </row>
    <row r="136" spans="1:11">
      <c r="A136" s="14">
        <f t="shared" ca="1" si="17"/>
        <v>43283</v>
      </c>
      <c r="B136" s="74">
        <f t="shared" ca="1" si="12"/>
        <v>2.538376475432258E-2</v>
      </c>
      <c r="C136" s="74">
        <f t="shared" ca="1" si="13"/>
        <v>2.5681124324537508E-2</v>
      </c>
      <c r="D136" s="74">
        <f t="shared" ca="1" si="14"/>
        <v>2.6358825954866938E-2</v>
      </c>
      <c r="E136" s="74">
        <f t="shared" ca="1" si="15"/>
        <v>7.6102073875817244E-2</v>
      </c>
      <c r="F136" s="74">
        <f t="shared" ca="1" si="16"/>
        <v>7.6116489670378096E-2</v>
      </c>
      <c r="G136" s="13">
        <f ca="1"/>
        <v>0.99100093246267451</v>
      </c>
      <c r="H136" s="13">
        <f ca="1"/>
        <v>0.99095962035802621</v>
      </c>
      <c r="I136" s="13">
        <f ca="1"/>
        <v>0.99063917823858594</v>
      </c>
      <c r="J136" s="13">
        <f ca="1"/>
        <v>0.97219680752339555</v>
      </c>
      <c r="K136" s="13">
        <f ca="1"/>
        <v>0.97219574964107358</v>
      </c>
    </row>
    <row r="137" spans="1:11">
      <c r="A137" s="14">
        <f t="shared" ca="1" si="17"/>
        <v>43284</v>
      </c>
      <c r="B137" s="74">
        <f t="shared" ca="1" si="12"/>
        <v>2.5396540990808569E-2</v>
      </c>
      <c r="C137" s="74">
        <f t="shared" ca="1" si="13"/>
        <v>2.5679300935910754E-2</v>
      </c>
      <c r="D137" s="74">
        <f t="shared" ca="1" si="14"/>
        <v>2.63714448025959E-2</v>
      </c>
      <c r="E137" s="74">
        <f t="shared" ca="1" si="15"/>
        <v>7.6085752907206761E-2</v>
      </c>
      <c r="F137" s="74">
        <f t="shared" ca="1" si="16"/>
        <v>7.6100162500146729E-2</v>
      </c>
      <c r="G137" s="13">
        <f ca="1"/>
        <v>0.99093138790170376</v>
      </c>
      <c r="H137" s="13">
        <f ca="1"/>
        <v>0.99088926111330144</v>
      </c>
      <c r="I137" s="13">
        <f ca="1"/>
        <v>0.99056696227706575</v>
      </c>
      <c r="J137" s="13">
        <f ca="1"/>
        <v>0.97198830869085906</v>
      </c>
      <c r="K137" s="13">
        <f ca="1"/>
        <v>0.97198721131320953</v>
      </c>
    </row>
    <row r="138" spans="1:11">
      <c r="A138" s="14">
        <f t="shared" ca="1" si="17"/>
        <v>43285</v>
      </c>
      <c r="B138" s="74">
        <f t="shared" ca="1" si="12"/>
        <v>2.5409314245763981E-2</v>
      </c>
      <c r="C138" s="74">
        <f t="shared" ca="1" si="13"/>
        <v>2.5677477676755434E-2</v>
      </c>
      <c r="D138" s="74">
        <f t="shared" ca="1" si="14"/>
        <v>2.6384060568499512E-2</v>
      </c>
      <c r="E138" s="74">
        <f t="shared" ca="1" si="15"/>
        <v>7.6069435438823052E-2</v>
      </c>
      <c r="F138" s="74">
        <f t="shared" ca="1" si="16"/>
        <v>7.6083838832208817E-2</v>
      </c>
      <c r="G138" s="13">
        <f ca="1"/>
        <v>0.99086180833734538</v>
      </c>
      <c r="H138" s="13">
        <f ca="1"/>
        <v>0.99081890686416196</v>
      </c>
      <c r="I138" s="13">
        <f ca="1"/>
        <v>0.99049471174336001</v>
      </c>
      <c r="J138" s="13">
        <f ca="1"/>
        <v>0.97177985457330507</v>
      </c>
      <c r="K138" s="13">
        <f ca="1"/>
        <v>0.97177871771731872</v>
      </c>
    </row>
    <row r="139" spans="1:11">
      <c r="A139" s="14">
        <f t="shared" ca="1" si="17"/>
        <v>43286</v>
      </c>
      <c r="B139" s="74">
        <f t="shared" ca="1" si="12"/>
        <v>2.5422084517608412E-2</v>
      </c>
      <c r="C139" s="74">
        <f t="shared" ca="1" si="13"/>
        <v>2.5675654547031024E-2</v>
      </c>
      <c r="D139" s="74">
        <f t="shared" ca="1" si="14"/>
        <v>2.6396673251564695E-2</v>
      </c>
      <c r="E139" s="74">
        <f t="shared" ca="1" si="15"/>
        <v>7.6053121469936702E-2</v>
      </c>
      <c r="F139" s="74">
        <f t="shared" ca="1" si="16"/>
        <v>7.6067518665632328E-2</v>
      </c>
      <c r="G139" s="13">
        <f ca="1"/>
        <v>0.99079219377776795</v>
      </c>
      <c r="H139" s="13">
        <f ca="1"/>
        <v>0.99074855761025304</v>
      </c>
      <c r="I139" s="13">
        <f ca="1"/>
        <v>0.99042242664591207</v>
      </c>
      <c r="J139" s="13">
        <f ca="1"/>
        <v>0.97157144516114391</v>
      </c>
      <c r="K139" s="13">
        <f ca="1"/>
        <v>0.97157026884380582</v>
      </c>
    </row>
    <row r="140" spans="1:11">
      <c r="A140" s="14">
        <f t="shared" ca="1" si="17"/>
        <v>43287</v>
      </c>
      <c r="B140" s="74">
        <f t="shared" ca="1" si="12"/>
        <v>2.5434851805207215E-2</v>
      </c>
      <c r="C140" s="74">
        <f t="shared" ca="1" si="13"/>
        <v>2.5673831546737524E-2</v>
      </c>
      <c r="D140" s="74">
        <f t="shared" ca="1" si="14"/>
        <v>2.6409282850454185E-2</v>
      </c>
      <c r="E140" s="74">
        <f t="shared" ca="1" si="15"/>
        <v>7.6036810999777771E-2</v>
      </c>
      <c r="F140" s="74">
        <f t="shared" ca="1" si="16"/>
        <v>7.6051201999849938E-2</v>
      </c>
      <c r="G140" s="13">
        <f ca="1"/>
        <v>0.99072254423114436</v>
      </c>
      <c r="H140" s="13">
        <f ca="1"/>
        <v>0.99067821335122008</v>
      </c>
      <c r="I140" s="13">
        <f ca="1"/>
        <v>0.99035010699316806</v>
      </c>
      <c r="J140" s="13">
        <f ca="1"/>
        <v>0.97136308044478792</v>
      </c>
      <c r="K140" s="13">
        <f ca="1"/>
        <v>0.97136186468307806</v>
      </c>
    </row>
    <row r="141" spans="1:11">
      <c r="A141" s="14">
        <f t="shared" ca="1" si="17"/>
        <v>43288</v>
      </c>
      <c r="B141" s="74">
        <f t="shared" ca="1" si="12"/>
        <v>2.5447616107344695E-2</v>
      </c>
      <c r="C141" s="74">
        <f t="shared" ca="1" si="13"/>
        <v>2.5672008675874936E-2</v>
      </c>
      <c r="D141" s="74">
        <f t="shared" ca="1" si="14"/>
        <v>2.6421889363871243E-2</v>
      </c>
      <c r="E141" s="74">
        <f t="shared" ca="1" si="15"/>
        <v>7.6020504027535796E-2</v>
      </c>
      <c r="F141" s="74">
        <f t="shared" ca="1" si="16"/>
        <v>7.6034888834010661E-2</v>
      </c>
      <c r="G141" s="13">
        <f ca="1"/>
        <v>0.99065285970565065</v>
      </c>
      <c r="H141" s="13">
        <f ca="1"/>
        <v>0.99060787408670847</v>
      </c>
      <c r="I141" s="13">
        <f ca="1"/>
        <v>0.99027775279357777</v>
      </c>
      <c r="J141" s="13">
        <f ca="1"/>
        <v>0.97115476041465154</v>
      </c>
      <c r="K141" s="13">
        <f ca="1"/>
        <v>0.97115350522554422</v>
      </c>
    </row>
    <row r="142" spans="1:11">
      <c r="A142" s="14">
        <f t="shared" ca="1" si="17"/>
        <v>43289</v>
      </c>
      <c r="B142" s="74">
        <f t="shared" ca="1" si="12"/>
        <v>2.5460377422359404E-2</v>
      </c>
      <c r="C142" s="74">
        <f t="shared" ca="1" si="13"/>
        <v>2.5670185934524303E-2</v>
      </c>
      <c r="D142" s="74">
        <f t="shared" ca="1" si="14"/>
        <v>2.6434492790397557E-2</v>
      </c>
      <c r="E142" s="74">
        <f t="shared" ca="1" si="15"/>
        <v>7.6004200552562406E-2</v>
      </c>
      <c r="F142" s="74">
        <f t="shared" ca="1" si="16"/>
        <v>7.6018579167385081E-2</v>
      </c>
      <c r="G142" s="13">
        <f ca="1"/>
        <v>0.99058314020946614</v>
      </c>
      <c r="H142" s="13">
        <f ca="1"/>
        <v>0.99053753981636361</v>
      </c>
      <c r="I142" s="13">
        <f ca="1"/>
        <v>0.99020536405559456</v>
      </c>
      <c r="J142" s="13">
        <f ca="1"/>
        <v>0.97094648506115144</v>
      </c>
      <c r="K142" s="13">
        <f ca="1"/>
        <v>0.97094519046161543</v>
      </c>
    </row>
    <row r="143" spans="1:11">
      <c r="A143" s="14">
        <f t="shared" ca="1" si="17"/>
        <v>43290</v>
      </c>
      <c r="B143" s="74">
        <f t="shared" ca="1" si="12"/>
        <v>2.5473135749157216E-2</v>
      </c>
      <c r="C143" s="74">
        <f t="shared" ca="1" si="13"/>
        <v>2.5668363322483012E-2</v>
      </c>
      <c r="D143" s="74">
        <f t="shared" ca="1" si="14"/>
        <v>2.6447093129101096E-2</v>
      </c>
      <c r="E143" s="74">
        <f t="shared" ca="1" si="15"/>
        <v>7.598790057404714E-2</v>
      </c>
      <c r="F143" s="74">
        <f t="shared" ca="1" si="16"/>
        <v>7.6002272999203258E-2</v>
      </c>
      <c r="G143" s="13">
        <f ca="1"/>
        <v>0.99051338575077474</v>
      </c>
      <c r="H143" s="13">
        <f ca="1"/>
        <v>0.99046721053983067</v>
      </c>
      <c r="I143" s="13">
        <f ca="1"/>
        <v>0.99013294078767566</v>
      </c>
      <c r="J143" s="13">
        <f ca="1"/>
        <v>0.97073825437470607</v>
      </c>
      <c r="K143" s="13">
        <f ca="1"/>
        <v>0.97073692038170478</v>
      </c>
    </row>
    <row r="144" spans="1:11">
      <c r="A144" s="14">
        <f t="shared" ca="1" si="17"/>
        <v>43291</v>
      </c>
      <c r="B144" s="74">
        <f t="shared" ca="1" si="12"/>
        <v>2.5485891086603485E-2</v>
      </c>
      <c r="C144" s="74">
        <f t="shared" ca="1" si="13"/>
        <v>2.5666540839872631E-2</v>
      </c>
      <c r="D144" s="74">
        <f t="shared" ca="1" si="14"/>
        <v>2.6459690378401457E-2</v>
      </c>
      <c r="E144" s="74">
        <f t="shared" ca="1" si="15"/>
        <v>7.5971604091220057E-2</v>
      </c>
      <c r="F144" s="74">
        <f t="shared" ca="1" si="16"/>
        <v>7.5985970328735775E-2</v>
      </c>
      <c r="G144" s="13">
        <f ca="1"/>
        <v>0.99044359633776335</v>
      </c>
      <c r="H144" s="13">
        <f ca="1"/>
        <v>0.99039688625675537</v>
      </c>
      <c r="I144" s="13">
        <f ca="1"/>
        <v>0.99006048299828087</v>
      </c>
      <c r="J144" s="13">
        <f ca="1"/>
        <v>0.97053006834573607</v>
      </c>
      <c r="K144" s="13">
        <f ca="1"/>
        <v>0.97052869497622751</v>
      </c>
    </row>
    <row r="145" spans="1:11">
      <c r="A145" s="14">
        <f t="shared" ca="1" si="17"/>
        <v>43292</v>
      </c>
      <c r="B145" s="74">
        <f t="shared" ca="1" si="12"/>
        <v>2.5498643432874668E-2</v>
      </c>
      <c r="C145" s="74">
        <f t="shared" ca="1" si="13"/>
        <v>2.5664718486693161E-2</v>
      </c>
      <c r="D145" s="74">
        <f t="shared" ca="1" si="14"/>
        <v>2.6472284537042423E-2</v>
      </c>
      <c r="E145" s="74">
        <f t="shared" ca="1" si="15"/>
        <v>7.5955311103392265E-2</v>
      </c>
      <c r="F145" s="74">
        <f t="shared" ca="1" si="16"/>
        <v>7.5969671155253216E-2</v>
      </c>
      <c r="G145" s="13">
        <f ca="1"/>
        <v>0.99037377197862198</v>
      </c>
      <c r="H145" s="13">
        <f ca="1"/>
        <v>0.99032656696678312</v>
      </c>
      <c r="I145" s="13">
        <f ca="1"/>
        <v>0.98998799069587429</v>
      </c>
      <c r="J145" s="13">
        <f ca="1"/>
        <v>0.97032192696466424</v>
      </c>
      <c r="K145" s="13">
        <f ca="1"/>
        <v>0.97032051423560084</v>
      </c>
    </row>
    <row r="146" spans="1:11">
      <c r="A146" s="14">
        <f t="shared" ca="1" si="17"/>
        <v>43293</v>
      </c>
      <c r="B146" s="74">
        <f t="shared" ca="1" si="12"/>
        <v>2.5511392787038734E-2</v>
      </c>
      <c r="C146" s="74">
        <f t="shared" ca="1" si="13"/>
        <v>2.5662896262904078E-2</v>
      </c>
      <c r="D146" s="74">
        <f t="shared" ca="1" si="14"/>
        <v>2.6484875603848823E-2</v>
      </c>
      <c r="E146" s="74">
        <f t="shared" ca="1" si="15"/>
        <v>7.5939021609793822E-2</v>
      </c>
      <c r="F146" s="74">
        <f t="shared" ca="1" si="16"/>
        <v>7.5953375477985641E-2</v>
      </c>
      <c r="G146" s="13">
        <f ca="1"/>
        <v>0.99030391268154561</v>
      </c>
      <c r="H146" s="13">
        <f ca="1"/>
        <v>0.9902562526695593</v>
      </c>
      <c r="I146" s="13">
        <f ca="1"/>
        <v>0.98991546388892349</v>
      </c>
      <c r="J146" s="13">
        <f ca="1"/>
        <v>0.97011383022191522</v>
      </c>
      <c r="K146" s="13">
        <f ca="1"/>
        <v>0.97011237815024398</v>
      </c>
    </row>
    <row r="147" spans="1:11">
      <c r="A147" s="14">
        <f t="shared" ca="1" si="17"/>
        <v>43294</v>
      </c>
      <c r="B147" s="74">
        <f t="shared" ca="1" si="12"/>
        <v>2.5524139147798941E-2</v>
      </c>
      <c r="C147" s="74">
        <f t="shared" ca="1" si="13"/>
        <v>2.5661074168505382E-2</v>
      </c>
      <c r="D147" s="74">
        <f t="shared" ca="1" si="14"/>
        <v>2.6497463577402347E-2</v>
      </c>
      <c r="E147" s="74">
        <f t="shared" ca="1" si="15"/>
        <v>7.592273560965479E-2</v>
      </c>
      <c r="F147" s="74">
        <f t="shared" ca="1" si="16"/>
        <v>7.5937083296122587E-2</v>
      </c>
      <c r="G147" s="13">
        <f ca="1"/>
        <v>0.9902340184547318</v>
      </c>
      <c r="H147" s="13">
        <f ca="1"/>
        <v>0.99018594336472943</v>
      </c>
      <c r="I147" s="13">
        <f ca="1"/>
        <v>0.98984290258589924</v>
      </c>
      <c r="J147" s="13">
        <f ca="1"/>
        <v>0.96990577810791578</v>
      </c>
      <c r="K147" s="13">
        <f ca="1"/>
        <v>0.96990428671057827</v>
      </c>
    </row>
    <row r="148" spans="1:11">
      <c r="A148" s="14">
        <f t="shared" ca="1" si="17"/>
        <v>43295</v>
      </c>
      <c r="B148" s="74">
        <f t="shared" ca="1" si="12"/>
        <v>2.5536882513453318E-2</v>
      </c>
      <c r="C148" s="74">
        <f t="shared" ca="1" si="13"/>
        <v>2.5659252203416028E-2</v>
      </c>
      <c r="D148" s="74">
        <f t="shared" ca="1" si="14"/>
        <v>2.6510048456446778E-2</v>
      </c>
      <c r="E148" s="74">
        <f t="shared" ca="1" si="15"/>
        <v>7.5906453102205229E-2</v>
      </c>
      <c r="F148" s="74">
        <f t="shared" ca="1" si="16"/>
        <v>7.5920794609056208E-2</v>
      </c>
      <c r="G148" s="13">
        <f ca="1"/>
        <v>0.99016408930638167</v>
      </c>
      <c r="H148" s="13">
        <f ca="1"/>
        <v>0.990115639051939</v>
      </c>
      <c r="I148" s="13">
        <f ca="1"/>
        <v>0.98977030679527622</v>
      </c>
      <c r="J148" s="13">
        <f ca="1"/>
        <v>0.96969777061309481</v>
      </c>
      <c r="K148" s="13">
        <f ca="1"/>
        <v>0.96969623990702725</v>
      </c>
    </row>
    <row r="149" spans="1:11">
      <c r="A149" s="14">
        <f t="shared" ca="1" si="17"/>
        <v>43296</v>
      </c>
      <c r="B149" s="74">
        <f t="shared" ca="1" si="12"/>
        <v>2.5549622883110357E-2</v>
      </c>
      <c r="C149" s="74">
        <f t="shared" ca="1" si="13"/>
        <v>2.565743036771706E-2</v>
      </c>
      <c r="D149" s="74">
        <f t="shared" ca="1" si="14"/>
        <v>2.6522630239928513E-2</v>
      </c>
      <c r="E149" s="74">
        <f t="shared" ca="1" si="15"/>
        <v>7.5890174086756246E-2</v>
      </c>
      <c r="F149" s="74">
        <f t="shared" ca="1" si="16"/>
        <v>7.5904509415894994E-2</v>
      </c>
      <c r="G149" s="13">
        <f ca="1"/>
        <v>0.99009412524470097</v>
      </c>
      <c r="H149" s="13">
        <f ca="1"/>
        <v>0.99004533973083375</v>
      </c>
      <c r="I149" s="13">
        <f ca="1"/>
        <v>0.98969767652553253</v>
      </c>
      <c r="J149" s="13">
        <f ca="1"/>
        <v>0.96948980772788329</v>
      </c>
      <c r="K149" s="13">
        <f ca="1"/>
        <v>0.96948823773001613</v>
      </c>
    </row>
    <row r="150" spans="1:11">
      <c r="A150" s="14">
        <f t="shared" ca="1" si="17"/>
        <v>43297</v>
      </c>
      <c r="B150" s="74">
        <f t="shared" ca="1" si="12"/>
        <v>2.5562360255392269E-2</v>
      </c>
      <c r="C150" s="74">
        <f t="shared" ca="1" si="13"/>
        <v>2.565560866140848E-2</v>
      </c>
      <c r="D150" s="74">
        <f t="shared" ca="1" si="14"/>
        <v>2.6535208926267151E-2</v>
      </c>
      <c r="E150" s="74">
        <f t="shared" ca="1" si="15"/>
        <v>7.5873898562497377E-2</v>
      </c>
      <c r="F150" s="74">
        <f t="shared" ca="1" si="16"/>
        <v>7.5888227715990575E-2</v>
      </c>
      <c r="G150" s="13">
        <f ca="1"/>
        <v>0.99002412627789793</v>
      </c>
      <c r="H150" s="13">
        <f ca="1"/>
        <v>0.98997504540105918</v>
      </c>
      <c r="I150" s="13">
        <f ca="1"/>
        <v>0.98962501178514917</v>
      </c>
      <c r="J150" s="13">
        <f ca="1"/>
        <v>0.9692818894427141</v>
      </c>
      <c r="K150" s="13">
        <f ca="1"/>
        <v>0.96928028016997259</v>
      </c>
    </row>
    <row r="151" spans="1:11">
      <c r="A151" s="14">
        <f t="shared" ca="1" si="17"/>
        <v>43298</v>
      </c>
      <c r="B151" s="74">
        <f t="shared" ca="1" si="12"/>
        <v>2.5575094628597084E-2</v>
      </c>
      <c r="C151" s="74">
        <f t="shared" ca="1" si="13"/>
        <v>2.5653787084368718E-2</v>
      </c>
      <c r="D151" s="74">
        <f t="shared" ca="1" si="14"/>
        <v>2.6547784514328043E-2</v>
      </c>
      <c r="E151" s="74">
        <f t="shared" ca="1" si="15"/>
        <v>7.5857626528780253E-2</v>
      </c>
      <c r="F151" s="74">
        <f t="shared" ca="1" si="16"/>
        <v>7.5871949508491965E-2</v>
      </c>
      <c r="G151" s="13">
        <f ca="1"/>
        <v>0.98995409241418453</v>
      </c>
      <c r="H151" s="13">
        <f ca="1"/>
        <v>0.9899047560622608</v>
      </c>
      <c r="I151" s="13">
        <f ca="1"/>
        <v>0.98955231258261145</v>
      </c>
      <c r="J151" s="13">
        <f ca="1"/>
        <v>0.96907401574802232</v>
      </c>
      <c r="K151" s="13">
        <f ca="1"/>
        <v>0.96907236721732604</v>
      </c>
    </row>
    <row r="152" spans="1:11">
      <c r="A152" s="14">
        <f t="shared" ca="1" si="17"/>
        <v>43299</v>
      </c>
      <c r="B152" s="74">
        <f t="shared" ca="1" si="12"/>
        <v>2.5587826001833291E-2</v>
      </c>
      <c r="C152" s="74">
        <f t="shared" ca="1" si="13"/>
        <v>2.5651965636759866E-2</v>
      </c>
      <c r="D152" s="74">
        <f t="shared" ca="1" si="14"/>
        <v>2.656035700281445E-2</v>
      </c>
      <c r="E152" s="74">
        <f t="shared" ca="1" si="15"/>
        <v>7.5841357984713365E-2</v>
      </c>
      <c r="F152" s="74">
        <f t="shared" ca="1" si="16"/>
        <v>7.585567479271027E-2</v>
      </c>
      <c r="G152" s="13">
        <f ca="1"/>
        <v>0.98988402366177741</v>
      </c>
      <c r="H152" s="13">
        <f ca="1"/>
        <v>0.98983447171408445</v>
      </c>
      <c r="I152" s="13">
        <f ca="1"/>
        <v>0.98947957892640781</v>
      </c>
      <c r="J152" s="13">
        <f ca="1"/>
        <v>0.96886618663424484</v>
      </c>
      <c r="K152" s="13">
        <f ca="1"/>
        <v>0.96886449886250825</v>
      </c>
    </row>
    <row r="153" spans="1:11">
      <c r="A153" s="14">
        <f t="shared" ca="1" si="17"/>
        <v>43300</v>
      </c>
      <c r="B153" s="74">
        <f t="shared" ca="1" si="12"/>
        <v>2.5600554373723106E-2</v>
      </c>
      <c r="C153" s="74">
        <f t="shared" ca="1" si="13"/>
        <v>2.5650144318379309E-2</v>
      </c>
      <c r="D153" s="74">
        <f t="shared" ca="1" si="14"/>
        <v>2.6572926390227014E-2</v>
      </c>
      <c r="E153" s="74">
        <f t="shared" ca="1" si="15"/>
        <v>7.5825092929688864E-2</v>
      </c>
      <c r="F153" s="74">
        <f t="shared" ca="1" si="16"/>
        <v>7.5839403567956598E-2</v>
      </c>
      <c r="G153" s="13">
        <f ca="1"/>
        <v>0.98981392002889568</v>
      </c>
      <c r="H153" s="13">
        <f ca="1"/>
        <v>0.98976419235617552</v>
      </c>
      <c r="I153" s="13">
        <f ca="1"/>
        <v>0.98940681082503024</v>
      </c>
      <c r="J153" s="13">
        <f ca="1"/>
        <v>0.96865840209182097</v>
      </c>
      <c r="K153" s="13">
        <f ca="1"/>
        <v>0.96865667509595288</v>
      </c>
    </row>
    <row r="154" spans="1:11">
      <c r="A154" s="14">
        <f t="shared" ca="1" si="17"/>
        <v>43301</v>
      </c>
      <c r="B154" s="74">
        <f t="shared" ca="1" si="12"/>
        <v>2.56132797426456E-2</v>
      </c>
      <c r="C154" s="74">
        <f t="shared" ca="1" si="13"/>
        <v>2.5648323129389139E-2</v>
      </c>
      <c r="D154" s="74">
        <f t="shared" ca="1" si="14"/>
        <v>2.658549267583632E-2</v>
      </c>
      <c r="E154" s="74">
        <f t="shared" ca="1" si="15"/>
        <v>7.5808831362855766E-2</v>
      </c>
      <c r="F154" s="74">
        <f t="shared" ca="1" si="16"/>
        <v>7.5823135833420485E-2</v>
      </c>
      <c r="G154" s="13">
        <f ca="1"/>
        <v>0.98974378152376219</v>
      </c>
      <c r="H154" s="13">
        <f ca="1"/>
        <v>0.98969391798817996</v>
      </c>
      <c r="I154" s="13">
        <f ca="1"/>
        <v>0.98933400828697482</v>
      </c>
      <c r="J154" s="13">
        <f ca="1"/>
        <v>0.96845066211119168</v>
      </c>
      <c r="K154" s="13">
        <f ca="1"/>
        <v>0.96844889590809546</v>
      </c>
    </row>
    <row r="155" spans="1:11">
      <c r="A155" s="14">
        <f t="shared" ca="1" si="17"/>
        <v>43302</v>
      </c>
      <c r="B155" s="74">
        <f t="shared" ca="1" si="12"/>
        <v>2.5626002107587698E-2</v>
      </c>
      <c r="C155" s="74">
        <f t="shared" ca="1" si="13"/>
        <v>2.5646502069667787E-2</v>
      </c>
      <c r="D155" s="74">
        <f t="shared" ca="1" si="14"/>
        <v>2.6598055857818825E-2</v>
      </c>
      <c r="E155" s="74">
        <f t="shared" ca="1" si="15"/>
        <v>7.5792573283525178E-2</v>
      </c>
      <c r="F155" s="74">
        <f t="shared" ca="1" si="16"/>
        <v>7.5806871588250946E-2</v>
      </c>
      <c r="G155" s="13">
        <f ca="1"/>
        <v>0.98967360815460426</v>
      </c>
      <c r="H155" s="13">
        <f ca="1"/>
        <v>0.98962364860974328</v>
      </c>
      <c r="I155" s="13">
        <f ca="1"/>
        <v>0.98926117132073965</v>
      </c>
      <c r="J155" s="13">
        <f ca="1"/>
        <v>0.9682429666828003</v>
      </c>
      <c r="K155" s="13">
        <f ca="1"/>
        <v>0.96824116128937376</v>
      </c>
    </row>
    <row r="156" spans="1:11">
      <c r="A156" s="14">
        <f t="shared" ca="1" si="17"/>
        <v>43303</v>
      </c>
      <c r="B156" s="74">
        <f t="shared" ca="1" si="12"/>
        <v>2.5638721467333703E-2</v>
      </c>
      <c r="C156" s="74">
        <f t="shared" ca="1" si="13"/>
        <v>2.5644681139215253E-2</v>
      </c>
      <c r="D156" s="74">
        <f t="shared" ca="1" si="14"/>
        <v>2.6610615935161452E-2</v>
      </c>
      <c r="E156" s="74">
        <f t="shared" ca="1" si="15"/>
        <v>7.5776318690886635E-2</v>
      </c>
      <c r="F156" s="74">
        <f t="shared" ca="1" si="16"/>
        <v>7.5790610831921179E-2</v>
      </c>
      <c r="G156" s="13">
        <f ca="1"/>
        <v>0.98960339992965196</v>
      </c>
      <c r="H156" s="13">
        <f ca="1"/>
        <v>0.98955338422051131</v>
      </c>
      <c r="I156" s="13">
        <f ca="1"/>
        <v>0.98918829993482782</v>
      </c>
      <c r="J156" s="13">
        <f ca="1"/>
        <v>0.96803531579709201</v>
      </c>
      <c r="K156" s="13">
        <f ca="1"/>
        <v>0.96803347123022787</v>
      </c>
    </row>
    <row r="157" spans="1:11">
      <c r="A157" s="14">
        <f t="shared" ca="1" si="17"/>
        <v>43304</v>
      </c>
      <c r="B157" s="74">
        <f t="shared" ca="1" si="12"/>
        <v>2.5651437820060075E-2</v>
      </c>
      <c r="C157" s="74">
        <f t="shared" ca="1" si="13"/>
        <v>2.5642860338112583E-2</v>
      </c>
      <c r="D157" s="74">
        <f t="shared" ca="1" si="14"/>
        <v>2.6623172906445891E-2</v>
      </c>
      <c r="E157" s="74">
        <f t="shared" ca="1" si="15"/>
        <v>7.5760067584291768E-2</v>
      </c>
      <c r="F157" s="74">
        <f t="shared" ca="1" si="16"/>
        <v>7.5774353563499153E-2</v>
      </c>
      <c r="G157" s="13">
        <f ca="1"/>
        <v>0.98953315685713872</v>
      </c>
      <c r="H157" s="13">
        <f ca="1"/>
        <v>0.9894831248201299</v>
      </c>
      <c r="I157" s="13">
        <f ca="1"/>
        <v>0.98911539413774519</v>
      </c>
      <c r="J157" s="13">
        <f ca="1"/>
        <v>0.96782770944451424</v>
      </c>
      <c r="K157" s="13">
        <f ca="1"/>
        <v>0.96782582572109932</v>
      </c>
    </row>
    <row r="158" spans="1:11">
      <c r="A158" s="14">
        <f t="shared" ca="1" si="17"/>
        <v>43305</v>
      </c>
      <c r="B158" s="74">
        <f t="shared" ca="1" si="12"/>
        <v>2.5664151164996873E-2</v>
      </c>
      <c r="C158" s="74">
        <f t="shared" ca="1" si="13"/>
        <v>2.5641039666278731E-2</v>
      </c>
      <c r="D158" s="74">
        <f t="shared" ca="1" si="14"/>
        <v>2.6635726770537493E-2</v>
      </c>
      <c r="E158" s="74">
        <f t="shared" ca="1" si="15"/>
        <v>7.5743819962889591E-2</v>
      </c>
      <c r="F158" s="74">
        <f t="shared" ca="1" si="16"/>
        <v>7.5758099782295973E-2</v>
      </c>
      <c r="G158" s="13">
        <f ca="1"/>
        <v>0.98946287894530294</v>
      </c>
      <c r="H158" s="13">
        <f ca="1"/>
        <v>0.98941287040824466</v>
      </c>
      <c r="I158" s="13">
        <f ca="1"/>
        <v>0.9890424539380015</v>
      </c>
      <c r="J158" s="13">
        <f ca="1"/>
        <v>0.96762014761551618</v>
      </c>
      <c r="K158" s="13">
        <f ca="1"/>
        <v>0.9676182247524322</v>
      </c>
    </row>
    <row r="159" spans="1:11">
      <c r="A159" s="14">
        <f t="shared" ca="1" si="17"/>
        <v>43306</v>
      </c>
      <c r="B159" s="74">
        <f t="shared" ca="1" si="12"/>
        <v>2.5676861500644743E-2</v>
      </c>
      <c r="C159" s="74">
        <f t="shared" ca="1" si="13"/>
        <v>2.5639219123673174E-2</v>
      </c>
      <c r="D159" s="74">
        <f t="shared" ca="1" si="14"/>
        <v>2.6648277525936903E-2</v>
      </c>
      <c r="E159" s="74">
        <f t="shared" ca="1" si="15"/>
        <v>7.5727575825950688E-2</v>
      </c>
      <c r="F159" s="74">
        <f t="shared" ca="1" si="16"/>
        <v>7.5741849487582225E-2</v>
      </c>
      <c r="G159" s="13">
        <f ca="1"/>
        <v>0.98939256620238514</v>
      </c>
      <c r="H159" s="13">
        <f ca="1"/>
        <v>0.98934262098450143</v>
      </c>
      <c r="I159" s="13">
        <f ca="1"/>
        <v>0.98896947934410961</v>
      </c>
      <c r="J159" s="13">
        <f ca="1"/>
        <v>0.96741263030054936</v>
      </c>
      <c r="K159" s="13">
        <f ca="1"/>
        <v>0.96741066831467248</v>
      </c>
    </row>
    <row r="160" spans="1:11">
      <c r="A160" s="14">
        <f t="shared" ca="1" si="17"/>
        <v>43307</v>
      </c>
      <c r="B160" s="74">
        <f t="shared" ca="1" si="12"/>
        <v>2.5689568825463804E-2</v>
      </c>
      <c r="C160" s="74">
        <f t="shared" ca="1" si="13"/>
        <v>2.5637398710376957E-2</v>
      </c>
      <c r="D160" s="74">
        <f t="shared" ca="1" si="14"/>
        <v>2.6660825171793134E-2</v>
      </c>
      <c r="E160" s="74">
        <f t="shared" ca="1" si="15"/>
        <v>7.5711335172826688E-2</v>
      </c>
      <c r="F160" s="74">
        <f t="shared" ca="1" si="16"/>
        <v>7.5725602678587967E-2</v>
      </c>
      <c r="G160" s="13">
        <f ca="1"/>
        <v>0.98932221863662995</v>
      </c>
      <c r="H160" s="13">
        <f ca="1"/>
        <v>0.98927237654854616</v>
      </c>
      <c r="I160" s="13">
        <f ca="1"/>
        <v>0.9888964703645865</v>
      </c>
      <c r="J160" s="13">
        <f ca="1"/>
        <v>0.9672051574900673</v>
      </c>
      <c r="K160" s="13">
        <f ca="1"/>
        <v>0.96720315639826815</v>
      </c>
    </row>
    <row r="161" spans="1:11">
      <c r="A161" s="14">
        <f t="shared" ca="1" si="17"/>
        <v>43308</v>
      </c>
      <c r="B161" s="74">
        <f t="shared" ca="1" si="12"/>
        <v>2.5702273138440979E-2</v>
      </c>
      <c r="C161" s="74">
        <f t="shared" ca="1" si="13"/>
        <v>2.5635578426268513E-2</v>
      </c>
      <c r="D161" s="74">
        <f t="shared" ca="1" si="14"/>
        <v>2.6673369706444738E-2</v>
      </c>
      <c r="E161" s="74">
        <f t="shared" ca="1" si="15"/>
        <v>7.5695098002707129E-2</v>
      </c>
      <c r="F161" s="74">
        <f t="shared" ca="1" si="16"/>
        <v>7.5709359354583783E-2</v>
      </c>
      <c r="G161" s="13">
        <f ca="1"/>
        <v>0.98925183625628621</v>
      </c>
      <c r="H161" s="13">
        <f ca="1"/>
        <v>0.98920213710002458</v>
      </c>
      <c r="I161" s="13">
        <f ca="1"/>
        <v>0.98882342700795145</v>
      </c>
      <c r="J161" s="13">
        <f ca="1"/>
        <v>0.96699772917452531</v>
      </c>
      <c r="K161" s="13">
        <f ca="1"/>
        <v>0.96699568899366928</v>
      </c>
    </row>
    <row r="162" spans="1:11">
      <c r="A162" s="14">
        <f t="shared" ca="1" si="17"/>
        <v>43309</v>
      </c>
      <c r="B162" s="74">
        <f t="shared" ca="1" si="12"/>
        <v>2.5714974438279525E-2</v>
      </c>
      <c r="C162" s="74">
        <f t="shared" ca="1" si="13"/>
        <v>2.5633758271469409E-2</v>
      </c>
      <c r="D162" s="74">
        <f t="shared" ca="1" si="14"/>
        <v>2.6685911128676021E-2</v>
      </c>
      <c r="E162" s="74">
        <f t="shared" ca="1" si="15"/>
        <v>7.5678864314741023E-2</v>
      </c>
      <c r="F162" s="74">
        <f t="shared" ca="1" si="16"/>
        <v>7.5693119514840257E-2</v>
      </c>
      <c r="G162" s="13">
        <f ca="1"/>
        <v>0.98918141906960555</v>
      </c>
      <c r="H162" s="13">
        <f ca="1"/>
        <v>0.98913190263858275</v>
      </c>
      <c r="I162" s="13">
        <f ca="1"/>
        <v>0.98875034928272831</v>
      </c>
      <c r="J162" s="13">
        <f ca="1"/>
        <v>0.96679034534438091</v>
      </c>
      <c r="K162" s="13">
        <f ca="1"/>
        <v>0.96678826609132795</v>
      </c>
    </row>
    <row r="163" spans="1:11">
      <c r="A163" s="14">
        <f t="shared" ca="1" si="17"/>
        <v>43310</v>
      </c>
      <c r="B163" s="74">
        <f t="shared" ca="1" si="12"/>
        <v>2.5727672723358519E-2</v>
      </c>
      <c r="C163" s="74">
        <f t="shared" ca="1" si="13"/>
        <v>2.5631938245858077E-2</v>
      </c>
      <c r="D163" s="74">
        <f t="shared" ca="1" si="14"/>
        <v>2.6698449437352334E-2</v>
      </c>
      <c r="E163" s="74">
        <f t="shared" ca="1" si="15"/>
        <v>7.5662634108361049E-2</v>
      </c>
      <c r="F163" s="74">
        <f t="shared" ca="1" si="16"/>
        <v>7.5676883158506403E-2</v>
      </c>
      <c r="G163" s="13">
        <f ca="1"/>
        <v>0.98911096708484314</v>
      </c>
      <c r="H163" s="13">
        <f ca="1"/>
        <v>0.98906167316386639</v>
      </c>
      <c r="I163" s="13">
        <f ca="1"/>
        <v>0.98867723719744427</v>
      </c>
      <c r="J163" s="13">
        <f ca="1"/>
        <v>0.96658300599009395</v>
      </c>
      <c r="K163" s="13">
        <f ca="1"/>
        <v>0.96658088768169825</v>
      </c>
    </row>
    <row r="164" spans="1:11">
      <c r="A164" s="14">
        <f t="shared" ca="1" si="17"/>
        <v>43311</v>
      </c>
      <c r="B164" s="74">
        <f t="shared" ca="1" si="12"/>
        <v>2.5740367992624358E-2</v>
      </c>
      <c r="C164" s="74">
        <f t="shared" ca="1" si="13"/>
        <v>2.5630118349515563E-2</v>
      </c>
      <c r="D164" s="74">
        <f t="shared" ca="1" si="14"/>
        <v>2.6710984631055368E-2</v>
      </c>
      <c r="E164" s="74">
        <f t="shared" ca="1" si="15"/>
        <v>7.5646407382675696E-2</v>
      </c>
      <c r="F164" s="74">
        <f t="shared" ca="1" si="16"/>
        <v>7.5660650284974373E-2</v>
      </c>
      <c r="G164" s="13">
        <f ca="1"/>
        <v>0.9890404803102586</v>
      </c>
      <c r="H164" s="13">
        <f ca="1"/>
        <v>0.98899144867552158</v>
      </c>
      <c r="I164" s="13">
        <f ca="1"/>
        <v>0.98860409076062961</v>
      </c>
      <c r="J164" s="13">
        <f ca="1"/>
        <v>0.96637571110212583</v>
      </c>
      <c r="K164" s="13">
        <f ca="1"/>
        <v>0.96637355375523659</v>
      </c>
    </row>
    <row r="165" spans="1:11">
      <c r="A165" s="14">
        <f t="shared" ca="1" si="17"/>
        <v>43312</v>
      </c>
      <c r="B165" s="74">
        <f t="shared" ca="1" si="12"/>
        <v>2.5753060244861348E-2</v>
      </c>
      <c r="C165" s="74">
        <f t="shared" ca="1" si="13"/>
        <v>2.562829858236082E-2</v>
      </c>
      <c r="D165" s="74">
        <f t="shared" ca="1" si="14"/>
        <v>2.6723516708488382E-2</v>
      </c>
      <c r="E165" s="74">
        <f t="shared" ca="1" si="15"/>
        <v>7.5630184137036593E-2</v>
      </c>
      <c r="F165" s="74">
        <f t="shared" ca="1" si="16"/>
        <v>7.5644420893433706E-2</v>
      </c>
      <c r="G165" s="13">
        <f ca="1"/>
        <v>0.98896995875411442</v>
      </c>
      <c r="H165" s="13">
        <f ca="1"/>
        <v>0.98892122917319414</v>
      </c>
      <c r="I165" s="13">
        <f ca="1"/>
        <v>0.9885309099808185</v>
      </c>
      <c r="J165" s="13">
        <f ca="1"/>
        <v>0.96616846067094042</v>
      </c>
      <c r="K165" s="13">
        <f ca="1"/>
        <v>0.96616626430240105</v>
      </c>
    </row>
    <row r="166" spans="1:11">
      <c r="A166" s="14">
        <f t="shared" ca="1" si="17"/>
        <v>43313</v>
      </c>
      <c r="B166" s="74">
        <f t="shared" ca="1" si="12"/>
        <v>2.5765749478326994E-2</v>
      </c>
      <c r="C166" s="74">
        <f t="shared" ca="1" si="13"/>
        <v>2.5626478944393849E-2</v>
      </c>
      <c r="D166" s="74">
        <f t="shared" ca="1" si="14"/>
        <v>2.6736045668719344E-2</v>
      </c>
      <c r="E166" s="74">
        <f t="shared" ca="1" si="15"/>
        <v>7.5613964370673803E-2</v>
      </c>
      <c r="F166" s="74">
        <f t="shared" ca="1" si="16"/>
        <v>7.5628194983114461E-2</v>
      </c>
      <c r="G166" s="13">
        <f ca="1"/>
        <v>0.98889940242467644</v>
      </c>
      <c r="H166" s="13">
        <f ca="1"/>
        <v>0.98885101465653014</v>
      </c>
      <c r="I166" s="13">
        <f ca="1"/>
        <v>0.98845769486654866</v>
      </c>
      <c r="J166" s="13">
        <f ca="1"/>
        <v>0.96596125468700333</v>
      </c>
      <c r="K166" s="13">
        <f ca="1"/>
        <v>0.96595901931365191</v>
      </c>
    </row>
    <row r="167" spans="1:11">
      <c r="A167" s="14">
        <f t="shared" ca="1" si="17"/>
        <v>43314</v>
      </c>
      <c r="B167" s="74">
        <f t="shared" ca="1" si="12"/>
        <v>2.577843569217031E-2</v>
      </c>
      <c r="C167" s="74">
        <f t="shared" ca="1" si="13"/>
        <v>2.5624659435655173E-2</v>
      </c>
      <c r="D167" s="74">
        <f t="shared" ca="1" si="14"/>
        <v>2.6748571510086805E-2</v>
      </c>
      <c r="E167" s="74">
        <f t="shared" ca="1" si="15"/>
        <v>7.5597748082776861E-2</v>
      </c>
      <c r="F167" s="74">
        <f t="shared" ca="1" si="16"/>
        <v>7.5611972553246698E-2</v>
      </c>
      <c r="G167" s="13">
        <f ca="1"/>
        <v>0.98882881133021527</v>
      </c>
      <c r="H167" s="13">
        <f ca="1"/>
        <v>0.98878080512517563</v>
      </c>
      <c r="I167" s="13">
        <f ca="1"/>
        <v>0.98838444542636039</v>
      </c>
      <c r="J167" s="13">
        <f ca="1"/>
        <v>0.96575409314078231</v>
      </c>
      <c r="K167" s="13">
        <f ca="1"/>
        <v>0.9657518187794516</v>
      </c>
    </row>
    <row r="168" spans="1:11">
      <c r="A168" s="14">
        <f t="shared" ca="1" si="17"/>
        <v>43315</v>
      </c>
      <c r="B168" s="74">
        <f t="shared" ca="1" si="12"/>
        <v>2.5791118885013509E-2</v>
      </c>
      <c r="C168" s="74">
        <f t="shared" ca="1" si="13"/>
        <v>2.5622840056063745E-2</v>
      </c>
      <c r="D168" s="74">
        <f t="shared" ca="1" si="14"/>
        <v>2.6761094231456117E-2</v>
      </c>
      <c r="E168" s="74">
        <f t="shared" ca="1" si="15"/>
        <v>7.5581535272697398E-2</v>
      </c>
      <c r="F168" s="74">
        <f t="shared" ca="1" si="16"/>
        <v>7.5595753603222571E-2</v>
      </c>
      <c r="G168" s="13">
        <f ca="1"/>
        <v>0.98875818547900385</v>
      </c>
      <c r="H168" s="13">
        <f ca="1"/>
        <v>0.98871060057877658</v>
      </c>
      <c r="I168" s="13">
        <f ca="1"/>
        <v>0.98831116166879851</v>
      </c>
      <c r="J168" s="13">
        <f ca="1"/>
        <v>0.96554697602274731</v>
      </c>
      <c r="K168" s="13">
        <f ca="1"/>
        <v>0.96554466269026462</v>
      </c>
    </row>
    <row r="169" spans="1:11">
      <c r="A169" s="14">
        <f t="shared" ca="1" si="17"/>
        <v>43316</v>
      </c>
      <c r="B169" s="74">
        <f t="shared" ca="1" si="12"/>
        <v>2.5803799055154619E-2</v>
      </c>
      <c r="C169" s="74">
        <f t="shared" ca="1" si="13"/>
        <v>2.5621020805700612E-2</v>
      </c>
      <c r="D169" s="74">
        <f t="shared" ca="1" si="14"/>
        <v>2.6773613831571064E-2</v>
      </c>
      <c r="E169" s="74">
        <f t="shared" ca="1" si="15"/>
        <v>7.556532593962495E-2</v>
      </c>
      <c r="F169" s="74">
        <f t="shared" ca="1" si="16"/>
        <v>7.557953813215057E-2</v>
      </c>
      <c r="G169" s="13">
        <f ca="1"/>
        <v>0.98868752487931888</v>
      </c>
      <c r="H169" s="13">
        <f ca="1"/>
        <v>0.98864040101697914</v>
      </c>
      <c r="I169" s="13">
        <f ca="1"/>
        <v>0.98823784360241096</v>
      </c>
      <c r="J169" s="13">
        <f ca="1"/>
        <v>0.96533990332337005</v>
      </c>
      <c r="K169" s="13">
        <f ca="1"/>
        <v>0.96533755103655716</v>
      </c>
    </row>
    <row r="170" spans="1:11">
      <c r="A170" s="14">
        <f t="shared" ca="1" si="17"/>
        <v>43317</v>
      </c>
      <c r="B170" s="74">
        <f t="shared" ca="1" si="12"/>
        <v>2.5816476201702132E-2</v>
      </c>
      <c r="C170" s="74">
        <f t="shared" ca="1" si="13"/>
        <v>2.5619201684444204E-2</v>
      </c>
      <c r="D170" s="74">
        <f t="shared" ca="1" si="14"/>
        <v>2.6786130308972811E-2</v>
      </c>
      <c r="E170" s="74">
        <f t="shared" ca="1" si="15"/>
        <v>7.5549120082830101E-2</v>
      </c>
      <c r="F170" s="74">
        <f t="shared" ca="1" si="16"/>
        <v>7.5563326139301279E-2</v>
      </c>
      <c r="G170" s="13">
        <f ca="1"/>
        <v>0.98861682953944174</v>
      </c>
      <c r="H170" s="13">
        <f ca="1"/>
        <v>0.98857020643942928</v>
      </c>
      <c r="I170" s="13">
        <f ca="1"/>
        <v>0.98816449123574912</v>
      </c>
      <c r="J170" s="13">
        <f ca="1"/>
        <v>0.9651328750331245</v>
      </c>
      <c r="K170" s="13">
        <f ca="1"/>
        <v>0.96513048380879785</v>
      </c>
    </row>
    <row r="171" spans="1:11">
      <c r="A171" s="14">
        <f t="shared" ca="1" si="17"/>
        <v>43318</v>
      </c>
      <c r="B171" s="74">
        <f t="shared" ca="1" si="12"/>
        <v>2.582915032339983E-2</v>
      </c>
      <c r="C171" s="74">
        <f t="shared" ca="1" si="13"/>
        <v>2.5617382692416091E-2</v>
      </c>
      <c r="D171" s="74">
        <f t="shared" ca="1" si="14"/>
        <v>2.6798643662931942E-2</v>
      </c>
      <c r="E171" s="74">
        <f t="shared" ca="1" si="15"/>
        <v>7.5532917701583435E-2</v>
      </c>
      <c r="F171" s="74">
        <f t="shared" ca="1" si="16"/>
        <v>7.5547117624026328E-2</v>
      </c>
      <c r="G171" s="13">
        <f ca="1"/>
        <v>0.98854609946765626</v>
      </c>
      <c r="H171" s="13">
        <f ca="1"/>
        <v>0.98850001684577327</v>
      </c>
      <c r="I171" s="13">
        <f ca="1"/>
        <v>0.98809110457736837</v>
      </c>
      <c r="J171" s="13">
        <f ca="1"/>
        <v>0.96492589114248661</v>
      </c>
      <c r="K171" s="13">
        <f ca="1"/>
        <v>0.96492346099745729</v>
      </c>
    </row>
    <row r="172" spans="1:11">
      <c r="A172" s="14">
        <f t="shared" ca="1" si="17"/>
        <v>43319</v>
      </c>
      <c r="B172" s="74">
        <f t="shared" ca="1" si="12"/>
        <v>2.5841821418464694E-2</v>
      </c>
      <c r="C172" s="74">
        <f t="shared" ca="1" si="13"/>
        <v>2.5615563829494703E-2</v>
      </c>
      <c r="D172" s="74">
        <f t="shared" ca="1" si="14"/>
        <v>2.6811153891584394E-2</v>
      </c>
      <c r="E172" s="74">
        <f t="shared" ca="1" si="15"/>
        <v>7.5516718795115012E-2</v>
      </c>
      <c r="F172" s="74">
        <f t="shared" ca="1" si="16"/>
        <v>7.5530912585515253E-2</v>
      </c>
      <c r="G172" s="13">
        <f ca="1"/>
        <v>0.98847533467224968</v>
      </c>
      <c r="H172" s="13">
        <f ca="1"/>
        <v>0.98842983223565706</v>
      </c>
      <c r="I172" s="13">
        <f ca="1"/>
        <v>0.98801768363582609</v>
      </c>
      <c r="J172" s="13">
        <f ca="1"/>
        <v>0.96471895164193433</v>
      </c>
      <c r="K172" s="13">
        <f ca="1"/>
        <v>0.96471648259300791</v>
      </c>
    </row>
    <row r="173" spans="1:11">
      <c r="A173" s="14">
        <f t="shared" ca="1" si="17"/>
        <v>43320</v>
      </c>
      <c r="B173" s="74">
        <f t="shared" ca="1" si="12"/>
        <v>2.585448948604574E-2</v>
      </c>
      <c r="C173" s="74">
        <f t="shared" ca="1" si="13"/>
        <v>2.5613745095720564E-2</v>
      </c>
      <c r="D173" s="74">
        <f t="shared" ca="1" si="14"/>
        <v>2.6823660993998133E-2</v>
      </c>
      <c r="E173" s="74">
        <f t="shared" ca="1" si="15"/>
        <v>7.5500523362654892E-2</v>
      </c>
      <c r="F173" s="74">
        <f t="shared" ca="1" si="16"/>
        <v>7.5514711022998116E-2</v>
      </c>
      <c r="G173" s="13">
        <f ca="1"/>
        <v>0.98840453516151416</v>
      </c>
      <c r="H173" s="13">
        <f ca="1"/>
        <v>0.98835965260872694</v>
      </c>
      <c r="I173" s="13">
        <f ca="1"/>
        <v>0.98794422841968477</v>
      </c>
      <c r="J173" s="13">
        <f ca="1"/>
        <v>0.96451205652194771</v>
      </c>
      <c r="K173" s="13">
        <f ca="1"/>
        <v>0.9645095485859243</v>
      </c>
    </row>
    <row r="174" spans="1:11">
      <c r="A174" s="14">
        <f t="shared" ca="1" si="17"/>
        <v>43321</v>
      </c>
      <c r="B174" s="74">
        <f t="shared" ca="1" si="12"/>
        <v>2.5867154524846225E-2</v>
      </c>
      <c r="C174" s="74">
        <f t="shared" ca="1" si="13"/>
        <v>2.5611926491134196E-2</v>
      </c>
      <c r="D174" s="74">
        <f t="shared" ca="1" si="14"/>
        <v>2.6836164968714327E-2</v>
      </c>
      <c r="E174" s="74">
        <f t="shared" ca="1" si="15"/>
        <v>7.5484331403514182E-2</v>
      </c>
      <c r="F174" s="74">
        <f t="shared" ca="1" si="16"/>
        <v>7.5498512935745499E-2</v>
      </c>
      <c r="G174" s="13">
        <f ca="1"/>
        <v>0.98833370094374418</v>
      </c>
      <c r="H174" s="13">
        <f ca="1"/>
        <v>0.98828947796462907</v>
      </c>
      <c r="I174" s="13">
        <f ca="1"/>
        <v>0.98787073893750943</v>
      </c>
      <c r="J174" s="13">
        <f ca="1"/>
        <v>0.96430520577300893</v>
      </c>
      <c r="K174" s="13">
        <f ca="1"/>
        <v>0.96430265896668321</v>
      </c>
    </row>
    <row r="175" spans="1:11">
      <c r="A175" s="14">
        <f t="shared" ca="1" si="17"/>
        <v>43322</v>
      </c>
      <c r="B175" s="74">
        <f t="shared" ca="1" si="12"/>
        <v>2.5879816533083133E-2</v>
      </c>
      <c r="C175" s="74">
        <f t="shared" ca="1" si="13"/>
        <v>2.5610108015573507E-2</v>
      </c>
      <c r="D175" s="74">
        <f t="shared" ca="1" si="14"/>
        <v>2.6848665814557804E-2</v>
      </c>
      <c r="E175" s="74">
        <f t="shared" ca="1" si="15"/>
        <v>7.5468142916963465E-2</v>
      </c>
      <c r="F175" s="74">
        <f t="shared" ca="1" si="16"/>
        <v>7.5482318323027986E-2</v>
      </c>
      <c r="G175" s="13">
        <f ca="1"/>
        <v>0.98826283202723775</v>
      </c>
      <c r="H175" s="13">
        <f ca="1"/>
        <v>0.98821930830300952</v>
      </c>
      <c r="I175" s="13">
        <f ca="1"/>
        <v>0.98779721519786912</v>
      </c>
      <c r="J175" s="13">
        <f ca="1"/>
        <v>0.96409839938560205</v>
      </c>
      <c r="K175" s="13">
        <f ca="1"/>
        <v>0.96409581372576336</v>
      </c>
    </row>
    <row r="176" spans="1:11">
      <c r="A176" s="14">
        <f t="shared" ca="1" si="17"/>
        <v>43323</v>
      </c>
      <c r="B176" s="74">
        <f t="shared" ca="1" si="12"/>
        <v>2.5892475509905477E-2</v>
      </c>
      <c r="C176" s="74">
        <f t="shared" ca="1" si="13"/>
        <v>2.5608289669160067E-2</v>
      </c>
      <c r="D176" s="74">
        <f t="shared" ca="1" si="14"/>
        <v>2.6861163530191301E-2</v>
      </c>
      <c r="E176" s="74">
        <f t="shared" ca="1" si="15"/>
        <v>7.5451957902192279E-2</v>
      </c>
      <c r="F176" s="74">
        <f t="shared" ca="1" si="16"/>
        <v>7.5466127184075638E-2</v>
      </c>
      <c r="G176" s="13">
        <f ca="1"/>
        <v>0.98819192842029779</v>
      </c>
      <c r="H176" s="13">
        <f ca="1"/>
        <v>0.9881491436235148</v>
      </c>
      <c r="I176" s="13">
        <f ca="1"/>
        <v>0.98772365720933608</v>
      </c>
      <c r="J176" s="13">
        <f ca="1"/>
        <v>0.9638916373502131</v>
      </c>
      <c r="K176" s="13">
        <f ca="1"/>
        <v>0.96388901285364548</v>
      </c>
    </row>
    <row r="177" spans="1:11">
      <c r="A177" s="14">
        <f t="shared" ca="1" si="17"/>
        <v>43324</v>
      </c>
      <c r="B177" s="74">
        <f t="shared" ca="1" si="12"/>
        <v>2.5905131454097563E-2</v>
      </c>
      <c r="C177" s="74">
        <f t="shared" ca="1" si="13"/>
        <v>2.5606471451893875E-2</v>
      </c>
      <c r="D177" s="74">
        <f t="shared" ca="1" si="14"/>
        <v>2.6873658114642263E-2</v>
      </c>
      <c r="E177" s="74">
        <f t="shared" ca="1" si="15"/>
        <v>7.5435776358430684E-2</v>
      </c>
      <c r="F177" s="74">
        <f t="shared" ca="1" si="16"/>
        <v>7.5449939518240083E-2</v>
      </c>
      <c r="G177" s="13">
        <f ca="1"/>
        <v>0.98812099013122956</v>
      </c>
      <c r="H177" s="13">
        <f ca="1"/>
        <v>0.98807898392579108</v>
      </c>
      <c r="I177" s="13">
        <f ca="1"/>
        <v>0.98765006498048624</v>
      </c>
      <c r="J177" s="13">
        <f ca="1"/>
        <v>0.96368491965733039</v>
      </c>
      <c r="K177" s="13">
        <f ca="1"/>
        <v>0.96368225634081239</v>
      </c>
    </row>
    <row r="178" spans="1:11">
      <c r="A178" s="14">
        <f t="shared" ca="1" si="17"/>
        <v>43325</v>
      </c>
      <c r="B178" s="74">
        <f t="shared" ca="1" si="12"/>
        <v>2.5917784363754803E-2</v>
      </c>
      <c r="C178" s="74">
        <f t="shared" ca="1" si="13"/>
        <v>2.5604653363693886E-2</v>
      </c>
      <c r="D178" s="74">
        <f t="shared" ca="1" si="14"/>
        <v>2.6886149566289763E-2</v>
      </c>
      <c r="E178" s="74">
        <f t="shared" ca="1" si="15"/>
        <v>7.5419598285111356E-2</v>
      </c>
      <c r="F178" s="74">
        <f t="shared" ca="1" si="16"/>
        <v>7.5433755324629814E-2</v>
      </c>
      <c r="G178" s="13">
        <f ca="1"/>
        <v>0.98805001716834162</v>
      </c>
      <c r="H178" s="13">
        <f ca="1"/>
        <v>0.98800882920948452</v>
      </c>
      <c r="I178" s="13">
        <f ca="1"/>
        <v>0.98757643851989818</v>
      </c>
      <c r="J178" s="13">
        <f ca="1"/>
        <v>0.96347824629744427</v>
      </c>
      <c r="K178" s="13">
        <f ca="1"/>
        <v>0.96347554417774872</v>
      </c>
    </row>
    <row r="179" spans="1:11">
      <c r="A179" s="14">
        <f t="shared" ca="1" si="17"/>
        <v>43326</v>
      </c>
      <c r="B179" s="74">
        <f t="shared" ca="1" si="12"/>
        <v>2.5930434238350397E-2</v>
      </c>
      <c r="C179" s="74">
        <f t="shared" ca="1" si="13"/>
        <v>2.5602835404600621E-2</v>
      </c>
      <c r="D179" s="74">
        <f t="shared" ca="1" si="14"/>
        <v>2.6898637884039678E-2</v>
      </c>
      <c r="E179" s="74">
        <f t="shared" ca="1" si="15"/>
        <v>7.5403423681261739E-2</v>
      </c>
      <c r="F179" s="74">
        <f t="shared" ca="1" si="16"/>
        <v>7.5417574602555937E-2</v>
      </c>
      <c r="G179" s="13">
        <f ca="1"/>
        <v>0.98797900953994777</v>
      </c>
      <c r="H179" s="13">
        <f ca="1"/>
        <v>0.98793867947424152</v>
      </c>
      <c r="I179" s="13">
        <f ca="1"/>
        <v>0.98750277783615492</v>
      </c>
      <c r="J179" s="13">
        <f ca="1"/>
        <v>0.96327161726104671</v>
      </c>
      <c r="K179" s="13">
        <f ca="1"/>
        <v>0.96326887635494152</v>
      </c>
    </row>
    <row r="180" spans="1:11">
      <c r="A180" s="14">
        <f t="shared" ca="1" si="17"/>
        <v>43327</v>
      </c>
      <c r="B180" s="74">
        <f t="shared" ca="1" si="12"/>
        <v>2.5943081075817664E-2</v>
      </c>
      <c r="C180" s="74">
        <f t="shared" ca="1" si="13"/>
        <v>2.5601017574533036E-2</v>
      </c>
      <c r="D180" s="74">
        <f t="shared" ca="1" si="14"/>
        <v>2.691112306651422E-2</v>
      </c>
      <c r="E180" s="74">
        <f t="shared" ca="1" si="15"/>
        <v>7.5387252546273986E-2</v>
      </c>
      <c r="F180" s="74">
        <f t="shared" ca="1" si="16"/>
        <v>7.5401397351370081E-2</v>
      </c>
      <c r="G180" s="13">
        <f ca="1"/>
        <v>0.98790796725436325</v>
      </c>
      <c r="H180" s="13">
        <f ca="1"/>
        <v>0.98786853471970837</v>
      </c>
      <c r="I180" s="13">
        <f ca="1"/>
        <v>0.98742908293784248</v>
      </c>
      <c r="J180" s="13">
        <f ca="1"/>
        <v>0.96306503253863229</v>
      </c>
      <c r="K180" s="13">
        <f ca="1"/>
        <v>0.96306225286287972</v>
      </c>
    </row>
    <row r="181" spans="1:11">
      <c r="A181" s="14">
        <f t="shared" ca="1" si="17"/>
        <v>43328</v>
      </c>
      <c r="B181" s="74">
        <f t="shared" ca="1" si="12"/>
        <v>2.5955724875427189E-2</v>
      </c>
      <c r="C181" s="74">
        <f t="shared" ca="1" si="13"/>
        <v>2.5599199873572176E-2</v>
      </c>
      <c r="D181" s="74">
        <f t="shared" ca="1" si="14"/>
        <v>2.6923605112619264E-2</v>
      </c>
      <c r="E181" s="74">
        <f t="shared" ca="1" si="15"/>
        <v>7.5371084879378158E-2</v>
      </c>
      <c r="F181" s="74">
        <f t="shared" ca="1" si="16"/>
        <v>7.5385223570140214E-2</v>
      </c>
      <c r="G181" s="13">
        <f ca="1"/>
        <v>0.98783689031990896</v>
      </c>
      <c r="H181" s="13">
        <f ca="1"/>
        <v>0.98779839494553157</v>
      </c>
      <c r="I181" s="13">
        <f ca="1"/>
        <v>0.98735535383355066</v>
      </c>
      <c r="J181" s="13">
        <f ca="1"/>
        <v>0.9628584921206973</v>
      </c>
      <c r="K181" s="13">
        <f ca="1"/>
        <v>0.96285567369205405</v>
      </c>
    </row>
    <row r="182" spans="1:11">
      <c r="A182" s="14">
        <f t="shared" ca="1" si="17"/>
        <v>43329</v>
      </c>
      <c r="B182" s="74">
        <f t="shared" ca="1" si="12"/>
        <v>2.5968365635801183E-2</v>
      </c>
      <c r="C182" s="74">
        <f t="shared" ca="1" si="13"/>
        <v>2.5597382301677518E-2</v>
      </c>
      <c r="D182" s="74">
        <f t="shared" ca="1" si="14"/>
        <v>2.6936084020774409E-2</v>
      </c>
      <c r="E182" s="74">
        <f t="shared" ca="1" si="15"/>
        <v>7.5354920679804316E-2</v>
      </c>
      <c r="F182" s="74">
        <f t="shared" ca="1" si="16"/>
        <v>7.5369053258299012E-2</v>
      </c>
      <c r="G182" s="13">
        <f ca="1"/>
        <v>0.98776577874490779</v>
      </c>
      <c r="H182" s="13">
        <f ca="1"/>
        <v>0.9877282601513574</v>
      </c>
      <c r="I182" s="13">
        <f ca="1"/>
        <v>0.98728159053187226</v>
      </c>
      <c r="J182" s="13">
        <f ca="1"/>
        <v>0.9626519959977401</v>
      </c>
      <c r="K182" s="13">
        <f ca="1"/>
        <v>0.96264913883295777</v>
      </c>
    </row>
    <row r="183" spans="1:11">
      <c r="A183" s="14">
        <f t="shared" ca="1" si="17"/>
        <v>43330</v>
      </c>
      <c r="B183" s="74">
        <f t="shared" ca="1" si="12"/>
        <v>2.5981003355278198E-2</v>
      </c>
      <c r="C183" s="74">
        <f t="shared" ca="1" si="13"/>
        <v>2.5595564858808539E-2</v>
      </c>
      <c r="D183" s="74">
        <f t="shared" ca="1" si="14"/>
        <v>2.694855979029076E-2</v>
      </c>
      <c r="E183" s="74">
        <f t="shared" ca="1" si="15"/>
        <v>7.5338759946863565E-2</v>
      </c>
      <c r="F183" s="74">
        <f t="shared" ca="1" si="16"/>
        <v>7.5352886414954967E-2</v>
      </c>
      <c r="G183" s="13">
        <f ca="1"/>
        <v>0.98769463253768641</v>
      </c>
      <c r="H183" s="13">
        <f ca="1"/>
        <v>0.98765813033683225</v>
      </c>
      <c r="I183" s="13">
        <f ca="1"/>
        <v>0.98720779304140438</v>
      </c>
      <c r="J183" s="13">
        <f ca="1"/>
        <v>0.96244554416026118</v>
      </c>
      <c r="K183" s="13">
        <f ca="1"/>
        <v>0.96244264827608572</v>
      </c>
    </row>
    <row r="184" spans="1:11">
      <c r="A184" s="14">
        <f t="shared" ca="1" si="17"/>
        <v>43331</v>
      </c>
      <c r="B184" s="74">
        <f t="shared" ca="1" si="12"/>
        <v>2.5993638032966726E-2</v>
      </c>
      <c r="C184" s="74">
        <f t="shared" ca="1" si="13"/>
        <v>2.559374754496524E-2</v>
      </c>
      <c r="D184" s="74">
        <f t="shared" ca="1" si="14"/>
        <v>2.69610324193853E-2</v>
      </c>
      <c r="E184" s="74">
        <f t="shared" ca="1" si="15"/>
        <v>7.5322602679785966E-2</v>
      </c>
      <c r="F184" s="74">
        <f t="shared" ca="1" si="16"/>
        <v>7.5336723039540754E-2</v>
      </c>
      <c r="G184" s="13">
        <f ca="1"/>
        <v>0.98762345170657606</v>
      </c>
      <c r="H184" s="13">
        <f ca="1"/>
        <v>0.98758800550160264</v>
      </c>
      <c r="I184" s="13">
        <f ca="1"/>
        <v>0.98713396137074605</v>
      </c>
      <c r="J184" s="13">
        <f ca="1"/>
        <v>0.96223913659876292</v>
      </c>
      <c r="K184" s="13">
        <f ca="1"/>
        <v>0.96223620201193516</v>
      </c>
    </row>
    <row r="185" spans="1:11">
      <c r="A185" s="14">
        <f t="shared" ca="1" si="17"/>
        <v>43332</v>
      </c>
      <c r="B185" s="74">
        <f t="shared" ca="1" si="12"/>
        <v>2.6006269667488979E-2</v>
      </c>
      <c r="C185" s="74">
        <f t="shared" ca="1" si="13"/>
        <v>2.5591930360228665E-2</v>
      </c>
      <c r="D185" s="74">
        <f t="shared" ca="1" si="14"/>
        <v>2.6973501906963904E-2</v>
      </c>
      <c r="E185" s="74">
        <f t="shared" ca="1" si="15"/>
        <v>7.5306448877761056E-2</v>
      </c>
      <c r="F185" s="74">
        <f t="shared" ca="1" si="16"/>
        <v>7.5320563131124341E-2</v>
      </c>
      <c r="G185" s="13">
        <f ca="1"/>
        <v>0.9875522362599104</v>
      </c>
      <c r="H185" s="13">
        <f ca="1"/>
        <v>0.98751788564531506</v>
      </c>
      <c r="I185" s="13">
        <f ca="1"/>
        <v>0.98706009552850116</v>
      </c>
      <c r="J185" s="13">
        <f ca="1"/>
        <v>0.96203277330374981</v>
      </c>
      <c r="K185" s="13">
        <f ca="1"/>
        <v>0.96202980003100491</v>
      </c>
    </row>
    <row r="186" spans="1:11">
      <c r="A186" s="14">
        <f t="shared" ca="1" si="17"/>
        <v>43333</v>
      </c>
      <c r="B186" s="74">
        <f t="shared" ca="1" si="12"/>
        <v>2.6018898257264556E-2</v>
      </c>
      <c r="C186" s="74">
        <f t="shared" ca="1" si="13"/>
        <v>2.5590113304436723E-2</v>
      </c>
      <c r="D186" s="74">
        <f t="shared" ca="1" si="14"/>
        <v>2.6985968251810877E-2</v>
      </c>
      <c r="E186" s="74">
        <f t="shared" ca="1" si="15"/>
        <v>7.5290298540140466E-2</v>
      </c>
      <c r="F186" s="74">
        <f t="shared" ca="1" si="16"/>
        <v>7.5304406689057357E-2</v>
      </c>
      <c r="G186" s="13">
        <f ca="1"/>
        <v>0.98748098620602687</v>
      </c>
      <c r="H186" s="13">
        <f ca="1"/>
        <v>0.98744777076761581</v>
      </c>
      <c r="I186" s="13">
        <f ca="1"/>
        <v>0.9869861955232766</v>
      </c>
      <c r="J186" s="13">
        <f ca="1"/>
        <v>0.96182645426572855</v>
      </c>
      <c r="K186" s="13">
        <f ca="1"/>
        <v>0.96182344232379635</v>
      </c>
    </row>
    <row r="187" spans="1:11">
      <c r="A187" s="14">
        <f t="shared" ca="1" si="17"/>
        <v>43334</v>
      </c>
      <c r="B187" s="74">
        <f t="shared" ca="1" si="12"/>
        <v>2.6031523801239853E-2</v>
      </c>
      <c r="C187" s="74">
        <f t="shared" ca="1" si="13"/>
        <v>2.5588296377670461E-2</v>
      </c>
      <c r="D187" s="74">
        <f t="shared" ca="1" si="14"/>
        <v>2.6998431452426863E-2</v>
      </c>
      <c r="E187" s="74">
        <f t="shared" ca="1" si="15"/>
        <v>7.5274151666194777E-2</v>
      </c>
      <c r="F187" s="74">
        <f t="shared" ca="1" si="16"/>
        <v>7.528825371265091E-2</v>
      </c>
      <c r="G187" s="13">
        <f ca="1"/>
        <v>0.98740970155326724</v>
      </c>
      <c r="H187" s="13">
        <f ca="1"/>
        <v>0.9873776608681516</v>
      </c>
      <c r="I187" s="13">
        <f ca="1"/>
        <v>0.9869122613636826</v>
      </c>
      <c r="J187" s="13">
        <f ca="1"/>
        <v>0.96162017947520761</v>
      </c>
      <c r="K187" s="13">
        <f ca="1"/>
        <v>0.96161712888081263</v>
      </c>
    </row>
    <row r="188" spans="1:11">
      <c r="A188" s="14">
        <f t="shared" ca="1" si="17"/>
        <v>43335</v>
      </c>
      <c r="B188" s="74">
        <f t="shared" ca="1" si="12"/>
        <v>2.604414629836127E-2</v>
      </c>
      <c r="C188" s="74">
        <f t="shared" ca="1" si="13"/>
        <v>2.5586479579929877E-2</v>
      </c>
      <c r="D188" s="74">
        <f t="shared" ca="1" si="14"/>
        <v>2.7010891508122969E-2</v>
      </c>
      <c r="E188" s="74">
        <f t="shared" ca="1" si="15"/>
        <v>7.5258008255032482E-2</v>
      </c>
      <c r="F188" s="74">
        <f t="shared" ca="1" si="16"/>
        <v>7.527210420101349E-2</v>
      </c>
      <c r="G188" s="13">
        <f ca="1"/>
        <v>0.98733838230997617</v>
      </c>
      <c r="H188" s="13">
        <f ca="1"/>
        <v>0.98730755594656894</v>
      </c>
      <c r="I188" s="13">
        <f ca="1"/>
        <v>0.98683829305833348</v>
      </c>
      <c r="J188" s="13">
        <f ca="1"/>
        <v>0.96141394892269749</v>
      </c>
      <c r="K188" s="13">
        <f ca="1"/>
        <v>0.96141085969255879</v>
      </c>
    </row>
    <row r="189" spans="1:11">
      <c r="A189" s="14">
        <f t="shared" ca="1" si="17"/>
        <v>43336</v>
      </c>
      <c r="B189" s="74">
        <f t="shared" ca="1" si="12"/>
        <v>2.6056765746683697E-2</v>
      </c>
      <c r="C189" s="74">
        <f t="shared" ca="1" si="13"/>
        <v>2.5584662911174449E-2</v>
      </c>
      <c r="D189" s="74">
        <f t="shared" ca="1" si="14"/>
        <v>2.7023348417075654E-2</v>
      </c>
      <c r="E189" s="74">
        <f t="shared" ca="1" si="15"/>
        <v>7.5241868306086257E-2</v>
      </c>
      <c r="F189" s="74">
        <f t="shared" ca="1" si="16"/>
        <v>7.525595815353725E-2</v>
      </c>
      <c r="G189" s="13">
        <f ca="1"/>
        <v>0.98726702848450121</v>
      </c>
      <c r="H189" s="13">
        <f ca="1"/>
        <v>0.98723745600251434</v>
      </c>
      <c r="I189" s="13">
        <f ca="1"/>
        <v>0.98676429061584547</v>
      </c>
      <c r="J189" s="13">
        <f ca="1"/>
        <v>0.9612077625987111</v>
      </c>
      <c r="K189" s="13">
        <f ca="1"/>
        <v>0.96120463474954232</v>
      </c>
    </row>
    <row r="190" spans="1:11">
      <c r="A190" s="14">
        <f t="shared" ca="1" si="17"/>
        <v>43337</v>
      </c>
      <c r="B190" s="74">
        <f t="shared" ca="1" si="12"/>
        <v>2.6069382145437192E-2</v>
      </c>
      <c r="C190" s="74">
        <f t="shared" ca="1" si="13"/>
        <v>2.5582846371444701E-2</v>
      </c>
      <c r="D190" s="74">
        <f t="shared" ca="1" si="14"/>
        <v>2.7035802178231316E-2</v>
      </c>
      <c r="E190" s="74">
        <f t="shared" ca="1" si="15"/>
        <v>7.5225731818545638E-2</v>
      </c>
      <c r="F190" s="74">
        <f t="shared" ca="1" si="16"/>
        <v>7.5239815569411728E-2</v>
      </c>
      <c r="G190" s="13">
        <f ca="1"/>
        <v>0.98719564008519523</v>
      </c>
      <c r="H190" s="13">
        <f ca="1"/>
        <v>0.98716736103563441</v>
      </c>
      <c r="I190" s="13">
        <f ca="1"/>
        <v>0.98669025404483979</v>
      </c>
      <c r="J190" s="13">
        <f ca="1"/>
        <v>0.96100162049376292</v>
      </c>
      <c r="K190" s="13">
        <f ca="1"/>
        <v>0.96099845404227235</v>
      </c>
    </row>
    <row r="191" spans="1:11">
      <c r="A191" s="14">
        <f t="shared" ca="1" si="17"/>
        <v>43338</v>
      </c>
      <c r="B191" s="74">
        <f t="shared" ca="1" si="12"/>
        <v>2.6081995493325016E-2</v>
      </c>
      <c r="C191" s="74">
        <f t="shared" ca="1" si="13"/>
        <v>2.5581029960619062E-2</v>
      </c>
      <c r="D191" s="74">
        <f t="shared" ca="1" si="14"/>
        <v>2.7048252790333738E-2</v>
      </c>
      <c r="E191" s="74">
        <f t="shared" ca="1" si="15"/>
        <v>7.5209598791600163E-2</v>
      </c>
      <c r="F191" s="74">
        <f t="shared" ca="1" si="16"/>
        <v>7.5223676447866983E-2</v>
      </c>
      <c r="G191" s="13">
        <f ca="1"/>
        <v>0.98712421712041321</v>
      </c>
      <c r="H191" s="13">
        <f ca="1"/>
        <v>0.98709727104557565</v>
      </c>
      <c r="I191" s="13">
        <f ca="1"/>
        <v>0.98661618335394052</v>
      </c>
      <c r="J191" s="13">
        <f ca="1"/>
        <v>0.96079552259836964</v>
      </c>
      <c r="K191" s="13">
        <f ca="1"/>
        <v>0.96079231756126027</v>
      </c>
    </row>
    <row r="192" spans="1:11">
      <c r="A192" s="14">
        <f t="shared" ca="1" si="17"/>
        <v>43339</v>
      </c>
      <c r="B192" s="74">
        <f t="shared" ca="1" si="12"/>
        <v>2.6094605788645198E-2</v>
      </c>
      <c r="C192" s="74">
        <f t="shared" ca="1" si="13"/>
        <v>2.5579213678778578E-2</v>
      </c>
      <c r="D192" s="74">
        <f t="shared" ca="1" si="14"/>
        <v>2.7060700252126701E-2</v>
      </c>
      <c r="E192" s="74">
        <f t="shared" ca="1" si="15"/>
        <v>7.5193469224601461E-2</v>
      </c>
      <c r="F192" s="74">
        <f t="shared" ca="1" si="16"/>
        <v>7.5207540788295169E-2</v>
      </c>
      <c r="G192" s="13">
        <f ca="1"/>
        <v>0.98705275959851368</v>
      </c>
      <c r="H192" s="13">
        <f ca="1"/>
        <v>0.98702718603198492</v>
      </c>
      <c r="I192" s="13">
        <f ca="1"/>
        <v>0.98654207855177523</v>
      </c>
      <c r="J192" s="13">
        <f ca="1"/>
        <v>0.96058946890305019</v>
      </c>
      <c r="K192" s="13">
        <f ca="1"/>
        <v>0.96058622529701954</v>
      </c>
    </row>
    <row r="193" spans="1:11">
      <c r="A193" s="14">
        <f t="shared" ca="1" si="17"/>
        <v>43340</v>
      </c>
      <c r="B193" s="74">
        <f t="shared" ca="1" si="12"/>
        <v>2.6107213030465704E-2</v>
      </c>
      <c r="C193" s="74">
        <f t="shared" ca="1" si="13"/>
        <v>2.5577397525923251E-2</v>
      </c>
      <c r="D193" s="74">
        <f t="shared" ca="1" si="14"/>
        <v>2.7073144562191898E-2</v>
      </c>
      <c r="E193" s="74">
        <f t="shared" ca="1" si="15"/>
        <v>7.5177343116779594E-2</v>
      </c>
      <c r="F193" s="74">
        <f t="shared" ca="1" si="16"/>
        <v>7.5191408589804776E-2</v>
      </c>
      <c r="G193" s="13">
        <f ca="1"/>
        <v>0.98698126752785986</v>
      </c>
      <c r="H193" s="13">
        <f ca="1"/>
        <v>0.98695710599450881</v>
      </c>
      <c r="I193" s="13">
        <f ca="1"/>
        <v>0.98646793964697488</v>
      </c>
      <c r="J193" s="13">
        <f ca="1"/>
        <v>0.96038345939832526</v>
      </c>
      <c r="K193" s="13">
        <f ca="1"/>
        <v>0.9603801772400653</v>
      </c>
    </row>
    <row r="194" spans="1:11">
      <c r="A194" s="14">
        <f t="shared" ca="1" si="17"/>
        <v>43341</v>
      </c>
      <c r="B194" s="74">
        <f t="shared" ref="B194:B257" ca="1" si="18">(G194-G195)/($A195-$A194)*365</f>
        <v>2.611981721757084E-2</v>
      </c>
      <c r="C194" s="74">
        <f t="shared" ref="C194:C257" ca="1" si="19">(H194-H195)/($A195-$A194)*365</f>
        <v>2.5575581502012557E-2</v>
      </c>
      <c r="D194" s="74">
        <f t="shared" ref="D194:D257" ca="1" si="20">(I194-I195)/($A195-$A194)*365</f>
        <v>2.7085585719759386E-2</v>
      </c>
      <c r="E194" s="74">
        <f t="shared" ref="E194:E257" ca="1" si="21">(J194-J195)/($A195-$A194)*365</f>
        <v>7.516122046736462E-2</v>
      </c>
      <c r="F194" s="74">
        <f t="shared" ref="F194:F257" ca="1" si="22">(K194-K195)/($A195-$A194)*365</f>
        <v>7.5175279851706911E-2</v>
      </c>
      <c r="G194" s="13">
        <f ca="1"/>
        <v>0.98690974091681749</v>
      </c>
      <c r="H194" s="13">
        <f ca="1"/>
        <v>0.98688703093279395</v>
      </c>
      <c r="I194" s="13">
        <f ca="1"/>
        <v>0.98639376664817435</v>
      </c>
      <c r="J194" s="13">
        <f ca="1"/>
        <v>0.96017749407471764</v>
      </c>
      <c r="K194" s="13">
        <f ca="1"/>
        <v>0.96017417338091515</v>
      </c>
    </row>
    <row r="195" spans="1:11">
      <c r="A195" s="14">
        <f t="shared" ca="1" si="17"/>
        <v>43342</v>
      </c>
      <c r="B195" s="74">
        <f t="shared" ca="1" si="18"/>
        <v>2.6132418348177588E-2</v>
      </c>
      <c r="C195" s="74">
        <f t="shared" ca="1" si="19"/>
        <v>2.5573765607046495E-2</v>
      </c>
      <c r="D195" s="74">
        <f t="shared" ca="1" si="20"/>
        <v>2.709802372304615E-2</v>
      </c>
      <c r="E195" s="74">
        <f t="shared" ca="1" si="21"/>
        <v>7.5145101275667647E-2</v>
      </c>
      <c r="F195" s="74">
        <f t="shared" ca="1" si="22"/>
        <v>7.5159154573272158E-2</v>
      </c>
      <c r="G195" s="13">
        <f ca="1"/>
        <v>0.98683817977375565</v>
      </c>
      <c r="H195" s="13">
        <f ca="1"/>
        <v>0.98681696084648707</v>
      </c>
      <c r="I195" s="13">
        <f ca="1"/>
        <v>0.98631955956401063</v>
      </c>
      <c r="J195" s="13">
        <f ca="1"/>
        <v>0.95997157292275226</v>
      </c>
      <c r="K195" s="13">
        <f ca="1"/>
        <v>0.95996821371008856</v>
      </c>
    </row>
    <row r="196" spans="1:11">
      <c r="A196" s="14">
        <f t="shared" ref="A196:A259" ca="1" si="23">A195+1</f>
        <v>43343</v>
      </c>
      <c r="B196" s="74">
        <f t="shared" ca="1" si="18"/>
        <v>2.6145016421475487E-2</v>
      </c>
      <c r="C196" s="74">
        <f t="shared" ca="1" si="19"/>
        <v>2.5571949840984542E-2</v>
      </c>
      <c r="D196" s="74">
        <f t="shared" ca="1" si="20"/>
        <v>2.7110458571079632E-2</v>
      </c>
      <c r="E196" s="74">
        <f t="shared" ca="1" si="21"/>
        <v>7.5128985540918736E-2</v>
      </c>
      <c r="F196" s="74">
        <f t="shared" ca="1" si="22"/>
        <v>7.51430327537711E-2</v>
      </c>
      <c r="G196" s="13">
        <f ca="1"/>
        <v>0.98676658410704832</v>
      </c>
      <c r="H196" s="13">
        <f ca="1"/>
        <v>0.98674689573523489</v>
      </c>
      <c r="I196" s="13">
        <f ca="1"/>
        <v>0.98624531840312557</v>
      </c>
      <c r="J196" s="13">
        <f ca="1"/>
        <v>0.95976569593295591</v>
      </c>
      <c r="K196" s="13">
        <f ca="1"/>
        <v>0.95976229821810699</v>
      </c>
    </row>
    <row r="197" spans="1:11">
      <c r="A197" s="14">
        <f t="shared" ca="1" si="23"/>
        <v>43344</v>
      </c>
      <c r="B197" s="74">
        <f t="shared" ca="1" si="18"/>
        <v>2.6157611436167794E-2</v>
      </c>
      <c r="C197" s="74">
        <f t="shared" ca="1" si="19"/>
        <v>2.5570134203867223E-2</v>
      </c>
      <c r="D197" s="74">
        <f t="shared" ca="1" si="20"/>
        <v>2.7122890262401E-2</v>
      </c>
      <c r="E197" s="74">
        <f t="shared" ca="1" si="21"/>
        <v>7.5112873262347946E-2</v>
      </c>
      <c r="F197" s="74">
        <f t="shared" ca="1" si="22"/>
        <v>7.5126914392393274E-2</v>
      </c>
      <c r="G197" s="13">
        <f ca="1"/>
        <v>0.98669495392507167</v>
      </c>
      <c r="H197" s="13">
        <f ca="1"/>
        <v>0.98667683559868424</v>
      </c>
      <c r="I197" s="13">
        <f ca="1"/>
        <v>0.98617104317416371</v>
      </c>
      <c r="J197" s="13">
        <f ca="1"/>
        <v>0.9595598630958575</v>
      </c>
      <c r="K197" s="13">
        <f ca="1"/>
        <v>0.95955642689549392</v>
      </c>
    </row>
    <row r="198" spans="1:11">
      <c r="A198" s="14">
        <f t="shared" ca="1" si="23"/>
        <v>43345</v>
      </c>
      <c r="B198" s="74">
        <f t="shared" ca="1" si="18"/>
        <v>2.6170203390512015E-2</v>
      </c>
      <c r="C198" s="74">
        <f t="shared" ca="1" si="19"/>
        <v>2.5568318695654013E-2</v>
      </c>
      <c r="D198" s="74">
        <f t="shared" ca="1" si="20"/>
        <v>2.7135318795997176E-2</v>
      </c>
      <c r="E198" s="74">
        <f t="shared" ca="1" si="21"/>
        <v>7.5096764439266384E-2</v>
      </c>
      <c r="F198" s="74">
        <f t="shared" ca="1" si="22"/>
        <v>7.5110799488449786E-2</v>
      </c>
      <c r="G198" s="13">
        <f ca="1"/>
        <v>0.98662328923620546</v>
      </c>
      <c r="H198" s="13">
        <f ca="1"/>
        <v>0.98660678043648187</v>
      </c>
      <c r="I198" s="13">
        <f ca="1"/>
        <v>0.98609673388577357</v>
      </c>
      <c r="J198" s="13">
        <f ca="1"/>
        <v>0.95935407440198806</v>
      </c>
      <c r="K198" s="13">
        <f ca="1"/>
        <v>0.95935059973277503</v>
      </c>
    </row>
    <row r="199" spans="1:11">
      <c r="A199" s="14">
        <f t="shared" ca="1" si="23"/>
        <v>43346</v>
      </c>
      <c r="B199" s="74">
        <f t="shared" ca="1" si="18"/>
        <v>2.618279228361664E-2</v>
      </c>
      <c r="C199" s="74">
        <f t="shared" ca="1" si="19"/>
        <v>2.5566503316344913E-2</v>
      </c>
      <c r="D199" s="74">
        <f t="shared" ca="1" si="20"/>
        <v>2.7147744170287758E-2</v>
      </c>
      <c r="E199" s="74">
        <f t="shared" ca="1" si="21"/>
        <v>7.508065907090411E-2</v>
      </c>
      <c r="F199" s="74">
        <f t="shared" ca="1" si="22"/>
        <v>7.5094688041211222E-2</v>
      </c>
      <c r="G199" s="13">
        <f ca="1"/>
        <v>0.98655159004883419</v>
      </c>
      <c r="H199" s="13">
        <f ca="1"/>
        <v>0.9865367302482746</v>
      </c>
      <c r="I199" s="13">
        <f ca="1"/>
        <v>0.98602239054660645</v>
      </c>
      <c r="J199" s="13">
        <f ca="1"/>
        <v>0.95914832984188048</v>
      </c>
      <c r="K199" s="13">
        <f ca="1"/>
        <v>0.95914481672047791</v>
      </c>
    </row>
    <row r="200" spans="1:11">
      <c r="A200" s="14">
        <f t="shared" ca="1" si="23"/>
        <v>43347</v>
      </c>
      <c r="B200" s="74">
        <f t="shared" ca="1" si="18"/>
        <v>2.6195378114265977E-2</v>
      </c>
      <c r="C200" s="74">
        <f t="shared" ca="1" si="19"/>
        <v>2.5564688065899399E-2</v>
      </c>
      <c r="D200" s="74">
        <f t="shared" ca="1" si="20"/>
        <v>2.7160166384543327E-2</v>
      </c>
      <c r="E200" s="74">
        <f t="shared" ca="1" si="21"/>
        <v>7.5064557156491185E-2</v>
      </c>
      <c r="F200" s="74">
        <f t="shared" ca="1" si="22"/>
        <v>7.5078580049948163E-2</v>
      </c>
      <c r="G200" s="13">
        <f ca="1"/>
        <v>0.98647985637134483</v>
      </c>
      <c r="H200" s="13">
        <f ca="1"/>
        <v>0.98646668503370927</v>
      </c>
      <c r="I200" s="13">
        <f ca="1"/>
        <v>0.98594801316531799</v>
      </c>
      <c r="J200" s="13">
        <f ca="1"/>
        <v>0.95894262940606978</v>
      </c>
      <c r="K200" s="13">
        <f ca="1"/>
        <v>0.95893907784913213</v>
      </c>
    </row>
    <row r="201" spans="1:11">
      <c r="A201" s="14">
        <f t="shared" ca="1" si="23"/>
        <v>43348</v>
      </c>
      <c r="B201" s="74">
        <f t="shared" ca="1" si="18"/>
        <v>2.6207960880717529E-2</v>
      </c>
      <c r="C201" s="74">
        <f t="shared" ca="1" si="19"/>
        <v>2.5562872944398518E-2</v>
      </c>
      <c r="D201" s="74">
        <f t="shared" ca="1" si="20"/>
        <v>2.7172585437061914E-2</v>
      </c>
      <c r="E201" s="74">
        <f t="shared" ca="1" si="21"/>
        <v>7.5048458695338716E-2</v>
      </c>
      <c r="F201" s="74">
        <f t="shared" ca="1" si="22"/>
        <v>7.5062475513809623E-2</v>
      </c>
      <c r="G201" s="13">
        <f ca="1"/>
        <v>0.98640808821212766</v>
      </c>
      <c r="H201" s="13">
        <f ca="1"/>
        <v>0.98639664479243283</v>
      </c>
      <c r="I201" s="13">
        <f ca="1"/>
        <v>0.98587360175056582</v>
      </c>
      <c r="J201" s="13">
        <f ca="1"/>
        <v>0.95873697308509309</v>
      </c>
      <c r="K201" s="13">
        <f ca="1"/>
        <v>0.95873338310926925</v>
      </c>
    </row>
    <row r="202" spans="1:11">
      <c r="A202" s="14">
        <f t="shared" ca="1" si="23"/>
        <v>43349</v>
      </c>
      <c r="B202" s="74">
        <f t="shared" ca="1" si="18"/>
        <v>2.5986304855784015E-2</v>
      </c>
      <c r="C202" s="74">
        <f t="shared" ca="1" si="19"/>
        <v>2.6539173262218885E-2</v>
      </c>
      <c r="D202" s="74">
        <f t="shared" ca="1" si="20"/>
        <v>2.6951377263947918E-2</v>
      </c>
      <c r="E202" s="74">
        <f t="shared" ca="1" si="21"/>
        <v>7.5032363686717285E-2</v>
      </c>
      <c r="F202" s="74">
        <f t="shared" ca="1" si="22"/>
        <v>7.5046374432187757E-2</v>
      </c>
      <c r="G202" s="13">
        <f ca="1"/>
        <v>0.98633628557957775</v>
      </c>
      <c r="H202" s="13">
        <f ca="1"/>
        <v>0.98632660952409201</v>
      </c>
      <c r="I202" s="13">
        <f ca="1"/>
        <v>0.98579915631101223</v>
      </c>
      <c r="J202" s="13">
        <f ca="1"/>
        <v>0.95853136086948942</v>
      </c>
      <c r="K202" s="13">
        <f ca="1"/>
        <v>0.9585277324914232</v>
      </c>
    </row>
    <row r="203" spans="1:11">
      <c r="A203" s="14">
        <f t="shared" ca="1" si="23"/>
        <v>43350</v>
      </c>
      <c r="B203" s="74">
        <f t="shared" ca="1" si="18"/>
        <v>2.599658573579966E-2</v>
      </c>
      <c r="C203" s="74">
        <f t="shared" ca="1" si="19"/>
        <v>2.6537216846415079E-2</v>
      </c>
      <c r="D203" s="74">
        <f t="shared" ca="1" si="20"/>
        <v>2.6961501506505559E-2</v>
      </c>
      <c r="E203" s="74">
        <f t="shared" ca="1" si="21"/>
        <v>7.5016272129856953E-2</v>
      </c>
      <c r="F203" s="74">
        <f t="shared" ca="1" si="22"/>
        <v>7.50302768042721E-2</v>
      </c>
      <c r="G203" s="13">
        <f ca="1"/>
        <v>0.98626509022380848</v>
      </c>
      <c r="H203" s="13">
        <f ca="1"/>
        <v>0.98625389946035991</v>
      </c>
      <c r="I203" s="13">
        <f ca="1"/>
        <v>0.98572531692124798</v>
      </c>
      <c r="J203" s="13">
        <f ca="1"/>
        <v>0.95832579274979979</v>
      </c>
      <c r="K203" s="13">
        <f ca="1"/>
        <v>0.95832212598612954</v>
      </c>
    </row>
    <row r="204" spans="1:11">
      <c r="A204" s="14">
        <f t="shared" ca="1" si="23"/>
        <v>43351</v>
      </c>
      <c r="B204" s="74">
        <f t="shared" ca="1" si="18"/>
        <v>2.600686408944064E-2</v>
      </c>
      <c r="C204" s="74">
        <f t="shared" ca="1" si="19"/>
        <v>2.653526057483313E-2</v>
      </c>
      <c r="D204" s="74">
        <f t="shared" ca="1" si="20"/>
        <v>2.6971623142614809E-2</v>
      </c>
      <c r="E204" s="74">
        <f t="shared" ca="1" si="21"/>
        <v>7.5000184023947258E-2</v>
      </c>
      <c r="F204" s="74">
        <f t="shared" ca="1" si="22"/>
        <v>7.501418262937376E-2</v>
      </c>
      <c r="G204" s="13">
        <f ca="1"/>
        <v>0.98619386670124465</v>
      </c>
      <c r="H204" s="13">
        <f ca="1"/>
        <v>0.9861811947566711</v>
      </c>
      <c r="I204" s="13">
        <f ca="1"/>
        <v>0.9856514497938329</v>
      </c>
      <c r="J204" s="13">
        <f ca="1"/>
        <v>0.9581202687165673</v>
      </c>
      <c r="K204" s="13">
        <f ca="1"/>
        <v>0.95811656358392605</v>
      </c>
    </row>
    <row r="205" spans="1:11">
      <c r="A205" s="14">
        <f t="shared" ca="1" si="23"/>
        <v>43352</v>
      </c>
      <c r="B205" s="74">
        <f t="shared" ca="1" si="18"/>
        <v>2.601713991561283E-2</v>
      </c>
      <c r="C205" s="74">
        <f t="shared" ca="1" si="19"/>
        <v>2.6533304447432515E-2</v>
      </c>
      <c r="D205" s="74">
        <f t="shared" ca="1" si="20"/>
        <v>2.6981742170857359E-2</v>
      </c>
      <c r="E205" s="74">
        <f t="shared" ca="1" si="21"/>
        <v>7.4984099368380353E-2</v>
      </c>
      <c r="F205" s="74">
        <f t="shared" ca="1" si="22"/>
        <v>7.4998091906641751E-2</v>
      </c>
      <c r="G205" s="13">
        <f ca="1"/>
        <v>0.98612261501880782</v>
      </c>
      <c r="H205" s="13">
        <f ca="1"/>
        <v>0.98610849541263046</v>
      </c>
      <c r="I205" s="13">
        <f ca="1"/>
        <v>0.98557755493590793</v>
      </c>
      <c r="J205" s="13">
        <f ca="1"/>
        <v>0.95791478876033731</v>
      </c>
      <c r="K205" s="13">
        <f ca="1"/>
        <v>0.95791104527535242</v>
      </c>
    </row>
    <row r="206" spans="1:11">
      <c r="A206" s="14">
        <f t="shared" ca="1" si="23"/>
        <v>43353</v>
      </c>
      <c r="B206" s="74">
        <f t="shared" ca="1" si="18"/>
        <v>2.6027413214113615E-2</v>
      </c>
      <c r="C206" s="74">
        <f t="shared" ca="1" si="19"/>
        <v>2.653134846429428E-2</v>
      </c>
      <c r="D206" s="74">
        <f t="shared" ca="1" si="20"/>
        <v>2.6991858591111639E-2</v>
      </c>
      <c r="E206" s="74">
        <f t="shared" ca="1" si="21"/>
        <v>7.4968018162345773E-2</v>
      </c>
      <c r="F206" s="74">
        <f t="shared" ca="1" si="22"/>
        <v>7.4982004635468225E-2</v>
      </c>
      <c r="G206" s="13">
        <f ca="1"/>
        <v>0.98605133518342258</v>
      </c>
      <c r="H206" s="13">
        <f ca="1"/>
        <v>0.98603580142784297</v>
      </c>
      <c r="I206" s="13">
        <f ca="1"/>
        <v>0.98550363235461791</v>
      </c>
      <c r="J206" s="13">
        <f ca="1"/>
        <v>0.95770935287165682</v>
      </c>
      <c r="K206" s="13">
        <f ca="1"/>
        <v>0.95770557105095067</v>
      </c>
    </row>
    <row r="207" spans="1:11">
      <c r="A207" s="14">
        <f t="shared" ca="1" si="23"/>
        <v>43354</v>
      </c>
      <c r="B207" s="74">
        <f t="shared" ca="1" si="18"/>
        <v>2.6037683983443638E-2</v>
      </c>
      <c r="C207" s="74">
        <f t="shared" ca="1" si="19"/>
        <v>2.6529392625256332E-2</v>
      </c>
      <c r="D207" s="74">
        <f t="shared" ca="1" si="20"/>
        <v>2.7001972402040386E-2</v>
      </c>
      <c r="E207" s="74">
        <f t="shared" ca="1" si="21"/>
        <v>7.495194040507358E-2</v>
      </c>
      <c r="F207" s="74">
        <f t="shared" ca="1" si="22"/>
        <v>7.4965920815002196E-2</v>
      </c>
      <c r="G207" s="13">
        <f ca="1"/>
        <v>0.98598002720201405</v>
      </c>
      <c r="H207" s="13">
        <f ca="1"/>
        <v>0.9859631128019134</v>
      </c>
      <c r="I207" s="13">
        <f ca="1"/>
        <v>0.98542968205710801</v>
      </c>
      <c r="J207" s="13">
        <f ca="1"/>
        <v>0.95750396104107505</v>
      </c>
      <c r="K207" s="13">
        <f ca="1"/>
        <v>0.95750014090126445</v>
      </c>
    </row>
    <row r="208" spans="1:11">
      <c r="A208" s="14">
        <f t="shared" ca="1" si="23"/>
        <v>43355</v>
      </c>
      <c r="B208" s="74">
        <f t="shared" ca="1" si="18"/>
        <v>2.6047952222954529E-2</v>
      </c>
      <c r="C208" s="74">
        <f t="shared" ca="1" si="19"/>
        <v>2.6527436930480763E-2</v>
      </c>
      <c r="D208" s="74">
        <f t="shared" ca="1" si="20"/>
        <v>2.7012083602752091E-2</v>
      </c>
      <c r="E208" s="74">
        <f t="shared" ca="1" si="21"/>
        <v>7.4935866095915404E-2</v>
      </c>
      <c r="F208" s="74">
        <f t="shared" ca="1" si="22"/>
        <v>7.4949840444635818E-2</v>
      </c>
      <c r="G208" s="13">
        <f ca="1"/>
        <v>0.98590869108151147</v>
      </c>
      <c r="H208" s="13">
        <f ca="1"/>
        <v>0.98589042953444694</v>
      </c>
      <c r="I208" s="13">
        <f ca="1"/>
        <v>0.98535570405052708</v>
      </c>
      <c r="J208" s="13">
        <f ca="1"/>
        <v>0.95729861325914334</v>
      </c>
      <c r="K208" s="13">
        <f ca="1"/>
        <v>0.95729475481683979</v>
      </c>
    </row>
    <row r="209" spans="1:11">
      <c r="A209" s="14">
        <f t="shared" ca="1" si="23"/>
        <v>43356</v>
      </c>
      <c r="B209" s="74">
        <f t="shared" ca="1" si="18"/>
        <v>2.6058217931876348E-2</v>
      </c>
      <c r="C209" s="74">
        <f t="shared" ca="1" si="19"/>
        <v>2.6525481379805482E-2</v>
      </c>
      <c r="D209" s="74">
        <f t="shared" ca="1" si="20"/>
        <v>2.7022192193044137E-2</v>
      </c>
      <c r="E209" s="74">
        <f t="shared" ca="1" si="21"/>
        <v>7.4919795234060782E-2</v>
      </c>
      <c r="F209" s="74">
        <f t="shared" ca="1" si="22"/>
        <v>7.4933763523437058E-2</v>
      </c>
      <c r="G209" s="13">
        <f ca="1"/>
        <v>0.98583732682884584</v>
      </c>
      <c r="H209" s="13">
        <f ca="1"/>
        <v>0.98581775162504837</v>
      </c>
      <c r="I209" s="13">
        <f ca="1"/>
        <v>0.98528169834202639</v>
      </c>
      <c r="J209" s="13">
        <f ca="1"/>
        <v>0.9570933095164148</v>
      </c>
      <c r="K209" s="13">
        <f ca="1"/>
        <v>0.95708941278822435</v>
      </c>
    </row>
    <row r="210" spans="1:11">
      <c r="A210" s="14">
        <f t="shared" ca="1" si="23"/>
        <v>43357</v>
      </c>
      <c r="B210" s="74">
        <f t="shared" ca="1" si="18"/>
        <v>2.6068481109277064E-2</v>
      </c>
      <c r="C210" s="74">
        <f t="shared" ca="1" si="19"/>
        <v>2.6523525973352058E-2</v>
      </c>
      <c r="D210" s="74">
        <f t="shared" ca="1" si="20"/>
        <v>2.7032298171255076E-2</v>
      </c>
      <c r="E210" s="74">
        <f t="shared" ca="1" si="21"/>
        <v>7.4903727818739774E-2</v>
      </c>
      <c r="F210" s="74">
        <f t="shared" ca="1" si="22"/>
        <v>7.4917690050879115E-2</v>
      </c>
      <c r="G210" s="13">
        <f ca="1"/>
        <v>0.98576593445095029</v>
      </c>
      <c r="H210" s="13">
        <f ca="1"/>
        <v>0.98574507907332287</v>
      </c>
      <c r="I210" s="13">
        <f ca="1"/>
        <v>0.98520766493875778</v>
      </c>
      <c r="J210" s="13">
        <f ca="1"/>
        <v>0.95688804980344477</v>
      </c>
      <c r="K210" s="13">
        <f ca="1"/>
        <v>0.95688411480596836</v>
      </c>
    </row>
    <row r="211" spans="1:11">
      <c r="A211" s="14">
        <f t="shared" ca="1" si="23"/>
        <v>43358</v>
      </c>
      <c r="B211" s="74">
        <f t="shared" ca="1" si="18"/>
        <v>2.607874175430569E-2</v>
      </c>
      <c r="C211" s="74">
        <f t="shared" ca="1" si="19"/>
        <v>2.6521570711039444E-2</v>
      </c>
      <c r="D211" s="74">
        <f t="shared" ca="1" si="20"/>
        <v>2.7042401537425431E-2</v>
      </c>
      <c r="E211" s="74">
        <f t="shared" ca="1" si="21"/>
        <v>7.4887663849344532E-2</v>
      </c>
      <c r="F211" s="74">
        <f t="shared" ca="1" si="22"/>
        <v>7.4901620026070481E-2</v>
      </c>
      <c r="G211" s="13">
        <f ca="1"/>
        <v>0.98569451395476049</v>
      </c>
      <c r="H211" s="13">
        <f ca="1"/>
        <v>0.98567241187887533</v>
      </c>
      <c r="I211" s="13">
        <f ca="1"/>
        <v>0.98513360384787763</v>
      </c>
      <c r="J211" s="13">
        <f ca="1"/>
        <v>0.95668283411079069</v>
      </c>
      <c r="K211" s="13">
        <f ca="1"/>
        <v>0.95667886086062348</v>
      </c>
    </row>
    <row r="212" spans="1:11">
      <c r="A212" s="14">
        <f t="shared" ca="1" si="23"/>
        <v>43359</v>
      </c>
      <c r="B212" s="74">
        <f t="shared" ca="1" si="18"/>
        <v>2.6088999866192286E-2</v>
      </c>
      <c r="C212" s="74">
        <f t="shared" ca="1" si="19"/>
        <v>2.6519615592827117E-2</v>
      </c>
      <c r="D212" s="74">
        <f t="shared" ca="1" si="20"/>
        <v>2.7052502290136893E-2</v>
      </c>
      <c r="E212" s="74">
        <f t="shared" ca="1" si="21"/>
        <v>7.4871603324983549E-2</v>
      </c>
      <c r="F212" s="74">
        <f t="shared" ca="1" si="22"/>
        <v>7.4885553448281739E-2</v>
      </c>
      <c r="G212" s="13">
        <f ca="1"/>
        <v>0.98562306534721444</v>
      </c>
      <c r="H212" s="13">
        <f ca="1"/>
        <v>0.98559975004131084</v>
      </c>
      <c r="I212" s="13">
        <f ca="1"/>
        <v>0.98505951507654221</v>
      </c>
      <c r="J212" s="13">
        <f ca="1"/>
        <v>0.95647766242901167</v>
      </c>
      <c r="K212" s="13">
        <f ca="1"/>
        <v>0.95647365094274384</v>
      </c>
    </row>
    <row r="213" spans="1:11">
      <c r="A213" s="14">
        <f t="shared" ca="1" si="23"/>
        <v>43360</v>
      </c>
      <c r="B213" s="74">
        <f t="shared" ca="1" si="18"/>
        <v>2.6099255443802205E-2</v>
      </c>
      <c r="C213" s="74">
        <f t="shared" ca="1" si="19"/>
        <v>2.6517660618755601E-2</v>
      </c>
      <c r="D213" s="74">
        <f t="shared" ca="1" si="20"/>
        <v>2.7062600428497952E-2</v>
      </c>
      <c r="E213" s="74">
        <f t="shared" ca="1" si="21"/>
        <v>7.4855546245048976E-2</v>
      </c>
      <c r="F213" s="74">
        <f t="shared" ca="1" si="22"/>
        <v>7.4869490316905041E-2</v>
      </c>
      <c r="G213" s="13">
        <f ca="1"/>
        <v>0.98555158863525227</v>
      </c>
      <c r="H213" s="13">
        <f ca="1"/>
        <v>0.9855270935602346</v>
      </c>
      <c r="I213" s="13">
        <f ca="1"/>
        <v>0.9849853986319117</v>
      </c>
      <c r="J213" s="13">
        <f ca="1"/>
        <v>0.95627253474866925</v>
      </c>
      <c r="K213" s="13">
        <f ca="1"/>
        <v>0.95626848504288553</v>
      </c>
    </row>
    <row r="214" spans="1:11">
      <c r="A214" s="14">
        <f t="shared" ca="1" si="23"/>
        <v>43361</v>
      </c>
      <c r="B214" s="74">
        <f t="shared" ca="1" si="18"/>
        <v>2.6109508486892308E-2</v>
      </c>
      <c r="C214" s="74">
        <f t="shared" ca="1" si="19"/>
        <v>2.6515705788824895E-2</v>
      </c>
      <c r="D214" s="74">
        <f t="shared" ca="1" si="20"/>
        <v>2.7072695952387038E-2</v>
      </c>
      <c r="E214" s="74">
        <f t="shared" ca="1" si="21"/>
        <v>7.4839492608689828E-2</v>
      </c>
      <c r="F214" s="74">
        <f t="shared" ca="1" si="22"/>
        <v>7.4853430631048878E-2</v>
      </c>
      <c r="G214" s="13">
        <f ca="1"/>
        <v>0.9854800838258172</v>
      </c>
      <c r="H214" s="13">
        <f ca="1"/>
        <v>0.98545444243525171</v>
      </c>
      <c r="I214" s="13">
        <f ca="1"/>
        <v>0.98491125452114869</v>
      </c>
      <c r="J214" s="13">
        <f ca="1"/>
        <v>0.95606745106032665</v>
      </c>
      <c r="K214" s="13">
        <f ca="1"/>
        <v>0.95606336315160634</v>
      </c>
    </row>
    <row r="215" spans="1:11">
      <c r="A215" s="14">
        <f t="shared" ca="1" si="23"/>
        <v>43362</v>
      </c>
      <c r="B215" s="74">
        <f t="shared" ca="1" si="18"/>
        <v>2.6119758994044284E-2</v>
      </c>
      <c r="C215" s="74">
        <f t="shared" ca="1" si="19"/>
        <v>2.6513751102994476E-2</v>
      </c>
      <c r="D215" s="74">
        <f t="shared" ca="1" si="20"/>
        <v>2.708278886010218E-2</v>
      </c>
      <c r="E215" s="74">
        <f t="shared" ca="1" si="21"/>
        <v>7.4823442415217212E-2</v>
      </c>
      <c r="F215" s="74">
        <f t="shared" ca="1" si="22"/>
        <v>7.4837374390024358E-2</v>
      </c>
      <c r="G215" s="13">
        <f ca="1"/>
        <v>0.98540855092585311</v>
      </c>
      <c r="H215" s="13">
        <f ca="1"/>
        <v>0.98538179666596726</v>
      </c>
      <c r="I215" s="13">
        <f ca="1"/>
        <v>0.98483708275141613</v>
      </c>
      <c r="J215" s="13">
        <f ca="1"/>
        <v>0.95586241135454941</v>
      </c>
      <c r="K215" s="13">
        <f ca="1"/>
        <v>0.95585828525946648</v>
      </c>
    </row>
    <row r="216" spans="1:11">
      <c r="A216" s="14">
        <f t="shared" ca="1" si="23"/>
        <v>43363</v>
      </c>
      <c r="B216" s="74">
        <f t="shared" ca="1" si="18"/>
        <v>2.6130006964609764E-2</v>
      </c>
      <c r="C216" s="74">
        <f t="shared" ca="1" si="19"/>
        <v>2.6511796561223822E-2</v>
      </c>
      <c r="D216" s="74">
        <f t="shared" ca="1" si="20"/>
        <v>2.7092879151683902E-2</v>
      </c>
      <c r="E216" s="74">
        <f t="shared" ca="1" si="21"/>
        <v>7.5059862345507322E-2</v>
      </c>
      <c r="F216" s="74">
        <f t="shared" ca="1" si="22"/>
        <v>7.5091705477941528E-2</v>
      </c>
      <c r="G216" s="13">
        <f ca="1"/>
        <v>0.98533698994230778</v>
      </c>
      <c r="H216" s="13">
        <f ca="1"/>
        <v>0.98530915625198645</v>
      </c>
      <c r="I216" s="13">
        <f ca="1"/>
        <v>0.9847628833298816</v>
      </c>
      <c r="J216" s="13">
        <f ca="1"/>
        <v>0.95565741562190498</v>
      </c>
      <c r="K216" s="13">
        <f ca="1"/>
        <v>0.95565325135702806</v>
      </c>
    </row>
    <row r="217" spans="1:11">
      <c r="A217" s="14">
        <f t="shared" ca="1" si="23"/>
        <v>43364</v>
      </c>
      <c r="B217" s="74">
        <f t="shared" ca="1" si="18"/>
        <v>2.6140252397778285E-2</v>
      </c>
      <c r="C217" s="74">
        <f t="shared" ca="1" si="19"/>
        <v>2.6509842163553454E-2</v>
      </c>
      <c r="D217" s="74">
        <f t="shared" ca="1" si="20"/>
        <v>2.7102966825632846E-2</v>
      </c>
      <c r="E217" s="74">
        <f t="shared" ca="1" si="21"/>
        <v>7.5043710564087762E-2</v>
      </c>
      <c r="F217" s="74">
        <f t="shared" ca="1" si="22"/>
        <v>7.5075539918816325E-2</v>
      </c>
      <c r="G217" s="13">
        <f ca="1"/>
        <v>0.98526540088213077</v>
      </c>
      <c r="H217" s="13">
        <f ca="1"/>
        <v>0.9852365211929146</v>
      </c>
      <c r="I217" s="13">
        <f ca="1"/>
        <v>0.9846886562637126</v>
      </c>
      <c r="J217" s="13">
        <f ca="1"/>
        <v>0.95545177216342414</v>
      </c>
      <c r="K217" s="13">
        <f ca="1"/>
        <v>0.95544752065708849</v>
      </c>
    </row>
    <row r="218" spans="1:11">
      <c r="A218" s="14">
        <f t="shared" ca="1" si="23"/>
        <v>43365</v>
      </c>
      <c r="B218" s="74">
        <f t="shared" ca="1" si="18"/>
        <v>2.6150495292577292E-2</v>
      </c>
      <c r="C218" s="74">
        <f t="shared" ca="1" si="19"/>
        <v>2.6507887909983374E-2</v>
      </c>
      <c r="D218" s="74">
        <f t="shared" ca="1" si="20"/>
        <v>2.711305188126012E-2</v>
      </c>
      <c r="E218" s="74">
        <f t="shared" ca="1" si="21"/>
        <v>7.5027562258297431E-2</v>
      </c>
      <c r="F218" s="74">
        <f t="shared" ca="1" si="22"/>
        <v>7.5059377839737373E-2</v>
      </c>
      <c r="G218" s="13">
        <f ca="1"/>
        <v>0.98519378375227384</v>
      </c>
      <c r="H218" s="13">
        <f ca="1"/>
        <v>0.98516389148835692</v>
      </c>
      <c r="I218" s="13">
        <f ca="1"/>
        <v>0.98461440156008073</v>
      </c>
      <c r="J218" s="13">
        <f ca="1"/>
        <v>0.95524617295639924</v>
      </c>
      <c r="K218" s="13">
        <f ca="1"/>
        <v>0.95524183424635201</v>
      </c>
    </row>
    <row r="219" spans="1:11">
      <c r="A219" s="14">
        <f t="shared" ca="1" si="23"/>
        <v>43366</v>
      </c>
      <c r="B219" s="74">
        <f t="shared" ca="1" si="18"/>
        <v>2.6160735648277367E-2</v>
      </c>
      <c r="C219" s="74">
        <f t="shared" ca="1" si="19"/>
        <v>2.6505933800473058E-2</v>
      </c>
      <c r="D219" s="74">
        <f t="shared" ca="1" si="20"/>
        <v>2.7123134318241537E-2</v>
      </c>
      <c r="E219" s="74">
        <f t="shared" ca="1" si="21"/>
        <v>7.5011417427406912E-2</v>
      </c>
      <c r="F219" s="74">
        <f t="shared" ca="1" si="22"/>
        <v>7.5043219240096826E-2</v>
      </c>
      <c r="G219" s="13">
        <f ca="1"/>
        <v>0.98512213855969144</v>
      </c>
      <c r="H219" s="13">
        <f ca="1"/>
        <v>0.98509126713791861</v>
      </c>
      <c r="I219" s="13">
        <f ca="1"/>
        <v>0.98454011922615947</v>
      </c>
      <c r="J219" s="13">
        <f ca="1"/>
        <v>0.95504061799130802</v>
      </c>
      <c r="K219" s="13">
        <f ca="1"/>
        <v>0.95503619211528423</v>
      </c>
    </row>
    <row r="220" spans="1:11">
      <c r="A220" s="14">
        <f t="shared" ca="1" si="23"/>
        <v>43367</v>
      </c>
      <c r="B220" s="74">
        <f t="shared" ca="1" si="18"/>
        <v>2.6170973463824909E-2</v>
      </c>
      <c r="C220" s="74">
        <f t="shared" ca="1" si="19"/>
        <v>2.6503979835022506E-2</v>
      </c>
      <c r="D220" s="74">
        <f t="shared" ca="1" si="20"/>
        <v>2.7133214134996697E-2</v>
      </c>
      <c r="E220" s="74">
        <f t="shared" ca="1" si="21"/>
        <v>7.4995276070605743E-2</v>
      </c>
      <c r="F220" s="74">
        <f t="shared" ca="1" si="22"/>
        <v>7.502706411896265E-2</v>
      </c>
      <c r="G220" s="13">
        <f ca="1"/>
        <v>0.98505046531134</v>
      </c>
      <c r="H220" s="13">
        <f ca="1"/>
        <v>0.98501864814120499</v>
      </c>
      <c r="I220" s="13">
        <f ca="1"/>
        <v>0.98446580926912319</v>
      </c>
      <c r="J220" s="13">
        <f ca="1"/>
        <v>0.95483510725863019</v>
      </c>
      <c r="K220" s="13">
        <f ca="1"/>
        <v>0.95483059425435246</v>
      </c>
    </row>
    <row r="221" spans="1:11">
      <c r="A221" s="14">
        <f t="shared" ca="1" si="23"/>
        <v>43368</v>
      </c>
      <c r="B221" s="74">
        <f t="shared" ca="1" si="18"/>
        <v>2.6181208738936257E-2</v>
      </c>
      <c r="C221" s="74">
        <f t="shared" ca="1" si="19"/>
        <v>2.6502026013550672E-2</v>
      </c>
      <c r="D221" s="74">
        <f t="shared" ca="1" si="20"/>
        <v>2.7143291331485075E-2</v>
      </c>
      <c r="E221" s="74">
        <f t="shared" ca="1" si="21"/>
        <v>7.497913818720503E-2</v>
      </c>
      <c r="F221" s="74">
        <f t="shared" ca="1" si="22"/>
        <v>7.5010912475686475E-2</v>
      </c>
      <c r="G221" s="13">
        <f ca="1"/>
        <v>0.98497876401417883</v>
      </c>
      <c r="H221" s="13">
        <f ca="1"/>
        <v>0.98494603449782137</v>
      </c>
      <c r="I221" s="13">
        <f ca="1"/>
        <v>0.9843914716961506</v>
      </c>
      <c r="J221" s="13">
        <f ca="1"/>
        <v>0.95462964074884771</v>
      </c>
      <c r="K221" s="13">
        <f ca="1"/>
        <v>0.95462504065402654</v>
      </c>
    </row>
    <row r="222" spans="1:11">
      <c r="A222" s="14">
        <f t="shared" ca="1" si="23"/>
        <v>43369</v>
      </c>
      <c r="B222" s="74">
        <f t="shared" ca="1" si="18"/>
        <v>2.6191441472152577E-2</v>
      </c>
      <c r="C222" s="74">
        <f t="shared" ca="1" si="19"/>
        <v>2.6500072336179126E-2</v>
      </c>
      <c r="D222" s="74">
        <f t="shared" ca="1" si="20"/>
        <v>2.7153365906328886E-2</v>
      </c>
      <c r="E222" s="74">
        <f t="shared" ca="1" si="21"/>
        <v>7.4963003776475357E-2</v>
      </c>
      <c r="F222" s="74">
        <f t="shared" ca="1" si="22"/>
        <v>7.499476430945784E-2</v>
      </c>
      <c r="G222" s="13">
        <f ca="1"/>
        <v>0.98490703467516805</v>
      </c>
      <c r="H222" s="13">
        <f ca="1"/>
        <v>0.98487342620737328</v>
      </c>
      <c r="I222" s="13">
        <f ca="1"/>
        <v>0.9843171065144205</v>
      </c>
      <c r="J222" s="13">
        <f ca="1"/>
        <v>0.95442421845244441</v>
      </c>
      <c r="K222" s="13">
        <f ca="1"/>
        <v>0.95441953130477808</v>
      </c>
    </row>
    <row r="223" spans="1:11">
      <c r="A223" s="14">
        <f t="shared" ca="1" si="23"/>
        <v>43370</v>
      </c>
      <c r="B223" s="74">
        <f t="shared" ca="1" si="18"/>
        <v>2.6201671662825499E-2</v>
      </c>
      <c r="C223" s="74">
        <f t="shared" ca="1" si="19"/>
        <v>2.649811880282682E-2</v>
      </c>
      <c r="D223" s="74">
        <f t="shared" ca="1" si="20"/>
        <v>2.7163437858677142E-2</v>
      </c>
      <c r="E223" s="74">
        <f t="shared" ca="1" si="21"/>
        <v>7.4946872837565737E-2</v>
      </c>
      <c r="F223" s="74">
        <f t="shared" ca="1" si="22"/>
        <v>7.4978619619628373E-2</v>
      </c>
      <c r="G223" s="13">
        <f ca="1"/>
        <v>0.98483527730127174</v>
      </c>
      <c r="H223" s="13">
        <f ca="1"/>
        <v>0.98480082326946594</v>
      </c>
      <c r="I223" s="13">
        <f ca="1"/>
        <v>0.98424271373111549</v>
      </c>
      <c r="J223" s="13">
        <f ca="1"/>
        <v>0.95421884035990612</v>
      </c>
      <c r="K223" s="13">
        <f ca="1"/>
        <v>0.95421406619708093</v>
      </c>
    </row>
    <row r="224" spans="1:11">
      <c r="A224" s="14">
        <f t="shared" ca="1" si="23"/>
        <v>43371</v>
      </c>
      <c r="B224" s="74">
        <f t="shared" ca="1" si="18"/>
        <v>2.6211899310185083E-2</v>
      </c>
      <c r="C224" s="74">
        <f t="shared" ca="1" si="19"/>
        <v>2.6496165413412709E-2</v>
      </c>
      <c r="D224" s="74">
        <f t="shared" ca="1" si="20"/>
        <v>2.7173507188367751E-2</v>
      </c>
      <c r="E224" s="74">
        <f t="shared" ca="1" si="21"/>
        <v>7.4930745369868323E-2</v>
      </c>
      <c r="F224" s="74">
        <f t="shared" ca="1" si="22"/>
        <v>7.4962478405387611E-2</v>
      </c>
      <c r="G224" s="13">
        <f ca="1"/>
        <v>0.98476349189945578</v>
      </c>
      <c r="H224" s="13">
        <f ca="1"/>
        <v>0.98472822568370477</v>
      </c>
      <c r="I224" s="13">
        <f ca="1"/>
        <v>0.98416829335342049</v>
      </c>
      <c r="J224" s="13">
        <f ca="1"/>
        <v>0.95401350646172101</v>
      </c>
      <c r="K224" s="13">
        <f ca="1"/>
        <v>0.95400864532141072</v>
      </c>
    </row>
    <row r="225" spans="1:11">
      <c r="A225" s="14">
        <f t="shared" ca="1" si="23"/>
        <v>43372</v>
      </c>
      <c r="B225" s="74">
        <f t="shared" ca="1" si="18"/>
        <v>2.6222124413299297E-2</v>
      </c>
      <c r="C225" s="74">
        <f t="shared" ca="1" si="19"/>
        <v>2.6494212168098885E-2</v>
      </c>
      <c r="D225" s="74">
        <f t="shared" ca="1" si="20"/>
        <v>2.7183573893739266E-2</v>
      </c>
      <c r="E225" s="74">
        <f t="shared" ca="1" si="21"/>
        <v>7.4914621372491608E-2</v>
      </c>
      <c r="F225" s="74">
        <f t="shared" ca="1" si="22"/>
        <v>7.4946340665925093E-2</v>
      </c>
      <c r="G225" s="13">
        <f ca="1"/>
        <v>0.98469167847668815</v>
      </c>
      <c r="H225" s="13">
        <f ca="1"/>
        <v>0.98465563344969542</v>
      </c>
      <c r="I225" s="13">
        <f ca="1"/>
        <v>0.98409384538852085</v>
      </c>
      <c r="J225" s="13">
        <f ca="1"/>
        <v>0.9538082167483789</v>
      </c>
      <c r="K225" s="13">
        <f ca="1"/>
        <v>0.95380326866824527</v>
      </c>
    </row>
    <row r="226" spans="1:11">
      <c r="A226" s="14">
        <f t="shared" ca="1" si="23"/>
        <v>43373</v>
      </c>
      <c r="B226" s="74">
        <f t="shared" ca="1" si="18"/>
        <v>2.6232346971398202E-2</v>
      </c>
      <c r="C226" s="74">
        <f t="shared" ca="1" si="19"/>
        <v>2.6492259066682733E-2</v>
      </c>
      <c r="D226" s="74">
        <f t="shared" ca="1" si="20"/>
        <v>2.7193637974791685E-2</v>
      </c>
      <c r="E226" s="74">
        <f t="shared" ca="1" si="21"/>
        <v>7.4898500844827742E-2</v>
      </c>
      <c r="F226" s="74">
        <f t="shared" ca="1" si="22"/>
        <v>7.4930206400592447E-2</v>
      </c>
      <c r="G226" s="13">
        <f ca="1"/>
        <v>0.98461983703993938</v>
      </c>
      <c r="H226" s="13">
        <f ca="1"/>
        <v>0.9845830465670431</v>
      </c>
      <c r="I226" s="13">
        <f ca="1"/>
        <v>0.9840193698436065</v>
      </c>
      <c r="J226" s="13">
        <f ca="1"/>
        <v>0.95360297121037207</v>
      </c>
      <c r="K226" s="13">
        <f ca="1"/>
        <v>0.95359793622806466</v>
      </c>
    </row>
    <row r="227" spans="1:11">
      <c r="A227" s="14">
        <f t="shared" ca="1" si="23"/>
        <v>43374</v>
      </c>
      <c r="B227" s="74">
        <f t="shared" ca="1" si="18"/>
        <v>2.6242566983590287E-2</v>
      </c>
      <c r="C227" s="74">
        <f t="shared" ca="1" si="19"/>
        <v>2.6490306109326345E-2</v>
      </c>
      <c r="D227" s="74">
        <f t="shared" ca="1" si="20"/>
        <v>2.7203699429904082E-2</v>
      </c>
      <c r="E227" s="74">
        <f t="shared" ca="1" si="21"/>
        <v>7.4882383786025741E-2</v>
      </c>
      <c r="F227" s="74">
        <f t="shared" ca="1" si="22"/>
        <v>7.4914075608619735E-2</v>
      </c>
      <c r="G227" s="13">
        <f ca="1"/>
        <v>0.98454796759618213</v>
      </c>
      <c r="H227" s="13">
        <f ca="1"/>
        <v>0.98451046503535355</v>
      </c>
      <c r="I227" s="13">
        <f ca="1"/>
        <v>0.98394486672586734</v>
      </c>
      <c r="J227" s="13">
        <f ca="1"/>
        <v>0.95339776983819446</v>
      </c>
      <c r="K227" s="13">
        <f ca="1"/>
        <v>0.95339264799135071</v>
      </c>
    </row>
    <row r="228" spans="1:11">
      <c r="A228" s="14">
        <f t="shared" ca="1" si="23"/>
        <v>43375</v>
      </c>
      <c r="B228" s="74">
        <f t="shared" ca="1" si="18"/>
        <v>2.6252784448821953E-2</v>
      </c>
      <c r="C228" s="74">
        <f t="shared" ca="1" si="19"/>
        <v>2.6488353295908151E-2</v>
      </c>
      <c r="D228" s="74">
        <f t="shared" ca="1" si="20"/>
        <v>2.7213758259076459E-2</v>
      </c>
      <c r="E228" s="74">
        <f t="shared" ca="1" si="21"/>
        <v>7.4866270195396711E-2</v>
      </c>
      <c r="F228" s="74">
        <f t="shared" ca="1" si="22"/>
        <v>7.4897948289237015E-2</v>
      </c>
      <c r="G228" s="13">
        <f ca="1"/>
        <v>0.98447607015239147</v>
      </c>
      <c r="H228" s="13">
        <f ca="1"/>
        <v>0.98443788885423211</v>
      </c>
      <c r="I228" s="13">
        <f ca="1"/>
        <v>0.98387033604249774</v>
      </c>
      <c r="J228" s="13">
        <f ca="1"/>
        <v>0.95319261262234234</v>
      </c>
      <c r="K228" s="13">
        <f ca="1"/>
        <v>0.95318740394858736</v>
      </c>
    </row>
    <row r="229" spans="1:11">
      <c r="A229" s="14">
        <f t="shared" ca="1" si="23"/>
        <v>43376</v>
      </c>
      <c r="B229" s="74">
        <f t="shared" ca="1" si="18"/>
        <v>2.6262999366890583E-2</v>
      </c>
      <c r="C229" s="74">
        <f t="shared" ca="1" si="19"/>
        <v>2.6486400626387629E-2</v>
      </c>
      <c r="D229" s="74">
        <f t="shared" ca="1" si="20"/>
        <v>2.7223814460849982E-2</v>
      </c>
      <c r="E229" s="74">
        <f t="shared" ca="1" si="21"/>
        <v>7.4850160072170713E-2</v>
      </c>
      <c r="F229" s="74">
        <f t="shared" ca="1" si="22"/>
        <v>7.4881824441674349E-2</v>
      </c>
      <c r="G229" s="13">
        <f ca="1"/>
        <v>0.98440414471554538</v>
      </c>
      <c r="H229" s="13">
        <f ca="1"/>
        <v>0.98436531802328442</v>
      </c>
      <c r="I229" s="13">
        <f ca="1"/>
        <v>0.98379577780069205</v>
      </c>
      <c r="J229" s="13">
        <f ca="1"/>
        <v>0.95298749955331385</v>
      </c>
      <c r="K229" s="13">
        <f ca="1"/>
        <v>0.95298220409026069</v>
      </c>
    </row>
    <row r="230" spans="1:11">
      <c r="A230" s="14">
        <f t="shared" ca="1" si="23"/>
        <v>43377</v>
      </c>
      <c r="B230" s="74">
        <f t="shared" ca="1" si="18"/>
        <v>2.627321173629682E-2</v>
      </c>
      <c r="C230" s="74">
        <f t="shared" ca="1" si="19"/>
        <v>2.6484448100926872E-2</v>
      </c>
      <c r="D230" s="74">
        <f t="shared" ca="1" si="20"/>
        <v>2.7233868034495234E-2</v>
      </c>
      <c r="E230" s="74">
        <f t="shared" ca="1" si="21"/>
        <v>7.4834053415618329E-2</v>
      </c>
      <c r="F230" s="74">
        <f t="shared" ca="1" si="22"/>
        <v>7.4865704065283367E-2</v>
      </c>
      <c r="G230" s="13">
        <f ca="1"/>
        <v>0.98433219129262239</v>
      </c>
      <c r="H230" s="13">
        <f ca="1"/>
        <v>0.98429275254211623</v>
      </c>
      <c r="I230" s="13">
        <f ca="1"/>
        <v>0.98372119200764863</v>
      </c>
      <c r="J230" s="13">
        <f ca="1"/>
        <v>0.95278243062160928</v>
      </c>
      <c r="K230" s="13">
        <f ca="1"/>
        <v>0.95277704840685884</v>
      </c>
    </row>
    <row r="231" spans="1:11">
      <c r="A231" s="14">
        <f t="shared" ca="1" si="23"/>
        <v>43378</v>
      </c>
      <c r="B231" s="74">
        <f t="shared" ca="1" si="18"/>
        <v>2.6283421556513864E-2</v>
      </c>
      <c r="C231" s="74">
        <f t="shared" ca="1" si="19"/>
        <v>2.6482495719282739E-2</v>
      </c>
      <c r="D231" s="74">
        <f t="shared" ca="1" si="20"/>
        <v>2.7243918979769077E-2</v>
      </c>
      <c r="E231" s="74">
        <f t="shared" ca="1" si="21"/>
        <v>7.481795022496962E-2</v>
      </c>
      <c r="F231" s="74">
        <f t="shared" ca="1" si="22"/>
        <v>7.4849587159172559E-2</v>
      </c>
      <c r="G231" s="13">
        <f ca="1"/>
        <v>0.98426020989060514</v>
      </c>
      <c r="H231" s="13">
        <f ca="1"/>
        <v>0.98422019241033287</v>
      </c>
      <c r="I231" s="13">
        <f ca="1"/>
        <v>0.98364657867056782</v>
      </c>
      <c r="J231" s="13">
        <f ca="1"/>
        <v>0.95257740581773087</v>
      </c>
      <c r="K231" s="13">
        <f ca="1"/>
        <v>0.95257193688887176</v>
      </c>
    </row>
    <row r="232" spans="1:11">
      <c r="A232" s="14">
        <f t="shared" ca="1" si="23"/>
        <v>43379</v>
      </c>
      <c r="B232" s="74">
        <f t="shared" ca="1" si="18"/>
        <v>2.629362882656916E-2</v>
      </c>
      <c r="C232" s="74">
        <f t="shared" ca="1" si="19"/>
        <v>2.6480543481657848E-2</v>
      </c>
      <c r="D232" s="74">
        <f t="shared" ca="1" si="20"/>
        <v>2.7253967294969539E-2</v>
      </c>
      <c r="E232" s="74">
        <f t="shared" ca="1" si="21"/>
        <v>7.4801850499495171E-2</v>
      </c>
      <c r="F232" s="74">
        <f t="shared" ca="1" si="22"/>
        <v>7.4833473722693555E-2</v>
      </c>
      <c r="G232" s="13">
        <f ca="1"/>
        <v>0.98418820051647771</v>
      </c>
      <c r="H232" s="13">
        <f ca="1"/>
        <v>0.98414763762754032</v>
      </c>
      <c r="I232" s="13">
        <f ca="1"/>
        <v>0.98357193779665064</v>
      </c>
      <c r="J232" s="13">
        <f ca="1"/>
        <v>0.95237242513218301</v>
      </c>
      <c r="K232" s="13">
        <f ca="1"/>
        <v>0.95236686952679184</v>
      </c>
    </row>
    <row r="233" spans="1:11">
      <c r="A233" s="14">
        <f t="shared" ca="1" si="23"/>
        <v>43380</v>
      </c>
      <c r="B233" s="74">
        <f t="shared" ca="1" si="18"/>
        <v>2.6303833545692767E-2</v>
      </c>
      <c r="C233" s="74">
        <f t="shared" ca="1" si="19"/>
        <v>2.6478591387930628E-2</v>
      </c>
      <c r="D233" s="74">
        <f t="shared" ca="1" si="20"/>
        <v>2.7264012980258712E-2</v>
      </c>
      <c r="E233" s="74">
        <f t="shared" ca="1" si="21"/>
        <v>7.478575423842504E-2</v>
      </c>
      <c r="F233" s="74">
        <f t="shared" ca="1" si="22"/>
        <v>7.4817363755076416E-2</v>
      </c>
      <c r="G233" s="13">
        <f ca="1"/>
        <v>0.98411616317722683</v>
      </c>
      <c r="H233" s="13">
        <f ca="1"/>
        <v>0.98407508819334399</v>
      </c>
      <c r="I233" s="13">
        <f ca="1"/>
        <v>0.98349726939310278</v>
      </c>
      <c r="J233" s="13">
        <f ca="1"/>
        <v>0.95216748855547206</v>
      </c>
      <c r="K233" s="13">
        <f ca="1"/>
        <v>0.95216184631111322</v>
      </c>
    </row>
    <row r="234" spans="1:11">
      <c r="A234" s="14">
        <f t="shared" ca="1" si="23"/>
        <v>43381</v>
      </c>
      <c r="B234" s="74">
        <f t="shared" ca="1" si="18"/>
        <v>2.6314035712993178E-2</v>
      </c>
      <c r="C234" s="74">
        <f t="shared" ca="1" si="19"/>
        <v>2.6476639438060556E-2</v>
      </c>
      <c r="D234" s="74">
        <f t="shared" ca="1" si="20"/>
        <v>2.727405603401567E-2</v>
      </c>
      <c r="E234" s="74">
        <f t="shared" ca="1" si="21"/>
        <v>7.4769661441070334E-2</v>
      </c>
      <c r="F234" s="74">
        <f t="shared" ca="1" si="22"/>
        <v>7.4801257255591724E-2</v>
      </c>
      <c r="G234" s="13">
        <f ca="1"/>
        <v>0.98404409787984137</v>
      </c>
      <c r="H234" s="13">
        <f ca="1"/>
        <v>0.98400254410734966</v>
      </c>
      <c r="I234" s="13">
        <f ca="1"/>
        <v>0.98342257346712947</v>
      </c>
      <c r="J234" s="13">
        <f ca="1"/>
        <v>0.95196259607810652</v>
      </c>
      <c r="K234" s="13">
        <f ca="1"/>
        <v>0.95195686723233219</v>
      </c>
    </row>
    <row r="235" spans="1:11">
      <c r="A235" s="14">
        <f t="shared" ca="1" si="23"/>
        <v>43382</v>
      </c>
      <c r="B235" s="74">
        <f t="shared" ca="1" si="18"/>
        <v>2.6324235327700451E-2</v>
      </c>
      <c r="C235" s="74">
        <f t="shared" ca="1" si="19"/>
        <v>2.6474687632128679E-2</v>
      </c>
      <c r="D235" s="74">
        <f t="shared" ca="1" si="20"/>
        <v>2.7284096455632567E-2</v>
      </c>
      <c r="E235" s="74">
        <f t="shared" ca="1" si="21"/>
        <v>7.4753572106661115E-2</v>
      </c>
      <c r="F235" s="74">
        <f t="shared" ca="1" si="22"/>
        <v>7.4785154223429018E-2</v>
      </c>
      <c r="G235" s="13">
        <f ca="1"/>
        <v>0.98397200463131262</v>
      </c>
      <c r="H235" s="13">
        <f ca="1"/>
        <v>0.9839300053691632</v>
      </c>
      <c r="I235" s="13">
        <f ca="1"/>
        <v>0.98334785002594038</v>
      </c>
      <c r="J235" s="13">
        <f ca="1"/>
        <v>0.95175774769059673</v>
      </c>
      <c r="K235" s="13">
        <f ca="1"/>
        <v>0.95175193228094701</v>
      </c>
    </row>
    <row r="236" spans="1:11">
      <c r="A236" s="14">
        <f t="shared" ca="1" si="23"/>
        <v>43383</v>
      </c>
      <c r="B236" s="74">
        <f t="shared" ca="1" si="18"/>
        <v>2.6334432388760987E-2</v>
      </c>
      <c r="C236" s="74">
        <f t="shared" ca="1" si="19"/>
        <v>2.6472735970053951E-2</v>
      </c>
      <c r="D236" s="74">
        <f t="shared" ca="1" si="20"/>
        <v>2.7294134244785218E-2</v>
      </c>
      <c r="E236" s="74">
        <f t="shared" ca="1" si="21"/>
        <v>7.4737486234346395E-2</v>
      </c>
      <c r="F236" s="74">
        <f t="shared" ca="1" si="22"/>
        <v>7.4769054657980449E-2</v>
      </c>
      <c r="G236" s="13">
        <f ca="1"/>
        <v>0.98389988343863399</v>
      </c>
      <c r="H236" s="13">
        <f ca="1"/>
        <v>0.98385747197839024</v>
      </c>
      <c r="I236" s="13">
        <f ca="1"/>
        <v>0.98327309907674687</v>
      </c>
      <c r="J236" s="13">
        <f ca="1"/>
        <v>0.9515529433834552</v>
      </c>
      <c r="K236" s="13">
        <f ca="1"/>
        <v>0.95154704144745816</v>
      </c>
    </row>
    <row r="237" spans="1:11">
      <c r="A237" s="14">
        <f t="shared" ca="1" si="23"/>
        <v>43384</v>
      </c>
      <c r="B237" s="74">
        <f t="shared" ca="1" si="18"/>
        <v>2.6344626895850598E-2</v>
      </c>
      <c r="C237" s="74">
        <f t="shared" ca="1" si="19"/>
        <v>2.6470784451876894E-2</v>
      </c>
      <c r="D237" s="74">
        <f t="shared" ca="1" si="20"/>
        <v>2.7304169399893219E-2</v>
      </c>
      <c r="E237" s="74">
        <f t="shared" ca="1" si="21"/>
        <v>7.4721403823599375E-2</v>
      </c>
      <c r="F237" s="74">
        <f t="shared" ca="1" si="22"/>
        <v>7.4752958558313987E-2</v>
      </c>
      <c r="G237" s="13">
        <f ca="1"/>
        <v>0.98382773430880177</v>
      </c>
      <c r="H237" s="13">
        <f ca="1"/>
        <v>0.98378494393463667</v>
      </c>
      <c r="I237" s="13">
        <f ca="1"/>
        <v>0.98319832062676116</v>
      </c>
      <c r="J237" s="13">
        <f ca="1"/>
        <v>0.95134818314719671</v>
      </c>
      <c r="K237" s="13">
        <f ca="1"/>
        <v>0.95134219472236781</v>
      </c>
    </row>
    <row r="238" spans="1:11">
      <c r="A238" s="14">
        <f t="shared" ca="1" si="23"/>
        <v>43385</v>
      </c>
      <c r="B238" s="74">
        <f t="shared" ca="1" si="18"/>
        <v>2.6354818847591499E-2</v>
      </c>
      <c r="C238" s="74">
        <f t="shared" ca="1" si="19"/>
        <v>2.6468833077516463E-2</v>
      </c>
      <c r="D238" s="74">
        <f t="shared" ca="1" si="20"/>
        <v>2.7314201920916048E-2</v>
      </c>
      <c r="E238" s="74">
        <f t="shared" ca="1" si="21"/>
        <v>7.4705324873447498E-2</v>
      </c>
      <c r="F238" s="74">
        <f t="shared" ca="1" si="22"/>
        <v>7.4736865923781259E-2</v>
      </c>
      <c r="G238" s="13">
        <f ca="1"/>
        <v>0.98375555724881314</v>
      </c>
      <c r="H238" s="13">
        <f ca="1"/>
        <v>0.98371242123750824</v>
      </c>
      <c r="I238" s="13">
        <f ca="1"/>
        <v>0.98312351468319981</v>
      </c>
      <c r="J238" s="13">
        <f ca="1"/>
        <v>0.95114346697233754</v>
      </c>
      <c r="K238" s="13">
        <f ca="1"/>
        <v>0.95113739209618064</v>
      </c>
    </row>
    <row r="239" spans="1:11">
      <c r="A239" s="14">
        <f t="shared" ca="1" si="23"/>
        <v>43386</v>
      </c>
      <c r="B239" s="74">
        <f t="shared" ca="1" si="18"/>
        <v>2.6365008243416366E-2</v>
      </c>
      <c r="C239" s="74">
        <f t="shared" ca="1" si="19"/>
        <v>2.6466881847094226E-2</v>
      </c>
      <c r="D239" s="74">
        <f t="shared" ca="1" si="20"/>
        <v>2.7324231806475918E-2</v>
      </c>
      <c r="E239" s="74">
        <f t="shared" ca="1" si="21"/>
        <v>7.4689249383323442E-2</v>
      </c>
      <c r="F239" s="74">
        <f t="shared" ca="1" si="22"/>
        <v>7.4720776753693374E-2</v>
      </c>
      <c r="G239" s="13">
        <f ca="1"/>
        <v>0.98368335226566905</v>
      </c>
      <c r="H239" s="13">
        <f ca="1"/>
        <v>0.98363990388661093</v>
      </c>
      <c r="I239" s="13">
        <f ca="1"/>
        <v>0.98304868125327949</v>
      </c>
      <c r="J239" s="13">
        <f ca="1"/>
        <v>0.95093879484939658</v>
      </c>
      <c r="K239" s="13">
        <f ca="1"/>
        <v>0.95093263355940316</v>
      </c>
    </row>
    <row r="240" spans="1:11">
      <c r="A240" s="14">
        <f t="shared" ca="1" si="23"/>
        <v>43387</v>
      </c>
      <c r="B240" s="74">
        <f t="shared" ca="1" si="18"/>
        <v>2.6375195082352643E-2</v>
      </c>
      <c r="C240" s="74">
        <f t="shared" ca="1" si="19"/>
        <v>2.6464930760407568E-2</v>
      </c>
      <c r="D240" s="74">
        <f t="shared" ca="1" si="20"/>
        <v>2.733425905580289E-2</v>
      </c>
      <c r="E240" s="74">
        <f t="shared" ca="1" si="21"/>
        <v>7.4673177352376219E-2</v>
      </c>
      <c r="F240" s="74">
        <f t="shared" ca="1" si="22"/>
        <v>7.4704691047199345E-2</v>
      </c>
      <c r="G240" s="13">
        <f ca="1"/>
        <v>0.98361111936637202</v>
      </c>
      <c r="H240" s="13">
        <f ca="1"/>
        <v>0.9835673918815504</v>
      </c>
      <c r="I240" s="13">
        <f ca="1"/>
        <v>0.98297382034422065</v>
      </c>
      <c r="J240" s="13">
        <f ca="1"/>
        <v>0.95073416676889433</v>
      </c>
      <c r="K240" s="13">
        <f ca="1"/>
        <v>0.95072791910254373</v>
      </c>
    </row>
    <row r="241" spans="1:11">
      <c r="A241" s="14">
        <f t="shared" ca="1" si="23"/>
        <v>43388</v>
      </c>
      <c r="B241" s="74">
        <f t="shared" ca="1" si="18"/>
        <v>2.638537936363039E-2</v>
      </c>
      <c r="C241" s="74">
        <f t="shared" ca="1" si="19"/>
        <v>2.6462979817618582E-2</v>
      </c>
      <c r="D241" s="74">
        <f t="shared" ca="1" si="20"/>
        <v>2.7344283668572777E-2</v>
      </c>
      <c r="E241" s="74">
        <f t="shared" ca="1" si="21"/>
        <v>7.4657108779916936E-2</v>
      </c>
      <c r="F241" s="74">
        <f t="shared" ca="1" si="22"/>
        <v>7.4688608803650802E-2</v>
      </c>
      <c r="G241" s="13">
        <f ca="1"/>
        <v>0.98353885855792722</v>
      </c>
      <c r="H241" s="13">
        <f ca="1"/>
        <v>0.98349488522193285</v>
      </c>
      <c r="I241" s="13">
        <f ca="1"/>
        <v>0.98289893196324585</v>
      </c>
      <c r="J241" s="13">
        <f ca="1"/>
        <v>0.95052958272135357</v>
      </c>
      <c r="K241" s="13">
        <f ca="1"/>
        <v>0.95052324871611305</v>
      </c>
    </row>
    <row r="242" spans="1:11">
      <c r="A242" s="14">
        <f t="shared" ca="1" si="23"/>
        <v>43389</v>
      </c>
      <c r="B242" s="74">
        <f t="shared" ca="1" si="18"/>
        <v>2.6395561086479669E-2</v>
      </c>
      <c r="C242" s="74">
        <f t="shared" ca="1" si="19"/>
        <v>2.646102901864622E-2</v>
      </c>
      <c r="D242" s="74">
        <f t="shared" ca="1" si="20"/>
        <v>2.7354305643326748E-2</v>
      </c>
      <c r="E242" s="74">
        <f t="shared" ca="1" si="21"/>
        <v>7.4641043665135132E-2</v>
      </c>
      <c r="F242" s="74">
        <f t="shared" ca="1" si="22"/>
        <v>7.4672530022156236E-2</v>
      </c>
      <c r="G242" s="13">
        <f ca="1"/>
        <v>0.98346656984734193</v>
      </c>
      <c r="H242" s="13">
        <f ca="1"/>
        <v>0.98342238390736403</v>
      </c>
      <c r="I242" s="13">
        <f ca="1"/>
        <v>0.98282401611757852</v>
      </c>
      <c r="J242" s="13">
        <f ca="1"/>
        <v>0.95032504269729901</v>
      </c>
      <c r="K242" s="13">
        <f ca="1"/>
        <v>0.95031862239062359</v>
      </c>
    </row>
    <row r="243" spans="1:11">
      <c r="A243" s="14">
        <f t="shared" ca="1" si="23"/>
        <v>43390</v>
      </c>
      <c r="B243" s="74">
        <f t="shared" ca="1" si="18"/>
        <v>2.6405740249684784E-2</v>
      </c>
      <c r="C243" s="74">
        <f t="shared" ca="1" si="19"/>
        <v>2.6459078363490485E-2</v>
      </c>
      <c r="D243" s="74">
        <f t="shared" ca="1" si="20"/>
        <v>2.7364324979943233E-2</v>
      </c>
      <c r="E243" s="74">
        <f t="shared" ca="1" si="21"/>
        <v>7.4624982007341911E-2</v>
      </c>
      <c r="F243" s="74">
        <f t="shared" ca="1" si="22"/>
        <v>7.46564547021078E-2</v>
      </c>
      <c r="G243" s="13">
        <f ca="1"/>
        <v>0.98339425324162555</v>
      </c>
      <c r="H243" s="13">
        <f ca="1"/>
        <v>0.98334988793744993</v>
      </c>
      <c r="I243" s="13">
        <f ca="1"/>
        <v>0.98274907281444612</v>
      </c>
      <c r="J243" s="13">
        <f ca="1"/>
        <v>0.95012054668725754</v>
      </c>
      <c r="K243" s="13">
        <f ca="1"/>
        <v>0.95011404011659029</v>
      </c>
    </row>
    <row r="244" spans="1:11">
      <c r="A244" s="14">
        <f t="shared" ca="1" si="23"/>
        <v>43391</v>
      </c>
      <c r="B244" s="74">
        <f t="shared" ca="1" si="18"/>
        <v>2.6415916853164689E-2</v>
      </c>
      <c r="C244" s="74">
        <f t="shared" ca="1" si="19"/>
        <v>2.6457127852070328E-2</v>
      </c>
      <c r="D244" s="74">
        <f t="shared" ca="1" si="20"/>
        <v>2.7374341677044445E-2</v>
      </c>
      <c r="E244" s="74">
        <f t="shared" ca="1" si="21"/>
        <v>7.4608923805807859E-2</v>
      </c>
      <c r="F244" s="74">
        <f t="shared" ca="1" si="22"/>
        <v>7.4640382842735553E-2</v>
      </c>
      <c r="G244" s="13">
        <f ca="1"/>
        <v>0.9833219087477908</v>
      </c>
      <c r="H244" s="13">
        <f ca="1"/>
        <v>0.98327739731179653</v>
      </c>
      <c r="I244" s="13">
        <f ca="1"/>
        <v>0.98267410206107642</v>
      </c>
      <c r="J244" s="13">
        <f ca="1"/>
        <v>0.94991609468175797</v>
      </c>
      <c r="K244" s="13">
        <f ca="1"/>
        <v>0.94990950188452972</v>
      </c>
    </row>
    <row r="245" spans="1:11">
      <c r="A245" s="14">
        <f t="shared" ca="1" si="23"/>
        <v>43392</v>
      </c>
      <c r="B245" s="74">
        <f t="shared" ca="1" si="18"/>
        <v>2.6426090895420029E-2</v>
      </c>
      <c r="C245" s="74">
        <f t="shared" ca="1" si="19"/>
        <v>2.645517748450732E-2</v>
      </c>
      <c r="D245" s="74">
        <f t="shared" ca="1" si="20"/>
        <v>2.7384355733860444E-2</v>
      </c>
      <c r="E245" s="74">
        <f t="shared" ca="1" si="21"/>
        <v>7.4592869059763034E-2</v>
      </c>
      <c r="F245" s="74">
        <f t="shared" ca="1" si="22"/>
        <v>7.4624314443269557E-2</v>
      </c>
      <c r="G245" s="13">
        <f ca="1"/>
        <v>0.98324953637285062</v>
      </c>
      <c r="H245" s="13">
        <f ca="1"/>
        <v>0.98320491203001004</v>
      </c>
      <c r="I245" s="13">
        <f ca="1"/>
        <v>0.98259910386470095</v>
      </c>
      <c r="J245" s="13">
        <f ca="1"/>
        <v>0.9497116866713311</v>
      </c>
      <c r="K245" s="13">
        <f ca="1"/>
        <v>0.94970500768496058</v>
      </c>
    </row>
    <row r="246" spans="1:11">
      <c r="A246" s="14">
        <f t="shared" ca="1" si="23"/>
        <v>43393</v>
      </c>
      <c r="B246" s="74">
        <f t="shared" ca="1" si="18"/>
        <v>2.6436262375883479E-2</v>
      </c>
      <c r="C246" s="74">
        <f t="shared" ca="1" si="19"/>
        <v>2.645322726067989E-2</v>
      </c>
      <c r="D246" s="74">
        <f t="shared" ca="1" si="20"/>
        <v>2.7394367150148091E-2</v>
      </c>
      <c r="E246" s="74">
        <f t="shared" ca="1" si="21"/>
        <v>7.4576817768437498E-2</v>
      </c>
      <c r="F246" s="74">
        <f t="shared" ca="1" si="22"/>
        <v>7.4608249502939872E-2</v>
      </c>
      <c r="G246" s="13">
        <f ca="1"/>
        <v>0.98317713612382207</v>
      </c>
      <c r="H246" s="13">
        <f ca="1"/>
        <v>0.98313243209169632</v>
      </c>
      <c r="I246" s="13">
        <f ca="1"/>
        <v>0.98252407823255339</v>
      </c>
      <c r="J246" s="13">
        <f ca="1"/>
        <v>0.94950732264650983</v>
      </c>
      <c r="K246" s="13">
        <f ca="1"/>
        <v>0.94950055750840368</v>
      </c>
    </row>
    <row r="247" spans="1:11">
      <c r="A247" s="14">
        <f t="shared" ca="1" si="23"/>
        <v>43394</v>
      </c>
      <c r="B247" s="74">
        <f t="shared" ca="1" si="18"/>
        <v>2.6446431293582484E-2</v>
      </c>
      <c r="C247" s="74">
        <f t="shared" ca="1" si="19"/>
        <v>2.6451277180628563E-2</v>
      </c>
      <c r="D247" s="74">
        <f t="shared" ca="1" si="20"/>
        <v>2.7404375924286462E-2</v>
      </c>
      <c r="E247" s="74">
        <f t="shared" ca="1" si="21"/>
        <v>7.4560769931142357E-2</v>
      </c>
      <c r="F247" s="74">
        <f t="shared" ca="1" si="22"/>
        <v>7.4592188021057604E-2</v>
      </c>
      <c r="G247" s="13">
        <f ca="1"/>
        <v>0.98310470800772376</v>
      </c>
      <c r="H247" s="13">
        <f ca="1"/>
        <v>0.98305995749646158</v>
      </c>
      <c r="I247" s="13">
        <f ca="1"/>
        <v>0.98244902517186805</v>
      </c>
      <c r="J247" s="13">
        <f ca="1"/>
        <v>0.94930300259782918</v>
      </c>
      <c r="K247" s="13">
        <f ca="1"/>
        <v>0.94929615134538192</v>
      </c>
    </row>
    <row r="248" spans="1:11">
      <c r="A248" s="14">
        <f t="shared" ca="1" si="23"/>
        <v>43395</v>
      </c>
      <c r="B248" s="74">
        <f t="shared" ca="1" si="18"/>
        <v>2.6456597647828151E-2</v>
      </c>
      <c r="C248" s="74">
        <f t="shared" ca="1" si="19"/>
        <v>2.6449327244353338E-2</v>
      </c>
      <c r="D248" s="74">
        <f t="shared" ca="1" si="20"/>
        <v>2.7414382056356601E-2</v>
      </c>
      <c r="E248" s="74">
        <f t="shared" ca="1" si="21"/>
        <v>7.4544725547107671E-2</v>
      </c>
      <c r="F248" s="74">
        <f t="shared" ca="1" si="22"/>
        <v>7.457612999681229E-2</v>
      </c>
      <c r="G248" s="13">
        <f ca="1"/>
        <v>0.98303225203157696</v>
      </c>
      <c r="H248" s="13">
        <f ca="1"/>
        <v>0.98298748824391191</v>
      </c>
      <c r="I248" s="13">
        <f ca="1"/>
        <v>0.9823739446898837</v>
      </c>
      <c r="J248" s="13">
        <f ca="1"/>
        <v>0.94909872651582605</v>
      </c>
      <c r="K248" s="13">
        <f ca="1"/>
        <v>0.94909178918642012</v>
      </c>
    </row>
    <row r="249" spans="1:11">
      <c r="A249" s="14">
        <f t="shared" ca="1" si="23"/>
        <v>43396</v>
      </c>
      <c r="B249" s="74">
        <f t="shared" ca="1" si="18"/>
        <v>2.6466761437688446E-2</v>
      </c>
      <c r="C249" s="74">
        <f t="shared" ca="1" si="19"/>
        <v>2.6447377451813692E-2</v>
      </c>
      <c r="D249" s="74">
        <f t="shared" ca="1" si="20"/>
        <v>2.7424385544859153E-2</v>
      </c>
      <c r="E249" s="74">
        <f t="shared" ca="1" si="21"/>
        <v>7.4528684615563501E-2</v>
      </c>
      <c r="F249" s="74">
        <f t="shared" ca="1" si="22"/>
        <v>7.4560075429555561E-2</v>
      </c>
      <c r="G249" s="13">
        <f ca="1"/>
        <v>0.98295976820240483</v>
      </c>
      <c r="H249" s="13">
        <f ca="1"/>
        <v>0.98291502433365341</v>
      </c>
      <c r="I249" s="13">
        <f ca="1"/>
        <v>0.98229883679383889</v>
      </c>
      <c r="J249" s="13">
        <f ca="1"/>
        <v>0.94889449439103946</v>
      </c>
      <c r="K249" s="13">
        <f ca="1"/>
        <v>0.94888747102204529</v>
      </c>
    </row>
    <row r="250" spans="1:11">
      <c r="A250" s="14">
        <f t="shared" ca="1" si="23"/>
        <v>43397</v>
      </c>
      <c r="B250" s="74">
        <f t="shared" ca="1" si="18"/>
        <v>2.6476922662393432E-2</v>
      </c>
      <c r="C250" s="74">
        <f t="shared" ca="1" si="19"/>
        <v>2.6445427802969101E-2</v>
      </c>
      <c r="D250" s="74">
        <f t="shared" ca="1" si="20"/>
        <v>2.7434386388983656E-2</v>
      </c>
      <c r="E250" s="74">
        <f t="shared" ca="1" si="21"/>
        <v>7.451264713578043E-2</v>
      </c>
      <c r="F250" s="74">
        <f t="shared" ca="1" si="22"/>
        <v>7.4544024318476954E-2</v>
      </c>
      <c r="G250" s="13">
        <f ca="1"/>
        <v>0.98288725652723308</v>
      </c>
      <c r="H250" s="13">
        <f ca="1"/>
        <v>0.98284256576529228</v>
      </c>
      <c r="I250" s="13">
        <f ca="1"/>
        <v>0.98222370149097626</v>
      </c>
      <c r="J250" s="13">
        <f ca="1"/>
        <v>0.94869030621401051</v>
      </c>
      <c r="K250" s="13">
        <f ca="1"/>
        <v>0.94868319684278624</v>
      </c>
    </row>
    <row r="251" spans="1:11">
      <c r="A251" s="14">
        <f t="shared" ca="1" si="23"/>
        <v>43398</v>
      </c>
      <c r="B251" s="74">
        <f t="shared" ca="1" si="18"/>
        <v>2.6487081320848982E-2</v>
      </c>
      <c r="C251" s="74">
        <f t="shared" ca="1" si="19"/>
        <v>2.6443478297900613E-2</v>
      </c>
      <c r="D251" s="74">
        <f t="shared" ca="1" si="20"/>
        <v>2.7444384588649062E-2</v>
      </c>
      <c r="E251" s="74">
        <f t="shared" ca="1" si="21"/>
        <v>7.4496613107069565E-2</v>
      </c>
      <c r="F251" s="74">
        <f t="shared" ca="1" si="22"/>
        <v>7.4527976662806528E-2</v>
      </c>
      <c r="G251" s="13">
        <f ca="1"/>
        <v>0.98281471701308953</v>
      </c>
      <c r="H251" s="13">
        <f ca="1"/>
        <v>0.98277011253843483</v>
      </c>
      <c r="I251" s="13">
        <f ca="1"/>
        <v>0.98214853878854069</v>
      </c>
      <c r="J251" s="13">
        <f ca="1"/>
        <v>0.94848616197528235</v>
      </c>
      <c r="K251" s="13">
        <f ca="1"/>
        <v>0.94847896663917397</v>
      </c>
    </row>
    <row r="252" spans="1:11">
      <c r="A252" s="14">
        <f t="shared" ca="1" si="23"/>
        <v>43399</v>
      </c>
      <c r="B252" s="74">
        <f t="shared" ca="1" si="18"/>
        <v>2.6497237412852481E-2</v>
      </c>
      <c r="C252" s="74">
        <f t="shared" ca="1" si="19"/>
        <v>2.6441528936567704E-2</v>
      </c>
      <c r="D252" s="74">
        <f t="shared" ca="1" si="20"/>
        <v>2.7454380142112877E-2</v>
      </c>
      <c r="E252" s="74">
        <f t="shared" ca="1" si="21"/>
        <v>7.4480582528620443E-2</v>
      </c>
      <c r="F252" s="74">
        <f t="shared" ca="1" si="22"/>
        <v>7.451193246185539E-2</v>
      </c>
      <c r="G252" s="13">
        <f ca="1"/>
        <v>0.98274214966700502</v>
      </c>
      <c r="H252" s="13">
        <f ca="1"/>
        <v>0.98269766465268715</v>
      </c>
      <c r="I252" s="13">
        <f ca="1"/>
        <v>0.98207334869377727</v>
      </c>
      <c r="J252" s="13">
        <f ca="1"/>
        <v>0.94828206166539997</v>
      </c>
      <c r="K252" s="13">
        <f ca="1"/>
        <v>0.94827478040174162</v>
      </c>
    </row>
    <row r="253" spans="1:11">
      <c r="A253" s="14">
        <f t="shared" ca="1" si="23"/>
        <v>43400</v>
      </c>
      <c r="B253" s="74">
        <f t="shared" ca="1" si="18"/>
        <v>2.650739093698562E-2</v>
      </c>
      <c r="C253" s="74">
        <f t="shared" ca="1" si="19"/>
        <v>2.6439579718848805E-2</v>
      </c>
      <c r="D253" s="74">
        <f t="shared" ca="1" si="20"/>
        <v>2.7464373049496671E-2</v>
      </c>
      <c r="E253" s="74">
        <f t="shared" ca="1" si="21"/>
        <v>7.446455539974417E-2</v>
      </c>
      <c r="F253" s="74">
        <f t="shared" ca="1" si="22"/>
        <v>7.4495891714853602E-2</v>
      </c>
      <c r="G253" s="13">
        <f ca="1"/>
        <v>0.9826695544960109</v>
      </c>
      <c r="H253" s="13">
        <f ca="1"/>
        <v>0.98262522210765546</v>
      </c>
      <c r="I253" s="13">
        <f ca="1"/>
        <v>0.98199813121393587</v>
      </c>
      <c r="J253" s="13">
        <f ca="1"/>
        <v>0.9480780052749106</v>
      </c>
      <c r="K253" s="13">
        <f ca="1"/>
        <v>0.94807063812102421</v>
      </c>
    </row>
    <row r="254" spans="1:11">
      <c r="A254" s="14">
        <f t="shared" ca="1" si="23"/>
        <v>43401</v>
      </c>
      <c r="B254" s="74">
        <f t="shared" ca="1" si="18"/>
        <v>2.6517541892559504E-2</v>
      </c>
      <c r="C254" s="74">
        <f t="shared" ca="1" si="19"/>
        <v>2.6437630644906007E-2</v>
      </c>
      <c r="D254" s="74">
        <f t="shared" ca="1" si="20"/>
        <v>2.7474363309017424E-2</v>
      </c>
      <c r="E254" s="74">
        <f t="shared" ca="1" si="21"/>
        <v>7.4448531719630284E-2</v>
      </c>
      <c r="F254" s="74">
        <f t="shared" ca="1" si="22"/>
        <v>7.4479854421071745E-2</v>
      </c>
      <c r="G254" s="13">
        <f ca="1"/>
        <v>0.98259693150714245</v>
      </c>
      <c r="H254" s="13">
        <f ca="1"/>
        <v>0.98255278490294629</v>
      </c>
      <c r="I254" s="13">
        <f ca="1"/>
        <v>0.98192288635626601</v>
      </c>
      <c r="J254" s="13">
        <f ca="1"/>
        <v>0.94787399279436335</v>
      </c>
      <c r="K254" s="13">
        <f ca="1"/>
        <v>0.94786653978755886</v>
      </c>
    </row>
    <row r="255" spans="1:11">
      <c r="A255" s="14">
        <f t="shared" ca="1" si="23"/>
        <v>43402</v>
      </c>
      <c r="B255" s="74">
        <f t="shared" ca="1" si="18"/>
        <v>2.6527690278844718E-2</v>
      </c>
      <c r="C255" s="74">
        <f t="shared" ca="1" si="19"/>
        <v>2.6435681714577219E-2</v>
      </c>
      <c r="D255" s="74">
        <f t="shared" ca="1" si="20"/>
        <v>2.7484350920918277E-2</v>
      </c>
      <c r="E255" s="74">
        <f t="shared" ca="1" si="21"/>
        <v>7.4432511487589892E-2</v>
      </c>
      <c r="F255" s="74">
        <f t="shared" ca="1" si="22"/>
        <v>7.4463820579780404E-2</v>
      </c>
      <c r="G255" s="13">
        <f ca="1"/>
        <v>0.9825242807074368</v>
      </c>
      <c r="H255" s="13">
        <f ca="1"/>
        <v>0.98248035303816572</v>
      </c>
      <c r="I255" s="13">
        <f ca="1"/>
        <v>0.98184761412802213</v>
      </c>
      <c r="J255" s="13">
        <f ca="1"/>
        <v>0.94767002421430957</v>
      </c>
      <c r="K255" s="13">
        <f ca="1"/>
        <v>0.94766248539188469</v>
      </c>
    </row>
    <row r="256" spans="1:11">
      <c r="A256" s="14">
        <f t="shared" ca="1" si="23"/>
        <v>43403</v>
      </c>
      <c r="B256" s="74">
        <f t="shared" ca="1" si="18"/>
        <v>2.6537836094949752E-2</v>
      </c>
      <c r="C256" s="74">
        <f t="shared" ca="1" si="19"/>
        <v>2.6433732927984011E-2</v>
      </c>
      <c r="D256" s="74">
        <f t="shared" ca="1" si="20"/>
        <v>2.7494335883578302E-2</v>
      </c>
      <c r="E256" s="74">
        <f t="shared" ca="1" si="21"/>
        <v>7.4416494702893576E-2</v>
      </c>
      <c r="F256" s="74">
        <f t="shared" ca="1" si="22"/>
        <v>7.4447790190169116E-2</v>
      </c>
      <c r="G256" s="13">
        <f ca="1"/>
        <v>0.98245160210393312</v>
      </c>
      <c r="H256" s="13">
        <f ca="1"/>
        <v>0.9824079265129203</v>
      </c>
      <c r="I256" s="13">
        <f ca="1"/>
        <v>0.98177231453645797</v>
      </c>
      <c r="J256" s="13">
        <f ca="1"/>
        <v>0.94746609952530247</v>
      </c>
      <c r="K256" s="13">
        <f ca="1"/>
        <v>0.94745847492454283</v>
      </c>
    </row>
    <row r="257" spans="1:11">
      <c r="A257" s="14">
        <f t="shared" ca="1" si="23"/>
        <v>43404</v>
      </c>
      <c r="B257" s="74">
        <f t="shared" ca="1" si="18"/>
        <v>2.6547979339983097E-2</v>
      </c>
      <c r="C257" s="74">
        <f t="shared" ca="1" si="19"/>
        <v>2.6431784285045334E-2</v>
      </c>
      <c r="D257" s="74">
        <f t="shared" ca="1" si="20"/>
        <v>2.7504318196308608E-2</v>
      </c>
      <c r="E257" s="74">
        <f t="shared" ca="1" si="21"/>
        <v>7.4400481364730875E-2</v>
      </c>
      <c r="F257" s="74">
        <f t="shared" ca="1" si="22"/>
        <v>7.4431763251589511E-2</v>
      </c>
      <c r="G257" s="13">
        <f ca="1"/>
        <v>0.98237889570367298</v>
      </c>
      <c r="H257" s="13">
        <f ca="1"/>
        <v>0.98233550532681624</v>
      </c>
      <c r="I257" s="13">
        <f ca="1"/>
        <v>0.98169698758883173</v>
      </c>
      <c r="J257" s="13">
        <f ca="1"/>
        <v>0.94726221871789729</v>
      </c>
      <c r="K257" s="13">
        <f ca="1"/>
        <v>0.94725450837607661</v>
      </c>
    </row>
    <row r="258" spans="1:11">
      <c r="A258" s="14">
        <f t="shared" ca="1" si="23"/>
        <v>43405</v>
      </c>
      <c r="B258" s="74">
        <f t="shared" ref="B258:B321" ca="1" si="24">(G258-G259)/($A259-$A258)*365</f>
        <v>2.6558120012972197E-2</v>
      </c>
      <c r="C258" s="74">
        <f t="shared" ref="C258:C321" ca="1" si="25">(H258-H259)/($A259-$A258)*365</f>
        <v>2.6429835785680145E-2</v>
      </c>
      <c r="D258" s="74">
        <f t="shared" ref="D258:D321" ca="1" si="26">(I258-I259)/($A259-$A258)*365</f>
        <v>2.7514297858906578E-2</v>
      </c>
      <c r="E258" s="74">
        <f t="shared" ref="E258:E321" ca="1" si="27">(J258-J259)/($A259-$A258)*365</f>
        <v>7.4384471472453417E-2</v>
      </c>
      <c r="F258" s="74">
        <f t="shared" ref="F258:F321" ca="1" si="28">(K258-K259)/($A259-$A258)*365</f>
        <v>7.4415739763231126E-2</v>
      </c>
      <c r="G258" s="13">
        <f ca="1"/>
        <v>0.98230616151370043</v>
      </c>
      <c r="H258" s="13">
        <f ca="1"/>
        <v>0.98226308947945995</v>
      </c>
      <c r="I258" s="13">
        <f ca="1"/>
        <v>0.98162163329240348</v>
      </c>
      <c r="J258" s="13">
        <f ca="1"/>
        <v>0.94705838178265145</v>
      </c>
      <c r="K258" s="13">
        <f ca="1"/>
        <v>0.94705058573703116</v>
      </c>
    </row>
    <row r="259" spans="1:11">
      <c r="A259" s="14">
        <f t="shared" ca="1" si="23"/>
        <v>43406</v>
      </c>
      <c r="B259" s="74">
        <f t="shared" ca="1" si="24"/>
        <v>2.6568258113754961E-2</v>
      </c>
      <c r="C259" s="74">
        <f t="shared" ca="1" si="25"/>
        <v>2.6427887430050534E-2</v>
      </c>
      <c r="D259" s="74">
        <f t="shared" ca="1" si="26"/>
        <v>2.7524274869710763E-2</v>
      </c>
      <c r="E259" s="74">
        <f t="shared" ca="1" si="27"/>
        <v>7.4368465025250741E-2</v>
      </c>
      <c r="F259" s="74">
        <f t="shared" ca="1" si="28"/>
        <v>7.439971972432402E-2</v>
      </c>
      <c r="G259" s="13">
        <f ca="1"/>
        <v>0.98223339954106215</v>
      </c>
      <c r="H259" s="13">
        <f ca="1"/>
        <v>0.98219067897045809</v>
      </c>
      <c r="I259" s="13">
        <f ca="1"/>
        <v>0.98154625165443388</v>
      </c>
      <c r="J259" s="13">
        <f ca="1"/>
        <v>0.94685458871012418</v>
      </c>
      <c r="K259" s="13">
        <f ca="1"/>
        <v>0.94684670699795381</v>
      </c>
    </row>
    <row r="260" spans="1:11">
      <c r="A260" s="14">
        <f t="shared" ref="A260:A323" ca="1" si="29">A259+1</f>
        <v>43407</v>
      </c>
      <c r="B260" s="74">
        <f t="shared" ca="1" si="24"/>
        <v>2.6578393640750986E-2</v>
      </c>
      <c r="C260" s="74">
        <f t="shared" ca="1" si="25"/>
        <v>2.6425939217953887E-2</v>
      </c>
      <c r="D260" s="74">
        <f t="shared" ca="1" si="26"/>
        <v>2.753424922880221E-2</v>
      </c>
      <c r="E260" s="74">
        <f t="shared" ca="1" si="27"/>
        <v>7.4352462022393428E-2</v>
      </c>
      <c r="F260" s="74">
        <f t="shared" ca="1" si="28"/>
        <v>7.4383703134260348E-2</v>
      </c>
      <c r="G260" s="13">
        <f ca="1"/>
        <v>0.98216060979280528</v>
      </c>
      <c r="H260" s="13">
        <f ca="1"/>
        <v>0.98211827379941685</v>
      </c>
      <c r="I260" s="13">
        <f ca="1"/>
        <v>0.98147084268218809</v>
      </c>
      <c r="J260" s="13">
        <f ca="1"/>
        <v>0.94665083949087692</v>
      </c>
      <c r="K260" s="13">
        <f ca="1"/>
        <v>0.94664287214939402</v>
      </c>
    </row>
    <row r="261" spans="1:11">
      <c r="A261" s="14">
        <f t="shared" ca="1" si="29"/>
        <v>43408</v>
      </c>
      <c r="B261" s="74">
        <f t="shared" ca="1" si="24"/>
        <v>2.6588526593473993E-2</v>
      </c>
      <c r="C261" s="74">
        <f t="shared" ca="1" si="25"/>
        <v>2.6423991149592818E-2</v>
      </c>
      <c r="D261" s="74">
        <f t="shared" ca="1" si="26"/>
        <v>2.7544220934722086E-2</v>
      </c>
      <c r="E261" s="74">
        <f t="shared" ca="1" si="27"/>
        <v>7.4336462463152064E-2</v>
      </c>
      <c r="F261" s="74">
        <f t="shared" ca="1" si="28"/>
        <v>7.43676899921486E-2</v>
      </c>
      <c r="G261" s="13">
        <f ca="1"/>
        <v>0.98208779227598131</v>
      </c>
      <c r="H261" s="13">
        <f ca="1"/>
        <v>0.98204587396594301</v>
      </c>
      <c r="I261" s="13">
        <f ca="1"/>
        <v>0.9813954063829311</v>
      </c>
      <c r="J261" s="13">
        <f ca="1"/>
        <v>0.9464471341154731</v>
      </c>
      <c r="K261" s="13">
        <f ca="1"/>
        <v>0.9464390811819029</v>
      </c>
    </row>
    <row r="262" spans="1:11">
      <c r="A262" s="14">
        <f t="shared" ca="1" si="29"/>
        <v>43409</v>
      </c>
      <c r="B262" s="74">
        <f t="shared" ca="1" si="24"/>
        <v>2.6598656971032475E-2</v>
      </c>
      <c r="C262" s="74">
        <f t="shared" ca="1" si="25"/>
        <v>2.642204322472419E-2</v>
      </c>
      <c r="D262" s="74">
        <f t="shared" ca="1" si="26"/>
        <v>2.7554189986659927E-2</v>
      </c>
      <c r="E262" s="74">
        <f t="shared" ca="1" si="27"/>
        <v>7.4320466346797232E-2</v>
      </c>
      <c r="F262" s="74">
        <f t="shared" ca="1" si="28"/>
        <v>7.4351680297299882E-2</v>
      </c>
      <c r="G262" s="13">
        <f ca="1"/>
        <v>0.98201494699764302</v>
      </c>
      <c r="H262" s="13">
        <f ca="1"/>
        <v>0.98197347946964275</v>
      </c>
      <c r="I262" s="13">
        <f ca="1"/>
        <v>0.98131994276393186</v>
      </c>
      <c r="J262" s="13">
        <f ca="1"/>
        <v>0.94624347257447816</v>
      </c>
      <c r="K262" s="13">
        <f ca="1"/>
        <v>0.946235334086034</v>
      </c>
    </row>
    <row r="263" spans="1:11">
      <c r="A263" s="14">
        <f t="shared" ca="1" si="29"/>
        <v>43410</v>
      </c>
      <c r="B263" s="74">
        <f t="shared" ca="1" si="24"/>
        <v>2.6608784772575444E-2</v>
      </c>
      <c r="C263" s="74">
        <f t="shared" ca="1" si="25"/>
        <v>2.6420095443510094E-2</v>
      </c>
      <c r="D263" s="74">
        <f t="shared" ca="1" si="26"/>
        <v>2.7564156384494165E-2</v>
      </c>
      <c r="E263" s="74">
        <f t="shared" ca="1" si="27"/>
        <v>7.4304473672518467E-2</v>
      </c>
      <c r="F263" s="74">
        <f t="shared" ca="1" si="28"/>
        <v>7.4335674049025302E-2</v>
      </c>
      <c r="G263" s="13">
        <f ca="1"/>
        <v>0.98194207396484567</v>
      </c>
      <c r="H263" s="13">
        <f ca="1"/>
        <v>0.98190109031012296</v>
      </c>
      <c r="I263" s="13">
        <f ca="1"/>
        <v>0.98124445183246156</v>
      </c>
      <c r="J263" s="13">
        <f ca="1"/>
        <v>0.94603985485845954</v>
      </c>
      <c r="K263" s="13">
        <f ca="1"/>
        <v>0.94603163085234276</v>
      </c>
    </row>
    <row r="264" spans="1:11">
      <c r="A264" s="14">
        <f t="shared" ca="1" si="29"/>
        <v>43411</v>
      </c>
      <c r="B264" s="74">
        <f t="shared" ca="1" si="24"/>
        <v>2.6618909997292439E-2</v>
      </c>
      <c r="C264" s="74">
        <f t="shared" ca="1" si="25"/>
        <v>2.6418147805910008E-2</v>
      </c>
      <c r="D264" s="74">
        <f t="shared" ca="1" si="26"/>
        <v>2.7574120126522828E-2</v>
      </c>
      <c r="E264" s="74">
        <f t="shared" ca="1" si="27"/>
        <v>7.4288484439667402E-2</v>
      </c>
      <c r="F264" s="74">
        <f t="shared" ca="1" si="28"/>
        <v>7.4319671246514396E-2</v>
      </c>
      <c r="G264" s="13">
        <f ca="1"/>
        <v>0.98186917318464684</v>
      </c>
      <c r="H264" s="13">
        <f ca="1"/>
        <v>0.98182870648699005</v>
      </c>
      <c r="I264" s="13">
        <f ca="1"/>
        <v>0.98116893359579171</v>
      </c>
      <c r="J264" s="13">
        <f ca="1"/>
        <v>0.94583628095798689</v>
      </c>
      <c r="K264" s="13">
        <f ca="1"/>
        <v>0.94582797147138653</v>
      </c>
    </row>
    <row r="265" spans="1:11">
      <c r="A265" s="14">
        <f t="shared" ca="1" si="29"/>
        <v>43412</v>
      </c>
      <c r="B265" s="74">
        <f t="shared" ca="1" si="24"/>
        <v>2.6629032644372996E-2</v>
      </c>
      <c r="C265" s="74">
        <f t="shared" ca="1" si="25"/>
        <v>2.6416200311842886E-2</v>
      </c>
      <c r="D265" s="74">
        <f t="shared" ca="1" si="26"/>
        <v>2.7584081212908007E-2</v>
      </c>
      <c r="E265" s="74">
        <f t="shared" ca="1" si="27"/>
        <v>7.4272498647474094E-2</v>
      </c>
      <c r="F265" s="74">
        <f t="shared" ca="1" si="28"/>
        <v>7.4303671889037748E-2</v>
      </c>
      <c r="G265" s="13">
        <f ca="1"/>
        <v>0.98179624466410631</v>
      </c>
      <c r="H265" s="13">
        <f ca="1"/>
        <v>0.98175632799985058</v>
      </c>
      <c r="I265" s="13">
        <f ca="1"/>
        <v>0.9810933880611985</v>
      </c>
      <c r="J265" s="13">
        <f ca="1"/>
        <v>0.94563275086363163</v>
      </c>
      <c r="K265" s="13">
        <f ca="1"/>
        <v>0.94562435593372485</v>
      </c>
    </row>
    <row r="266" spans="1:11">
      <c r="A266" s="14">
        <f t="shared" ca="1" si="29"/>
        <v>43413</v>
      </c>
      <c r="B266" s="74">
        <f t="shared" ca="1" si="24"/>
        <v>2.6639152712722991E-2</v>
      </c>
      <c r="C266" s="74">
        <f t="shared" ca="1" si="25"/>
        <v>2.6414252961349249E-2</v>
      </c>
      <c r="D266" s="74">
        <f t="shared" ca="1" si="26"/>
        <v>2.7594039642028778E-2</v>
      </c>
      <c r="E266" s="74">
        <f t="shared" ca="1" si="27"/>
        <v>7.425651629520913E-2</v>
      </c>
      <c r="F266" s="74">
        <f t="shared" ca="1" si="28"/>
        <v>7.4287675975865941E-2</v>
      </c>
      <c r="G266" s="13">
        <f ca="1"/>
        <v>0.98172328841028611</v>
      </c>
      <c r="H266" s="13">
        <f ca="1"/>
        <v>0.98168395484831128</v>
      </c>
      <c r="I266" s="13">
        <f ca="1"/>
        <v>0.98101781523595766</v>
      </c>
      <c r="J266" s="13">
        <f ca="1"/>
        <v>0.94542926456596732</v>
      </c>
      <c r="K266" s="13">
        <f ca="1"/>
        <v>0.94542078422991926</v>
      </c>
    </row>
    <row r="267" spans="1:11">
      <c r="A267" s="14">
        <f t="shared" ca="1" si="29"/>
        <v>43414</v>
      </c>
      <c r="B267" s="74">
        <f t="shared" ca="1" si="24"/>
        <v>2.66492702023019E-2</v>
      </c>
      <c r="C267" s="74">
        <f t="shared" ca="1" si="25"/>
        <v>2.6412305754388576E-2</v>
      </c>
      <c r="D267" s="74">
        <f t="shared" ca="1" si="26"/>
        <v>2.7603995413277294E-2</v>
      </c>
      <c r="E267" s="74">
        <f t="shared" ca="1" si="27"/>
        <v>7.4240537382021521E-2</v>
      </c>
      <c r="F267" s="74">
        <f t="shared" ca="1" si="28"/>
        <v>7.4271683506269559E-2</v>
      </c>
      <c r="G267" s="13">
        <f ca="1"/>
        <v>0.98165030443025125</v>
      </c>
      <c r="H267" s="13">
        <f ca="1"/>
        <v>0.98161158703197882</v>
      </c>
      <c r="I267" s="13">
        <f ca="1"/>
        <v>0.98094221512734936</v>
      </c>
      <c r="J267" s="13">
        <f ca="1"/>
        <v>0.94522582205556949</v>
      </c>
      <c r="K267" s="13">
        <f ca="1"/>
        <v>0.94521725635053333</v>
      </c>
    </row>
    <row r="268" spans="1:11">
      <c r="A268" s="14">
        <f t="shared" ca="1" si="29"/>
        <v>43415</v>
      </c>
      <c r="B268" s="74">
        <f t="shared" ca="1" si="24"/>
        <v>2.6659385111407752E-2</v>
      </c>
      <c r="C268" s="74">
        <f t="shared" ca="1" si="25"/>
        <v>2.641035869100139E-2</v>
      </c>
      <c r="D268" s="74">
        <f t="shared" ca="1" si="26"/>
        <v>2.7613948526369891E-2</v>
      </c>
      <c r="E268" s="74">
        <f t="shared" ca="1" si="27"/>
        <v>7.4224561907384468E-2</v>
      </c>
      <c r="F268" s="74">
        <f t="shared" ca="1" si="28"/>
        <v>7.4255694479478662E-2</v>
      </c>
      <c r="G268" s="13">
        <f ca="1"/>
        <v>0.98157729273106686</v>
      </c>
      <c r="H268" s="13">
        <f ca="1"/>
        <v>0.98153922455045994</v>
      </c>
      <c r="I268" s="13">
        <f ca="1"/>
        <v>0.98086658774265545</v>
      </c>
      <c r="J268" s="13">
        <f ca="1"/>
        <v>0.945022423323016</v>
      </c>
      <c r="K268" s="13">
        <f ca="1"/>
        <v>0.94501377228613259</v>
      </c>
    </row>
    <row r="269" spans="1:11">
      <c r="A269" s="14">
        <f t="shared" ca="1" si="29"/>
        <v>43416</v>
      </c>
      <c r="B269" s="74">
        <f t="shared" ca="1" si="24"/>
        <v>2.6669497439635315E-2</v>
      </c>
      <c r="C269" s="74">
        <f t="shared" ca="1" si="25"/>
        <v>2.6408411771147167E-2</v>
      </c>
      <c r="D269" s="74">
        <f t="shared" ca="1" si="26"/>
        <v>2.7623898979685646E-2</v>
      </c>
      <c r="E269" s="74">
        <f t="shared" ca="1" si="27"/>
        <v>7.4208589870325414E-2</v>
      </c>
      <c r="F269" s="74">
        <f t="shared" ca="1" si="28"/>
        <v>7.4239708894763834E-2</v>
      </c>
      <c r="G269" s="13">
        <f ca="1"/>
        <v>0.98150425331980273</v>
      </c>
      <c r="H269" s="13">
        <f ca="1"/>
        <v>0.98146686740336131</v>
      </c>
      <c r="I269" s="13">
        <f ca="1"/>
        <v>0.98079093308915855</v>
      </c>
      <c r="J269" s="13">
        <f ca="1"/>
        <v>0.94481906835888618</v>
      </c>
      <c r="K269" s="13">
        <f ca="1"/>
        <v>0.9448103320272847</v>
      </c>
    </row>
    <row r="270" spans="1:11">
      <c r="A270" s="14">
        <f t="shared" ca="1" si="29"/>
        <v>43417</v>
      </c>
      <c r="B270" s="74">
        <f t="shared" ca="1" si="24"/>
        <v>2.6679607186093079E-2</v>
      </c>
      <c r="C270" s="74">
        <f t="shared" ca="1" si="25"/>
        <v>2.6406464994825907E-2</v>
      </c>
      <c r="D270" s="74">
        <f t="shared" ca="1" si="26"/>
        <v>2.763384677338665E-2</v>
      </c>
      <c r="E270" s="74">
        <f t="shared" ca="1" si="27"/>
        <v>7.4192621270277037E-2</v>
      </c>
      <c r="F270" s="74">
        <f t="shared" ca="1" si="28"/>
        <v>7.4223726751436181E-2</v>
      </c>
      <c r="G270" s="13">
        <f ca="1"/>
        <v>0.98143118620352976</v>
      </c>
      <c r="H270" s="13">
        <f ca="1"/>
        <v>0.98139451559028967</v>
      </c>
      <c r="I270" s="13">
        <f ca="1"/>
        <v>0.98071525117414571</v>
      </c>
      <c r="J270" s="13">
        <f ca="1"/>
        <v>0.944615757153762</v>
      </c>
      <c r="K270" s="13">
        <f ca="1"/>
        <v>0.94460693556455932</v>
      </c>
    </row>
    <row r="271" spans="1:11">
      <c r="A271" s="14">
        <f t="shared" ca="1" si="29"/>
        <v>43418</v>
      </c>
      <c r="B271" s="74">
        <f t="shared" ca="1" si="24"/>
        <v>2.6689714349889537E-2</v>
      </c>
      <c r="C271" s="74">
        <f t="shared" ca="1" si="25"/>
        <v>2.6404518361997087E-2</v>
      </c>
      <c r="D271" s="74">
        <f t="shared" ca="1" si="26"/>
        <v>2.7643791905851978E-2</v>
      </c>
      <c r="E271" s="74">
        <f t="shared" ca="1" si="27"/>
        <v>7.417665610638835E-2</v>
      </c>
      <c r="F271" s="74">
        <f t="shared" ca="1" si="28"/>
        <v>7.4207748048604194E-2</v>
      </c>
      <c r="G271" s="13">
        <f ca="1"/>
        <v>0.98135809138932129</v>
      </c>
      <c r="H271" s="13">
        <f ca="1"/>
        <v>0.98132216911085179</v>
      </c>
      <c r="I271" s="13">
        <f ca="1"/>
        <v>0.98063954200490355</v>
      </c>
      <c r="J271" s="13">
        <f ca="1"/>
        <v>0.944412489698227</v>
      </c>
      <c r="K271" s="13">
        <f ca="1"/>
        <v>0.94440358288852799</v>
      </c>
    </row>
    <row r="272" spans="1:11">
      <c r="A272" s="14">
        <f t="shared" ca="1" si="29"/>
        <v>43419</v>
      </c>
      <c r="B272" s="74">
        <f t="shared" ca="1" si="24"/>
        <v>2.6699818930254748E-2</v>
      </c>
      <c r="C272" s="74">
        <f t="shared" ca="1" si="25"/>
        <v>2.6402571872660707E-2</v>
      </c>
      <c r="D272" s="74">
        <f t="shared" ca="1" si="26"/>
        <v>2.7653734376433259E-2</v>
      </c>
      <c r="E272" s="74">
        <f t="shared" ca="1" si="27"/>
        <v>7.4160694378010983E-2</v>
      </c>
      <c r="F272" s="74">
        <f t="shared" ca="1" si="28"/>
        <v>7.4191772785741072E-2</v>
      </c>
      <c r="G272" s="13">
        <f ca="1"/>
        <v>0.98128496888425309</v>
      </c>
      <c r="H272" s="13">
        <f ca="1"/>
        <v>0.98124982796465454</v>
      </c>
      <c r="I272" s="13">
        <f ca="1"/>
        <v>0.98056380558872314</v>
      </c>
      <c r="J272" s="13">
        <f ca="1"/>
        <v>0.94420926598286703</v>
      </c>
      <c r="K272" s="13">
        <f ca="1"/>
        <v>0.94420027398976469</v>
      </c>
    </row>
    <row r="273" spans="1:11">
      <c r="A273" s="14">
        <f t="shared" ca="1" si="29"/>
        <v>43420</v>
      </c>
      <c r="B273" s="74">
        <f t="shared" ca="1" si="24"/>
        <v>2.6709920926418773E-2</v>
      </c>
      <c r="C273" s="74">
        <f t="shared" ca="1" si="25"/>
        <v>2.6400625526857291E-2</v>
      </c>
      <c r="D273" s="74">
        <f t="shared" ca="1" si="26"/>
        <v>2.7663674184927878E-2</v>
      </c>
      <c r="E273" s="74">
        <f t="shared" ca="1" si="27"/>
        <v>7.4144736084374996E-2</v>
      </c>
      <c r="F273" s="74">
        <f t="shared" ca="1" si="28"/>
        <v>7.4175800961914784E-2</v>
      </c>
      <c r="G273" s="13">
        <f ca="1"/>
        <v>0.98121181869540308</v>
      </c>
      <c r="H273" s="13">
        <f ca="1"/>
        <v>0.98117749215130479</v>
      </c>
      <c r="I273" s="13">
        <f ca="1"/>
        <v>0.98048804193289729</v>
      </c>
      <c r="J273" s="13">
        <f ca="1"/>
        <v>0.94400608599826974</v>
      </c>
      <c r="K273" s="13">
        <f ca="1"/>
        <v>0.94399700885884485</v>
      </c>
    </row>
    <row r="274" spans="1:11">
      <c r="A274" s="14">
        <f t="shared" ca="1" si="29"/>
        <v>43421</v>
      </c>
      <c r="B274" s="74">
        <f t="shared" ca="1" si="24"/>
        <v>2.672002033720644E-2</v>
      </c>
      <c r="C274" s="74">
        <f t="shared" ca="1" si="25"/>
        <v>2.6398679324505792E-2</v>
      </c>
      <c r="D274" s="74">
        <f t="shared" ca="1" si="26"/>
        <v>2.7673611329633863E-2</v>
      </c>
      <c r="E274" s="74">
        <f t="shared" ca="1" si="27"/>
        <v>7.4128781224710449E-2</v>
      </c>
      <c r="F274" s="74">
        <f t="shared" ca="1" si="28"/>
        <v>7.4159832576476958E-2</v>
      </c>
      <c r="G274" s="13">
        <f ca="1"/>
        <v>0.98113864082985125</v>
      </c>
      <c r="H274" s="13">
        <f ca="1"/>
        <v>0.98110516167040929</v>
      </c>
      <c r="I274" s="13">
        <f ca="1"/>
        <v>0.98041225104471941</v>
      </c>
      <c r="J274" s="13">
        <f ca="1"/>
        <v>0.94380294973502488</v>
      </c>
      <c r="K274" s="13">
        <f ca="1"/>
        <v>0.94379378748634646</v>
      </c>
    </row>
    <row r="275" spans="1:11">
      <c r="A275" s="14">
        <f t="shared" ca="1" si="29"/>
        <v>43422</v>
      </c>
      <c r="B275" s="74">
        <f t="shared" ca="1" si="24"/>
        <v>2.6730117162577227E-2</v>
      </c>
      <c r="C275" s="74">
        <f t="shared" ca="1" si="25"/>
        <v>2.6396733265606209E-2</v>
      </c>
      <c r="D275" s="74">
        <f t="shared" ca="1" si="26"/>
        <v>2.7683545810753829E-2</v>
      </c>
      <c r="E275" s="74">
        <f t="shared" ca="1" si="27"/>
        <v>7.4112829798287927E-2</v>
      </c>
      <c r="F275" s="74">
        <f t="shared" ca="1" si="28"/>
        <v>7.4143867628698179E-2</v>
      </c>
      <c r="G275" s="13">
        <f ca="1"/>
        <v>0.98106543529468082</v>
      </c>
      <c r="H275" s="13">
        <f ca="1"/>
        <v>0.98103283652157502</v>
      </c>
      <c r="I275" s="13">
        <f ca="1"/>
        <v>0.98033643293148753</v>
      </c>
      <c r="J275" s="13">
        <f ca="1"/>
        <v>0.9435998571837243</v>
      </c>
      <c r="K275" s="13">
        <f ca="1"/>
        <v>0.94359060986284926</v>
      </c>
    </row>
    <row r="276" spans="1:11">
      <c r="A276" s="14">
        <f t="shared" ca="1" si="29"/>
        <v>43423</v>
      </c>
      <c r="B276" s="74">
        <f t="shared" ca="1" si="24"/>
        <v>2.6740211401031777E-2</v>
      </c>
      <c r="C276" s="74">
        <f t="shared" ca="1" si="25"/>
        <v>2.6394787350199067E-2</v>
      </c>
      <c r="D276" s="74">
        <f t="shared" ca="1" si="26"/>
        <v>2.7693477626707375E-2</v>
      </c>
      <c r="E276" s="74">
        <f t="shared" ca="1" si="27"/>
        <v>7.4096881804378012E-2</v>
      </c>
      <c r="F276" s="74">
        <f t="shared" ca="1" si="28"/>
        <v>7.4127906117808506E-2</v>
      </c>
      <c r="G276" s="13">
        <f ca="1"/>
        <v>0.98099220209697513</v>
      </c>
      <c r="H276" s="13">
        <f ca="1"/>
        <v>0.98096051670440898</v>
      </c>
      <c r="I276" s="13">
        <f ca="1"/>
        <v>0.98026058760049917</v>
      </c>
      <c r="J276" s="13">
        <f ca="1"/>
        <v>0.94339680833496187</v>
      </c>
      <c r="K276" s="13">
        <f ca="1"/>
        <v>0.94338747597893502</v>
      </c>
    </row>
    <row r="277" spans="1:11">
      <c r="A277" s="14">
        <f t="shared" ca="1" si="29"/>
        <v>43424</v>
      </c>
      <c r="B277" s="74">
        <f t="shared" ca="1" si="24"/>
        <v>2.6750303051840674E-2</v>
      </c>
      <c r="C277" s="74">
        <f t="shared" ca="1" si="25"/>
        <v>2.6392841578203319E-2</v>
      </c>
      <c r="D277" s="74">
        <f t="shared" ca="1" si="26"/>
        <v>2.7703406776765083E-2</v>
      </c>
      <c r="E277" s="74">
        <f t="shared" ca="1" si="27"/>
        <v>7.4080937242251288E-2</v>
      </c>
      <c r="F277" s="74">
        <f t="shared" ca="1" si="28"/>
        <v>7.4111948043078524E-2</v>
      </c>
      <c r="G277" s="13">
        <f ca="1"/>
        <v>0.98091894124382162</v>
      </c>
      <c r="H277" s="13">
        <f ca="1"/>
        <v>0.98088820221851802</v>
      </c>
      <c r="I277" s="13">
        <f ca="1"/>
        <v>0.98018471505905613</v>
      </c>
      <c r="J277" s="13">
        <f ca="1"/>
        <v>0.94319380317933343</v>
      </c>
      <c r="K277" s="13">
        <f ca="1"/>
        <v>0.9431843858251876</v>
      </c>
    </row>
    <row r="278" spans="1:11">
      <c r="A278" s="14">
        <f t="shared" ca="1" si="29"/>
        <v>43425</v>
      </c>
      <c r="B278" s="74">
        <f t="shared" ca="1" si="24"/>
        <v>2.6760392114355547E-2</v>
      </c>
      <c r="C278" s="74">
        <f t="shared" ca="1" si="25"/>
        <v>2.6390895949700011E-2</v>
      </c>
      <c r="D278" s="74">
        <f t="shared" ca="1" si="26"/>
        <v>2.7713333260764861E-2</v>
      </c>
      <c r="E278" s="74">
        <f t="shared" ca="1" si="27"/>
        <v>7.4064996111137815E-2</v>
      </c>
      <c r="F278" s="74">
        <f t="shared" ca="1" si="28"/>
        <v>7.4095993403738292E-2</v>
      </c>
      <c r="G278" s="13">
        <f ca="1"/>
        <v>0.98084565274230973</v>
      </c>
      <c r="H278" s="13">
        <f ca="1"/>
        <v>0.98081589306350925</v>
      </c>
      <c r="I278" s="13">
        <f ca="1"/>
        <v>0.98010881531446226</v>
      </c>
      <c r="J278" s="13">
        <f ca="1"/>
        <v>0.94299084170743686</v>
      </c>
      <c r="K278" s="13">
        <f ca="1"/>
        <v>0.94298133939219286</v>
      </c>
    </row>
    <row r="279" spans="1:11">
      <c r="A279" s="14">
        <f t="shared" ca="1" si="29"/>
        <v>43426</v>
      </c>
      <c r="B279" s="74">
        <f t="shared" ca="1" si="24"/>
        <v>2.6770478587644364E-2</v>
      </c>
      <c r="C279" s="74">
        <f t="shared" ca="1" si="25"/>
        <v>2.6388950464608096E-2</v>
      </c>
      <c r="D279" s="74">
        <f t="shared" ca="1" si="26"/>
        <v>2.7723257077085783E-2</v>
      </c>
      <c r="E279" s="74">
        <f t="shared" ca="1" si="27"/>
        <v>7.40490584103487E-2</v>
      </c>
      <c r="F279" s="74">
        <f t="shared" ca="1" si="28"/>
        <v>7.4080042199098917E-2</v>
      </c>
      <c r="G279" s="13">
        <f ca="1"/>
        <v>0.98077233659953067</v>
      </c>
      <c r="H279" s="13">
        <f ca="1"/>
        <v>0.98074358923898952</v>
      </c>
      <c r="I279" s="13">
        <f ca="1"/>
        <v>0.9800328883740218</v>
      </c>
      <c r="J279" s="13">
        <f ca="1"/>
        <v>0.94278792390987209</v>
      </c>
      <c r="K279" s="13">
        <f ca="1"/>
        <v>0.94277833667053879</v>
      </c>
    </row>
    <row r="280" spans="1:11">
      <c r="A280" s="14">
        <f t="shared" ca="1" si="29"/>
        <v>43427</v>
      </c>
      <c r="B280" s="74">
        <f t="shared" ca="1" si="24"/>
        <v>2.6780562470896663E-2</v>
      </c>
      <c r="C280" s="74">
        <f t="shared" ca="1" si="25"/>
        <v>2.6387005122887053E-2</v>
      </c>
      <c r="D280" s="74">
        <f t="shared" ca="1" si="26"/>
        <v>2.7733178225808897E-2</v>
      </c>
      <c r="E280" s="74">
        <f t="shared" ca="1" si="27"/>
        <v>7.4033124139154527E-2</v>
      </c>
      <c r="F280" s="74">
        <f t="shared" ca="1" si="28"/>
        <v>7.4064094428349936E-2</v>
      </c>
      <c r="G280" s="13">
        <f ca="1"/>
        <v>0.98069899282257822</v>
      </c>
      <c r="H280" s="13">
        <f ca="1"/>
        <v>0.98067129074456594</v>
      </c>
      <c r="I280" s="13">
        <f ca="1"/>
        <v>0.97995693424504349</v>
      </c>
      <c r="J280" s="13">
        <f ca="1"/>
        <v>0.942585049777241</v>
      </c>
      <c r="K280" s="13">
        <f ca="1"/>
        <v>0.94257537765081523</v>
      </c>
    </row>
    <row r="281" spans="1:11">
      <c r="A281" s="14">
        <f t="shared" ca="1" si="29"/>
        <v>43428</v>
      </c>
      <c r="B281" s="74">
        <f t="shared" ca="1" si="24"/>
        <v>2.6790643763099364E-2</v>
      </c>
      <c r="C281" s="74">
        <f t="shared" ca="1" si="25"/>
        <v>2.6385059924617926E-2</v>
      </c>
      <c r="D281" s="74">
        <f t="shared" ca="1" si="26"/>
        <v>2.7743096705394321E-2</v>
      </c>
      <c r="E281" s="74">
        <f t="shared" ca="1" si="27"/>
        <v>7.4017193296704309E-2</v>
      </c>
      <c r="F281" s="74">
        <f t="shared" ca="1" si="28"/>
        <v>7.4048150090883502E-2</v>
      </c>
      <c r="G281" s="13">
        <f ca="1"/>
        <v>0.98062562141854837</v>
      </c>
      <c r="H281" s="13">
        <f ca="1"/>
        <v>0.9805989975798457</v>
      </c>
      <c r="I281" s="13">
        <f ca="1"/>
        <v>0.97988095293483579</v>
      </c>
      <c r="J281" s="13">
        <f ca="1"/>
        <v>0.94238221930014743</v>
      </c>
      <c r="K281" s="13">
        <f ca="1"/>
        <v>0.94237246232361427</v>
      </c>
    </row>
    <row r="282" spans="1:11">
      <c r="A282" s="14">
        <f t="shared" ca="1" si="29"/>
        <v>43429</v>
      </c>
      <c r="B282" s="74">
        <f t="shared" ca="1" si="24"/>
        <v>2.6800722464090376E-2</v>
      </c>
      <c r="C282" s="74">
        <f t="shared" ca="1" si="25"/>
        <v>2.6383114869760194E-2</v>
      </c>
      <c r="D282" s="74">
        <f t="shared" ca="1" si="26"/>
        <v>2.7753012515112641E-2</v>
      </c>
      <c r="E282" s="74">
        <f t="shared" ca="1" si="27"/>
        <v>7.4001265882390199E-2</v>
      </c>
      <c r="F282" s="74">
        <f t="shared" ca="1" si="28"/>
        <v>7.4032209185808107E-2</v>
      </c>
      <c r="G282" s="13">
        <f ca="1"/>
        <v>0.98055222239453987</v>
      </c>
      <c r="H282" s="13">
        <f ca="1"/>
        <v>0.98052670974443579</v>
      </c>
      <c r="I282" s="13">
        <f ca="1"/>
        <v>0.97980494445071142</v>
      </c>
      <c r="J282" s="13">
        <f ca="1"/>
        <v>0.94217943246919755</v>
      </c>
      <c r="K282" s="13">
        <f ca="1"/>
        <v>0.94216959067952966</v>
      </c>
    </row>
    <row r="283" spans="1:11">
      <c r="A283" s="14">
        <f t="shared" ca="1" si="29"/>
        <v>43430</v>
      </c>
      <c r="B283" s="74">
        <f t="shared" ca="1" si="24"/>
        <v>2.6810798572410866E-2</v>
      </c>
      <c r="C283" s="74">
        <f t="shared" ca="1" si="25"/>
        <v>2.6381169958232809E-2</v>
      </c>
      <c r="D283" s="74">
        <f t="shared" ca="1" si="26"/>
        <v>2.7762925654882809E-2</v>
      </c>
      <c r="E283" s="74">
        <f t="shared" ca="1" si="27"/>
        <v>7.3985341895401735E-2</v>
      </c>
      <c r="F283" s="74">
        <f t="shared" ca="1" si="28"/>
        <v>7.4016271712475379E-2</v>
      </c>
      <c r="G283" s="13">
        <f ca="1"/>
        <v>0.98047879575765196</v>
      </c>
      <c r="H283" s="13">
        <f ca="1"/>
        <v>0.98045442723794329</v>
      </c>
      <c r="I283" s="13">
        <f ca="1"/>
        <v>0.97972890879998509</v>
      </c>
      <c r="J283" s="13">
        <f ca="1"/>
        <v>0.94197668927499922</v>
      </c>
      <c r="K283" s="13">
        <f ca="1"/>
        <v>0.94196676270915758</v>
      </c>
    </row>
    <row r="284" spans="1:11">
      <c r="A284" s="14">
        <f t="shared" ca="1" si="29"/>
        <v>43431</v>
      </c>
      <c r="B284" s="74">
        <f t="shared" ca="1" si="24"/>
        <v>2.6820872087371939E-2</v>
      </c>
      <c r="C284" s="74">
        <f t="shared" ca="1" si="25"/>
        <v>2.6379225190116817E-2</v>
      </c>
      <c r="D284" s="74">
        <f t="shared" ca="1" si="26"/>
        <v>2.777283612296233E-2</v>
      </c>
      <c r="E284" s="74">
        <f t="shared" ca="1" si="27"/>
        <v>7.39694213350095E-2</v>
      </c>
      <c r="F284" s="74">
        <f t="shared" ca="1" si="28"/>
        <v>7.4000337670115379E-2</v>
      </c>
      <c r="G284" s="13">
        <f ca="1"/>
        <v>0.98040534151498782</v>
      </c>
      <c r="H284" s="13">
        <f ca="1"/>
        <v>0.98038215005997553</v>
      </c>
      <c r="I284" s="13">
        <f ca="1"/>
        <v>0.97965284598997171</v>
      </c>
      <c r="J284" s="13">
        <f ca="1"/>
        <v>0.94177398970816251</v>
      </c>
      <c r="K284" s="13">
        <f ca="1"/>
        <v>0.941763978403096</v>
      </c>
    </row>
    <row r="285" spans="1:11">
      <c r="A285" s="14">
        <f t="shared" ca="1" si="29"/>
        <v>43432</v>
      </c>
      <c r="B285" s="74">
        <f t="shared" ca="1" si="24"/>
        <v>2.6830943008244179E-2</v>
      </c>
      <c r="C285" s="74">
        <f t="shared" ca="1" si="25"/>
        <v>2.6377280565331174E-2</v>
      </c>
      <c r="D285" s="74">
        <f t="shared" ca="1" si="26"/>
        <v>2.7782743919513297E-2</v>
      </c>
      <c r="E285" s="74">
        <f t="shared" ca="1" si="27"/>
        <v>7.39535042005246E-2</v>
      </c>
      <c r="F285" s="74">
        <f t="shared" ca="1" si="28"/>
        <v>7.3984407057998691E-2</v>
      </c>
      <c r="G285" s="13">
        <f ca="1"/>
        <v>0.98033185967365255</v>
      </c>
      <c r="H285" s="13">
        <f ca="1"/>
        <v>0.9803098782101396</v>
      </c>
      <c r="I285" s="13">
        <f ca="1"/>
        <v>0.97957675602799099</v>
      </c>
      <c r="J285" s="13">
        <f ca="1"/>
        <v>0.94157133375929947</v>
      </c>
      <c r="K285" s="13">
        <f ca="1"/>
        <v>0.941561237751945</v>
      </c>
    </row>
    <row r="286" spans="1:11">
      <c r="A286" s="14">
        <f t="shared" ca="1" si="29"/>
        <v>43433</v>
      </c>
      <c r="B286" s="74">
        <f t="shared" ca="1" si="24"/>
        <v>2.6841011334136078E-2</v>
      </c>
      <c r="C286" s="74">
        <f t="shared" ca="1" si="25"/>
        <v>2.6375336083956924E-2</v>
      </c>
      <c r="D286" s="74">
        <f t="shared" ca="1" si="26"/>
        <v>2.779264904271217E-2</v>
      </c>
      <c r="E286" s="74">
        <f t="shared" ca="1" si="27"/>
        <v>7.3937590491136573E-2</v>
      </c>
      <c r="F286" s="74">
        <f t="shared" ca="1" si="28"/>
        <v>7.3968479875355375E-2</v>
      </c>
      <c r="G286" s="13">
        <f ca="1"/>
        <v>0.98025835024075325</v>
      </c>
      <c r="H286" s="13">
        <f ca="1"/>
        <v>0.9802376116880428</v>
      </c>
      <c r="I286" s="13">
        <f ca="1"/>
        <v>0.97950063892136219</v>
      </c>
      <c r="J286" s="13">
        <f ca="1"/>
        <v>0.94136872141902406</v>
      </c>
      <c r="K286" s="13">
        <f ca="1"/>
        <v>0.94135854074630665</v>
      </c>
    </row>
    <row r="287" spans="1:11">
      <c r="A287" s="14">
        <f t="shared" ca="1" si="29"/>
        <v>43434</v>
      </c>
      <c r="B287" s="74">
        <f t="shared" ca="1" si="24"/>
        <v>2.6851077064318218E-2</v>
      </c>
      <c r="C287" s="74">
        <f t="shared" ca="1" si="25"/>
        <v>2.6373391745913022E-2</v>
      </c>
      <c r="D287" s="74">
        <f t="shared" ca="1" si="26"/>
        <v>2.7802551492923655E-2</v>
      </c>
      <c r="E287" s="74">
        <f t="shared" ca="1" si="27"/>
        <v>7.3921680206156526E-2</v>
      </c>
      <c r="F287" s="74">
        <f t="shared" ca="1" si="28"/>
        <v>7.3952556121537061E-2</v>
      </c>
      <c r="G287" s="13">
        <f ca="1"/>
        <v>0.98018481322339945</v>
      </c>
      <c r="H287" s="13">
        <f ca="1"/>
        <v>0.98016535049329223</v>
      </c>
      <c r="I287" s="13">
        <f ca="1"/>
        <v>0.97942449467740955</v>
      </c>
      <c r="J287" s="13">
        <f ca="1"/>
        <v>0.94116615267795245</v>
      </c>
      <c r="K287" s="13">
        <f ca="1"/>
        <v>0.94115588737678513</v>
      </c>
    </row>
    <row r="288" spans="1:11">
      <c r="A288" s="14">
        <f t="shared" ca="1" si="29"/>
        <v>43435</v>
      </c>
      <c r="B288" s="74">
        <f t="shared" ca="1" si="24"/>
        <v>2.6861140197939615E-2</v>
      </c>
      <c r="C288" s="74">
        <f t="shared" ca="1" si="25"/>
        <v>2.6371447551158944E-2</v>
      </c>
      <c r="D288" s="74">
        <f t="shared" ca="1" si="26"/>
        <v>2.7812451268405258E-2</v>
      </c>
      <c r="E288" s="74">
        <f t="shared" ca="1" si="27"/>
        <v>7.3905773344855041E-2</v>
      </c>
      <c r="F288" s="74">
        <f t="shared" ca="1" si="28"/>
        <v>7.3936635795733285E-2</v>
      </c>
      <c r="G288" s="13">
        <f ca="1"/>
        <v>0.98011124862870269</v>
      </c>
      <c r="H288" s="13">
        <f ca="1"/>
        <v>0.98009309462549521</v>
      </c>
      <c r="I288" s="13">
        <f ca="1"/>
        <v>0.97934832330345634</v>
      </c>
      <c r="J288" s="13">
        <f ca="1"/>
        <v>0.94096362752670271</v>
      </c>
      <c r="K288" s="13">
        <f ca="1"/>
        <v>0.9409532776339864</v>
      </c>
    </row>
    <row r="289" spans="1:11">
      <c r="A289" s="14">
        <f t="shared" ca="1" si="29"/>
        <v>43436</v>
      </c>
      <c r="B289" s="74">
        <f t="shared" ca="1" si="24"/>
        <v>2.6871200733865619E-2</v>
      </c>
      <c r="C289" s="74">
        <f t="shared" ca="1" si="25"/>
        <v>2.6369503499775737E-2</v>
      </c>
      <c r="D289" s="74">
        <f t="shared" ca="1" si="26"/>
        <v>2.7822348368508609E-2</v>
      </c>
      <c r="E289" s="74">
        <f t="shared" ca="1" si="27"/>
        <v>7.3889869906502703E-2</v>
      </c>
      <c r="F289" s="74">
        <f t="shared" ca="1" si="28"/>
        <v>7.3920718897174109E-2</v>
      </c>
      <c r="G289" s="13">
        <f ca="1"/>
        <v>0.98003765646377683</v>
      </c>
      <c r="H289" s="13">
        <f ca="1"/>
        <v>0.98002084408425916</v>
      </c>
      <c r="I289" s="13">
        <f ca="1"/>
        <v>0.97927212480683057</v>
      </c>
      <c r="J289" s="13">
        <f ca="1"/>
        <v>0.94076114595589488</v>
      </c>
      <c r="K289" s="13">
        <f ca="1"/>
        <v>0.94075071150851863</v>
      </c>
    </row>
    <row r="290" spans="1:11">
      <c r="A290" s="14">
        <f t="shared" ca="1" si="29"/>
        <v>43437</v>
      </c>
      <c r="B290" s="74">
        <f t="shared" ca="1" si="24"/>
        <v>2.6881258672055708E-2</v>
      </c>
      <c r="C290" s="74">
        <f t="shared" ca="1" si="25"/>
        <v>2.6367559591641831E-2</v>
      </c>
      <c r="D290" s="74">
        <f t="shared" ca="1" si="26"/>
        <v>2.7832242793193185E-2</v>
      </c>
      <c r="E290" s="74">
        <f t="shared" ca="1" si="27"/>
        <v>7.3873969890248525E-2</v>
      </c>
      <c r="F290" s="74">
        <f t="shared" ca="1" si="28"/>
        <v>7.3904805425211162E-2</v>
      </c>
      <c r="G290" s="13">
        <f ca="1"/>
        <v>0.97996403673573884</v>
      </c>
      <c r="H290" s="13">
        <f ca="1"/>
        <v>0.97994859886919128</v>
      </c>
      <c r="I290" s="13">
        <f ca="1"/>
        <v>0.97919589919486205</v>
      </c>
      <c r="J290" s="13">
        <f ca="1"/>
        <v>0.94055870795615104</v>
      </c>
      <c r="K290" s="13">
        <f ca="1"/>
        <v>0.94054818899099213</v>
      </c>
    </row>
    <row r="291" spans="1:11">
      <c r="A291" s="14">
        <f t="shared" ca="1" si="29"/>
        <v>43438</v>
      </c>
      <c r="B291" s="74">
        <f t="shared" ca="1" si="24"/>
        <v>2.6891314011051048E-2</v>
      </c>
      <c r="C291" s="74">
        <f t="shared" ca="1" si="25"/>
        <v>2.6365615826878797E-2</v>
      </c>
      <c r="D291" s="74">
        <f t="shared" ca="1" si="26"/>
        <v>2.7842134540594921E-2</v>
      </c>
      <c r="E291" s="74">
        <f t="shared" ca="1" si="27"/>
        <v>7.3858073295484661E-2</v>
      </c>
      <c r="F291" s="74">
        <f t="shared" ca="1" si="28"/>
        <v>7.3888895379033981E-2</v>
      </c>
      <c r="G291" s="13">
        <f ca="1"/>
        <v>0.97989038945170581</v>
      </c>
      <c r="H291" s="13">
        <f ca="1"/>
        <v>0.97987635897989911</v>
      </c>
      <c r="I291" s="13">
        <f ca="1"/>
        <v>0.9791196464748807</v>
      </c>
      <c r="J291" s="13">
        <f ca="1"/>
        <v>0.94035631351809557</v>
      </c>
      <c r="K291" s="13">
        <f ca="1"/>
        <v>0.94034571007201895</v>
      </c>
    </row>
    <row r="292" spans="1:11">
      <c r="A292" s="14">
        <f t="shared" ca="1" si="29"/>
        <v>43439</v>
      </c>
      <c r="B292" s="74">
        <f t="shared" ca="1" si="24"/>
        <v>2.6901366750122224E-2</v>
      </c>
      <c r="C292" s="74">
        <f t="shared" ca="1" si="25"/>
        <v>2.6363672205365063E-2</v>
      </c>
      <c r="D292" s="74">
        <f t="shared" ca="1" si="26"/>
        <v>2.7852023610997478E-2</v>
      </c>
      <c r="E292" s="74">
        <f t="shared" ca="1" si="27"/>
        <v>7.3842180121481693E-2</v>
      </c>
      <c r="F292" s="74">
        <f t="shared" ca="1" si="28"/>
        <v>7.3872988757953673E-2</v>
      </c>
      <c r="G292" s="13">
        <f ca="1"/>
        <v>0.97981671461879882</v>
      </c>
      <c r="H292" s="13">
        <f ca="1"/>
        <v>0.97980412441598985</v>
      </c>
      <c r="I292" s="13">
        <f ca="1"/>
        <v>0.97904336665422154</v>
      </c>
      <c r="J292" s="13">
        <f ca="1"/>
        <v>0.94015396263235451</v>
      </c>
      <c r="K292" s="13">
        <f ca="1"/>
        <v>0.94014327474221338</v>
      </c>
    </row>
    <row r="293" spans="1:11">
      <c r="A293" s="14">
        <f t="shared" ca="1" si="29"/>
        <v>43440</v>
      </c>
      <c r="B293" s="74">
        <f t="shared" ca="1" si="24"/>
        <v>2.6813327013431865E-2</v>
      </c>
      <c r="C293" s="74">
        <f t="shared" ca="1" si="25"/>
        <v>-0.29183844085139909</v>
      </c>
      <c r="D293" s="74">
        <f t="shared" ca="1" si="26"/>
        <v>2.7764035981797663E-2</v>
      </c>
      <c r="E293" s="74">
        <f t="shared" ca="1" si="27"/>
        <v>7.3826290367388636E-2</v>
      </c>
      <c r="F293" s="74">
        <f t="shared" ca="1" si="28"/>
        <v>7.3857085561200297E-2</v>
      </c>
      <c r="G293" s="13">
        <f ca="1"/>
        <v>0.97974301224414095</v>
      </c>
      <c r="H293" s="13">
        <f ca="1"/>
        <v>0.97973189517707104</v>
      </c>
      <c r="I293" s="13">
        <f ca="1"/>
        <v>0.9789670597402188</v>
      </c>
      <c r="J293" s="13">
        <f ca="1"/>
        <v>0.93995165528955593</v>
      </c>
      <c r="K293" s="13">
        <f ca="1"/>
        <v>0.93994088299219158</v>
      </c>
    </row>
    <row r="294" spans="1:11">
      <c r="A294" s="14">
        <f t="shared" ca="1" si="29"/>
        <v>43441</v>
      </c>
      <c r="B294" s="74">
        <f t="shared" ca="1" si="24"/>
        <v>2.6822717790187522E-2</v>
      </c>
      <c r="C294" s="74">
        <f t="shared" ca="1" si="25"/>
        <v>-0.29207660965863469</v>
      </c>
      <c r="D294" s="74">
        <f t="shared" ca="1" si="26"/>
        <v>2.7773264913385498E-2</v>
      </c>
      <c r="E294" s="74">
        <f t="shared" ca="1" si="27"/>
        <v>7.3810404032597643E-2</v>
      </c>
      <c r="F294" s="74">
        <f t="shared" ca="1" si="28"/>
        <v>7.3841185788044439E-2</v>
      </c>
      <c r="G294" s="13">
        <f ca="1"/>
        <v>0.97966955107424114</v>
      </c>
      <c r="H294" s="13">
        <f ca="1"/>
        <v>0.98053145254926666</v>
      </c>
      <c r="I294" s="13">
        <f ca="1"/>
        <v>0.97889099388821388</v>
      </c>
      <c r="J294" s="13">
        <f ca="1"/>
        <v>0.93974939148033021</v>
      </c>
      <c r="K294" s="13">
        <f ca="1"/>
        <v>0.93973853481257186</v>
      </c>
    </row>
    <row r="295" spans="1:11">
      <c r="A295" s="14">
        <f t="shared" ca="1" si="29"/>
        <v>43442</v>
      </c>
      <c r="B295" s="74">
        <f t="shared" ca="1" si="24"/>
        <v>2.6832106126882804E-2</v>
      </c>
      <c r="C295" s="74">
        <f t="shared" ca="1" si="25"/>
        <v>-0.29231497283495111</v>
      </c>
      <c r="D295" s="74">
        <f t="shared" ca="1" si="26"/>
        <v>2.7782491333065429E-2</v>
      </c>
      <c r="E295" s="74">
        <f t="shared" ca="1" si="27"/>
        <v>7.3794521116257727E-2</v>
      </c>
      <c r="F295" s="74">
        <f t="shared" ca="1" si="28"/>
        <v>7.3825289437716157E-2</v>
      </c>
      <c r="G295" s="13">
        <f ca="1"/>
        <v>0.97959606417618583</v>
      </c>
      <c r="H295" s="13">
        <f ca="1"/>
        <v>0.98133166243874237</v>
      </c>
      <c r="I295" s="13">
        <f ca="1"/>
        <v>0.97881490275146488</v>
      </c>
      <c r="J295" s="13">
        <f ca="1"/>
        <v>0.93954717119530939</v>
      </c>
      <c r="K295" s="13">
        <f ca="1"/>
        <v>0.93953623019397448</v>
      </c>
    </row>
    <row r="296" spans="1:11">
      <c r="A296" s="14">
        <f t="shared" ca="1" si="29"/>
        <v>43443</v>
      </c>
      <c r="B296" s="74">
        <f t="shared" ca="1" si="24"/>
        <v>2.684149202351771E-2</v>
      </c>
      <c r="C296" s="74">
        <f t="shared" ca="1" si="25"/>
        <v>-0.29255353053903699</v>
      </c>
      <c r="D296" s="74">
        <f t="shared" ca="1" si="26"/>
        <v>2.7791715239378623E-2</v>
      </c>
      <c r="E296" s="74">
        <f t="shared" ca="1" si="27"/>
        <v>7.3778641617761043E-2</v>
      </c>
      <c r="F296" s="74">
        <f t="shared" ca="1" si="28"/>
        <v>7.3809396509607605E-2</v>
      </c>
      <c r="G296" s="13">
        <f ca="1"/>
        <v>0.97952255155666013</v>
      </c>
      <c r="H296" s="13">
        <f ca="1"/>
        <v>0.98213252537801621</v>
      </c>
      <c r="I296" s="13">
        <f ca="1"/>
        <v>0.97873878633685374</v>
      </c>
      <c r="J296" s="13">
        <f ca="1"/>
        <v>0.93934499442512787</v>
      </c>
      <c r="K296" s="13">
        <f ca="1"/>
        <v>0.93933396912702183</v>
      </c>
    </row>
    <row r="297" spans="1:11">
      <c r="A297" s="14">
        <f t="shared" ca="1" si="29"/>
        <v>43444</v>
      </c>
      <c r="B297" s="74">
        <f t="shared" ca="1" si="24"/>
        <v>2.685087547867393E-2</v>
      </c>
      <c r="C297" s="74">
        <f t="shared" ca="1" si="25"/>
        <v>-0.29279228292962145</v>
      </c>
      <c r="D297" s="74">
        <f t="shared" ca="1" si="26"/>
        <v>2.7800936631879325E-2</v>
      </c>
      <c r="E297" s="74">
        <f t="shared" ca="1" si="27"/>
        <v>7.3762765536216079E-2</v>
      </c>
      <c r="F297" s="74">
        <f t="shared" ca="1" si="28"/>
        <v>7.3793507002827274E-2</v>
      </c>
      <c r="G297" s="13">
        <f ca="1"/>
        <v>0.97944901322234912</v>
      </c>
      <c r="H297" s="13">
        <f ca="1"/>
        <v>0.98293404190004097</v>
      </c>
      <c r="I297" s="13">
        <f ca="1"/>
        <v>0.9786626446512664</v>
      </c>
      <c r="J297" s="13">
        <f ca="1"/>
        <v>0.93914286116042167</v>
      </c>
      <c r="K297" s="13">
        <f ca="1"/>
        <v>0.93913175160233797</v>
      </c>
    </row>
    <row r="298" spans="1:11">
      <c r="A298" s="14">
        <f t="shared" ca="1" si="29"/>
        <v>43445</v>
      </c>
      <c r="B298" s="74">
        <f t="shared" ca="1" si="24"/>
        <v>2.686025649190571E-2</v>
      </c>
      <c r="C298" s="74">
        <f t="shared" ca="1" si="25"/>
        <v>-0.29303123016559574</v>
      </c>
      <c r="D298" s="74">
        <f t="shared" ca="1" si="26"/>
        <v>2.7810155509676027E-2</v>
      </c>
      <c r="E298" s="74">
        <f t="shared" ca="1" si="27"/>
        <v>7.3746892871014991E-2</v>
      </c>
      <c r="F298" s="74">
        <f t="shared" ca="1" si="28"/>
        <v>7.3777620916726794E-2</v>
      </c>
      <c r="G298" s="13">
        <f ca="1"/>
        <v>0.97937544917994179</v>
      </c>
      <c r="H298" s="13">
        <f ca="1"/>
        <v>0.98373621253820431</v>
      </c>
      <c r="I298" s="13">
        <f ca="1"/>
        <v>0.97858647770159002</v>
      </c>
      <c r="J298" s="13">
        <f ca="1"/>
        <v>0.9389407713918293</v>
      </c>
      <c r="K298" s="13">
        <f ca="1"/>
        <v>0.9389295776105494</v>
      </c>
    </row>
    <row r="299" spans="1:11">
      <c r="A299" s="14">
        <f t="shared" ca="1" si="29"/>
        <v>43446</v>
      </c>
      <c r="B299" s="74">
        <f t="shared" ca="1" si="24"/>
        <v>2.6869635062443109E-2</v>
      </c>
      <c r="C299" s="74">
        <f t="shared" ca="1" si="25"/>
        <v>-0.29327037240597265</v>
      </c>
      <c r="D299" s="74">
        <f t="shared" ca="1" si="26"/>
        <v>2.7819371872809251E-2</v>
      </c>
      <c r="E299" s="74">
        <f t="shared" ca="1" si="27"/>
        <v>7.3731023621347314E-2</v>
      </c>
      <c r="F299" s="74">
        <f t="shared" ca="1" si="28"/>
        <v>7.3761738250495701E-2</v>
      </c>
      <c r="G299" s="13">
        <f ca="1"/>
        <v>0.97930185943612835</v>
      </c>
      <c r="H299" s="13">
        <f ca="1"/>
        <v>0.98453903782632923</v>
      </c>
      <c r="I299" s="13">
        <f ca="1"/>
        <v>0.97851028549471419</v>
      </c>
      <c r="J299" s="13">
        <f ca="1"/>
        <v>0.9387387251099909</v>
      </c>
      <c r="K299" s="13">
        <f ca="1"/>
        <v>0.9387274471422844</v>
      </c>
    </row>
    <row r="300" spans="1:11">
      <c r="A300" s="14">
        <f t="shared" ca="1" si="29"/>
        <v>43447</v>
      </c>
      <c r="B300" s="74">
        <f t="shared" ca="1" si="24"/>
        <v>2.6879011189597235E-2</v>
      </c>
      <c r="C300" s="74">
        <f t="shared" ca="1" si="25"/>
        <v>-0.29350970980984603</v>
      </c>
      <c r="D300" s="74">
        <f t="shared" ca="1" si="26"/>
        <v>2.7828585719901211E-2</v>
      </c>
      <c r="E300" s="74">
        <f t="shared" ca="1" si="27"/>
        <v>7.3715157786564678E-2</v>
      </c>
      <c r="F300" s="74">
        <f t="shared" ca="1" si="28"/>
        <v>7.3745859003485625E-2</v>
      </c>
      <c r="G300" s="13">
        <f ca="1"/>
        <v>0.97922824399760111</v>
      </c>
      <c r="H300" s="13">
        <f ca="1"/>
        <v>0.98534251829867436</v>
      </c>
      <c r="I300" s="13">
        <f ca="1"/>
        <v>0.97843406803752841</v>
      </c>
      <c r="J300" s="13">
        <f ca="1"/>
        <v>0.93853672230554885</v>
      </c>
      <c r="K300" s="13">
        <f ca="1"/>
        <v>0.93852536018817345</v>
      </c>
    </row>
    <row r="301" spans="1:11">
      <c r="A301" s="14">
        <f t="shared" ca="1" si="29"/>
        <v>43448</v>
      </c>
      <c r="B301" s="74">
        <f t="shared" ca="1" si="24"/>
        <v>2.6888384872476578E-2</v>
      </c>
      <c r="C301" s="74">
        <f t="shared" ca="1" si="25"/>
        <v>-0.29374924253655288</v>
      </c>
      <c r="D301" s="74">
        <f t="shared" ca="1" si="26"/>
        <v>2.7837797050384583E-2</v>
      </c>
      <c r="E301" s="74">
        <f t="shared" ca="1" si="27"/>
        <v>7.3699295365816098E-2</v>
      </c>
      <c r="F301" s="74">
        <f t="shared" ca="1" si="28"/>
        <v>7.3729983174926628E-2</v>
      </c>
      <c r="G301" s="13">
        <f ca="1"/>
        <v>0.97915460287105427</v>
      </c>
      <c r="H301" s="13">
        <f ca="1"/>
        <v>0.98614665448993422</v>
      </c>
      <c r="I301" s="13">
        <f ca="1"/>
        <v>0.97835782533692595</v>
      </c>
      <c r="J301" s="13">
        <f ca="1"/>
        <v>0.93833476296914731</v>
      </c>
      <c r="K301" s="13">
        <f ca="1"/>
        <v>0.93832331673884883</v>
      </c>
    </row>
    <row r="302" spans="1:11">
      <c r="A302" s="14">
        <f t="shared" ca="1" si="29"/>
        <v>43449</v>
      </c>
      <c r="B302" s="74">
        <f t="shared" ca="1" si="24"/>
        <v>2.6897756111081139E-2</v>
      </c>
      <c r="C302" s="74">
        <f t="shared" ca="1" si="25"/>
        <v>-0.2939889707454707</v>
      </c>
      <c r="D302" s="74">
        <f t="shared" ca="1" si="26"/>
        <v>2.784700586352995E-2</v>
      </c>
      <c r="E302" s="74">
        <f t="shared" ca="1" si="27"/>
        <v>7.3683436358493726E-2</v>
      </c>
      <c r="F302" s="74">
        <f t="shared" ca="1" si="28"/>
        <v>7.3714110764089291E-2</v>
      </c>
      <c r="G302" s="13">
        <f ca="1"/>
        <v>0.97908093606318447</v>
      </c>
      <c r="H302" s="13">
        <f ca="1"/>
        <v>0.98695144693523984</v>
      </c>
      <c r="I302" s="13">
        <f ca="1"/>
        <v>0.9782815573998016</v>
      </c>
      <c r="J302" s="13">
        <f ca="1"/>
        <v>0.93813284709143274</v>
      </c>
      <c r="K302" s="13">
        <f ca="1"/>
        <v>0.93812131678494493</v>
      </c>
    </row>
    <row r="303" spans="1:11">
      <c r="A303" s="14">
        <f t="shared" ca="1" si="29"/>
        <v>43450</v>
      </c>
      <c r="B303" s="74">
        <f t="shared" ca="1" si="24"/>
        <v>2.6907124903871038E-2</v>
      </c>
      <c r="C303" s="74">
        <f t="shared" ca="1" si="25"/>
        <v>-0.29422889459609858</v>
      </c>
      <c r="D303" s="74">
        <f t="shared" ca="1" si="26"/>
        <v>2.7856212159256266E-2</v>
      </c>
      <c r="E303" s="74">
        <f t="shared" ca="1" si="27"/>
        <v>7.3667580763746576E-2</v>
      </c>
      <c r="F303" s="74">
        <f t="shared" ca="1" si="28"/>
        <v>7.3698241770163153E-2</v>
      </c>
      <c r="G303" s="13">
        <f ca="1"/>
        <v>0.97900724358068836</v>
      </c>
      <c r="H303" s="13">
        <f ca="1"/>
        <v>0.98775689617015894</v>
      </c>
      <c r="I303" s="13">
        <f ca="1"/>
        <v>0.97820526423305221</v>
      </c>
      <c r="J303" s="13">
        <f ca="1"/>
        <v>0.93793097466305331</v>
      </c>
      <c r="K303" s="13">
        <f ca="1"/>
        <v>0.93791936031709811</v>
      </c>
    </row>
    <row r="304" spans="1:11">
      <c r="A304" s="14">
        <f t="shared" ca="1" si="29"/>
        <v>43451</v>
      </c>
      <c r="B304" s="74">
        <f t="shared" ca="1" si="24"/>
        <v>2.6916491250562613E-2</v>
      </c>
      <c r="C304" s="74">
        <f t="shared" ca="1" si="25"/>
        <v>-0.29446901424817873</v>
      </c>
      <c r="D304" s="74">
        <f t="shared" ca="1" si="26"/>
        <v>2.7865415936185745E-2</v>
      </c>
      <c r="E304" s="74">
        <f t="shared" ca="1" si="27"/>
        <v>7.3651728580885756E-2</v>
      </c>
      <c r="F304" s="74">
        <f t="shared" ca="1" si="28"/>
        <v>7.3682376192540366E-2</v>
      </c>
      <c r="G304" s="13">
        <f ca="1"/>
        <v>0.97893352543026679</v>
      </c>
      <c r="H304" s="13">
        <f ca="1"/>
        <v>0.98856300273069619</v>
      </c>
      <c r="I304" s="13">
        <f ca="1"/>
        <v>0.97812894584357479</v>
      </c>
      <c r="J304" s="13">
        <f ca="1"/>
        <v>0.93772914567465948</v>
      </c>
      <c r="K304" s="13">
        <f ca="1"/>
        <v>0.93771744732594697</v>
      </c>
    </row>
    <row r="305" spans="1:11">
      <c r="A305" s="14">
        <f t="shared" ca="1" si="29"/>
        <v>43452</v>
      </c>
      <c r="B305" s="74">
        <f t="shared" ca="1" si="24"/>
        <v>2.6925855150264355E-2</v>
      </c>
      <c r="C305" s="74">
        <f t="shared" ca="1" si="25"/>
        <v>-0.29470932986145337</v>
      </c>
      <c r="D305" s="74">
        <f t="shared" ca="1" si="26"/>
        <v>2.7874617193629492E-2</v>
      </c>
      <c r="E305" s="74">
        <f t="shared" ca="1" si="27"/>
        <v>7.3635879809222371E-2</v>
      </c>
      <c r="F305" s="74">
        <f t="shared" ca="1" si="28"/>
        <v>7.3666514030410468E-2</v>
      </c>
      <c r="G305" s="13">
        <f ca="1"/>
        <v>0.97885978161862142</v>
      </c>
      <c r="H305" s="13">
        <f ca="1"/>
        <v>0.98936976715329394</v>
      </c>
      <c r="I305" s="13">
        <f ca="1"/>
        <v>0.97805260223827017</v>
      </c>
      <c r="J305" s="13">
        <f ca="1"/>
        <v>0.93752736011690363</v>
      </c>
      <c r="K305" s="13">
        <f ca="1"/>
        <v>0.93751557780213179</v>
      </c>
    </row>
    <row r="306" spans="1:11">
      <c r="A306" s="14">
        <f t="shared" ca="1" si="29"/>
        <v>43453</v>
      </c>
      <c r="B306" s="74">
        <f t="shared" ca="1" si="24"/>
        <v>2.6935216602165801E-2</v>
      </c>
      <c r="C306" s="74">
        <f t="shared" ca="1" si="25"/>
        <v>-0.29494984159586735</v>
      </c>
      <c r="D306" s="74">
        <f t="shared" ca="1" si="26"/>
        <v>2.78838159317496E-2</v>
      </c>
      <c r="E306" s="74">
        <f t="shared" ca="1" si="27"/>
        <v>7.3298288744622631E-2</v>
      </c>
      <c r="F306" s="74">
        <f t="shared" ca="1" si="28"/>
        <v>7.3351284052030619E-2</v>
      </c>
      <c r="G306" s="13">
        <f ca="1"/>
        <v>0.97878601215245631</v>
      </c>
      <c r="H306" s="13">
        <f ca="1"/>
        <v>0.99017718997483217</v>
      </c>
      <c r="I306" s="13">
        <f ca="1"/>
        <v>0.97797623342404105</v>
      </c>
      <c r="J306" s="13">
        <f ca="1"/>
        <v>0.93732561798044001</v>
      </c>
      <c r="K306" s="13">
        <f ca="1"/>
        <v>0.93731375173629505</v>
      </c>
    </row>
    <row r="307" spans="1:11">
      <c r="A307" s="14">
        <f t="shared" ca="1" si="29"/>
        <v>43454</v>
      </c>
      <c r="B307" s="74">
        <f t="shared" ca="1" si="24"/>
        <v>2.6944575606226429E-2</v>
      </c>
      <c r="C307" s="74">
        <f t="shared" ca="1" si="25"/>
        <v>-0.29519054961140601</v>
      </c>
      <c r="D307" s="74">
        <f t="shared" ca="1" si="26"/>
        <v>2.7893012148925145E-2</v>
      </c>
      <c r="E307" s="74">
        <f t="shared" ca="1" si="27"/>
        <v>7.3282584960379094E-2</v>
      </c>
      <c r="F307" s="74">
        <f t="shared" ca="1" si="28"/>
        <v>7.3335557352559033E-2</v>
      </c>
      <c r="G307" s="13">
        <f ca="1"/>
        <v>0.97871221703847777</v>
      </c>
      <c r="H307" s="13">
        <f ca="1"/>
        <v>0.99098527173262907</v>
      </c>
      <c r="I307" s="13">
        <f ca="1"/>
        <v>0.97789983940778968</v>
      </c>
      <c r="J307" s="13">
        <f ca="1"/>
        <v>0.93712480075100268</v>
      </c>
      <c r="K307" s="13">
        <f ca="1"/>
        <v>0.9371127893142347</v>
      </c>
    </row>
    <row r="308" spans="1:11">
      <c r="A308" s="14">
        <f t="shared" ca="1" si="29"/>
        <v>43455</v>
      </c>
      <c r="B308" s="74">
        <f t="shared" ca="1" si="24"/>
        <v>2.6953932161027927E-2</v>
      </c>
      <c r="C308" s="74">
        <f t="shared" ca="1" si="25"/>
        <v>-0.29543145406833837</v>
      </c>
      <c r="D308" s="74">
        <f t="shared" ca="1" si="26"/>
        <v>2.7902205844953509E-2</v>
      </c>
      <c r="E308" s="74">
        <f t="shared" ca="1" si="27"/>
        <v>7.3266884540569288E-2</v>
      </c>
      <c r="F308" s="74">
        <f t="shared" ca="1" si="28"/>
        <v>7.3319834024896391E-2</v>
      </c>
      <c r="G308" s="13">
        <f ca="1"/>
        <v>0.97863839628339222</v>
      </c>
      <c r="H308" s="13">
        <f ca="1"/>
        <v>0.99179401296444114</v>
      </c>
      <c r="I308" s="13">
        <f ca="1"/>
        <v>0.97782342019642277</v>
      </c>
      <c r="J308" s="13">
        <f ca="1"/>
        <v>0.93692402654563178</v>
      </c>
      <c r="K308" s="13">
        <f ca="1"/>
        <v>0.9369118699790222</v>
      </c>
    </row>
    <row r="309" spans="1:11">
      <c r="A309" s="14">
        <f t="shared" ca="1" si="29"/>
        <v>43456</v>
      </c>
      <c r="B309" s="74">
        <f t="shared" ca="1" si="24"/>
        <v>2.6963286266124542E-2</v>
      </c>
      <c r="C309" s="74">
        <f t="shared" ca="1" si="25"/>
        <v>-0.29567255512693347</v>
      </c>
      <c r="D309" s="74">
        <f t="shared" ca="1" si="26"/>
        <v>2.7911397018740569E-2</v>
      </c>
      <c r="E309" s="74">
        <f t="shared" ca="1" si="27"/>
        <v>7.3251187484544844E-2</v>
      </c>
      <c r="F309" s="74">
        <f t="shared" ca="1" si="28"/>
        <v>7.3304114068353798E-2</v>
      </c>
      <c r="G309" s="13">
        <f ca="1"/>
        <v>0.97856454989390995</v>
      </c>
      <c r="H309" s="13">
        <f ca="1"/>
        <v>0.99260341420846399</v>
      </c>
      <c r="I309" s="13">
        <f ca="1"/>
        <v>0.97774697579684755</v>
      </c>
      <c r="J309" s="13">
        <f ca="1"/>
        <v>0.93672329535510968</v>
      </c>
      <c r="K309" s="13">
        <f ca="1"/>
        <v>0.93671099372141975</v>
      </c>
    </row>
    <row r="310" spans="1:11">
      <c r="A310" s="14">
        <f t="shared" ca="1" si="29"/>
        <v>43457</v>
      </c>
      <c r="B310" s="74">
        <f t="shared" ca="1" si="24"/>
        <v>2.6972637920786857E-2</v>
      </c>
      <c r="C310" s="74">
        <f t="shared" ca="1" si="25"/>
        <v>-0.29591385294766293</v>
      </c>
      <c r="D310" s="74">
        <f t="shared" ca="1" si="26"/>
        <v>2.7920585670407894E-2</v>
      </c>
      <c r="E310" s="74">
        <f t="shared" ca="1" si="27"/>
        <v>7.3235493791495299E-2</v>
      </c>
      <c r="F310" s="74">
        <f t="shared" ca="1" si="28"/>
        <v>7.3288397482242362E-2</v>
      </c>
      <c r="G310" s="13">
        <f ca="1"/>
        <v>0.97849067787674249</v>
      </c>
      <c r="H310" s="13">
        <f ca="1"/>
        <v>0.9934134760033323</v>
      </c>
      <c r="I310" s="13">
        <f ca="1"/>
        <v>0.97767050621597429</v>
      </c>
      <c r="J310" s="13">
        <f ca="1"/>
        <v>0.93652260717022051</v>
      </c>
      <c r="K310" s="13">
        <f ca="1"/>
        <v>0.93651016053219138</v>
      </c>
    </row>
    <row r="311" spans="1:11">
      <c r="A311" s="14">
        <f t="shared" ca="1" si="29"/>
        <v>43458</v>
      </c>
      <c r="B311" s="74">
        <f t="shared" ca="1" si="24"/>
        <v>2.698198712408284E-2</v>
      </c>
      <c r="C311" s="74">
        <f t="shared" ca="1" si="25"/>
        <v>-0.29615534769111995</v>
      </c>
      <c r="D311" s="74">
        <f t="shared" ca="1" si="26"/>
        <v>2.7929771798618219E-2</v>
      </c>
      <c r="E311" s="74">
        <f t="shared" ca="1" si="27"/>
        <v>7.3219803460772281E-2</v>
      </c>
      <c r="F311" s="74">
        <f t="shared" ca="1" si="28"/>
        <v>7.3272684265792143E-2</v>
      </c>
      <c r="G311" s="13">
        <f ca="1"/>
        <v>0.97841678023860335</v>
      </c>
      <c r="H311" s="13">
        <f ca="1"/>
        <v>0.99422419888812041</v>
      </c>
      <c r="I311" s="13">
        <f ca="1"/>
        <v>0.9775940114607129</v>
      </c>
      <c r="J311" s="13">
        <f ca="1"/>
        <v>0.93632196198175066</v>
      </c>
      <c r="K311" s="13">
        <f ca="1"/>
        <v>0.93630937040210305</v>
      </c>
    </row>
    <row r="312" spans="1:11">
      <c r="A312" s="14">
        <f t="shared" ca="1" si="29"/>
        <v>43459</v>
      </c>
      <c r="B312" s="74">
        <f t="shared" ca="1" si="24"/>
        <v>2.6991333876012491E-2</v>
      </c>
      <c r="C312" s="74">
        <f t="shared" ca="1" si="25"/>
        <v>-0.2963970395179788</v>
      </c>
      <c r="D312" s="74">
        <f t="shared" ca="1" si="26"/>
        <v>2.7938955402804222E-2</v>
      </c>
      <c r="E312" s="74">
        <f t="shared" ca="1" si="27"/>
        <v>7.320411649156533E-2</v>
      </c>
      <c r="F312" s="74">
        <f t="shared" ca="1" si="28"/>
        <v>7.3256974418314247E-2</v>
      </c>
      <c r="G312" s="13">
        <f ca="1"/>
        <v>0.9783428569862086</v>
      </c>
      <c r="H312" s="13">
        <f ca="1"/>
        <v>0.99503558340234266</v>
      </c>
      <c r="I312" s="13">
        <f ca="1"/>
        <v>0.97751749153797696</v>
      </c>
      <c r="J312" s="13">
        <f ca="1"/>
        <v>0.93612135978048827</v>
      </c>
      <c r="K312" s="13">
        <f ca="1"/>
        <v>0.93610862332192279</v>
      </c>
    </row>
    <row r="313" spans="1:11">
      <c r="A313" s="14">
        <f t="shared" ca="1" si="29"/>
        <v>43460</v>
      </c>
      <c r="B313" s="74">
        <f t="shared" ca="1" si="24"/>
        <v>2.70006781751575E-2</v>
      </c>
      <c r="C313" s="74">
        <f t="shared" ca="1" si="25"/>
        <v>-0.29663892858903529</v>
      </c>
      <c r="D313" s="74">
        <f t="shared" ca="1" si="26"/>
        <v>2.7948136482114916E-2</v>
      </c>
      <c r="E313" s="74">
        <f t="shared" ca="1" si="27"/>
        <v>7.3188432883266596E-2</v>
      </c>
      <c r="F313" s="74">
        <f t="shared" ca="1" si="28"/>
        <v>7.3241267938998211E-2</v>
      </c>
      <c r="G313" s="13">
        <f ca="1"/>
        <v>0.97826890812627432</v>
      </c>
      <c r="H313" s="13">
        <f ca="1"/>
        <v>0.99584763008595356</v>
      </c>
      <c r="I313" s="13">
        <f ca="1"/>
        <v>0.9774409464546816</v>
      </c>
      <c r="J313" s="13">
        <f ca="1"/>
        <v>0.93592080055722371</v>
      </c>
      <c r="K313" s="13">
        <f ca="1"/>
        <v>0.93590791928242056</v>
      </c>
    </row>
    <row r="314" spans="1:11">
      <c r="A314" s="14">
        <f t="shared" ca="1" si="29"/>
        <v>43461</v>
      </c>
      <c r="B314" s="74">
        <f t="shared" ca="1" si="24"/>
        <v>2.7010020021112635E-2</v>
      </c>
      <c r="C314" s="74">
        <f t="shared" ca="1" si="25"/>
        <v>-0.2968810150653689</v>
      </c>
      <c r="D314" s="74">
        <f t="shared" ca="1" si="26"/>
        <v>2.795731503667187E-2</v>
      </c>
      <c r="E314" s="74">
        <f t="shared" ca="1" si="27"/>
        <v>7.3172752635106142E-2</v>
      </c>
      <c r="F314" s="74">
        <f t="shared" ca="1" si="28"/>
        <v>7.3225564827236189E-2</v>
      </c>
      <c r="G314" s="13">
        <f ca="1"/>
        <v>0.97819493366552046</v>
      </c>
      <c r="H314" s="13">
        <f ca="1"/>
        <v>0.99666033947934818</v>
      </c>
      <c r="I314" s="13">
        <f ca="1"/>
        <v>0.9773643762177443</v>
      </c>
      <c r="J314" s="13">
        <f ca="1"/>
        <v>0.93572028430274901</v>
      </c>
      <c r="K314" s="13">
        <f ca="1"/>
        <v>0.93570725827436851</v>
      </c>
    </row>
    <row r="315" spans="1:11">
      <c r="A315" s="14">
        <f t="shared" ca="1" si="29"/>
        <v>43462</v>
      </c>
      <c r="B315" s="74">
        <f t="shared" ca="1" si="24"/>
        <v>2.7019359413067434E-2</v>
      </c>
      <c r="C315" s="74">
        <f t="shared" ca="1" si="25"/>
        <v>-0.29712329910797808</v>
      </c>
      <c r="D315" s="74">
        <f t="shared" ca="1" si="26"/>
        <v>2.7966491064975729E-2</v>
      </c>
      <c r="E315" s="74">
        <f t="shared" ca="1" si="27"/>
        <v>7.3157075746314026E-2</v>
      </c>
      <c r="F315" s="74">
        <f t="shared" ca="1" si="28"/>
        <v>7.3209865082298764E-2</v>
      </c>
      <c r="G315" s="13">
        <f ca="1"/>
        <v>0.9781209336106681</v>
      </c>
      <c r="H315" s="13">
        <f ca="1"/>
        <v>0.99747371212336289</v>
      </c>
      <c r="I315" s="13">
        <f ca="1"/>
        <v>0.97728778083408219</v>
      </c>
      <c r="J315" s="13">
        <f ca="1"/>
        <v>0.9355198110078583</v>
      </c>
      <c r="K315" s="13">
        <f ca="1"/>
        <v>0.93550664028854047</v>
      </c>
    </row>
    <row r="316" spans="1:11">
      <c r="A316" s="14">
        <f t="shared" ca="1" si="29"/>
        <v>43463</v>
      </c>
      <c r="B316" s="74">
        <f t="shared" ca="1" si="24"/>
        <v>2.7028696350454573E-2</v>
      </c>
      <c r="C316" s="74">
        <f t="shared" ca="1" si="25"/>
        <v>-0.29736578087818544</v>
      </c>
      <c r="D316" s="74">
        <f t="shared" ca="1" si="26"/>
        <v>2.7975664566337599E-2</v>
      </c>
      <c r="E316" s="74">
        <f t="shared" ca="1" si="27"/>
        <v>7.314140221624188E-2</v>
      </c>
      <c r="F316" s="74">
        <f t="shared" ca="1" si="28"/>
        <v>7.319416870333495E-2</v>
      </c>
      <c r="G316" s="13">
        <f ca="1"/>
        <v>0.97804690796844052</v>
      </c>
      <c r="H316" s="13">
        <f ca="1"/>
        <v>0.99828774855927516</v>
      </c>
      <c r="I316" s="13">
        <f ca="1"/>
        <v>0.9772111603106165</v>
      </c>
      <c r="J316" s="13">
        <f ca="1"/>
        <v>0.93531938066334785</v>
      </c>
      <c r="K316" s="13">
        <f ca="1"/>
        <v>0.93530606531571225</v>
      </c>
    </row>
    <row r="317" spans="1:11">
      <c r="A317" s="14">
        <f t="shared" ca="1" si="29"/>
        <v>43464</v>
      </c>
      <c r="B317" s="74">
        <f t="shared" ca="1" si="24"/>
        <v>2.7038030832139404E-2</v>
      </c>
      <c r="C317" s="74">
        <f t="shared" ca="1" si="25"/>
        <v>-0.29760846053727308</v>
      </c>
      <c r="D317" s="74">
        <f t="shared" ca="1" si="26"/>
        <v>2.7984835540919573E-2</v>
      </c>
      <c r="E317" s="74">
        <f t="shared" ca="1" si="27"/>
        <v>7.3125732044160285E-2</v>
      </c>
      <c r="F317" s="74">
        <f t="shared" ca="1" si="28"/>
        <v>7.3178475689817946E-2</v>
      </c>
      <c r="G317" s="13">
        <f ca="1"/>
        <v>0.97797285674556256</v>
      </c>
      <c r="H317" s="13">
        <f ca="1"/>
        <v>0.99910244932880443</v>
      </c>
      <c r="I317" s="13">
        <f ca="1"/>
        <v>0.97713451465427037</v>
      </c>
      <c r="J317" s="13">
        <f ca="1"/>
        <v>0.93511899326001569</v>
      </c>
      <c r="K317" s="13">
        <f ca="1"/>
        <v>0.93510553334666202</v>
      </c>
    </row>
    <row r="318" spans="1:11">
      <c r="A318" s="14">
        <f t="shared" ca="1" si="29"/>
        <v>43465</v>
      </c>
      <c r="B318" s="74">
        <f t="shared" ca="1" si="24"/>
        <v>2.7047362858365065E-2</v>
      </c>
      <c r="C318" s="74">
        <f t="shared" ca="1" si="25"/>
        <v>0.14627605529992482</v>
      </c>
      <c r="D318" s="74">
        <f t="shared" ca="1" si="26"/>
        <v>2.7994003987262817E-2</v>
      </c>
      <c r="E318" s="74">
        <f t="shared" ca="1" si="27"/>
        <v>7.311006522925878E-2</v>
      </c>
      <c r="F318" s="74">
        <f t="shared" ca="1" si="28"/>
        <v>7.3162786040856242E-2</v>
      </c>
      <c r="G318" s="13">
        <f ca="1"/>
        <v>0.97789877994876218</v>
      </c>
      <c r="H318" s="13">
        <f ca="1"/>
        <v>0.99991781497411203</v>
      </c>
      <c r="I318" s="13">
        <f ca="1"/>
        <v>0.97705784387196648</v>
      </c>
      <c r="J318" s="13">
        <f ca="1"/>
        <v>0.93491864878866182</v>
      </c>
      <c r="K318" s="13">
        <f ca="1"/>
        <v>0.93490504437216937</v>
      </c>
    </row>
    <row r="319" spans="1:11">
      <c r="A319" s="14">
        <f t="shared" ca="1" si="29"/>
        <v>43466</v>
      </c>
      <c r="B319" s="74">
        <f t="shared" ca="1" si="24"/>
        <v>2.7056692427591678E-2</v>
      </c>
      <c r="C319" s="74">
        <f t="shared" ca="1" si="25"/>
        <v>0.14621742942871219</v>
      </c>
      <c r="D319" s="74">
        <f t="shared" ca="1" si="26"/>
        <v>2.8003169904921577E-2</v>
      </c>
      <c r="E319" s="74">
        <f t="shared" ca="1" si="27"/>
        <v>7.3094401771010564E-2</v>
      </c>
      <c r="F319" s="74">
        <f t="shared" ca="1" si="28"/>
        <v>7.314709975580147E-2</v>
      </c>
      <c r="G319" s="13">
        <f ca="1"/>
        <v>0.97782467758476665</v>
      </c>
      <c r="H319" s="13">
        <f ca="1"/>
        <v>0.99951705865822182</v>
      </c>
      <c r="I319" s="13">
        <f ca="1"/>
        <v>0.97698114797063151</v>
      </c>
      <c r="J319" s="13">
        <f ca="1"/>
        <v>0.93471834724008851</v>
      </c>
      <c r="K319" s="13">
        <f ca="1"/>
        <v>0.93470459838301634</v>
      </c>
    </row>
    <row r="320" spans="1:11">
      <c r="A320" s="14">
        <f t="shared" ca="1" si="29"/>
        <v>43467</v>
      </c>
      <c r="B320" s="74">
        <f t="shared" ca="1" si="24"/>
        <v>2.7066019539332964E-2</v>
      </c>
      <c r="C320" s="74">
        <f t="shared" ca="1" si="25"/>
        <v>0.14615882705411309</v>
      </c>
      <c r="D320" s="74">
        <f t="shared" ca="1" si="26"/>
        <v>2.801233329296382E-2</v>
      </c>
      <c r="E320" s="74">
        <f t="shared" ca="1" si="27"/>
        <v>7.3078741668443081E-2</v>
      </c>
      <c r="F320" s="74">
        <f t="shared" ca="1" si="28"/>
        <v>7.3131416833924212E-2</v>
      </c>
      <c r="G320" s="13">
        <f ca="1"/>
        <v>0.9777505496603075</v>
      </c>
      <c r="H320" s="13">
        <f ca="1"/>
        <v>0.99911646296115686</v>
      </c>
      <c r="I320" s="13">
        <f ca="1"/>
        <v>0.97690442695719337</v>
      </c>
      <c r="J320" s="13">
        <f ca="1"/>
        <v>0.93451808860509944</v>
      </c>
      <c r="K320" s="13">
        <f ca="1"/>
        <v>0.93450419536998675</v>
      </c>
    </row>
    <row r="321" spans="1:11">
      <c r="A321" s="14">
        <f t="shared" ca="1" si="29"/>
        <v>43468</v>
      </c>
      <c r="B321" s="74">
        <f t="shared" ca="1" si="24"/>
        <v>2.7075344192940554E-2</v>
      </c>
      <c r="C321" s="74">
        <f t="shared" ca="1" si="25"/>
        <v>0.1461002481667667</v>
      </c>
      <c r="D321" s="74">
        <f t="shared" ca="1" si="26"/>
        <v>2.8021494151511117E-2</v>
      </c>
      <c r="E321" s="74">
        <f t="shared" ca="1" si="27"/>
        <v>7.3063084921110577E-2</v>
      </c>
      <c r="F321" s="74">
        <f t="shared" ca="1" si="28"/>
        <v>7.3115737274535575E-2</v>
      </c>
      <c r="G321" s="13">
        <f ca="1"/>
        <v>0.97767639618211755</v>
      </c>
      <c r="H321" s="13">
        <f ca="1"/>
        <v>0.99871602781854285</v>
      </c>
      <c r="I321" s="13">
        <f ca="1"/>
        <v>0.97682768083858251</v>
      </c>
      <c r="J321" s="13">
        <f ca="1"/>
        <v>0.93431787287450097</v>
      </c>
      <c r="K321" s="13">
        <f ca="1"/>
        <v>0.93430383532386641</v>
      </c>
    </row>
    <row r="322" spans="1:11">
      <c r="A322" s="14">
        <f t="shared" ca="1" si="29"/>
        <v>43469</v>
      </c>
      <c r="B322" s="74">
        <f t="shared" ref="B322:B357" ca="1" si="30">(G322-G323)/($A323-$A322)*365</f>
        <v>2.7084666387441891E-2</v>
      </c>
      <c r="C322" s="74">
        <f t="shared" ref="C322:C357" ca="1" si="31">(H322-H323)/($A323-$A322)*365</f>
        <v>0.14604169275719059</v>
      </c>
      <c r="D322" s="74">
        <f t="shared" ref="D322:D357" ca="1" si="32">(I322-I323)/($A323-$A322)*365</f>
        <v>2.803065247918568E-2</v>
      </c>
      <c r="E322" s="74">
        <f t="shared" ref="E322:E357" ca="1" si="33">(J322-J323)/($A323-$A322)*365</f>
        <v>7.3047431528040496E-2</v>
      </c>
      <c r="F322" s="74">
        <f t="shared" ref="F322:F357" ca="1" si="34">(K322-K323)/($A323-$A322)*365</f>
        <v>7.3100061076865619E-2</v>
      </c>
      <c r="G322" s="13">
        <f ca="1"/>
        <v>0.97760221715693141</v>
      </c>
      <c r="H322" s="13">
        <f ca="1"/>
        <v>0.99831575316603116</v>
      </c>
      <c r="I322" s="13">
        <f ca="1"/>
        <v>0.97675090962172906</v>
      </c>
      <c r="J322" s="13">
        <f ca="1"/>
        <v>0.93411770003910066</v>
      </c>
      <c r="K322" s="13">
        <f ca="1"/>
        <v>0.93410351823544302</v>
      </c>
    </row>
    <row r="323" spans="1:11">
      <c r="A323" s="14">
        <f t="shared" ca="1" si="29"/>
        <v>43470</v>
      </c>
      <c r="B323" s="74">
        <f t="shared" ca="1" si="30"/>
        <v>2.7093986122958547E-2</v>
      </c>
      <c r="C323" s="74">
        <f t="shared" ca="1" si="31"/>
        <v>0.14598316081598339</v>
      </c>
      <c r="D323" s="74">
        <f t="shared" ca="1" si="32"/>
        <v>2.8039808275136524E-2</v>
      </c>
      <c r="E323" s="74">
        <f t="shared" ca="1" si="33"/>
        <v>7.3031781488706038E-2</v>
      </c>
      <c r="F323" s="74">
        <f t="shared" ca="1" si="34"/>
        <v>7.3084388240184928E-2</v>
      </c>
      <c r="G323" s="13">
        <f ca="1"/>
        <v>0.97752801259148636</v>
      </c>
      <c r="H323" s="13">
        <f ca="1"/>
        <v>0.99791563893929913</v>
      </c>
      <c r="I323" s="13">
        <f ca="1"/>
        <v>0.97667411331356691</v>
      </c>
      <c r="J323" s="13">
        <f ca="1"/>
        <v>0.93391757008970877</v>
      </c>
      <c r="K323" s="13">
        <f ca="1"/>
        <v>0.9339032440955064</v>
      </c>
    </row>
    <row r="324" spans="1:11">
      <c r="A324" s="14">
        <f t="shared" ref="A324:A357" ca="1" si="35">A323+1</f>
        <v>43471</v>
      </c>
      <c r="B324" s="74">
        <f t="shared" ca="1" si="30"/>
        <v>2.7103303397910117E-2</v>
      </c>
      <c r="C324" s="74">
        <f t="shared" ca="1" si="31"/>
        <v>0.14592465233374374</v>
      </c>
      <c r="D324" s="74">
        <f t="shared" ca="1" si="32"/>
        <v>2.804896153964731E-2</v>
      </c>
      <c r="E324" s="74">
        <f t="shared" ca="1" si="33"/>
        <v>7.3016134802256216E-2</v>
      </c>
      <c r="F324" s="74">
        <f t="shared" ca="1" si="34"/>
        <v>7.3068718763845131E-2</v>
      </c>
      <c r="G324" s="13">
        <f ca="1"/>
        <v>0.97745378249251935</v>
      </c>
      <c r="H324" s="13">
        <f ca="1"/>
        <v>0.99751568507404986</v>
      </c>
      <c r="I324" s="13">
        <f ca="1"/>
        <v>0.97659729192103228</v>
      </c>
      <c r="J324" s="13">
        <f ca="1"/>
        <v>0.93371748301713697</v>
      </c>
      <c r="K324" s="13">
        <f ca="1"/>
        <v>0.93370301289484836</v>
      </c>
    </row>
    <row r="325" spans="1:11">
      <c r="A325" s="14">
        <f t="shared" ca="1" si="35"/>
        <v>43472</v>
      </c>
      <c r="B325" s="74">
        <f t="shared" ca="1" si="30"/>
        <v>2.7112618211972417E-2</v>
      </c>
      <c r="C325" s="74">
        <f t="shared" ca="1" si="31"/>
        <v>0.14586616730107027</v>
      </c>
      <c r="D325" s="74">
        <f t="shared" ca="1" si="32"/>
        <v>2.8058112271218683E-2</v>
      </c>
      <c r="E325" s="74">
        <f t="shared" ca="1" si="33"/>
        <v>7.3000491468083184E-2</v>
      </c>
      <c r="F325" s="74">
        <f t="shared" ca="1" si="34"/>
        <v>7.3053052647035766E-2</v>
      </c>
      <c r="G325" s="13">
        <f ca="1"/>
        <v>0.97737952686677165</v>
      </c>
      <c r="H325" s="13">
        <f ca="1"/>
        <v>0.99711589150601221</v>
      </c>
      <c r="I325" s="13">
        <f ca="1"/>
        <v>0.97652044545106065</v>
      </c>
      <c r="J325" s="13">
        <f ca="1"/>
        <v>0.93351743881219929</v>
      </c>
      <c r="K325" s="13">
        <f ca="1"/>
        <v>0.93350282462426248</v>
      </c>
    </row>
    <row r="326" spans="1:11">
      <c r="A326" s="14">
        <f t="shared" ca="1" si="35"/>
        <v>43473</v>
      </c>
      <c r="B326" s="74">
        <f t="shared" ca="1" si="30"/>
        <v>2.7121930564334984E-2</v>
      </c>
      <c r="C326" s="74">
        <f t="shared" ca="1" si="31"/>
        <v>0.14580770570860213</v>
      </c>
      <c r="D326" s="74">
        <f t="shared" ca="1" si="32"/>
        <v>2.8067260469404887E-2</v>
      </c>
      <c r="E326" s="74">
        <f t="shared" ca="1" si="33"/>
        <v>7.2984851485376478E-2</v>
      </c>
      <c r="F326" s="74">
        <f t="shared" ca="1" si="34"/>
        <v>7.3037389889148985E-2</v>
      </c>
      <c r="G326" s="13">
        <f ca="1"/>
        <v>0.97730524572098543</v>
      </c>
      <c r="H326" s="13">
        <f ca="1"/>
        <v>0.99671625817094078</v>
      </c>
      <c r="I326" s="13">
        <f ca="1"/>
        <v>0.97644357391059156</v>
      </c>
      <c r="J326" s="13">
        <f ca="1"/>
        <v>0.93331743746571139</v>
      </c>
      <c r="K326" s="13">
        <f ca="1"/>
        <v>0.93330267927454458</v>
      </c>
    </row>
    <row r="327" spans="1:11">
      <c r="A327" s="14">
        <f t="shared" ca="1" si="35"/>
        <v>43474</v>
      </c>
      <c r="B327" s="74">
        <f t="shared" ca="1" si="30"/>
        <v>2.7131240454389971E-2</v>
      </c>
      <c r="C327" s="74">
        <f t="shared" ca="1" si="31"/>
        <v>0.14574926754689743</v>
      </c>
      <c r="D327" s="74">
        <f t="shared" ca="1" si="32"/>
        <v>2.807640613327389E-2</v>
      </c>
      <c r="E327" s="74">
        <f t="shared" ca="1" si="33"/>
        <v>7.2969214853487729E-2</v>
      </c>
      <c r="F327" s="74">
        <f t="shared" ca="1" si="34"/>
        <v>7.3021730489333803E-2</v>
      </c>
      <c r="G327" s="13">
        <f ca="1"/>
        <v>0.97723093906190506</v>
      </c>
      <c r="H327" s="13">
        <f ca="1"/>
        <v>0.99631678500461585</v>
      </c>
      <c r="I327" s="13">
        <f ca="1"/>
        <v>0.97636667730656579</v>
      </c>
      <c r="J327" s="13">
        <f ca="1"/>
        <v>0.93311747896849118</v>
      </c>
      <c r="K327" s="13">
        <f ca="1"/>
        <v>0.93310257683649211</v>
      </c>
    </row>
    <row r="328" spans="1:11">
      <c r="A328" s="14">
        <f t="shared" ca="1" si="35"/>
        <v>43475</v>
      </c>
      <c r="B328" s="74">
        <f t="shared" ca="1" si="30"/>
        <v>2.71405478811243E-2</v>
      </c>
      <c r="C328" s="74">
        <f t="shared" ca="1" si="31"/>
        <v>0.1456908528065548</v>
      </c>
      <c r="D328" s="74">
        <f t="shared" ca="1" si="32"/>
        <v>2.8085549262987786E-2</v>
      </c>
      <c r="E328" s="74">
        <f t="shared" ca="1" si="33"/>
        <v>7.2953581571606474E-2</v>
      </c>
      <c r="F328" s="74">
        <f t="shared" ca="1" si="34"/>
        <v>7.3006074446941849E-2</v>
      </c>
      <c r="G328" s="13">
        <f ca="1"/>
        <v>0.97715660689627659</v>
      </c>
      <c r="H328" s="13">
        <f ca="1"/>
        <v>0.99591747194284352</v>
      </c>
      <c r="I328" s="13">
        <f ca="1"/>
        <v>0.97628975564592668</v>
      </c>
      <c r="J328" s="13">
        <f ca="1"/>
        <v>0.93291756331135833</v>
      </c>
      <c r="K328" s="13">
        <f ca="1"/>
        <v>0.9329025173009049</v>
      </c>
    </row>
    <row r="329" spans="1:11">
      <c r="A329" s="14">
        <f t="shared" ca="1" si="35"/>
        <v>43476</v>
      </c>
      <c r="B329" s="74">
        <f t="shared" ca="1" si="30"/>
        <v>2.7149852844700062E-2</v>
      </c>
      <c r="C329" s="74">
        <f t="shared" ca="1" si="31"/>
        <v>0.14563246147825393</v>
      </c>
      <c r="D329" s="74">
        <f t="shared" ca="1" si="32"/>
        <v>2.809468985708774E-2</v>
      </c>
      <c r="E329" s="74">
        <f t="shared" ca="1" si="33"/>
        <v>7.2937951639165388E-2</v>
      </c>
      <c r="F329" s="74">
        <f t="shared" ca="1" si="34"/>
        <v>7.2990421761243707E-2</v>
      </c>
      <c r="G329" s="13">
        <f ca="1"/>
        <v>0.97708224923084885</v>
      </c>
      <c r="H329" s="13">
        <f ca="1"/>
        <v>0.9955183189214557</v>
      </c>
      <c r="I329" s="13">
        <f ca="1"/>
        <v>0.97621280893561713</v>
      </c>
      <c r="J329" s="13">
        <f ca="1"/>
        <v>0.93271769048513475</v>
      </c>
      <c r="K329" s="13">
        <f ca="1"/>
        <v>0.93270250065858451</v>
      </c>
    </row>
    <row r="330" spans="1:11">
      <c r="A330" s="14">
        <f t="shared" ca="1" si="35"/>
        <v>43477</v>
      </c>
      <c r="B330" s="74">
        <f t="shared" ca="1" si="30"/>
        <v>2.7159155343536856E-2</v>
      </c>
      <c r="C330" s="74">
        <f t="shared" ca="1" si="31"/>
        <v>0.14557409355255291</v>
      </c>
      <c r="D330" s="74">
        <f t="shared" ca="1" si="32"/>
        <v>2.8103827915127999E-2</v>
      </c>
      <c r="E330" s="74">
        <f t="shared" ca="1" si="33"/>
        <v>7.2922325055272963E-2</v>
      </c>
      <c r="F330" s="74">
        <f t="shared" ca="1" si="34"/>
        <v>7.2974772431550483E-2</v>
      </c>
      <c r="G330" s="13">
        <f ca="1"/>
        <v>0.97700786607237022</v>
      </c>
      <c r="H330" s="13">
        <f ca="1"/>
        <v>0.9951193258763098</v>
      </c>
      <c r="I330" s="13">
        <f ca="1"/>
        <v>0.97613583718258401</v>
      </c>
      <c r="J330" s="13">
        <f ca="1"/>
        <v>0.93251786048064389</v>
      </c>
      <c r="K330" s="13">
        <f ca="1"/>
        <v>0.93250252690033453</v>
      </c>
    </row>
    <row r="331" spans="1:11">
      <c r="A331" s="14">
        <f t="shared" ca="1" si="35"/>
        <v>43478</v>
      </c>
      <c r="B331" s="74">
        <f t="shared" ca="1" si="30"/>
        <v>2.7168455377310496E-2</v>
      </c>
      <c r="C331" s="74">
        <f t="shared" ca="1" si="31"/>
        <v>0.14551574902005038</v>
      </c>
      <c r="D331" s="74">
        <f t="shared" ca="1" si="32"/>
        <v>2.811296343617653E-2</v>
      </c>
      <c r="E331" s="74">
        <f t="shared" ca="1" si="33"/>
        <v>7.2906701819361874E-2</v>
      </c>
      <c r="F331" s="74">
        <f t="shared" ca="1" si="34"/>
        <v>7.2959126457092238E-2</v>
      </c>
      <c r="G331" s="13">
        <f ca="1"/>
        <v>0.97693345742759341</v>
      </c>
      <c r="H331" s="13">
        <f ca="1"/>
        <v>0.99472049274328911</v>
      </c>
      <c r="I331" s="13">
        <f ca="1"/>
        <v>0.97605884039377544</v>
      </c>
      <c r="J331" s="13">
        <f ca="1"/>
        <v>0.93231807328871164</v>
      </c>
      <c r="K331" s="13">
        <f ca="1"/>
        <v>0.93230259601696042</v>
      </c>
    </row>
    <row r="332" spans="1:11">
      <c r="A332" s="14">
        <f t="shared" ca="1" si="35"/>
        <v>43479</v>
      </c>
      <c r="B332" s="74">
        <f t="shared" ca="1" si="30"/>
        <v>2.7177752945169997E-2</v>
      </c>
      <c r="C332" s="74">
        <f t="shared" ca="1" si="31"/>
        <v>0.14545742787146654</v>
      </c>
      <c r="D332" s="74">
        <f t="shared" ca="1" si="32"/>
        <v>2.8122096420435949E-2</v>
      </c>
      <c r="E332" s="74">
        <f t="shared" ca="1" si="33"/>
        <v>7.289108193062166E-2</v>
      </c>
      <c r="F332" s="74">
        <f t="shared" ca="1" si="34"/>
        <v>7.2943483837139556E-2</v>
      </c>
      <c r="G332" s="13">
        <f ca="1"/>
        <v>0.97685902330327201</v>
      </c>
      <c r="H332" s="13">
        <f ca="1"/>
        <v>0.99432181945830267</v>
      </c>
      <c r="I332" s="13">
        <f ca="1"/>
        <v>0.97598181857614208</v>
      </c>
      <c r="J332" s="13">
        <f ca="1"/>
        <v>0.93211832890016544</v>
      </c>
      <c r="K332" s="13">
        <f ca="1"/>
        <v>0.93210270799926975</v>
      </c>
    </row>
    <row r="333" spans="1:11">
      <c r="A333" s="14">
        <f t="shared" ca="1" si="35"/>
        <v>43480</v>
      </c>
      <c r="B333" s="74">
        <f t="shared" ca="1" si="30"/>
        <v>2.7187048046264373E-2</v>
      </c>
      <c r="C333" s="74">
        <f t="shared" ca="1" si="31"/>
        <v>0.1453991300973595</v>
      </c>
      <c r="D333" s="74">
        <f t="shared" ca="1" si="32"/>
        <v>2.8131226866325854E-2</v>
      </c>
      <c r="E333" s="74">
        <f t="shared" ca="1" si="33"/>
        <v>7.2875465388322902E-2</v>
      </c>
      <c r="F333" s="74">
        <f t="shared" ca="1" si="34"/>
        <v>7.2927844571084588E-2</v>
      </c>
      <c r="G333" s="13">
        <f ca="1"/>
        <v>0.97678456370616196</v>
      </c>
      <c r="H333" s="13">
        <f ca="1"/>
        <v>0.99392330595728495</v>
      </c>
      <c r="I333" s="13">
        <f ca="1"/>
        <v>0.97590477173663404</v>
      </c>
      <c r="J333" s="13">
        <f ca="1"/>
        <v>0.93191862730583497</v>
      </c>
      <c r="K333" s="13">
        <f ca="1"/>
        <v>0.93190286283807211</v>
      </c>
    </row>
    <row r="334" spans="1:11">
      <c r="A334" s="14">
        <f t="shared" ca="1" si="35"/>
        <v>43481</v>
      </c>
      <c r="B334" s="74">
        <f t="shared" ca="1" si="30"/>
        <v>2.7196340680715192E-2</v>
      </c>
      <c r="C334" s="74">
        <f t="shared" ca="1" si="31"/>
        <v>0.14534085568832789</v>
      </c>
      <c r="D334" s="74">
        <f t="shared" ca="1" si="32"/>
        <v>2.8140354773278919E-2</v>
      </c>
      <c r="E334" s="74">
        <f t="shared" ca="1" si="33"/>
        <v>7.2859852191857755E-2</v>
      </c>
      <c r="F334" s="74">
        <f t="shared" ca="1" si="34"/>
        <v>7.291220865807635E-2</v>
      </c>
      <c r="G334" s="13">
        <f ca="1"/>
        <v>0.97671007864302151</v>
      </c>
      <c r="H334" s="13">
        <f ca="1"/>
        <v>0.9935249521761963</v>
      </c>
      <c r="I334" s="13">
        <f ca="1"/>
        <v>0.97582769988220575</v>
      </c>
      <c r="J334" s="13">
        <f ca="1"/>
        <v>0.93171896849655189</v>
      </c>
      <c r="K334" s="13">
        <f ca="1"/>
        <v>0.93170306052417873</v>
      </c>
    </row>
    <row r="335" spans="1:11">
      <c r="A335" s="14">
        <f t="shared" ca="1" si="35"/>
        <v>43482</v>
      </c>
      <c r="B335" s="74">
        <f t="shared" ca="1" si="30"/>
        <v>2.7205630847023099E-2</v>
      </c>
      <c r="C335" s="74">
        <f t="shared" ca="1" si="31"/>
        <v>0.14528260463513243</v>
      </c>
      <c r="D335" s="74">
        <f t="shared" ca="1" si="32"/>
        <v>2.8149480141416716E-2</v>
      </c>
      <c r="E335" s="74">
        <f t="shared" ca="1" si="33"/>
        <v>7.2844242340415755E-2</v>
      </c>
      <c r="F335" s="74">
        <f t="shared" ca="1" si="34"/>
        <v>7.2896576097425947E-2</v>
      </c>
      <c r="G335" s="13">
        <f ca="1"/>
        <v>0.97663556812060859</v>
      </c>
      <c r="H335" s="13">
        <f ca="1"/>
        <v>0.9931267580510228</v>
      </c>
      <c r="I335" s="13">
        <f ca="1"/>
        <v>0.9757506030198132</v>
      </c>
      <c r="J335" s="13">
        <f ca="1"/>
        <v>0.93151935246314954</v>
      </c>
      <c r="K335" s="13">
        <f ca="1"/>
        <v>0.93150330104840318</v>
      </c>
    </row>
    <row r="336" spans="1:11">
      <c r="A336" s="14">
        <f t="shared" ca="1" si="35"/>
        <v>43483</v>
      </c>
      <c r="B336" s="74">
        <f t="shared" ca="1" si="30"/>
        <v>2.7214918544661293E-2</v>
      </c>
      <c r="C336" s="74">
        <f t="shared" ca="1" si="31"/>
        <v>0.14522437692825019</v>
      </c>
      <c r="D336" s="74">
        <f t="shared" ca="1" si="32"/>
        <v>2.8158602969239888E-2</v>
      </c>
      <c r="E336" s="74">
        <f t="shared" ca="1" si="33"/>
        <v>7.2828635833267485E-2</v>
      </c>
      <c r="F336" s="74">
        <f t="shared" ca="1" si="34"/>
        <v>7.2880946888444487E-2</v>
      </c>
      <c r="G336" s="13">
        <f ca="1"/>
        <v>0.97656103214568524</v>
      </c>
      <c r="H336" s="13">
        <f ca="1"/>
        <v>0.99272872351777586</v>
      </c>
      <c r="I336" s="13">
        <f ca="1"/>
        <v>0.97567348115641206</v>
      </c>
      <c r="J336" s="13">
        <f ca="1"/>
        <v>0.93131977919646347</v>
      </c>
      <c r="K336" s="13">
        <f ca="1"/>
        <v>0.93130358440156091</v>
      </c>
    </row>
    <row r="337" spans="1:11">
      <c r="A337" s="14">
        <f t="shared" ca="1" si="35"/>
        <v>43484</v>
      </c>
      <c r="B337" s="74">
        <f t="shared" ca="1" si="30"/>
        <v>2.7224203772981403E-2</v>
      </c>
      <c r="C337" s="74">
        <f t="shared" ca="1" si="31"/>
        <v>0.14516617255848241</v>
      </c>
      <c r="D337" s="74">
        <f t="shared" ca="1" si="32"/>
        <v>2.8167723256302679E-2</v>
      </c>
      <c r="E337" s="74">
        <f t="shared" ca="1" si="33"/>
        <v>7.28130326698051E-2</v>
      </c>
      <c r="F337" s="74">
        <f t="shared" ca="1" si="34"/>
        <v>7.2865321030443075E-2</v>
      </c>
      <c r="G337" s="13">
        <f ca="1"/>
        <v>0.97648647072501493</v>
      </c>
      <c r="H337" s="13">
        <f ca="1"/>
        <v>0.99233084851249298</v>
      </c>
      <c r="I337" s="13">
        <f ca="1"/>
        <v>0.97559633429896209</v>
      </c>
      <c r="J337" s="13">
        <f ca="1"/>
        <v>0.93112024868733123</v>
      </c>
      <c r="K337" s="13">
        <f ca="1"/>
        <v>0.93110391057446928</v>
      </c>
    </row>
    <row r="338" spans="1:11">
      <c r="A338" s="14">
        <f t="shared" ca="1" si="35"/>
        <v>43485</v>
      </c>
      <c r="B338" s="74">
        <f t="shared" ca="1" si="30"/>
        <v>2.7233486531091922E-2</v>
      </c>
      <c r="C338" s="74">
        <f t="shared" ca="1" si="31"/>
        <v>0.14510799151634668</v>
      </c>
      <c r="D338" s="74">
        <f t="shared" ca="1" si="32"/>
        <v>2.8176841001754105E-2</v>
      </c>
      <c r="E338" s="74">
        <f t="shared" ca="1" si="33"/>
        <v>7.2797432849177612E-2</v>
      </c>
      <c r="F338" s="74">
        <f t="shared" ca="1" si="34"/>
        <v>7.2849698522651773E-2</v>
      </c>
      <c r="G338" s="13">
        <f ca="1"/>
        <v>0.97641188386536293</v>
      </c>
      <c r="H338" s="13">
        <f ca="1"/>
        <v>0.99193313297123686</v>
      </c>
      <c r="I338" s="13">
        <f ca="1"/>
        <v>0.97551916245442427</v>
      </c>
      <c r="J338" s="13">
        <f ca="1"/>
        <v>0.93092076092659204</v>
      </c>
      <c r="K338" s="13">
        <f ca="1"/>
        <v>0.93090427955794752</v>
      </c>
    </row>
    <row r="339" spans="1:11">
      <c r="A339" s="14">
        <f t="shared" ca="1" si="35"/>
        <v>43486</v>
      </c>
      <c r="B339" s="74">
        <f t="shared" ca="1" si="30"/>
        <v>2.7242766819073894E-2</v>
      </c>
      <c r="C339" s="74">
        <f t="shared" ca="1" si="31"/>
        <v>0.1450498337925632</v>
      </c>
      <c r="D339" s="74">
        <f t="shared" ca="1" si="32"/>
        <v>2.8185956205796781E-2</v>
      </c>
      <c r="E339" s="74">
        <f t="shared" ca="1" si="33"/>
        <v>7.2781836370777175E-2</v>
      </c>
      <c r="F339" s="74">
        <f t="shared" ca="1" si="34"/>
        <v>7.2834079364341164E-2</v>
      </c>
      <c r="G339" s="13">
        <f ca="1"/>
        <v>0.97633727157349692</v>
      </c>
      <c r="H339" s="13">
        <f ca="1"/>
        <v>0.99153557683009619</v>
      </c>
      <c r="I339" s="13">
        <f ca="1"/>
        <v>0.97544196562976193</v>
      </c>
      <c r="J339" s="13">
        <f ca="1"/>
        <v>0.93072131590508744</v>
      </c>
      <c r="K339" s="13">
        <f ca="1"/>
        <v>0.93070469134281697</v>
      </c>
    </row>
    <row r="340" spans="1:11">
      <c r="A340" s="14">
        <f t="shared" ca="1" si="35"/>
        <v>43487</v>
      </c>
      <c r="B340" s="74">
        <f t="shared" ca="1" si="30"/>
        <v>2.725204463538744E-2</v>
      </c>
      <c r="C340" s="74">
        <f t="shared" ca="1" si="31"/>
        <v>0.14499169937777112</v>
      </c>
      <c r="D340" s="74">
        <f t="shared" ca="1" si="32"/>
        <v>2.8195068866728734E-2</v>
      </c>
      <c r="E340" s="74">
        <f t="shared" ca="1" si="33"/>
        <v>7.2766243233793326E-2</v>
      </c>
      <c r="F340" s="74">
        <f t="shared" ca="1" si="34"/>
        <v>7.2818463554862878E-2</v>
      </c>
      <c r="G340" s="13">
        <f ca="1"/>
        <v>0.97626263385618439</v>
      </c>
      <c r="H340" s="13">
        <f ca="1"/>
        <v>0.99113818002518506</v>
      </c>
      <c r="I340" s="13">
        <f ca="1"/>
        <v>0.97536474383193783</v>
      </c>
      <c r="J340" s="13">
        <f ca="1"/>
        <v>0.93052191361366066</v>
      </c>
      <c r="K340" s="13">
        <f ca="1"/>
        <v>0.93050514591990097</v>
      </c>
    </row>
    <row r="341" spans="1:11">
      <c r="A341" s="14">
        <f t="shared" ca="1" si="35"/>
        <v>43488</v>
      </c>
      <c r="B341" s="74">
        <f t="shared" ca="1" si="30"/>
        <v>2.726131997962733E-2</v>
      </c>
      <c r="C341" s="74">
        <f t="shared" ca="1" si="31"/>
        <v>0.14493358826265013</v>
      </c>
      <c r="D341" s="74">
        <f t="shared" ca="1" si="32"/>
        <v>2.8204178984428396E-2</v>
      </c>
      <c r="E341" s="74">
        <f t="shared" ca="1" si="33"/>
        <v>7.2750653437618218E-2</v>
      </c>
      <c r="F341" s="74">
        <f t="shared" ca="1" si="34"/>
        <v>7.2802851093365928E-2</v>
      </c>
      <c r="G341" s="13">
        <f ca="1"/>
        <v>0.97618797072019703</v>
      </c>
      <c r="H341" s="13">
        <f ca="1"/>
        <v>0.99074094249264322</v>
      </c>
      <c r="I341" s="13">
        <f ca="1"/>
        <v>0.9752874970679194</v>
      </c>
      <c r="J341" s="13">
        <f ca="1"/>
        <v>0.93032255404315711</v>
      </c>
      <c r="K341" s="13">
        <f ca="1"/>
        <v>0.93030564328002463</v>
      </c>
    </row>
    <row r="342" spans="1:11">
      <c r="A342" s="14">
        <f t="shared" ca="1" si="35"/>
        <v>43489</v>
      </c>
      <c r="B342" s="74">
        <f t="shared" ca="1" si="30"/>
        <v>2.7270592851104669E-2</v>
      </c>
      <c r="C342" s="74">
        <f t="shared" ca="1" si="31"/>
        <v>0.14487550043783937</v>
      </c>
      <c r="D342" s="74">
        <f t="shared" ca="1" si="32"/>
        <v>2.8213286557720596E-2</v>
      </c>
      <c r="E342" s="74">
        <f t="shared" ca="1" si="33"/>
        <v>7.2735066981441387E-2</v>
      </c>
      <c r="F342" s="74">
        <f t="shared" ca="1" si="34"/>
        <v>7.2787241979323514E-2</v>
      </c>
      <c r="G342" s="13">
        <f ca="1"/>
        <v>0.97611328217230764</v>
      </c>
      <c r="H342" s="13">
        <f ca="1"/>
        <v>0.99034386416863596</v>
      </c>
      <c r="I342" s="13">
        <f ca="1"/>
        <v>0.97521022534467439</v>
      </c>
      <c r="J342" s="13">
        <f ca="1"/>
        <v>0.93012323718442391</v>
      </c>
      <c r="K342" s="13">
        <f ca="1"/>
        <v>0.93010618341401541</v>
      </c>
    </row>
    <row r="343" spans="1:11">
      <c r="A343" s="14">
        <f t="shared" ca="1" si="35"/>
        <v>43490</v>
      </c>
      <c r="B343" s="74">
        <f t="shared" ca="1" si="30"/>
        <v>2.7279863249090042E-2</v>
      </c>
      <c r="C343" s="74">
        <f t="shared" ca="1" si="31"/>
        <v>0.14481743589393747</v>
      </c>
      <c r="D343" s="74">
        <f t="shared" ca="1" si="32"/>
        <v>2.8222391586970041E-2</v>
      </c>
      <c r="E343" s="74">
        <f t="shared" ca="1" si="33"/>
        <v>7.2719483864573942E-2</v>
      </c>
      <c r="F343" s="74">
        <f t="shared" ca="1" si="34"/>
        <v>7.2771636211844126E-2</v>
      </c>
      <c r="G343" s="13">
        <f ca="1"/>
        <v>0.97603856821929091</v>
      </c>
      <c r="H343" s="13">
        <f ca="1"/>
        <v>0.98994694498935421</v>
      </c>
      <c r="I343" s="13">
        <f ca="1"/>
        <v>0.97513292866917378</v>
      </c>
      <c r="J343" s="13">
        <f ca="1"/>
        <v>0.92992396302831037</v>
      </c>
      <c r="K343" s="13">
        <f ca="1"/>
        <v>0.92990676631270219</v>
      </c>
    </row>
    <row r="344" spans="1:11">
      <c r="A344" s="14">
        <f t="shared" ca="1" si="35"/>
        <v>43491</v>
      </c>
      <c r="B344" s="74">
        <f t="shared" ca="1" si="30"/>
        <v>2.7289131172732461E-2</v>
      </c>
      <c r="C344" s="74">
        <f t="shared" ca="1" si="31"/>
        <v>0.1447593946217457</v>
      </c>
      <c r="D344" s="74">
        <f t="shared" ca="1" si="32"/>
        <v>2.8231494070555807E-2</v>
      </c>
      <c r="E344" s="74">
        <f t="shared" ca="1" si="33"/>
        <v>7.2703904086326987E-2</v>
      </c>
      <c r="F344" s="74">
        <f t="shared" ca="1" si="34"/>
        <v>7.2756033790319918E-2</v>
      </c>
      <c r="G344" s="13">
        <f ca="1"/>
        <v>0.97596382886792354</v>
      </c>
      <c r="H344" s="13">
        <f ca="1"/>
        <v>0.98955018489101465</v>
      </c>
      <c r="I344" s="13">
        <f ca="1"/>
        <v>0.97505560704838756</v>
      </c>
      <c r="J344" s="13">
        <f ca="1"/>
        <v>0.92972473156566771</v>
      </c>
      <c r="K344" s="13">
        <f ca="1"/>
        <v>0.92970739196691632</v>
      </c>
    </row>
    <row r="345" spans="1:11">
      <c r="A345" s="14">
        <f t="shared" ca="1" si="35"/>
        <v>43492</v>
      </c>
      <c r="B345" s="74">
        <f t="shared" ca="1" si="30"/>
        <v>2.7298396622031929E-2</v>
      </c>
      <c r="C345" s="74">
        <f t="shared" ca="1" si="31"/>
        <v>0.14470137661186266</v>
      </c>
      <c r="D345" s="74">
        <f t="shared" ca="1" si="32"/>
        <v>2.8240594007829523E-2</v>
      </c>
      <c r="E345" s="74">
        <f t="shared" ca="1" si="33"/>
        <v>7.2688327645971107E-2</v>
      </c>
      <c r="F345" s="74">
        <f t="shared" ca="1" si="34"/>
        <v>7.274043471398095E-2</v>
      </c>
      <c r="G345" s="13">
        <f ca="1"/>
        <v>0.97588906412498455</v>
      </c>
      <c r="H345" s="13">
        <f ca="1"/>
        <v>0.98915358380985918</v>
      </c>
      <c r="I345" s="13">
        <f ca="1"/>
        <v>0.97497826048929015</v>
      </c>
      <c r="J345" s="13">
        <f ca="1"/>
        <v>0.929525542787349</v>
      </c>
      <c r="K345" s="13">
        <f ca="1"/>
        <v>0.92950806036749078</v>
      </c>
    </row>
    <row r="346" spans="1:11">
      <c r="A346" s="14">
        <f t="shared" ca="1" si="35"/>
        <v>43493</v>
      </c>
      <c r="B346" s="74">
        <f t="shared" ca="1" si="30"/>
        <v>2.730765959552961E-2</v>
      </c>
      <c r="C346" s="74">
        <f t="shared" ca="1" si="31"/>
        <v>0.14464338185496806</v>
      </c>
      <c r="D346" s="74">
        <f t="shared" ca="1" si="32"/>
        <v>2.8249691398993804E-2</v>
      </c>
      <c r="E346" s="74">
        <f t="shared" ca="1" si="33"/>
        <v>7.2672754542776885E-2</v>
      </c>
      <c r="F346" s="74">
        <f t="shared" ca="1" si="34"/>
        <v>7.2724838982097806E-2</v>
      </c>
      <c r="G346" s="13">
        <f ca="1"/>
        <v>0.97581427399725296</v>
      </c>
      <c r="H346" s="13">
        <f ca="1"/>
        <v>0.98875714168215545</v>
      </c>
      <c r="I346" s="13">
        <f ca="1"/>
        <v>0.97490088899885774</v>
      </c>
      <c r="J346" s="13">
        <f ca="1"/>
        <v>0.92932639668420935</v>
      </c>
      <c r="K346" s="13">
        <f ca="1"/>
        <v>0.9293087715052607</v>
      </c>
    </row>
    <row r="347" spans="1:11">
      <c r="A347" s="14">
        <f t="shared" ca="1" si="35"/>
        <v>43494</v>
      </c>
      <c r="B347" s="74">
        <f t="shared" ca="1" si="30"/>
        <v>2.7316920092860797E-2</v>
      </c>
      <c r="C347" s="74">
        <f t="shared" ca="1" si="31"/>
        <v>0.14458541034174155</v>
      </c>
      <c r="D347" s="74">
        <f t="shared" ca="1" si="32"/>
        <v>2.8258786242549294E-2</v>
      </c>
      <c r="E347" s="74">
        <f t="shared" ca="1" si="33"/>
        <v>7.2657184776014905E-2</v>
      </c>
      <c r="F347" s="74">
        <f t="shared" ca="1" si="34"/>
        <v>7.2709246594022114E-2</v>
      </c>
      <c r="G347" s="13">
        <f ca="1"/>
        <v>0.97573945849151178</v>
      </c>
      <c r="H347" s="13">
        <f ca="1"/>
        <v>0.98836085844419663</v>
      </c>
      <c r="I347" s="13">
        <f ca="1"/>
        <v>0.97482349258406598</v>
      </c>
      <c r="J347" s="13">
        <f ca="1"/>
        <v>0.92912729324710586</v>
      </c>
      <c r="K347" s="13">
        <f ca="1"/>
        <v>0.92910952537106317</v>
      </c>
    </row>
    <row r="348" spans="1:11">
      <c r="A348" s="14">
        <f t="shared" ca="1" si="35"/>
        <v>43495</v>
      </c>
      <c r="B348" s="74">
        <f t="shared" ca="1" si="30"/>
        <v>2.7326178113215027E-2</v>
      </c>
      <c r="C348" s="74">
        <f t="shared" ca="1" si="31"/>
        <v>0.14452746206286282</v>
      </c>
      <c r="D348" s="74">
        <f t="shared" ca="1" si="32"/>
        <v>2.8267878538131286E-2</v>
      </c>
      <c r="E348" s="74">
        <f t="shared" ca="1" si="33"/>
        <v>7.2641618345077319E-2</v>
      </c>
      <c r="F348" s="74">
        <f t="shared" ca="1" si="34"/>
        <v>7.2693657548943413E-2</v>
      </c>
      <c r="G348" s="13">
        <f ca="1"/>
        <v>0.97566461761454504</v>
      </c>
      <c r="H348" s="13">
        <f ca="1"/>
        <v>0.98796473403230145</v>
      </c>
      <c r="I348" s="13">
        <f ca="1"/>
        <v>0.97474607125189461</v>
      </c>
      <c r="J348" s="13">
        <f ca="1"/>
        <v>0.9289282324668976</v>
      </c>
      <c r="K348" s="13">
        <f ca="1"/>
        <v>0.92891032195573708</v>
      </c>
    </row>
    <row r="349" spans="1:11">
      <c r="A349" s="14">
        <f t="shared" ca="1" si="35"/>
        <v>43496</v>
      </c>
      <c r="B349" s="74">
        <f t="shared" ca="1" si="30"/>
        <v>2.7335433655700792E-2</v>
      </c>
      <c r="C349" s="74">
        <f t="shared" ca="1" si="31"/>
        <v>0.14446953700905207</v>
      </c>
      <c r="D349" s="74">
        <f t="shared" ca="1" si="32"/>
        <v>2.82769682847267E-2</v>
      </c>
      <c r="E349" s="74">
        <f t="shared" ca="1" si="33"/>
        <v>7.2626055249113142E-2</v>
      </c>
      <c r="F349" s="74">
        <f t="shared" ca="1" si="34"/>
        <v>7.2678071846253856E-2</v>
      </c>
      <c r="G349" s="13">
        <f ca="1"/>
        <v>0.97558975137313897</v>
      </c>
      <c r="H349" s="13">
        <f ca="1"/>
        <v>0.98756876838281415</v>
      </c>
      <c r="I349" s="13">
        <f ca="1"/>
        <v>0.97466862500932439</v>
      </c>
      <c r="J349" s="13">
        <f ca="1"/>
        <v>0.92872921433444533</v>
      </c>
      <c r="K349" s="13">
        <f ca="1"/>
        <v>0.92871116125012354</v>
      </c>
    </row>
    <row r="350" spans="1:11">
      <c r="A350" s="14">
        <f t="shared" ca="1" si="35"/>
        <v>43497</v>
      </c>
      <c r="B350" s="74">
        <f t="shared" ca="1" si="30"/>
        <v>2.7344686720520706E-2</v>
      </c>
      <c r="C350" s="74">
        <f t="shared" ca="1" si="31"/>
        <v>0.14441163517098898</v>
      </c>
      <c r="D350" s="74">
        <f t="shared" ca="1" si="32"/>
        <v>2.8286055482619199E-2</v>
      </c>
      <c r="E350" s="74">
        <f t="shared" ca="1" si="33"/>
        <v>7.261049548743348E-2</v>
      </c>
      <c r="F350" s="74">
        <f t="shared" ca="1" si="34"/>
        <v>7.2662489485102455E-2</v>
      </c>
      <c r="G350" s="13">
        <f ca="1"/>
        <v>0.97551485977408225</v>
      </c>
      <c r="H350" s="13">
        <f ca="1"/>
        <v>0.98717296143210442</v>
      </c>
      <c r="I350" s="13">
        <f ca="1"/>
        <v>0.97459115386333883</v>
      </c>
      <c r="J350" s="13">
        <f ca="1"/>
        <v>0.92853023884061214</v>
      </c>
      <c r="K350" s="13">
        <f ca="1"/>
        <v>0.92851204324506531</v>
      </c>
    </row>
    <row r="351" spans="1:11">
      <c r="A351" s="14">
        <f t="shared" ca="1" si="35"/>
        <v>43498</v>
      </c>
      <c r="B351" s="74">
        <f t="shared" ca="1" si="30"/>
        <v>2.7353937306053844E-2</v>
      </c>
      <c r="C351" s="74">
        <f t="shared" ca="1" si="31"/>
        <v>0.14435375653935323</v>
      </c>
      <c r="D351" s="74">
        <f t="shared" ca="1" si="32"/>
        <v>2.829514013022838E-2</v>
      </c>
      <c r="E351" s="74">
        <f t="shared" ca="1" si="33"/>
        <v>7.2594939059430486E-2</v>
      </c>
      <c r="F351" s="74">
        <f t="shared" ca="1" si="34"/>
        <v>7.2646910464962411E-2</v>
      </c>
      <c r="G351" s="13">
        <f ca="1"/>
        <v>0.97543994282416302</v>
      </c>
      <c r="H351" s="13">
        <f ca="1"/>
        <v>0.98677731311656747</v>
      </c>
      <c r="I351" s="13">
        <f ca="1"/>
        <v>0.9745136578209207</v>
      </c>
      <c r="J351" s="13">
        <f ca="1"/>
        <v>0.92833130597626301</v>
      </c>
      <c r="K351" s="13">
        <f ca="1"/>
        <v>0.9283129679314075</v>
      </c>
    </row>
    <row r="352" spans="1:11">
      <c r="A352" s="14">
        <f t="shared" ca="1" si="35"/>
        <v>43499</v>
      </c>
      <c r="B352" s="74">
        <f t="shared" ca="1" si="30"/>
        <v>2.7363185411894975E-2</v>
      </c>
      <c r="C352" s="74">
        <f t="shared" ca="1" si="31"/>
        <v>0.14429590110486501</v>
      </c>
      <c r="D352" s="74">
        <f t="shared" ca="1" si="32"/>
        <v>2.830422222686535E-2</v>
      </c>
      <c r="E352" s="74">
        <f t="shared" ca="1" si="33"/>
        <v>7.257938596421265E-2</v>
      </c>
      <c r="F352" s="74">
        <f t="shared" ca="1" si="34"/>
        <v>7.2631334784901691E-2</v>
      </c>
      <c r="G352" s="13">
        <f ca="1"/>
        <v>0.97536500053017383</v>
      </c>
      <c r="H352" s="13">
        <f ca="1"/>
        <v>0.98638182337262403</v>
      </c>
      <c r="I352" s="13">
        <f ca="1"/>
        <v>0.97443613688905706</v>
      </c>
      <c r="J352" s="13">
        <f ca="1"/>
        <v>0.92813241573226457</v>
      </c>
      <c r="K352" s="13">
        <f ca="1"/>
        <v>0.92811393529999664</v>
      </c>
    </row>
    <row r="353" spans="1:11">
      <c r="A353" s="14">
        <f t="shared" ca="1" si="35"/>
        <v>43500</v>
      </c>
      <c r="B353" s="74">
        <f t="shared" ca="1" si="30"/>
        <v>2.7372431037395728E-2</v>
      </c>
      <c r="C353" s="74">
        <f t="shared" ca="1" si="31"/>
        <v>0.14423806885816348</v>
      </c>
      <c r="D353" s="74">
        <f t="shared" ca="1" si="32"/>
        <v>2.8313301772894817E-2</v>
      </c>
      <c r="E353" s="74">
        <f t="shared" ca="1" si="33"/>
        <v>7.2563836201293697E-2</v>
      </c>
      <c r="F353" s="74">
        <f t="shared" ca="1" si="34"/>
        <v>7.2615762444312448E-2</v>
      </c>
      <c r="G353" s="13">
        <f ca="1"/>
        <v>0.97529003289890837</v>
      </c>
      <c r="H353" s="13">
        <f ca="1"/>
        <v>0.98598649213672029</v>
      </c>
      <c r="I353" s="13">
        <f ca="1"/>
        <v>0.97435859107473688</v>
      </c>
      <c r="J353" s="13">
        <f ca="1"/>
        <v>0.92793356809948591</v>
      </c>
      <c r="K353" s="13">
        <f ca="1"/>
        <v>0.92791494534168184</v>
      </c>
    </row>
    <row r="354" spans="1:11">
      <c r="A354" s="14">
        <f t="shared" ca="1" si="35"/>
        <v>43501</v>
      </c>
      <c r="B354" s="74">
        <f t="shared" ca="1" si="30"/>
        <v>2.7381674181583548E-2</v>
      </c>
      <c r="C354" s="74">
        <f t="shared" ca="1" si="31"/>
        <v>0.14418025979004989</v>
      </c>
      <c r="D354" s="74">
        <f t="shared" ca="1" si="32"/>
        <v>2.8322378766533762E-2</v>
      </c>
      <c r="E354" s="74">
        <f t="shared" ca="1" si="33"/>
        <v>7.2548289769701069E-2</v>
      </c>
      <c r="F354" s="74">
        <f t="shared" ca="1" si="34"/>
        <v>7.2600193442546312E-2</v>
      </c>
      <c r="G354" s="13">
        <f ca="1"/>
        <v>0.97521503993716208</v>
      </c>
      <c r="H354" s="13">
        <f ca="1"/>
        <v>0.98559131934532807</v>
      </c>
      <c r="I354" s="13">
        <f ca="1"/>
        <v>0.97428102038494813</v>
      </c>
      <c r="J354" s="13">
        <f ca="1"/>
        <v>0.92773476306879743</v>
      </c>
      <c r="K354" s="13">
        <f ca="1"/>
        <v>0.92771599804731386</v>
      </c>
    </row>
    <row r="355" spans="1:11">
      <c r="A355" s="14">
        <f t="shared" ca="1" si="35"/>
        <v>43502</v>
      </c>
      <c r="B355" s="74">
        <f t="shared" ca="1" si="30"/>
        <v>2.7390914844580005E-2</v>
      </c>
      <c r="C355" s="74">
        <f t="shared" ca="1" si="31"/>
        <v>0.14412247389116339</v>
      </c>
      <c r="D355" s="74">
        <f t="shared" ca="1" si="32"/>
        <v>2.8331453207701141E-2</v>
      </c>
      <c r="E355" s="74">
        <f t="shared" ca="1" si="33"/>
        <v>7.2532746668948489E-2</v>
      </c>
      <c r="F355" s="74">
        <f t="shared" ca="1" si="34"/>
        <v>7.2584627778711774E-2</v>
      </c>
      <c r="G355" s="13">
        <f ca="1"/>
        <v>0.97514002165173308</v>
      </c>
      <c r="H355" s="13">
        <f ca="1"/>
        <v>0.98519630493494437</v>
      </c>
      <c r="I355" s="13">
        <f ca="1"/>
        <v>0.97420342482668365</v>
      </c>
      <c r="J355" s="13">
        <f ca="1"/>
        <v>0.92753600063107222</v>
      </c>
      <c r="K355" s="13">
        <f ca="1"/>
        <v>0.92751709340774524</v>
      </c>
    </row>
    <row r="356" spans="1:11">
      <c r="A356" s="14">
        <f t="shared" ca="1" si="35"/>
        <v>43503</v>
      </c>
      <c r="B356" s="74">
        <f t="shared" ca="1" si="30"/>
        <v>2.7400153024966789E-2</v>
      </c>
      <c r="C356" s="74">
        <f t="shared" ca="1" si="31"/>
        <v>0.14406471115230524</v>
      </c>
      <c r="D356" s="74">
        <f t="shared" ca="1" si="32"/>
        <v>2.8340525095181257E-2</v>
      </c>
      <c r="E356" s="74">
        <f t="shared" ca="1" si="33"/>
        <v>7.2517206898184972E-2</v>
      </c>
      <c r="F356" s="74">
        <f t="shared" ca="1" si="34"/>
        <v>7.2569065452282033E-2</v>
      </c>
      <c r="G356" s="13">
        <f ca="1"/>
        <v>0.97506497804941916</v>
      </c>
      <c r="H356" s="13">
        <f ca="1"/>
        <v>0.98480144884209186</v>
      </c>
      <c r="I356" s="13">
        <f ca="1"/>
        <v>0.97412580440693652</v>
      </c>
      <c r="J356" s="13">
        <f ca="1"/>
        <v>0.92733728077718469</v>
      </c>
      <c r="K356" s="13">
        <f ca="1"/>
        <v>0.92731823141383096</v>
      </c>
    </row>
    <row r="357" spans="1:11">
      <c r="A357" s="14">
        <f t="shared" ca="1" si="35"/>
        <v>43504</v>
      </c>
      <c r="B357" s="74">
        <f t="shared" ca="1" si="30"/>
        <v>2.7409388722136052E-2</v>
      </c>
      <c r="C357" s="74">
        <f t="shared" ca="1" si="31"/>
        <v>0.14400697156403353</v>
      </c>
      <c r="D357" s="74">
        <f t="shared" ca="1" si="32"/>
        <v>2.8349594429379343E-2</v>
      </c>
      <c r="E357" s="74">
        <f t="shared" ca="1" si="33"/>
        <v>7.2501670456721623E-2</v>
      </c>
      <c r="F357" s="74">
        <f t="shared" ca="1" si="34"/>
        <v>7.2553506462446626E-2</v>
      </c>
      <c r="G357" s="13">
        <f ca="1"/>
        <v>0.97498990913702199</v>
      </c>
      <c r="H357" s="13">
        <f ca="1"/>
        <v>0.98440675100331843</v>
      </c>
      <c r="I357" s="13">
        <f ca="1"/>
        <v>0.97404815913270315</v>
      </c>
      <c r="J357" s="13">
        <f ca="1"/>
        <v>0.92713860349801158</v>
      </c>
      <c r="K357" s="13">
        <f ca="1"/>
        <v>0.92711941205642745</v>
      </c>
    </row>
    <row r="358" spans="1:11" ht="12" thickBot="1">
      <c r="A358" s="15">
        <f ca="1">A357+1</f>
        <v>43505</v>
      </c>
      <c r="B358" s="74"/>
      <c r="C358" s="74"/>
      <c r="D358" s="74"/>
      <c r="E358" s="74"/>
      <c r="F358" s="74"/>
      <c r="G358" s="13">
        <f ca="1"/>
        <v>0.97491481492134491</v>
      </c>
      <c r="H358" s="13">
        <f ca="1"/>
        <v>0.98401221135519779</v>
      </c>
      <c r="I358" s="13">
        <f ca="1"/>
        <v>0.97397048901097882</v>
      </c>
      <c r="J358" s="13">
        <f ca="1"/>
        <v>0.92693996878443152</v>
      </c>
      <c r="K358" s="13">
        <f ca="1"/>
        <v>0.92692063532639335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AUDCurve</vt:lpstr>
      <vt:lpstr>GBPCurve</vt:lpstr>
      <vt:lpstr>Daily Forward Rates</vt:lpstr>
      <vt:lpstr>Daily Forward Curve Comparison</vt:lpstr>
      <vt:lpstr>Choice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amistry</dc:creator>
  <cp:lastModifiedBy>Alex</cp:lastModifiedBy>
  <cp:lastPrinted>2009-01-05T02:51:47Z</cp:lastPrinted>
  <dcterms:created xsi:type="dcterms:W3CDTF">2008-05-20T05:30:45Z</dcterms:created>
  <dcterms:modified xsi:type="dcterms:W3CDTF">2018-02-18T03:58:54Z</dcterms:modified>
</cp:coreProperties>
</file>