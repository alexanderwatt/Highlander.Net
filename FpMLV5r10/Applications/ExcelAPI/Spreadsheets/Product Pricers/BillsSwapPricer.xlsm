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5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drawings/drawing6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9001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ex\Documents\Visual Studio 2017\Projects\Highlander\FpML.V5r3.Applications\ExcelAPI\Spreadsheets\Product Pricers\"/>
    </mc:Choice>
  </mc:AlternateContent>
  <bookViews>
    <workbookView xWindow="555" yWindow="540" windowWidth="18735" windowHeight="12270" activeTab="11" xr2:uid="{00000000-000D-0000-FFFF-FFFF00000000}"/>
  </bookViews>
  <sheets>
    <sheet name="Start page" sheetId="17" r:id="rId1"/>
    <sheet name="Market data" sheetId="26" r:id="rId2"/>
    <sheet name="Fixed Bills Pricer" sheetId="14" r:id="rId3"/>
    <sheet name="Fixed Bills Risk" sheetId="18" r:id="rId4"/>
    <sheet name="Floating Bills Pricer" sheetId="19" r:id="rId5"/>
    <sheet name="Curves List" sheetId="16" r:id="rId6"/>
    <sheet name="1M Curve" sheetId="22" state="hidden" r:id="rId7"/>
    <sheet name="3M Curve" sheetId="23" state="hidden" r:id="rId8"/>
    <sheet name="6M Curve" sheetId="24" state="hidden" r:id="rId9"/>
    <sheet name="3y&amp;10y prices" sheetId="25" state="hidden" r:id="rId10"/>
    <sheet name="Config" sheetId="9" r:id="rId11"/>
    <sheet name="Export to Calypso" sheetId="20" r:id="rId12"/>
  </sheets>
  <functionGroups builtInGroupCount="19"/>
  <externalReferences>
    <externalReference r:id="rId13"/>
  </externalReferences>
  <definedNames>
    <definedName name="a_name" localSheetId="4">'Floating Bills Pricer'!$J$18</definedName>
    <definedName name="AmortSchedule_ForHiding" localSheetId="4">'Floating Bills Pricer'!$26:$35</definedName>
    <definedName name="AmortSchedule_ForHiding">'Fixed Bills Pricer'!$26:$35</definedName>
    <definedName name="AmortSchedule_Test">#REF!</definedName>
    <definedName name="another_name" localSheetId="4">'Floating Bills Pricer'!$J$19</definedName>
    <definedName name="BusDayConvValues">[1]Configuration!$E$25:$E$29</definedName>
    <definedName name="Calendars">Config!$A$9:$A$14</definedName>
    <definedName name="ConfigBusinessDayConvention">Config!$A$18:$A$22</definedName>
    <definedName name="ConfigDayCounters">Config!$A$25:$A$26</definedName>
    <definedName name="ConfigRollDay">Config!$A$29:$A$59</definedName>
    <definedName name="ConfigRollDirection">Config!$A$62:$A$63</definedName>
    <definedName name="ConfigRollFreq">Config!$A$2:$A$7</definedName>
    <definedName name="Curve1MInstruments">'1M Curve'!$A$2:$B$99</definedName>
    <definedName name="Curve1MName">'1M Curve'!$B$1</definedName>
    <definedName name="Curve310Pay10y">'3y&amp;10y prices'!$B$6</definedName>
    <definedName name="Curve310Pay3y">'3y&amp;10y prices'!$B$5</definedName>
    <definedName name="Curve310PayInstruments">'3y&amp;10y prices'!$A$5:$B$6</definedName>
    <definedName name="Curve310PayName">'3y&amp;10y prices'!$B$4</definedName>
    <definedName name="Curve310Rec10y">'3y&amp;10y prices'!$B$3</definedName>
    <definedName name="Curve310Rec3y">'3y&amp;10y prices'!$B$2</definedName>
    <definedName name="Curve310ReceiveInstruments">'3y&amp;10y prices'!$A$2:$B$3</definedName>
    <definedName name="Curve310ReceiveName">'3y&amp;10y prices'!$B$1</definedName>
    <definedName name="Curve3MInstruments">'3M Curve'!$A$2:$B$99</definedName>
    <definedName name="Curve3MName">'3M Curve'!$B$1</definedName>
    <definedName name="Curve6MInstruments">'6M Curve'!$A$2:$B$99</definedName>
    <definedName name="Curve6MName">'6M Curve'!$B$1</definedName>
    <definedName name="curvelist">[1]Sheet3!$A$3:$A$33</definedName>
    <definedName name="CustomRolls_ForHiding" localSheetId="4">'Floating Bills Pricer'!$36:$48</definedName>
    <definedName name="CustomRolls_ForHiding">'Fixed Bills Pricer'!$36:$48</definedName>
    <definedName name="DayCountConventions">[1]Configuration!$E$7:$E$14</definedName>
    <definedName name="Fixed_Rate_Range" localSheetId="4">'Floating Bills Pricer'!$D$22</definedName>
    <definedName name="FixedSwap_AmortisingSchedule">'Fixed Bills Pricer'!$B$29:$E$34</definedName>
    <definedName name="FixedSwap_CustomRollSchedule">'Fixed Bills Pricer'!$C$38:$E$48</definedName>
    <definedName name="FixedSwap_PayCashflows">'Fixed Bills Pricer'!$A$52:$D$500</definedName>
    <definedName name="FixedSwap_PayTerms">'Fixed Bills Pricer'!$C$5:$C$13</definedName>
    <definedName name="FixedSwap_ReceiveCashflows">'Fixed Bills Pricer'!$E$52:$H$500</definedName>
    <definedName name="FixedSwap_ReceiveTerms">'Fixed Bills Pricer'!$F$5:$F$13</definedName>
    <definedName name="FixedSwapActualRate">'Fixed Bills Pricer'!$D$21</definedName>
    <definedName name="FixedSwapBulletPaymentDate">'Fixed Bills Pricer'!$I$4</definedName>
    <definedName name="FixedSwapBulletPaymentValue">'Fixed Bills Pricer'!$I$5</definedName>
    <definedName name="FixedSwapCurve">'Fixed Bills Pricer'!$I$8</definedName>
    <definedName name="FixedSwapFloatingMargin">'Fixed Bills Pricer'!$D$18</definedName>
    <definedName name="FixedSwapPayBuildDates">'Fixed Bills Pricer'!$C$7</definedName>
    <definedName name="FixedSwapPayCalendar">'Fixed Bills Pricer'!$C$11</definedName>
    <definedName name="FixedSwapPayEndDate">'Fixed Bills Pricer'!$C$6</definedName>
    <definedName name="FixedSwapPayRollConvention">'Fixed Bills Pricer'!$C$12</definedName>
    <definedName name="FixedSwapPayRollDate">'Fixed Bills Pricer'!$C$8</definedName>
    <definedName name="FixedSwapPayRollFrequency">'Fixed Bills Pricer'!$C$9</definedName>
    <definedName name="FixedSwapPayStartDate">'Fixed Bills Pricer'!$C$5</definedName>
    <definedName name="FixedSwapReceiveBuildDates">'Fixed Bills Pricer'!$F$7</definedName>
    <definedName name="FixedSwapReceiveCalendar">'Fixed Bills Pricer'!$F$11</definedName>
    <definedName name="FixedSwapReceiveEndDate">'Fixed Bills Pricer'!$F$6</definedName>
    <definedName name="FixedSwapReceiveRollConvention">'Fixed Bills Pricer'!$F$12</definedName>
    <definedName name="FixedSwapReceiveRollDate">'Fixed Bills Pricer'!$F$8</definedName>
    <definedName name="FixedSwapReceiveStartDate">'Fixed Bills Pricer'!$F$5</definedName>
    <definedName name="FixedSwapRiskCurveId">'Fixed Bills Risk'!#REF!</definedName>
    <definedName name="FixedSwapRiskCurveInstrumentsInfo">'Fixed Bills Risk'!$A$3:$B$97</definedName>
    <definedName name="FixedSwapRiskCurveInstrumentsInfoBucketSensitivity">'Fixed Bills Risk'!$C$3:$C$97</definedName>
    <definedName name="FixedSwapRiskCurveQuotesInfo">'Fixed Bills Risk'!$B$3:$B$97</definedName>
    <definedName name="FixedSwapRiskDepositsDelta">'Fixed Bills Risk'!$G$7</definedName>
    <definedName name="FixedSwapRiskFuturesDelta">'Fixed Bills Risk'!$G$8</definedName>
    <definedName name="FixedSwapRiskPV">'Fixed Bills Risk'!$G$5</definedName>
    <definedName name="FixedSwapRiskSwapsDelta">'Fixed Bills Risk'!$G$9</definedName>
    <definedName name="FixedSwapRiskTotalDelta">'Fixed Bills Risk'!$G$10</definedName>
    <definedName name="FixedSwapRiskValuationDate">'Fixed Bills Risk'!$B$1</definedName>
    <definedName name="FixedSwapSalesMargin">'Fixed Bills Pricer'!$D$20</definedName>
    <definedName name="FixedSwapTraderMargin">'Fixed Bills Pricer'!$D$19</definedName>
    <definedName name="FixedSwapValuationTime">'Fixed Bills Pricer'!$D$24</definedName>
    <definedName name="Floating_Margin" localSheetId="4">'Floating Bills Pricer'!$D$18</definedName>
    <definedName name="FloatingSwap_AmortisingSchedule">'Floating Bills Pricer'!$B$29:$E$34</definedName>
    <definedName name="FloatingSwap_AmortSchedule_ForHiding">'Floating Bills Pricer'!$26:$35</definedName>
    <definedName name="FloatingSwap_CustomRolls_ForHiding">'Floating Bills Pricer'!$36:$48</definedName>
    <definedName name="FloatingSwap_CustomRollSchedule">'Floating Bills Pricer'!$C$38:$E$48</definedName>
    <definedName name="FloatingSwap_PayCashflows">'Floating Bills Pricer'!$A$52:$D$500</definedName>
    <definedName name="FloatingSwap_PayRollFrq">'Floating Bills Pricer'!$C$9</definedName>
    <definedName name="FloatingSwap_PayTerms">'Floating Bills Pricer'!$C$5:$C$14</definedName>
    <definedName name="FloatingSwap_ReceiveCashflows">'Floating Bills Pricer'!$E$52:$H$500</definedName>
    <definedName name="FloatingSwap_ReceiveRollFrq">'Floating Bills Pricer'!$F$9</definedName>
    <definedName name="FloatingSwap_ReceiveTerms">'Floating Bills Pricer'!$F$5:$F$14</definedName>
    <definedName name="FloatingSwapPayCurve">'Floating Bills Pricer'!$C$14</definedName>
    <definedName name="FloatingSwapReceiveCurve">'Floating Bills Pricer'!$F$14</definedName>
    <definedName name="Frequency">[1]Configuration!$D$25:$D$31</definedName>
    <definedName name="FRQ_CONFIG" localSheetId="4">'Floating Bills Pricer'!$O$3:$O$7</definedName>
    <definedName name="ListOfTodaysCurves">'Curves List'!$A$2:$A$27</definedName>
    <definedName name="MarketData10yFutures">'Market data'!$E$3</definedName>
    <definedName name="MarketData3yFutures">'Market data'!$E$2</definedName>
    <definedName name="MarketDataCurveInstruments">'Market data'!$A$2:$B$99</definedName>
    <definedName name="PAY_CURVE" localSheetId="4">'Floating Bills Pricer'!$C$14</definedName>
    <definedName name="PayCashflows_Test">#REF!</definedName>
    <definedName name="PayRollFrq" localSheetId="4">'Floating Bills Pricer'!$C$9</definedName>
    <definedName name="PayRollFrq">'Fixed Bills Pricer'!$C$9</definedName>
    <definedName name="PayTerms_Test">#REF!</definedName>
    <definedName name="_xlnm.Print_Area" localSheetId="2">'Fixed Bills Pricer'!$B$1:$H$62</definedName>
    <definedName name="_xlnm.Print_Area" localSheetId="3">'Fixed Bills Risk'!$A$49:$L$51</definedName>
    <definedName name="_xlnm.Print_Area" localSheetId="4">'Floating Bills Pricer'!$B$1:$H$61</definedName>
    <definedName name="Profit_Spread" localSheetId="4">'Floating Bills Pricer'!$D$20</definedName>
    <definedName name="RECEIVE_CURVE" localSheetId="4">'Floating Bills Pricer'!$F$14</definedName>
    <definedName name="ReceiveRollFrq" localSheetId="4">'Floating Bills Pricer'!$F$9</definedName>
    <definedName name="ReceiveRollFrq">'Fixed Bills Pricer'!$F$9</definedName>
    <definedName name="Roll_Type_Config" localSheetId="4">'Floating Bills Pricer'!$P$3:$P$4</definedName>
    <definedName name="RollConvention">[1]Configuration!$H$7:$H$38</definedName>
    <definedName name="StubPeriods">[1]Configuration!$D$12:$D$13</definedName>
  </definedNames>
  <calcPr calcId="171027"/>
</workbook>
</file>

<file path=xl/calcChain.xml><?xml version="1.0" encoding="utf-8"?>
<calcChain xmlns="http://schemas.openxmlformats.org/spreadsheetml/2006/main">
  <c r="I4" i="14" l="1"/>
  <c r="B1" i="18"/>
  <c r="I5" i="14"/>
  <c r="J23" i="14" a="1"/>
  <c r="J23" i="14" l="1"/>
  <c r="J31" i="14"/>
  <c r="J39" i="14"/>
  <c r="J47" i="14"/>
  <c r="J55" i="14"/>
  <c r="J25" i="14"/>
  <c r="J33" i="14"/>
  <c r="J41" i="14"/>
  <c r="J49" i="14"/>
  <c r="J57" i="14"/>
  <c r="J26" i="14"/>
  <c r="J34" i="14"/>
  <c r="J42" i="14"/>
  <c r="J50" i="14"/>
  <c r="J58" i="14"/>
  <c r="J45" i="14"/>
  <c r="J53" i="14"/>
  <c r="J30" i="14"/>
  <c r="J62" i="14"/>
  <c r="J32" i="14"/>
  <c r="J56" i="14"/>
  <c r="J27" i="14"/>
  <c r="J35" i="14"/>
  <c r="J43" i="14"/>
  <c r="J51" i="14"/>
  <c r="J59" i="14"/>
  <c r="J37" i="14"/>
  <c r="J38" i="14"/>
  <c r="J54" i="14"/>
  <c r="J48" i="14"/>
  <c r="J28" i="14"/>
  <c r="J36" i="14"/>
  <c r="J44" i="14"/>
  <c r="J52" i="14"/>
  <c r="J60" i="14"/>
  <c r="J29" i="14"/>
  <c r="J61" i="14"/>
  <c r="J46" i="14"/>
  <c r="J24" i="14"/>
  <c r="J40" i="14"/>
</calcChain>
</file>

<file path=xl/sharedStrings.xml><?xml version="1.0" encoding="utf-8"?>
<sst xmlns="http://schemas.openxmlformats.org/spreadsheetml/2006/main" count="599" uniqueCount="185">
  <si>
    <t>Start date</t>
  </si>
  <si>
    <t>End date</t>
  </si>
  <si>
    <t>Roll Frequency</t>
  </si>
  <si>
    <t>Calendar</t>
  </si>
  <si>
    <t>MODFOLLOWING</t>
  </si>
  <si>
    <t>DayCount</t>
  </si>
  <si>
    <t>ACT/365.FIXED</t>
  </si>
  <si>
    <t>Yield Curve</t>
  </si>
  <si>
    <t>Roll Date</t>
  </si>
  <si>
    <t>AUSY</t>
  </si>
  <si>
    <t>3M</t>
  </si>
  <si>
    <t>Date Roll Convention</t>
  </si>
  <si>
    <t>Face value</t>
  </si>
  <si>
    <t>1M</t>
  </si>
  <si>
    <t>1Y</t>
  </si>
  <si>
    <t>6M</t>
  </si>
  <si>
    <t>2M</t>
  </si>
  <si>
    <t>Outstanding value</t>
  </si>
  <si>
    <t>Period</t>
  </si>
  <si>
    <t>CUSTOM RECEIVE ROLLS</t>
  </si>
  <si>
    <t>Build dates</t>
  </si>
  <si>
    <t>Payment</t>
  </si>
  <si>
    <t>Fixed</t>
  </si>
  <si>
    <t>Floating</t>
  </si>
  <si>
    <t>Floating Margin</t>
  </si>
  <si>
    <t>* (non-business day)</t>
  </si>
  <si>
    <t>AUME-AUSY</t>
  </si>
  <si>
    <t>CUSTOM</t>
  </si>
  <si>
    <t>EOM</t>
  </si>
  <si>
    <t>bps</t>
  </si>
  <si>
    <t>BACKWARD</t>
  </si>
  <si>
    <t>FORWARD</t>
  </si>
  <si>
    <t>Frequency</t>
  </si>
  <si>
    <t>CUSTOM ROLLS</t>
  </si>
  <si>
    <t>AMORTISATION SCHEDULE</t>
  </si>
  <si>
    <t>PAY TERMS</t>
  </si>
  <si>
    <t>RECEIVE TERMS</t>
  </si>
  <si>
    <t>PRICING BOX</t>
  </si>
  <si>
    <t>PAY SCHEDULE</t>
  </si>
  <si>
    <t>RECEIVE SCHEDULE</t>
  </si>
  <si>
    <t>Fixed Rate (actual)</t>
  </si>
  <si>
    <t>List of today's curves</t>
  </si>
  <si>
    <t>12M</t>
  </si>
  <si>
    <t>Bills swap pricer</t>
  </si>
  <si>
    <t>Rolled</t>
  </si>
  <si>
    <t>Instrument name</t>
  </si>
  <si>
    <t>Quote</t>
  </si>
  <si>
    <t xml:space="preserve">calculate </t>
  </si>
  <si>
    <t>Total delta</t>
  </si>
  <si>
    <t>SimpleIRSwap-AUD-3Y</t>
  </si>
  <si>
    <t>SimpleIRSwap-AUD-4Y</t>
  </si>
  <si>
    <t>SimpleIRSwap-AUD-5Y</t>
  </si>
  <si>
    <t>SimpleIRSwap-AUD-7Y</t>
  </si>
  <si>
    <t>SimpleIRSwap-AUD-10Y</t>
  </si>
  <si>
    <t>SimpleIRSwap-AUD-15Y</t>
  </si>
  <si>
    <t>Export to Calypso</t>
  </si>
  <si>
    <t>ConfigRollFreq</t>
  </si>
  <si>
    <t>7Y</t>
  </si>
  <si>
    <t>&lt;-type 0d for today</t>
  </si>
  <si>
    <t>&lt;-type 3y for 3 years</t>
  </si>
  <si>
    <t>&lt;-type 6m for 6 months</t>
  </si>
  <si>
    <t>No</t>
  </si>
  <si>
    <t>Valuation date</t>
  </si>
  <si>
    <t>Deposit-AUD-1D</t>
  </si>
  <si>
    <t>Deposit-AUD-1M</t>
  </si>
  <si>
    <t>Deposit-AUD-2M</t>
  </si>
  <si>
    <t>Delta</t>
  </si>
  <si>
    <t>Future-AUD-IR01 (Sep-08)</t>
  </si>
  <si>
    <t>Future-AUD-IR02 (Dec-08)</t>
  </si>
  <si>
    <t>Future-AUD-IR03 (Mar-09)</t>
  </si>
  <si>
    <t>Future-AUD-IR04 (Jun-09)</t>
  </si>
  <si>
    <t>Future-AUD-IR05 (Sep-09)</t>
  </si>
  <si>
    <t>Future-AUD-IR06 (Dec-09)</t>
  </si>
  <si>
    <t>Future-AUD-IR07 (Mar-10)</t>
  </si>
  <si>
    <t>SimpleIRSwap-AUD-20Y</t>
  </si>
  <si>
    <t>Swaps delta</t>
  </si>
  <si>
    <t>Bills futures delta</t>
  </si>
  <si>
    <t>Physical bills delta</t>
  </si>
  <si>
    <t>Yes</t>
  </si>
  <si>
    <t>SimpleIRSwap-AUD-25Y</t>
  </si>
  <si>
    <t>SimpleIRSwap-AUD-30Y</t>
  </si>
  <si>
    <t>NPV</t>
  </si>
  <si>
    <t>AUAD-AUSY</t>
  </si>
  <si>
    <t>AUBR-AUSY</t>
  </si>
  <si>
    <t>Calendars</t>
  </si>
  <si>
    <t>Business day conventions</t>
  </si>
  <si>
    <t>FOLLOWING</t>
  </si>
  <si>
    <t>PRECEDING</t>
  </si>
  <si>
    <t>MODPRECEDING</t>
  </si>
  <si>
    <t>NONE</t>
  </si>
  <si>
    <t>Day counter conventions</t>
  </si>
  <si>
    <t>ACT/360</t>
  </si>
  <si>
    <t>nsw</t>
  </si>
  <si>
    <t>vic</t>
  </si>
  <si>
    <t>qld</t>
  </si>
  <si>
    <t>sa</t>
  </si>
  <si>
    <t>wa</t>
  </si>
  <si>
    <t>NT</t>
  </si>
  <si>
    <t>ACT</t>
  </si>
  <si>
    <t>Darwin</t>
  </si>
  <si>
    <t>Canberra</t>
  </si>
  <si>
    <t>Payment date</t>
  </si>
  <si>
    <t>Payment value</t>
  </si>
  <si>
    <t>Embedded cost</t>
  </si>
  <si>
    <t>Deposit-AUD-3M</t>
  </si>
  <si>
    <t>Future-AUD-IR08 (Jun-10)</t>
  </si>
  <si>
    <t>Roll day configuration</t>
  </si>
  <si>
    <t>SimpleIRSwap-AUD-42M</t>
  </si>
  <si>
    <t>SimpleIRSwap-AUD-54M</t>
  </si>
  <si>
    <t>SimpleIRSwap-AUD-66M</t>
  </si>
  <si>
    <t>SimpleIRSwap-AUD-6Y</t>
  </si>
  <si>
    <t>SimpleIRSwap-AUD-78M</t>
  </si>
  <si>
    <t>SimpleIRSwap-AUD-90M</t>
  </si>
  <si>
    <t>SimpleIRSwap-AUD-8Y</t>
  </si>
  <si>
    <t>SimpleIRSwap-AUD-102M</t>
  </si>
  <si>
    <t>SimpleIRSwap-AUD-9Y</t>
  </si>
  <si>
    <t>SimpleIRSwap-AUD-114M</t>
  </si>
  <si>
    <t>SimpleIRSwap-AUD-126M</t>
  </si>
  <si>
    <t>SimpleIRSwap-AUD-11Y</t>
  </si>
  <si>
    <t>SimpleIRSwap-AUD-138M</t>
  </si>
  <si>
    <t>SimpleIRSwap-AUD-12Y</t>
  </si>
  <si>
    <t>SimpleIRSwap-AUD-150M</t>
  </si>
  <si>
    <t>SimpleIRSwap-AUD-13Y</t>
  </si>
  <si>
    <t>SimpleIRSwap-AUD-162M</t>
  </si>
  <si>
    <t>SimpleIRSwap-AUD-14Y</t>
  </si>
  <si>
    <t>SimpleIRSwap-AUD-174M</t>
  </si>
  <si>
    <t>SimpleIRSwap-AUD-186M</t>
  </si>
  <si>
    <t>SimpleIRSwap-AUD-16Y</t>
  </si>
  <si>
    <t>SimpleIRSwap-AUD-198M</t>
  </si>
  <si>
    <t>SimpleIRSwap-AUD-17Y</t>
  </si>
  <si>
    <t>SimpleIRSwap-AUD-210M</t>
  </si>
  <si>
    <t>SimpleIRSwap-AUD-18Y</t>
  </si>
  <si>
    <t>SimpleIRSwap-AUD-222M</t>
  </si>
  <si>
    <t>SimpleIRSwap-AUD-19Y</t>
  </si>
  <si>
    <t>SimpleIRSwap-AUD-234M</t>
  </si>
  <si>
    <t>SimpleIRSwap-AUD-246M</t>
  </si>
  <si>
    <t>SimpleIRSwap-AUD-21Y</t>
  </si>
  <si>
    <t>SimpleIRSwap-AUD-258M</t>
  </si>
  <si>
    <t>SimpleIRSwap-AUD-22Y</t>
  </si>
  <si>
    <t>SimpleIRSwap-AUD-270M</t>
  </si>
  <si>
    <t>SimpleIRSwap-AUD-23Y</t>
  </si>
  <si>
    <t>SimpleIRSwap-AUD-282M</t>
  </si>
  <si>
    <t>SimpleIRSwap-AUD-24Y</t>
  </si>
  <si>
    <t>SimpleIRSwap-AUD-294M</t>
  </si>
  <si>
    <t>SimpleIRSwap-AUD-306M</t>
  </si>
  <si>
    <t>SimpleIRSwap-AUD-26Y</t>
  </si>
  <si>
    <t>SimpleIRSwap-AUD-318M</t>
  </si>
  <si>
    <t>SimpleIRSwap-AUD-27Y</t>
  </si>
  <si>
    <t>SimpleIRSwap-AUD-330M</t>
  </si>
  <si>
    <t>SimpleIRSwap-AUD-28Y</t>
  </si>
  <si>
    <t>SimpleIRSwap-AUD-342M</t>
  </si>
  <si>
    <t>SimpleIRSwap-AUD-29Y</t>
  </si>
  <si>
    <t>SimpleIRSwap-AUD-354M</t>
  </si>
  <si>
    <t>Roll direction</t>
  </si>
  <si>
    <t>tas</t>
  </si>
  <si>
    <t>Reduce of notional</t>
  </si>
  <si>
    <t>AUPE-AUSY</t>
  </si>
  <si>
    <t>AUHO-AUSY</t>
  </si>
  <si>
    <t>Curve</t>
  </si>
  <si>
    <t>3y</t>
  </si>
  <si>
    <t>10y</t>
  </si>
  <si>
    <t>Pay</t>
  </si>
  <si>
    <t>6m</t>
  </si>
  <si>
    <t>Rec</t>
  </si>
  <si>
    <t>Reduce notional by</t>
  </si>
  <si>
    <t>Trader Margin</t>
  </si>
  <si>
    <t>Sales Margin</t>
  </si>
  <si>
    <t>Roll Day</t>
  </si>
  <si>
    <t>Valuation time</t>
  </si>
  <si>
    <t>3y bond futures</t>
  </si>
  <si>
    <t>10y bond futures</t>
  </si>
  <si>
    <t>Live.AUDSwap.3M.Official.SydSwapDesk.15/07/2008</t>
  </si>
  <si>
    <t>Live.AUDBondFuturesRec.3Y.Official.SydSwapDesk.15/07/2008</t>
  </si>
  <si>
    <t>Live.AUDBondFuturesPay.3Y.Official.SydSwapDesk.15/07/2008</t>
  </si>
  <si>
    <t>Live.AUDSwap.6M.Official.SydSwapDesk.15/07/2008</t>
  </si>
  <si>
    <t>Live.AUDSwap.1M.Official.SydSwapDesk.15/07/2008</t>
  </si>
  <si>
    <t>TEST.AUDSwap.6M.LPMTest.SydSwapDesk.18/07/2008</t>
  </si>
  <si>
    <t>Live.AUDSwap.6M.Igor.SydSwapDesk.18/07/2008</t>
  </si>
  <si>
    <t>TEST.AUDSwap.6M.Igor.SydSwapDesk.18/07/2008</t>
  </si>
  <si>
    <t>TEST.AUDSwap.6M.Igor.SydSwapDesk.26/06/2008</t>
  </si>
  <si>
    <t>3m</t>
  </si>
  <si>
    <t>PricingStructureType</t>
  </si>
  <si>
    <t>RateCurve</t>
  </si>
  <si>
    <t>MarketName</t>
  </si>
  <si>
    <t>LIVE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</si>
</sst>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000"/>
    <numFmt numFmtId="165" formatCode="0.000"/>
    <numFmt numFmtId="166" formatCode="#0.00%"/>
    <numFmt numFmtId="167" formatCode="#0.00"/>
    <numFmt numFmtId="168" formatCode="#0.000"/>
    <numFmt numFmtId="169" formatCode="[$-F400]h:mm:ss\ AM/PM"/>
  </numFmts>
  <fonts count="16">
    <font>
      <sz val="10"/>
      <name val="Arial"/>
    </font>
    <font>
      <sz val="10"/>
      <name val="Arial"/>
    </font>
    <font>
      <sz val="8"/>
      <name val="Arial"/>
    </font>
    <font>
      <b/>
      <sz val="10"/>
      <name val="Arial"/>
      <family val="2"/>
    </font>
    <font>
      <sz val="10"/>
      <name val="Arial"/>
      <family val="2"/>
      <charset val="204"/>
    </font>
    <font>
      <sz val="10"/>
      <name val="Arial"/>
      <family val="2"/>
    </font>
    <font>
      <i/>
      <sz val="10"/>
      <name val="Arial"/>
      <family val="2"/>
    </font>
    <font>
      <sz val="10"/>
      <color indexed="10"/>
      <name val="Arial"/>
    </font>
    <font>
      <b/>
      <i/>
      <sz val="10"/>
      <name val="Arial"/>
      <family val="2"/>
    </font>
    <font>
      <i/>
      <sz val="10"/>
      <color indexed="10"/>
      <name val="Arial"/>
      <family val="2"/>
    </font>
    <font>
      <b/>
      <sz val="10"/>
      <name val="Floating_Margin"/>
    </font>
    <font>
      <sz val="36"/>
      <name val="Arial"/>
    </font>
    <font>
      <sz val="16"/>
      <name val="Arial"/>
    </font>
    <font>
      <b/>
      <sz val="10"/>
      <name val="Arial"/>
    </font>
    <font>
      <b/>
      <sz val="10"/>
      <color indexed="12"/>
      <name val="Arial"/>
      <family val="2"/>
    </font>
    <font>
      <sz val="10"/>
      <name val="Arial"/>
    </font>
  </fonts>
  <fills count="6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83">
    <xf numFmtId="0" fontId="0" fillId="0" borderId="0" xfId="0"/>
    <xf numFmtId="0" fontId="0" fillId="0" borderId="0" xfId="0" applyBorder="1"/>
    <xf numFmtId="0" fontId="0" fillId="0" borderId="1" xfId="0" applyFill="1" applyBorder="1"/>
    <xf numFmtId="14" fontId="0" fillId="0" borderId="0" xfId="0" applyNumberFormat="1"/>
    <xf numFmtId="0" fontId="0" fillId="0" borderId="2" xfId="0" applyFill="1" applyBorder="1"/>
    <xf numFmtId="0" fontId="0" fillId="0" borderId="3" xfId="0" applyFill="1" applyBorder="1"/>
    <xf numFmtId="0" fontId="0" fillId="0" borderId="0" xfId="0" applyFill="1"/>
    <xf numFmtId="0" fontId="0" fillId="0" borderId="0" xfId="0" applyFill="1" applyBorder="1"/>
    <xf numFmtId="0" fontId="0" fillId="0" borderId="4" xfId="0" applyFill="1" applyBorder="1"/>
    <xf numFmtId="0" fontId="0" fillId="0" borderId="5" xfId="0" applyFill="1" applyBorder="1"/>
    <xf numFmtId="0" fontId="4" fillId="0" borderId="1" xfId="0" applyFont="1" applyFill="1" applyBorder="1"/>
    <xf numFmtId="0" fontId="5" fillId="0" borderId="0" xfId="0" applyFont="1" applyFill="1"/>
    <xf numFmtId="0" fontId="0" fillId="0" borderId="6" xfId="0" applyFill="1" applyBorder="1"/>
    <xf numFmtId="0" fontId="6" fillId="0" borderId="0" xfId="0" applyFont="1"/>
    <xf numFmtId="10" fontId="0" fillId="0" borderId="0" xfId="0" applyNumberFormat="1" applyAlignment="1">
      <alignment horizontal="left"/>
    </xf>
    <xf numFmtId="0" fontId="3" fillId="0" borderId="0" xfId="0" applyFont="1" applyAlignment="1">
      <alignment horizontal="left"/>
    </xf>
    <xf numFmtId="0" fontId="4" fillId="0" borderId="0" xfId="0" applyFont="1" applyFill="1" applyBorder="1" applyAlignment="1">
      <alignment horizontal="left"/>
    </xf>
    <xf numFmtId="0" fontId="4" fillId="0" borderId="4" xfId="0" applyFont="1" applyFill="1" applyBorder="1" applyAlignment="1">
      <alignment horizontal="left"/>
    </xf>
    <xf numFmtId="0" fontId="0" fillId="0" borderId="7" xfId="0" applyBorder="1"/>
    <xf numFmtId="0" fontId="4" fillId="0" borderId="1" xfId="0" applyFont="1" applyFill="1" applyBorder="1" applyAlignment="1">
      <alignment horizontal="left"/>
    </xf>
    <xf numFmtId="0" fontId="7" fillId="0" borderId="0" xfId="0" applyFont="1"/>
    <xf numFmtId="0" fontId="3" fillId="0" borderId="0" xfId="0" applyFont="1"/>
    <xf numFmtId="0" fontId="3" fillId="0" borderId="0" xfId="0" applyFont="1" applyBorder="1"/>
    <xf numFmtId="0" fontId="3" fillId="0" borderId="2" xfId="0" applyFont="1" applyFill="1" applyBorder="1"/>
    <xf numFmtId="0" fontId="8" fillId="0" borderId="2" xfId="0" applyFont="1" applyFill="1" applyBorder="1"/>
    <xf numFmtId="0" fontId="8" fillId="0" borderId="0" xfId="0" applyFont="1"/>
    <xf numFmtId="0" fontId="0" fillId="2" borderId="6" xfId="0" applyFill="1" applyBorder="1"/>
    <xf numFmtId="0" fontId="7" fillId="2" borderId="7" xfId="0" applyFont="1" applyFill="1" applyBorder="1"/>
    <xf numFmtId="0" fontId="0" fillId="2" borderId="5" xfId="0" applyFill="1" applyBorder="1"/>
    <xf numFmtId="0" fontId="0" fillId="2" borderId="3" xfId="0" applyFill="1" applyBorder="1"/>
    <xf numFmtId="0" fontId="0" fillId="2" borderId="8" xfId="0" applyFill="1" applyBorder="1"/>
    <xf numFmtId="0" fontId="8" fillId="2" borderId="4" xfId="0" applyFont="1" applyFill="1" applyBorder="1" applyAlignment="1">
      <alignment horizontal="left"/>
    </xf>
    <xf numFmtId="0" fontId="8" fillId="3" borderId="4" xfId="0" applyFont="1" applyFill="1" applyBorder="1"/>
    <xf numFmtId="0" fontId="9" fillId="3" borderId="5" xfId="0" applyFont="1" applyFill="1" applyBorder="1"/>
    <xf numFmtId="0" fontId="8" fillId="3" borderId="3" xfId="0" applyFont="1" applyFill="1" applyBorder="1"/>
    <xf numFmtId="0" fontId="6" fillId="3" borderId="6" xfId="0" applyFont="1" applyFill="1" applyBorder="1"/>
    <xf numFmtId="0" fontId="8" fillId="3" borderId="9" xfId="0" applyFont="1" applyFill="1" applyBorder="1" applyAlignment="1">
      <alignment horizontal="left"/>
    </xf>
    <xf numFmtId="0" fontId="0" fillId="3" borderId="10" xfId="0" applyFill="1" applyBorder="1"/>
    <xf numFmtId="0" fontId="0" fillId="3" borderId="11" xfId="0" applyFill="1" applyBorder="1"/>
    <xf numFmtId="2" fontId="0" fillId="0" borderId="0" xfId="0" applyNumberFormat="1"/>
    <xf numFmtId="0" fontId="5" fillId="3" borderId="7" xfId="0" applyFont="1" applyFill="1" applyBorder="1"/>
    <xf numFmtId="0" fontId="5" fillId="3" borderId="5" xfId="0" applyFont="1" applyFill="1" applyBorder="1"/>
    <xf numFmtId="0" fontId="6" fillId="3" borderId="3" xfId="0" applyFont="1" applyFill="1" applyBorder="1"/>
    <xf numFmtId="0" fontId="6" fillId="3" borderId="8" xfId="0" applyFont="1" applyFill="1" applyBorder="1"/>
    <xf numFmtId="0" fontId="12" fillId="0" borderId="0" xfId="0" applyFont="1"/>
    <xf numFmtId="0" fontId="5" fillId="3" borderId="3" xfId="0" applyFont="1" applyFill="1" applyBorder="1"/>
    <xf numFmtId="0" fontId="0" fillId="3" borderId="5" xfId="0" applyFill="1" applyBorder="1"/>
    <xf numFmtId="165" fontId="0" fillId="0" borderId="0" xfId="0" applyNumberFormat="1"/>
    <xf numFmtId="9" fontId="0" fillId="0" borderId="0" xfId="1" applyFont="1"/>
    <xf numFmtId="9" fontId="1" fillId="0" borderId="0" xfId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0" xfId="0" applyFont="1" applyFill="1"/>
    <xf numFmtId="10" fontId="0" fillId="0" borderId="0" xfId="0" applyNumberFormat="1" applyFont="1" applyFill="1" applyBorder="1"/>
    <xf numFmtId="0" fontId="13" fillId="0" borderId="2" xfId="0" applyFont="1" applyFill="1" applyBorder="1" applyAlignment="1">
      <alignment horizontal="left"/>
    </xf>
    <xf numFmtId="0" fontId="1" fillId="0" borderId="0" xfId="0" applyFont="1" applyFill="1"/>
    <xf numFmtId="0" fontId="1" fillId="0" borderId="15" xfId="0" applyFont="1" applyFill="1" applyBorder="1" applyAlignment="1">
      <alignment horizontal="left"/>
    </xf>
    <xf numFmtId="14" fontId="1" fillId="0" borderId="2" xfId="0" applyNumberFormat="1" applyFont="1" applyFill="1" applyBorder="1" applyAlignment="1">
      <alignment horizontal="left"/>
    </xf>
    <xf numFmtId="14" fontId="1" fillId="0" borderId="5" xfId="0" applyNumberFormat="1" applyFont="1" applyFill="1" applyBorder="1" applyAlignment="1">
      <alignment horizontal="left"/>
    </xf>
    <xf numFmtId="14" fontId="1" fillId="0" borderId="0" xfId="0" applyNumberFormat="1" applyFont="1" applyFill="1" applyBorder="1"/>
    <xf numFmtId="0" fontId="1" fillId="0" borderId="0" xfId="0" applyFont="1" applyFill="1" applyBorder="1"/>
    <xf numFmtId="0" fontId="14" fillId="0" borderId="0" xfId="0" applyFont="1"/>
    <xf numFmtId="14" fontId="1" fillId="0" borderId="1" xfId="0" applyNumberFormat="1" applyFont="1" applyFill="1" applyBorder="1"/>
    <xf numFmtId="0" fontId="1" fillId="0" borderId="2" xfId="0" applyFont="1" applyFill="1" applyBorder="1"/>
    <xf numFmtId="14" fontId="1" fillId="0" borderId="3" xfId="0" applyNumberFormat="1" applyFont="1" applyFill="1" applyBorder="1"/>
    <xf numFmtId="14" fontId="1" fillId="0" borderId="8" xfId="0" applyNumberFormat="1" applyFont="1" applyFill="1" applyBorder="1"/>
    <xf numFmtId="0" fontId="1" fillId="0" borderId="8" xfId="0" applyFont="1" applyFill="1" applyBorder="1"/>
    <xf numFmtId="0" fontId="1" fillId="0" borderId="6" xfId="0" applyFont="1" applyFill="1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1" fillId="0" borderId="2" xfId="0" applyFont="1" applyFill="1" applyBorder="1" applyAlignment="1">
      <alignment horizontal="left"/>
    </xf>
    <xf numFmtId="0" fontId="15" fillId="0" borderId="2" xfId="0" applyFont="1" applyFill="1" applyBorder="1" applyAlignment="1">
      <alignment horizontal="left"/>
    </xf>
    <xf numFmtId="14" fontId="1" fillId="0" borderId="24" xfId="0" applyNumberFormat="1" applyFont="1" applyFill="1" applyBorder="1" applyAlignment="1">
      <alignment horizontal="left"/>
    </xf>
    <xf numFmtId="14" fontId="1" fillId="0" borderId="25" xfId="0" applyNumberFormat="1" applyFont="1" applyFill="1" applyBorder="1" applyAlignment="1">
      <alignment horizontal="left"/>
    </xf>
    <xf numFmtId="0" fontId="1" fillId="0" borderId="25" xfId="0" applyFont="1" applyFill="1" applyBorder="1" applyAlignment="1">
      <alignment horizontal="left"/>
    </xf>
    <xf numFmtId="0" fontId="13" fillId="0" borderId="25" xfId="0" applyFont="1" applyFill="1" applyBorder="1" applyAlignment="1">
      <alignment horizontal="left"/>
    </xf>
    <xf numFmtId="0" fontId="15" fillId="0" borderId="25" xfId="0" applyFont="1" applyFill="1" applyBorder="1" applyAlignment="1">
      <alignment horizontal="left"/>
    </xf>
    <xf numFmtId="0" fontId="15" fillId="0" borderId="15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0" fontId="13" fillId="0" borderId="0" xfId="0" applyFont="1" applyFill="1"/>
    <xf numFmtId="0" fontId="15" fillId="0" borderId="0" xfId="0" applyFont="1" applyFill="1"/>
    <xf numFmtId="0" fontId="1" fillId="0" borderId="4" xfId="0" applyFont="1" applyFill="1" applyBorder="1"/>
    <xf numFmtId="0" fontId="1" fillId="0" borderId="7" xfId="0" applyFont="1" applyFill="1" applyBorder="1"/>
    <xf numFmtId="0" fontId="1" fillId="0" borderId="5" xfId="0" applyFont="1" applyFill="1" applyBorder="1"/>
    <xf numFmtId="0" fontId="1" fillId="0" borderId="1" xfId="0" applyFont="1" applyFill="1" applyBorder="1"/>
    <xf numFmtId="0" fontId="1" fillId="0" borderId="3" xfId="0" applyFont="1" applyFill="1" applyBorder="1"/>
    <xf numFmtId="14" fontId="0" fillId="0" borderId="0" xfId="0" applyNumberFormat="1" applyBorder="1"/>
    <xf numFmtId="164" fontId="0" fillId="0" borderId="0" xfId="0" applyNumberFormat="1"/>
    <xf numFmtId="0" fontId="8" fillId="3" borderId="9" xfId="0" applyFont="1" applyFill="1" applyBorder="1" applyAlignment="1">
      <alignment horizontal="right"/>
    </xf>
    <xf numFmtId="166" fontId="15" fillId="0" borderId="0" xfId="1" applyNumberFormat="1" applyFont="1" applyFill="1"/>
    <xf numFmtId="167" fontId="1" fillId="0" borderId="0" xfId="0" applyNumberFormat="1" applyFont="1" applyFill="1"/>
    <xf numFmtId="166" fontId="15" fillId="0" borderId="0" xfId="1" applyNumberFormat="1" applyFont="1" applyFill="1" applyBorder="1"/>
    <xf numFmtId="166" fontId="15" fillId="0" borderId="0" xfId="0" applyNumberFormat="1" applyFont="1" applyFill="1"/>
    <xf numFmtId="167" fontId="15" fillId="0" borderId="0" xfId="1" applyNumberFormat="1" applyFont="1" applyFill="1"/>
    <xf numFmtId="167" fontId="0" fillId="0" borderId="0" xfId="0" applyNumberFormat="1"/>
    <xf numFmtId="0" fontId="8" fillId="3" borderId="26" xfId="0" applyFont="1" applyFill="1" applyBorder="1"/>
    <xf numFmtId="167" fontId="3" fillId="4" borderId="11" xfId="0" applyNumberFormat="1" applyFont="1" applyFill="1" applyBorder="1"/>
    <xf numFmtId="14" fontId="3" fillId="4" borderId="11" xfId="0" applyNumberFormat="1" applyFont="1" applyFill="1" applyBorder="1"/>
    <xf numFmtId="0" fontId="6" fillId="3" borderId="26" xfId="0" applyFont="1" applyFill="1" applyBorder="1"/>
    <xf numFmtId="10" fontId="1" fillId="0" borderId="0" xfId="0" applyNumberFormat="1" applyFont="1" applyFill="1" applyBorder="1"/>
    <xf numFmtId="0" fontId="10" fillId="0" borderId="0" xfId="0" applyFont="1" applyFill="1" applyBorder="1"/>
    <xf numFmtId="0" fontId="1" fillId="0" borderId="12" xfId="0" applyFont="1" applyFill="1" applyBorder="1"/>
    <xf numFmtId="0" fontId="1" fillId="0" borderId="13" xfId="0" applyFont="1" applyFill="1" applyBorder="1"/>
    <xf numFmtId="0" fontId="6" fillId="3" borderId="1" xfId="0" applyFont="1" applyFill="1" applyBorder="1"/>
    <xf numFmtId="0" fontId="6" fillId="3" borderId="0" xfId="0" applyFont="1" applyFill="1" applyBorder="1"/>
    <xf numFmtId="0" fontId="3" fillId="5" borderId="0" xfId="0" applyFont="1" applyFill="1"/>
    <xf numFmtId="0" fontId="15" fillId="0" borderId="5" xfId="0" applyFont="1" applyFill="1" applyBorder="1" applyAlignment="1">
      <alignment horizontal="left"/>
    </xf>
    <xf numFmtId="14" fontId="0" fillId="0" borderId="5" xfId="0" applyNumberFormat="1" applyBorder="1"/>
    <xf numFmtId="0" fontId="0" fillId="0" borderId="6" xfId="0" applyBorder="1"/>
    <xf numFmtId="0" fontId="8" fillId="3" borderId="12" xfId="0" applyFont="1" applyFill="1" applyBorder="1"/>
    <xf numFmtId="0" fontId="8" fillId="3" borderId="14" xfId="0" applyFont="1" applyFill="1" applyBorder="1"/>
    <xf numFmtId="0" fontId="0" fillId="0" borderId="12" xfId="0" applyBorder="1" applyAlignment="1">
      <alignment horizontal="right"/>
    </xf>
    <xf numFmtId="0" fontId="0" fillId="0" borderId="13" xfId="0" applyBorder="1" applyAlignment="1">
      <alignment horizontal="right"/>
    </xf>
    <xf numFmtId="0" fontId="1" fillId="0" borderId="13" xfId="0" applyFont="1" applyFill="1" applyBorder="1" applyAlignment="1">
      <alignment horizontal="right"/>
    </xf>
    <xf numFmtId="0" fontId="0" fillId="0" borderId="14" xfId="0" applyBorder="1" applyAlignment="1">
      <alignment horizontal="right"/>
    </xf>
    <xf numFmtId="167" fontId="1" fillId="0" borderId="0" xfId="1" applyNumberFormat="1" applyFont="1" applyFill="1"/>
    <xf numFmtId="0" fontId="1" fillId="0" borderId="12" xfId="0" applyFont="1" applyFill="1" applyBorder="1" applyAlignment="1">
      <alignment horizontal="left"/>
    </xf>
    <xf numFmtId="0" fontId="1" fillId="0" borderId="14" xfId="0" applyFont="1" applyFill="1" applyBorder="1"/>
    <xf numFmtId="166" fontId="0" fillId="0" borderId="1" xfId="0" applyNumberFormat="1" applyBorder="1"/>
    <xf numFmtId="166" fontId="0" fillId="0" borderId="3" xfId="0" applyNumberFormat="1" applyBorder="1"/>
    <xf numFmtId="22" fontId="0" fillId="0" borderId="17" xfId="0" applyNumberFormat="1" applyBorder="1"/>
    <xf numFmtId="22" fontId="0" fillId="0" borderId="0" xfId="0" applyNumberFormat="1" applyBorder="1"/>
    <xf numFmtId="167" fontId="0" fillId="0" borderId="4" xfId="0" applyNumberFormat="1" applyBorder="1"/>
    <xf numFmtId="167" fontId="0" fillId="0" borderId="1" xfId="0" applyNumberFormat="1" applyBorder="1"/>
    <xf numFmtId="166" fontId="0" fillId="0" borderId="0" xfId="0" applyNumberFormat="1"/>
    <xf numFmtId="0" fontId="0" fillId="0" borderId="24" xfId="0" applyBorder="1"/>
    <xf numFmtId="0" fontId="0" fillId="0" borderId="25" xfId="0" applyBorder="1"/>
    <xf numFmtId="0" fontId="0" fillId="0" borderId="15" xfId="0" applyBorder="1"/>
    <xf numFmtId="0" fontId="0" fillId="0" borderId="0" xfId="0" applyAlignment="1">
      <alignment horizontal="left"/>
    </xf>
    <xf numFmtId="166" fontId="0" fillId="0" borderId="5" xfId="0" applyNumberFormat="1" applyBorder="1" applyAlignment="1">
      <alignment horizontal="left"/>
    </xf>
    <xf numFmtId="166" fontId="0" fillId="0" borderId="2" xfId="0" applyNumberFormat="1" applyBorder="1" applyAlignment="1">
      <alignment horizontal="left"/>
    </xf>
    <xf numFmtId="167" fontId="0" fillId="0" borderId="2" xfId="0" applyNumberFormat="1" applyBorder="1" applyAlignment="1">
      <alignment horizontal="left"/>
    </xf>
    <xf numFmtId="166" fontId="0" fillId="0" borderId="6" xfId="0" applyNumberFormat="1" applyBorder="1" applyAlignment="1">
      <alignment horizontal="left"/>
    </xf>
    <xf numFmtId="166" fontId="0" fillId="0" borderId="0" xfId="0" applyNumberFormat="1" applyAlignment="1">
      <alignment horizontal="left"/>
    </xf>
    <xf numFmtId="167" fontId="0" fillId="0" borderId="0" xfId="0" applyNumberFormat="1" applyAlignment="1">
      <alignment horizontal="left"/>
    </xf>
    <xf numFmtId="168" fontId="0" fillId="0" borderId="0" xfId="0" applyNumberFormat="1" applyAlignment="1">
      <alignment horizontal="left"/>
    </xf>
    <xf numFmtId="0" fontId="8" fillId="0" borderId="2" xfId="0" applyFont="1" applyBorder="1"/>
    <xf numFmtId="0" fontId="3" fillId="0" borderId="0" xfId="0" applyFont="1" applyFill="1" applyBorder="1"/>
    <xf numFmtId="22" fontId="0" fillId="0" borderId="0" xfId="0" applyNumberFormat="1"/>
    <xf numFmtId="0" fontId="3" fillId="0" borderId="3" xfId="0" applyFont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14" fontId="0" fillId="0" borderId="17" xfId="0" applyNumberFormat="1" applyBorder="1"/>
    <xf numFmtId="169" fontId="0" fillId="0" borderId="8" xfId="0" applyNumberFormat="1" applyBorder="1"/>
    <xf numFmtId="0" fontId="1" fillId="0" borderId="11" xfId="0" applyFont="1" applyFill="1" applyBorder="1"/>
    <xf numFmtId="0" fontId="15" fillId="0" borderId="6" xfId="0" applyFont="1" applyFill="1" applyBorder="1" applyAlignment="1">
      <alignment horizontal="left"/>
    </xf>
    <xf numFmtId="0" fontId="15" fillId="0" borderId="6" xfId="0" applyFont="1" applyFill="1" applyBorder="1"/>
    <xf numFmtId="0" fontId="8" fillId="3" borderId="26" xfId="0" applyFont="1" applyFill="1" applyBorder="1" applyAlignment="1">
      <alignment horizontal="left"/>
    </xf>
    <xf numFmtId="166" fontId="1" fillId="0" borderId="0" xfId="0" applyNumberFormat="1" applyFont="1" applyFill="1"/>
    <xf numFmtId="166" fontId="0" fillId="0" borderId="5" xfId="0" applyNumberFormat="1" applyBorder="1"/>
    <xf numFmtId="166" fontId="0" fillId="0" borderId="2" xfId="0" applyNumberFormat="1" applyBorder="1"/>
    <xf numFmtId="167" fontId="0" fillId="0" borderId="2" xfId="0" applyNumberFormat="1" applyBorder="1"/>
    <xf numFmtId="167" fontId="0" fillId="0" borderId="5" xfId="0" applyNumberFormat="1" applyBorder="1"/>
    <xf numFmtId="167" fontId="0" fillId="0" borderId="6" xfId="0" applyNumberFormat="1" applyBorder="1"/>
    <xf numFmtId="0" fontId="11" fillId="3" borderId="0" xfId="0" applyFont="1" applyFill="1" applyAlignment="1">
      <alignment horizontal="left"/>
    </xf>
    <xf numFmtId="0" fontId="8" fillId="3" borderId="9" xfId="0" applyFont="1" applyFill="1" applyBorder="1" applyAlignment="1">
      <alignment horizontal="left"/>
    </xf>
    <xf numFmtId="0" fontId="8" fillId="3" borderId="11" xfId="0" applyFont="1" applyFill="1" applyBorder="1" applyAlignment="1">
      <alignment horizontal="left"/>
    </xf>
    <xf numFmtId="0" fontId="11" fillId="3" borderId="4" xfId="0" applyFont="1" applyFill="1" applyBorder="1" applyAlignment="1">
      <alignment horizontal="left"/>
    </xf>
    <xf numFmtId="0" fontId="11" fillId="3" borderId="7" xfId="0" applyFont="1" applyFill="1" applyBorder="1" applyAlignment="1">
      <alignment horizontal="left"/>
    </xf>
    <xf numFmtId="0" fontId="11" fillId="3" borderId="5" xfId="0" applyFont="1" applyFill="1" applyBorder="1" applyAlignment="1">
      <alignment horizontal="left"/>
    </xf>
    <xf numFmtId="0" fontId="11" fillId="3" borderId="1" xfId="0" applyFont="1" applyFill="1" applyBorder="1" applyAlignment="1">
      <alignment horizontal="left"/>
    </xf>
    <xf numFmtId="0" fontId="11" fillId="3" borderId="0" xfId="0" applyFont="1" applyFill="1" applyBorder="1" applyAlignment="1">
      <alignment horizontal="left"/>
    </xf>
    <xf numFmtId="0" fontId="11" fillId="3" borderId="2" xfId="0" applyFont="1" applyFill="1" applyBorder="1" applyAlignment="1">
      <alignment horizontal="left"/>
    </xf>
    <xf numFmtId="0" fontId="11" fillId="3" borderId="3" xfId="0" applyFont="1" applyFill="1" applyBorder="1" applyAlignment="1">
      <alignment horizontal="left"/>
    </xf>
    <xf numFmtId="0" fontId="11" fillId="3" borderId="8" xfId="0" applyFont="1" applyFill="1" applyBorder="1" applyAlignment="1">
      <alignment horizontal="left"/>
    </xf>
    <xf numFmtId="0" fontId="11" fillId="3" borderId="6" xfId="0" applyFont="1" applyFill="1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" xfId="0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6" Type="http://schemas.openxmlformats.org/officeDocument/2006/relationships/image" Target="../media/image11.emf"/><Relationship Id="rId5" Type="http://schemas.openxmlformats.org/officeDocument/2006/relationships/image" Target="../media/image12.emf"/><Relationship Id="rId4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Relationship Id="rId5" Type="http://schemas.openxmlformats.org/officeDocument/2006/relationships/image" Target="../media/image18.emf"/><Relationship Id="rId4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5</xdr:row>
          <xdr:rowOff>19050</xdr:rowOff>
        </xdr:from>
        <xdr:to>
          <xdr:col>5</xdr:col>
          <xdr:colOff>504825</xdr:colOff>
          <xdr:row>8</xdr:row>
          <xdr:rowOff>142875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9</xdr:row>
          <xdr:rowOff>123825</xdr:rowOff>
        </xdr:from>
        <xdr:to>
          <xdr:col>5</xdr:col>
          <xdr:colOff>504825</xdr:colOff>
          <xdr:row>14</xdr:row>
          <xdr:rowOff>19050</xdr:rowOff>
        </xdr:to>
        <xdr:sp macro="" textlink="">
          <xdr:nvSpPr>
            <xdr:cNvPr id="5122" name="floatingBillsSwapButton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219075</xdr:colOff>
          <xdr:row>18</xdr:row>
          <xdr:rowOff>57150</xdr:rowOff>
        </xdr:from>
        <xdr:to>
          <xdr:col>6</xdr:col>
          <xdr:colOff>752475</xdr:colOff>
          <xdr:row>20</xdr:row>
          <xdr:rowOff>85725</xdr:rowOff>
        </xdr:to>
        <xdr:sp macro="" textlink="">
          <xdr:nvSpPr>
            <xdr:cNvPr id="4098" name="CommandButton1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219075</xdr:colOff>
          <xdr:row>28</xdr:row>
          <xdr:rowOff>0</xdr:rowOff>
        </xdr:from>
        <xdr:to>
          <xdr:col>6</xdr:col>
          <xdr:colOff>704850</xdr:colOff>
          <xdr:row>50</xdr:row>
          <xdr:rowOff>9525</xdr:rowOff>
        </xdr:to>
        <xdr:sp macro="" textlink="">
          <xdr:nvSpPr>
            <xdr:cNvPr id="4099" name="amortisationButto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9</xdr:row>
          <xdr:rowOff>38100</xdr:rowOff>
        </xdr:from>
        <xdr:to>
          <xdr:col>3</xdr:col>
          <xdr:colOff>1123950</xdr:colOff>
          <xdr:row>11</xdr:row>
          <xdr:rowOff>47625</xdr:rowOff>
        </xdr:to>
        <xdr:sp macro="" textlink="">
          <xdr:nvSpPr>
            <xdr:cNvPr id="4100" name="copyTermsButt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219075</xdr:colOff>
          <xdr:row>21</xdr:row>
          <xdr:rowOff>95250</xdr:rowOff>
        </xdr:from>
        <xdr:to>
          <xdr:col>6</xdr:col>
          <xdr:colOff>742950</xdr:colOff>
          <xdr:row>23</xdr:row>
          <xdr:rowOff>114300</xdr:rowOff>
        </xdr:to>
        <xdr:sp macro="" textlink="">
          <xdr:nvSpPr>
            <xdr:cNvPr id="4101" name="CalcRateButton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219075</xdr:colOff>
          <xdr:row>14</xdr:row>
          <xdr:rowOff>161925</xdr:rowOff>
        </xdr:from>
        <xdr:to>
          <xdr:col>6</xdr:col>
          <xdr:colOff>723900</xdr:colOff>
          <xdr:row>17</xdr:row>
          <xdr:rowOff>9525</xdr:rowOff>
        </xdr:to>
        <xdr:sp macro="" textlink="">
          <xdr:nvSpPr>
            <xdr:cNvPr id="4108" name="clearCashflowsButton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771525</xdr:colOff>
          <xdr:row>18</xdr:row>
          <xdr:rowOff>85725</xdr:rowOff>
        </xdr:from>
        <xdr:to>
          <xdr:col>8</xdr:col>
          <xdr:colOff>9525</xdr:colOff>
          <xdr:row>20</xdr:row>
          <xdr:rowOff>19050</xdr:rowOff>
        </xdr:to>
        <xdr:sp macro="" textlink="">
          <xdr:nvSpPr>
            <xdr:cNvPr id="4119" name="CheckBox1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2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</xdr:row>
          <xdr:rowOff>0</xdr:rowOff>
        </xdr:from>
        <xdr:to>
          <xdr:col>5</xdr:col>
          <xdr:colOff>1200150</xdr:colOff>
          <xdr:row>2</xdr:row>
          <xdr:rowOff>133350</xdr:rowOff>
        </xdr:to>
        <xdr:sp macro="" textlink="">
          <xdr:nvSpPr>
            <xdr:cNvPr id="9218" name="calculateRiskButton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142875</xdr:rowOff>
        </xdr:from>
        <xdr:to>
          <xdr:col>4</xdr:col>
          <xdr:colOff>257175</xdr:colOff>
          <xdr:row>2</xdr:row>
          <xdr:rowOff>104775</xdr:rowOff>
        </xdr:to>
        <xdr:sp macro="" textlink="">
          <xdr:nvSpPr>
            <xdr:cNvPr id="9229" name="calcDurationsButton" hidden="1">
              <a:extLst>
                <a:ext uri="{63B3BB69-23CF-44E3-9099-C40C66FF867C}">
                  <a14:compatExt spid="_x0000_s9229"/>
                </a:ext>
                <a:ext uri="{FF2B5EF4-FFF2-40B4-BE49-F238E27FC236}">
                  <a16:creationId xmlns:a16="http://schemas.microsoft.com/office/drawing/2014/main" id="{00000000-0008-0000-0300-00000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219075</xdr:colOff>
          <xdr:row>18</xdr:row>
          <xdr:rowOff>57150</xdr:rowOff>
        </xdr:from>
        <xdr:to>
          <xdr:col>6</xdr:col>
          <xdr:colOff>647700</xdr:colOff>
          <xdr:row>20</xdr:row>
          <xdr:rowOff>85725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219075</xdr:colOff>
          <xdr:row>28</xdr:row>
          <xdr:rowOff>0</xdr:rowOff>
        </xdr:from>
        <xdr:to>
          <xdr:col>6</xdr:col>
          <xdr:colOff>600075</xdr:colOff>
          <xdr:row>50</xdr:row>
          <xdr:rowOff>9525</xdr:rowOff>
        </xdr:to>
        <xdr:sp macro="" textlink="">
          <xdr:nvSpPr>
            <xdr:cNvPr id="6146" name="amortisationButton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9</xdr:row>
          <xdr:rowOff>38100</xdr:rowOff>
        </xdr:from>
        <xdr:to>
          <xdr:col>3</xdr:col>
          <xdr:colOff>1123950</xdr:colOff>
          <xdr:row>11</xdr:row>
          <xdr:rowOff>47625</xdr:rowOff>
        </xdr:to>
        <xdr:sp macro="" textlink="">
          <xdr:nvSpPr>
            <xdr:cNvPr id="6147" name="copyButton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4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219075</xdr:colOff>
          <xdr:row>14</xdr:row>
          <xdr:rowOff>161925</xdr:rowOff>
        </xdr:from>
        <xdr:to>
          <xdr:col>6</xdr:col>
          <xdr:colOff>619125</xdr:colOff>
          <xdr:row>17</xdr:row>
          <xdr:rowOff>28575</xdr:rowOff>
        </xdr:to>
        <xdr:sp macro="" textlink="">
          <xdr:nvSpPr>
            <xdr:cNvPr id="6149" name="CommandButton4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4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18</xdr:row>
          <xdr:rowOff>85725</xdr:rowOff>
        </xdr:from>
        <xdr:to>
          <xdr:col>8</xdr:col>
          <xdr:colOff>447675</xdr:colOff>
          <xdr:row>20</xdr:row>
          <xdr:rowOff>19050</xdr:rowOff>
        </xdr:to>
        <xdr:sp macro="" textlink="">
          <xdr:nvSpPr>
            <xdr:cNvPr id="6150" name="CheckBox1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4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0</xdr:rowOff>
        </xdr:from>
        <xdr:to>
          <xdr:col>8</xdr:col>
          <xdr:colOff>600075</xdr:colOff>
          <xdr:row>17</xdr:row>
          <xdr:rowOff>28575</xdr:rowOff>
        </xdr:to>
        <xdr:sp macro="" textlink="">
          <xdr:nvSpPr>
            <xdr:cNvPr id="6155" name="importFromFixedButton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4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0</xdr:row>
          <xdr:rowOff>161925</xdr:rowOff>
        </xdr:from>
        <xdr:to>
          <xdr:col>2</xdr:col>
          <xdr:colOff>1905000</xdr:colOff>
          <xdr:row>3</xdr:row>
          <xdr:rowOff>9525</xdr:rowOff>
        </xdr:to>
        <xdr:sp macro="" textlink="">
          <xdr:nvSpPr>
            <xdr:cNvPr id="11266" name="reloadCurveButton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5</xdr:row>
          <xdr:rowOff>19050</xdr:rowOff>
        </xdr:from>
        <xdr:to>
          <xdr:col>1</xdr:col>
          <xdr:colOff>1590675</xdr:colOff>
          <xdr:row>7</xdr:row>
          <xdr:rowOff>123825</xdr:rowOff>
        </xdr:to>
        <xdr:sp macro="" textlink="">
          <xdr:nvSpPr>
            <xdr:cNvPr id="7169" name="CheckBox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B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5</xdr:row>
          <xdr:rowOff>19050</xdr:rowOff>
        </xdr:from>
        <xdr:to>
          <xdr:col>3</xdr:col>
          <xdr:colOff>847725</xdr:colOff>
          <xdr:row>7</xdr:row>
          <xdr:rowOff>123825</xdr:rowOff>
        </xdr:to>
        <xdr:sp macro="" textlink="">
          <xdr:nvSpPr>
            <xdr:cNvPr id="7171" name="CheckBox2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B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0</xdr:rowOff>
        </xdr:from>
        <xdr:to>
          <xdr:col>7</xdr:col>
          <xdr:colOff>19050</xdr:colOff>
          <xdr:row>12</xdr:row>
          <xdr:rowOff>85725</xdr:rowOff>
        </xdr:to>
        <xdr:sp macro="" textlink="">
          <xdr:nvSpPr>
            <xdr:cNvPr id="7172" name="CommandButton1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B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19050</xdr:rowOff>
        </xdr:from>
        <xdr:to>
          <xdr:col>7</xdr:col>
          <xdr:colOff>142875</xdr:colOff>
          <xdr:row>7</xdr:row>
          <xdr:rowOff>123825</xdr:rowOff>
        </xdr:to>
        <xdr:sp macro="" textlink="">
          <xdr:nvSpPr>
            <xdr:cNvPr id="7173" name="CheckBox3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B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352425</xdr:colOff>
          <xdr:row>5</xdr:row>
          <xdr:rowOff>19050</xdr:rowOff>
        </xdr:from>
        <xdr:to>
          <xdr:col>9</xdr:col>
          <xdr:colOff>76200</xdr:colOff>
          <xdr:row>7</xdr:row>
          <xdr:rowOff>123825</xdr:rowOff>
        </xdr:to>
        <xdr:sp macro="" textlink="">
          <xdr:nvSpPr>
            <xdr:cNvPr id="7174" name="CheckBox4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B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QRProjects/Source/Components/CurveGen/Resources/ExcelDocuments/Kwabena/Bill%20Pricer%203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RBillPricer"/>
      <sheetName val="Casflows"/>
      <sheetName val="Configuration"/>
      <sheetName val="Sheet3"/>
    </sheetNames>
    <sheetDataSet>
      <sheetData sheetId="0"/>
      <sheetData sheetId="1"/>
      <sheetData sheetId="2">
        <row r="7">
          <cell r="E7" t="str">
            <v>ACT/360</v>
          </cell>
          <cell r="H7">
            <v>1</v>
          </cell>
        </row>
        <row r="8">
          <cell r="E8" t="str">
            <v>ACT/365.FIXED</v>
          </cell>
          <cell r="H8">
            <v>2</v>
          </cell>
        </row>
        <row r="9">
          <cell r="E9" t="str">
            <v>30E/360</v>
          </cell>
          <cell r="H9">
            <v>3</v>
          </cell>
        </row>
        <row r="10">
          <cell r="E10" t="str">
            <v>30/360</v>
          </cell>
          <cell r="H10">
            <v>4</v>
          </cell>
        </row>
        <row r="11">
          <cell r="E11" t="str">
            <v>1/1</v>
          </cell>
          <cell r="H11">
            <v>5</v>
          </cell>
        </row>
        <row r="12">
          <cell r="D12" t="str">
            <v>ShortInitial</v>
          </cell>
          <cell r="E12" t="str">
            <v>ACT/ACT.AFB</v>
          </cell>
          <cell r="H12">
            <v>6</v>
          </cell>
        </row>
        <row r="13">
          <cell r="D13" t="str">
            <v>LongInitial</v>
          </cell>
          <cell r="E13" t="str">
            <v>ACT/ACT.ISDA</v>
          </cell>
          <cell r="H13">
            <v>7</v>
          </cell>
        </row>
        <row r="14">
          <cell r="E14" t="str">
            <v>ACT/ACT.ISMA</v>
          </cell>
          <cell r="H14">
            <v>8</v>
          </cell>
        </row>
        <row r="15">
          <cell r="H15">
            <v>9</v>
          </cell>
        </row>
        <row r="16">
          <cell r="H16">
            <v>10</v>
          </cell>
        </row>
        <row r="17">
          <cell r="H17">
            <v>11</v>
          </cell>
        </row>
        <row r="18">
          <cell r="H18">
            <v>12</v>
          </cell>
        </row>
        <row r="19">
          <cell r="H19">
            <v>13</v>
          </cell>
        </row>
        <row r="20">
          <cell r="H20">
            <v>14</v>
          </cell>
        </row>
        <row r="21">
          <cell r="H21">
            <v>15</v>
          </cell>
        </row>
        <row r="22">
          <cell r="H22">
            <v>16</v>
          </cell>
        </row>
        <row r="23">
          <cell r="H23">
            <v>17</v>
          </cell>
        </row>
        <row r="24">
          <cell r="H24">
            <v>18</v>
          </cell>
        </row>
        <row r="25">
          <cell r="D25" t="str">
            <v>1m</v>
          </cell>
          <cell r="E25" t="str">
            <v>FOLLOWING</v>
          </cell>
          <cell r="H25">
            <v>19</v>
          </cell>
        </row>
        <row r="26">
          <cell r="D26" t="str">
            <v>2m</v>
          </cell>
          <cell r="E26" t="str">
            <v>MODFOLLOWING</v>
          </cell>
          <cell r="H26">
            <v>20</v>
          </cell>
        </row>
        <row r="27">
          <cell r="D27" t="str">
            <v>3m</v>
          </cell>
          <cell r="E27" t="str">
            <v>PRECEDING</v>
          </cell>
          <cell r="H27">
            <v>21</v>
          </cell>
        </row>
        <row r="28">
          <cell r="D28" t="str">
            <v>4m</v>
          </cell>
          <cell r="E28" t="str">
            <v>MODPRECEDING</v>
          </cell>
          <cell r="H28">
            <v>22</v>
          </cell>
        </row>
        <row r="29">
          <cell r="D29" t="str">
            <v>6m</v>
          </cell>
          <cell r="E29" t="str">
            <v>NONE</v>
          </cell>
          <cell r="H29">
            <v>23</v>
          </cell>
        </row>
        <row r="30">
          <cell r="D30" t="str">
            <v>12m</v>
          </cell>
          <cell r="H30">
            <v>24</v>
          </cell>
        </row>
        <row r="31">
          <cell r="D31" t="str">
            <v>1y</v>
          </cell>
          <cell r="H31">
            <v>25</v>
          </cell>
        </row>
        <row r="32">
          <cell r="H32">
            <v>26</v>
          </cell>
        </row>
        <row r="33">
          <cell r="H33">
            <v>27</v>
          </cell>
        </row>
        <row r="34">
          <cell r="H34">
            <v>28</v>
          </cell>
        </row>
        <row r="35">
          <cell r="H35">
            <v>29</v>
          </cell>
        </row>
        <row r="36">
          <cell r="H36">
            <v>30</v>
          </cell>
        </row>
        <row r="37">
          <cell r="H37">
            <v>31</v>
          </cell>
        </row>
        <row r="38">
          <cell r="H38" t="str">
            <v>EOM</v>
          </cell>
        </row>
      </sheetData>
      <sheetData sheetId="3">
        <row r="3">
          <cell r="A3" t="str">
            <v>ERROR: no curves were found in memory!</v>
          </cell>
        </row>
        <row r="4">
          <cell r="A4" t="str">
            <v>Subscribe to start receiving realtime-distributed curves,</v>
          </cell>
        </row>
        <row r="5">
          <cell r="A5" t="str">
            <v>or create a local curve.</v>
          </cell>
        </row>
        <row r="6">
          <cell r="A6" t="e">
            <v>#N/A</v>
          </cell>
        </row>
        <row r="7">
          <cell r="A7" t="e">
            <v>#N/A</v>
          </cell>
        </row>
        <row r="8">
          <cell r="A8" t="e">
            <v>#N/A</v>
          </cell>
        </row>
        <row r="9">
          <cell r="A9" t="e">
            <v>#N/A</v>
          </cell>
        </row>
        <row r="10">
          <cell r="A10" t="e">
            <v>#N/A</v>
          </cell>
        </row>
        <row r="11">
          <cell r="A11" t="e">
            <v>#N/A</v>
          </cell>
        </row>
        <row r="12">
          <cell r="A12" t="e">
            <v>#N/A</v>
          </cell>
        </row>
        <row r="13">
          <cell r="A13" t="e">
            <v>#N/A</v>
          </cell>
        </row>
        <row r="14">
          <cell r="A14" t="e">
            <v>#N/A</v>
          </cell>
        </row>
        <row r="15">
          <cell r="A15" t="e">
            <v>#N/A</v>
          </cell>
        </row>
        <row r="16">
          <cell r="A16" t="e">
            <v>#N/A</v>
          </cell>
        </row>
        <row r="17">
          <cell r="A17" t="e">
            <v>#N/A</v>
          </cell>
        </row>
        <row r="18">
          <cell r="A18" t="e">
            <v>#N/A</v>
          </cell>
        </row>
        <row r="19">
          <cell r="A19" t="e">
            <v>#N/A</v>
          </cell>
        </row>
        <row r="20">
          <cell r="A20" t="e">
            <v>#N/A</v>
          </cell>
        </row>
        <row r="21">
          <cell r="A21" t="e">
            <v>#N/A</v>
          </cell>
        </row>
        <row r="22">
          <cell r="A22" t="e">
            <v>#N/A</v>
          </cell>
        </row>
        <row r="23">
          <cell r="A23" t="e">
            <v>#N/A</v>
          </cell>
        </row>
        <row r="24">
          <cell r="A24" t="e">
            <v>#N/A</v>
          </cell>
        </row>
        <row r="25">
          <cell r="A25" t="e">
            <v>#N/A</v>
          </cell>
        </row>
        <row r="26">
          <cell r="A26" t="e">
            <v>#N/A</v>
          </cell>
        </row>
        <row r="27">
          <cell r="A27" t="e">
            <v>#N/A</v>
          </cell>
        </row>
        <row r="28">
          <cell r="A28" t="e">
            <v>#N/A</v>
          </cell>
        </row>
        <row r="29">
          <cell r="A29" t="e">
            <v>#N/A</v>
          </cell>
        </row>
        <row r="30">
          <cell r="A30" t="e">
            <v>#N/A</v>
          </cell>
        </row>
        <row r="31">
          <cell r="A31" t="e">
            <v>#N/A</v>
          </cell>
        </row>
        <row r="32">
          <cell r="A32" t="e">
            <v>#N/A</v>
          </cell>
        </row>
        <row r="33">
          <cell r="A33" t="e">
            <v>#N/A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5" Type="http://schemas.openxmlformats.org/officeDocument/2006/relationships/image" Target="../media/image16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Relationship Id="rId14" Type="http://schemas.openxmlformats.org/officeDocument/2006/relationships/control" Target="../activeX/activeX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19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19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Q7"/>
  <sheetViews>
    <sheetView workbookViewId="0">
      <selection activeCell="H16" sqref="H16"/>
    </sheetView>
  </sheetViews>
  <sheetFormatPr defaultRowHeight="12.75"/>
  <sheetData>
    <row r="2" spans="2:17">
      <c r="B2" s="162" t="s">
        <v>43</v>
      </c>
      <c r="C2" s="162"/>
      <c r="D2" s="162"/>
      <c r="E2" s="162"/>
      <c r="F2" s="162"/>
      <c r="G2" s="162"/>
      <c r="H2" s="162"/>
      <c r="I2" s="162"/>
      <c r="J2" s="162"/>
      <c r="K2" s="162"/>
      <c r="L2" s="162"/>
      <c r="M2" s="162"/>
      <c r="N2" s="162"/>
      <c r="O2" s="162"/>
      <c r="P2" s="162"/>
      <c r="Q2" s="162"/>
    </row>
    <row r="3" spans="2:17">
      <c r="B3" s="162"/>
      <c r="C3" s="162"/>
      <c r="D3" s="162"/>
      <c r="E3" s="162"/>
      <c r="F3" s="162"/>
      <c r="G3" s="162"/>
      <c r="H3" s="162"/>
      <c r="I3" s="162"/>
      <c r="J3" s="162"/>
      <c r="K3" s="162"/>
      <c r="L3" s="162"/>
      <c r="M3" s="162"/>
      <c r="N3" s="162"/>
      <c r="O3" s="162"/>
      <c r="P3" s="162"/>
      <c r="Q3" s="162"/>
    </row>
    <row r="4" spans="2:17">
      <c r="B4" s="162"/>
      <c r="C4" s="162"/>
      <c r="D4" s="162"/>
      <c r="E4" s="162"/>
      <c r="F4" s="162"/>
      <c r="G4" s="162"/>
      <c r="H4" s="162"/>
      <c r="I4" s="162"/>
      <c r="J4" s="162"/>
      <c r="K4" s="162"/>
      <c r="L4" s="162"/>
      <c r="M4" s="162"/>
      <c r="N4" s="162"/>
      <c r="O4" s="162"/>
      <c r="P4" s="162"/>
      <c r="Q4" s="162"/>
    </row>
    <row r="7" spans="2:17" ht="20.25">
      <c r="B7" s="44"/>
      <c r="C7" s="44"/>
    </row>
  </sheetData>
  <mergeCells count="1">
    <mergeCell ref="B2:Q4"/>
  </mergeCells>
  <phoneticPr fontId="2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2" r:id="rId4" name="floatingBillsSwapButton">
          <controlPr defaultSize="0" autoLine="0" r:id="rId5">
            <anchor moveWithCells="1">
              <from>
                <xdr:col>1</xdr:col>
                <xdr:colOff>57150</xdr:colOff>
                <xdr:row>9</xdr:row>
                <xdr:rowOff>123825</xdr:rowOff>
              </from>
              <to>
                <xdr:col>5</xdr:col>
                <xdr:colOff>504825</xdr:colOff>
                <xdr:row>14</xdr:row>
                <xdr:rowOff>19050</xdr:rowOff>
              </to>
            </anchor>
          </controlPr>
        </control>
      </mc:Choice>
      <mc:Fallback>
        <control shapeId="5122" r:id="rId4" name="floatingBillsSwapButton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r:id="rId7">
            <anchor moveWithCells="1">
              <from>
                <xdr:col>1</xdr:col>
                <xdr:colOff>57150</xdr:colOff>
                <xdr:row>5</xdr:row>
                <xdr:rowOff>19050</xdr:rowOff>
              </from>
              <to>
                <xdr:col>5</xdr:col>
                <xdr:colOff>504825</xdr:colOff>
                <xdr:row>8</xdr:row>
                <xdr:rowOff>142875</xdr:rowOff>
              </to>
            </anchor>
          </controlPr>
        </control>
      </mc:Choice>
      <mc:Fallback>
        <control shapeId="5121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/>
  <dimension ref="A1:E99"/>
  <sheetViews>
    <sheetView workbookViewId="0">
      <selection activeCell="E2" sqref="E2"/>
    </sheetView>
  </sheetViews>
  <sheetFormatPr defaultRowHeight="12.75"/>
  <cols>
    <col min="1" max="1" width="26.85546875" customWidth="1"/>
    <col min="2" max="2" width="20.5703125" customWidth="1"/>
    <col min="4" max="4" width="17.7109375" customWidth="1"/>
    <col min="5" max="5" width="15.85546875" customWidth="1"/>
  </cols>
  <sheetData>
    <row r="1" spans="1:5" ht="13.5" thickBot="1">
      <c r="A1" s="163" t="s">
        <v>158</v>
      </c>
      <c r="B1" s="164"/>
    </row>
    <row r="2" spans="1:5" ht="13.5" thickBot="1">
      <c r="A2" s="129" t="s">
        <v>63</v>
      </c>
      <c r="B2" s="157">
        <v>7.2499999999999995E-2</v>
      </c>
      <c r="D2" s="155" t="s">
        <v>169</v>
      </c>
      <c r="E2" s="160">
        <v>93.482500000000002</v>
      </c>
    </row>
    <row r="3" spans="1:5" ht="13.5" thickBot="1">
      <c r="A3" s="130" t="s">
        <v>64</v>
      </c>
      <c r="B3" s="158">
        <v>7.5399999999999995E-2</v>
      </c>
      <c r="D3" s="155" t="s">
        <v>170</v>
      </c>
      <c r="E3" s="161">
        <v>93.672499999999999</v>
      </c>
    </row>
    <row r="4" spans="1:5">
      <c r="A4" s="130" t="s">
        <v>65</v>
      </c>
      <c r="B4" s="158">
        <v>7.6700000000000004E-2</v>
      </c>
    </row>
    <row r="5" spans="1:5">
      <c r="A5" s="130" t="s">
        <v>104</v>
      </c>
      <c r="B5" s="158">
        <v>7.7950000000000005E-2</v>
      </c>
    </row>
    <row r="6" spans="1:5">
      <c r="A6" s="130" t="s">
        <v>67</v>
      </c>
      <c r="B6" s="159">
        <v>92.165000000000006</v>
      </c>
    </row>
    <row r="7" spans="1:5">
      <c r="A7" s="130" t="s">
        <v>68</v>
      </c>
      <c r="B7" s="159">
        <v>92.165000000000006</v>
      </c>
    </row>
    <row r="8" spans="1:5">
      <c r="A8" s="130" t="s">
        <v>69</v>
      </c>
      <c r="B8" s="159">
        <v>92.215000000000003</v>
      </c>
    </row>
    <row r="9" spans="1:5">
      <c r="A9" s="130" t="s">
        <v>70</v>
      </c>
      <c r="B9" s="159">
        <v>92.275000000000006</v>
      </c>
    </row>
    <row r="10" spans="1:5">
      <c r="A10" s="130" t="s">
        <v>71</v>
      </c>
      <c r="B10" s="159">
        <v>92.344999999999999</v>
      </c>
    </row>
    <row r="11" spans="1:5">
      <c r="A11" s="130" t="s">
        <v>72</v>
      </c>
      <c r="B11" s="159">
        <v>92.424999999999997</v>
      </c>
    </row>
    <row r="12" spans="1:5">
      <c r="A12" s="130" t="s">
        <v>73</v>
      </c>
      <c r="B12" s="159">
        <v>92.5</v>
      </c>
    </row>
    <row r="13" spans="1:5">
      <c r="A13" s="130" t="s">
        <v>105</v>
      </c>
      <c r="B13" s="159">
        <v>92.555000000000007</v>
      </c>
    </row>
    <row r="14" spans="1:5">
      <c r="A14" s="130" t="s">
        <v>49</v>
      </c>
      <c r="B14" s="158">
        <v>7.62833333333333E-2</v>
      </c>
    </row>
    <row r="15" spans="1:5">
      <c r="A15" s="130" t="s">
        <v>107</v>
      </c>
      <c r="B15" s="158">
        <v>7.6695363350694407E-2</v>
      </c>
    </row>
    <row r="16" spans="1:5">
      <c r="A16" s="130" t="s">
        <v>50</v>
      </c>
      <c r="B16" s="158">
        <v>7.6380000000000003E-2</v>
      </c>
    </row>
    <row r="17" spans="1:2">
      <c r="A17" s="130" t="s">
        <v>108</v>
      </c>
      <c r="B17" s="158">
        <v>7.5014999999999998E-2</v>
      </c>
    </row>
    <row r="18" spans="1:2">
      <c r="A18" s="130" t="s">
        <v>51</v>
      </c>
      <c r="B18" s="158">
        <v>7.3649999999999993E-2</v>
      </c>
    </row>
    <row r="19" spans="1:2">
      <c r="A19" s="130" t="s">
        <v>109</v>
      </c>
      <c r="B19" s="158">
        <v>7.3780833333333296E-2</v>
      </c>
    </row>
    <row r="20" spans="1:2">
      <c r="A20" s="130" t="s">
        <v>110</v>
      </c>
      <c r="B20" s="158">
        <v>7.3911666666666598E-2</v>
      </c>
    </row>
    <row r="21" spans="1:2">
      <c r="A21" s="130" t="s">
        <v>111</v>
      </c>
      <c r="B21" s="158">
        <v>7.4042499999999997E-2</v>
      </c>
    </row>
    <row r="22" spans="1:2">
      <c r="A22" s="130" t="s">
        <v>52</v>
      </c>
      <c r="B22" s="158">
        <v>7.4173333333333299E-2</v>
      </c>
    </row>
    <row r="23" spans="1:2">
      <c r="A23" s="130" t="s">
        <v>112</v>
      </c>
      <c r="B23" s="158">
        <v>7.3740138888888904E-2</v>
      </c>
    </row>
    <row r="24" spans="1:2">
      <c r="A24" s="130" t="s">
        <v>113</v>
      </c>
      <c r="B24" s="158">
        <v>7.3306944444444397E-2</v>
      </c>
    </row>
    <row r="25" spans="1:2">
      <c r="A25" s="130" t="s">
        <v>114</v>
      </c>
      <c r="B25" s="158">
        <v>7.2873750000000001E-2</v>
      </c>
    </row>
    <row r="26" spans="1:2">
      <c r="A26" s="130" t="s">
        <v>115</v>
      </c>
      <c r="B26" s="158">
        <v>7.2440555555555494E-2</v>
      </c>
    </row>
    <row r="27" spans="1:2">
      <c r="A27" s="130" t="s">
        <v>116</v>
      </c>
      <c r="B27" s="158">
        <v>7.2007361111111098E-2</v>
      </c>
    </row>
    <row r="28" spans="1:2">
      <c r="A28" s="130" t="s">
        <v>53</v>
      </c>
      <c r="B28" s="158">
        <v>7.1574166666666605E-2</v>
      </c>
    </row>
    <row r="29" spans="1:2">
      <c r="A29" s="130" t="s">
        <v>117</v>
      </c>
      <c r="B29" s="158">
        <v>7.1589249999999993E-2</v>
      </c>
    </row>
    <row r="30" spans="1:2">
      <c r="A30" s="130" t="s">
        <v>118</v>
      </c>
      <c r="B30" s="158">
        <v>7.1604333333333298E-2</v>
      </c>
    </row>
    <row r="31" spans="1:2">
      <c r="A31" s="130" t="s">
        <v>119</v>
      </c>
      <c r="B31" s="158">
        <v>7.1619416666666602E-2</v>
      </c>
    </row>
    <row r="32" spans="1:2">
      <c r="A32" s="130" t="s">
        <v>120</v>
      </c>
      <c r="B32" s="158">
        <v>7.1634500000000004E-2</v>
      </c>
    </row>
    <row r="33" spans="1:2">
      <c r="A33" s="130" t="s">
        <v>121</v>
      </c>
      <c r="B33" s="158">
        <v>7.1649583333333294E-2</v>
      </c>
    </row>
    <row r="34" spans="1:2">
      <c r="A34" s="130" t="s">
        <v>122</v>
      </c>
      <c r="B34" s="158">
        <v>7.1664666666666599E-2</v>
      </c>
    </row>
    <row r="35" spans="1:2">
      <c r="A35" s="130" t="s">
        <v>123</v>
      </c>
      <c r="B35" s="158">
        <v>7.167975E-2</v>
      </c>
    </row>
    <row r="36" spans="1:2">
      <c r="A36" s="130" t="s">
        <v>124</v>
      </c>
      <c r="B36" s="158">
        <v>7.1694833333333305E-2</v>
      </c>
    </row>
    <row r="37" spans="1:2">
      <c r="A37" s="130" t="s">
        <v>125</v>
      </c>
      <c r="B37" s="158">
        <v>7.1709916666666595E-2</v>
      </c>
    </row>
    <row r="38" spans="1:2">
      <c r="A38" s="130" t="s">
        <v>54</v>
      </c>
      <c r="B38" s="158">
        <v>7.1724999999999997E-2</v>
      </c>
    </row>
    <row r="39" spans="1:2">
      <c r="A39" s="130" t="s">
        <v>126</v>
      </c>
      <c r="B39" s="158">
        <v>7.1557499999999996E-2</v>
      </c>
    </row>
    <row r="40" spans="1:2">
      <c r="A40" s="130" t="s">
        <v>127</v>
      </c>
      <c r="B40" s="158">
        <v>7.1389999999999995E-2</v>
      </c>
    </row>
    <row r="41" spans="1:2">
      <c r="A41" s="130" t="s">
        <v>128</v>
      </c>
      <c r="B41" s="158">
        <v>7.1222499999999994E-2</v>
      </c>
    </row>
    <row r="42" spans="1:2">
      <c r="A42" s="130" t="s">
        <v>129</v>
      </c>
      <c r="B42" s="158">
        <v>7.1054999999999993E-2</v>
      </c>
    </row>
    <row r="43" spans="1:2">
      <c r="A43" s="130" t="s">
        <v>130</v>
      </c>
      <c r="B43" s="158">
        <v>7.0887500000000006E-2</v>
      </c>
    </row>
    <row r="44" spans="1:2">
      <c r="A44" s="130" t="s">
        <v>131</v>
      </c>
      <c r="B44" s="158">
        <v>7.0720000000000005E-2</v>
      </c>
    </row>
    <row r="45" spans="1:2">
      <c r="A45" s="130" t="s">
        <v>132</v>
      </c>
      <c r="B45" s="158">
        <v>7.0552500000000004E-2</v>
      </c>
    </row>
    <row r="46" spans="1:2">
      <c r="A46" s="130" t="s">
        <v>133</v>
      </c>
      <c r="B46" s="158">
        <v>7.0385000000000003E-2</v>
      </c>
    </row>
    <row r="47" spans="1:2">
      <c r="A47" s="130" t="s">
        <v>134</v>
      </c>
      <c r="B47" s="158">
        <v>7.0217500000000002E-2</v>
      </c>
    </row>
    <row r="48" spans="1:2">
      <c r="A48" s="130" t="s">
        <v>74</v>
      </c>
      <c r="B48" s="158">
        <v>7.0050000000000001E-2</v>
      </c>
    </row>
    <row r="49" spans="1:2">
      <c r="A49" s="130" t="s">
        <v>135</v>
      </c>
      <c r="B49" s="158">
        <v>6.991E-2</v>
      </c>
    </row>
    <row r="50" spans="1:2">
      <c r="A50" s="130" t="s">
        <v>136</v>
      </c>
      <c r="B50" s="158">
        <v>6.9769999999999999E-2</v>
      </c>
    </row>
    <row r="51" spans="1:2">
      <c r="A51" s="130" t="s">
        <v>137</v>
      </c>
      <c r="B51" s="158">
        <v>6.9629999999999997E-2</v>
      </c>
    </row>
    <row r="52" spans="1:2">
      <c r="A52" s="130" t="s">
        <v>138</v>
      </c>
      <c r="B52" s="158">
        <v>6.9489999999999996E-2</v>
      </c>
    </row>
    <row r="53" spans="1:2">
      <c r="A53" s="130" t="s">
        <v>139</v>
      </c>
      <c r="B53" s="158">
        <v>6.9349999999999995E-2</v>
      </c>
    </row>
    <row r="54" spans="1:2">
      <c r="A54" s="130" t="s">
        <v>140</v>
      </c>
      <c r="B54" s="158">
        <v>6.9209999999999994E-2</v>
      </c>
    </row>
    <row r="55" spans="1:2">
      <c r="A55" s="130" t="s">
        <v>141</v>
      </c>
      <c r="B55" s="158">
        <v>6.9070000000000006E-2</v>
      </c>
    </row>
    <row r="56" spans="1:2">
      <c r="A56" s="130" t="s">
        <v>142</v>
      </c>
      <c r="B56" s="158">
        <v>6.8930000000000005E-2</v>
      </c>
    </row>
    <row r="57" spans="1:2">
      <c r="A57" s="130" t="s">
        <v>143</v>
      </c>
      <c r="B57" s="158">
        <v>6.8790000000000004E-2</v>
      </c>
    </row>
    <row r="58" spans="1:2">
      <c r="A58" s="130" t="s">
        <v>79</v>
      </c>
      <c r="B58" s="158">
        <v>6.8650000000000003E-2</v>
      </c>
    </row>
    <row r="59" spans="1:2">
      <c r="A59" s="130" t="s">
        <v>144</v>
      </c>
      <c r="B59" s="158">
        <v>6.8462499999999996E-2</v>
      </c>
    </row>
    <row r="60" spans="1:2">
      <c r="A60" s="130" t="s">
        <v>145</v>
      </c>
      <c r="B60" s="158">
        <v>6.8275000000000002E-2</v>
      </c>
    </row>
    <row r="61" spans="1:2">
      <c r="A61" s="130" t="s">
        <v>146</v>
      </c>
      <c r="B61" s="158">
        <v>6.8087499999999995E-2</v>
      </c>
    </row>
    <row r="62" spans="1:2">
      <c r="A62" s="130" t="s">
        <v>147</v>
      </c>
      <c r="B62" s="158">
        <v>6.7900000000000002E-2</v>
      </c>
    </row>
    <row r="63" spans="1:2">
      <c r="A63" s="130" t="s">
        <v>148</v>
      </c>
      <c r="B63" s="158">
        <v>6.7712499999999995E-2</v>
      </c>
    </row>
    <row r="64" spans="1:2">
      <c r="A64" s="130" t="s">
        <v>149</v>
      </c>
      <c r="B64" s="158">
        <v>6.7525000000000002E-2</v>
      </c>
    </row>
    <row r="65" spans="1:2">
      <c r="A65" s="130" t="s">
        <v>150</v>
      </c>
      <c r="B65" s="158">
        <v>6.7337499999999995E-2</v>
      </c>
    </row>
    <row r="66" spans="1:2">
      <c r="A66" s="130" t="s">
        <v>151</v>
      </c>
      <c r="B66" s="158">
        <v>6.7150000000000001E-2</v>
      </c>
    </row>
    <row r="67" spans="1:2">
      <c r="A67" s="130" t="s">
        <v>152</v>
      </c>
      <c r="B67" s="158">
        <v>6.6962499999999994E-2</v>
      </c>
    </row>
    <row r="68" spans="1:2">
      <c r="A68" s="130" t="s">
        <v>80</v>
      </c>
      <c r="B68" s="158">
        <v>6.6775000000000001E-2</v>
      </c>
    </row>
    <row r="69" spans="1:2">
      <c r="A69" s="147"/>
      <c r="B69" s="148"/>
    </row>
    <row r="70" spans="1:2">
      <c r="A70" s="147"/>
      <c r="B70" s="148"/>
    </row>
    <row r="71" spans="1:2">
      <c r="A71" s="147"/>
      <c r="B71" s="148"/>
    </row>
    <row r="72" spans="1:2">
      <c r="A72" s="147"/>
      <c r="B72" s="148"/>
    </row>
    <row r="73" spans="1:2">
      <c r="A73" s="147"/>
      <c r="B73" s="148"/>
    </row>
    <row r="74" spans="1:2">
      <c r="A74" s="147"/>
      <c r="B74" s="148"/>
    </row>
    <row r="75" spans="1:2">
      <c r="A75" s="147"/>
      <c r="B75" s="148"/>
    </row>
    <row r="76" spans="1:2">
      <c r="A76" s="147"/>
      <c r="B76" s="148"/>
    </row>
    <row r="77" spans="1:2">
      <c r="A77" s="147"/>
      <c r="B77" s="148"/>
    </row>
    <row r="78" spans="1:2">
      <c r="A78" s="147"/>
      <c r="B78" s="148"/>
    </row>
    <row r="79" spans="1:2">
      <c r="A79" s="147"/>
      <c r="B79" s="148"/>
    </row>
    <row r="80" spans="1:2">
      <c r="A80" s="147"/>
      <c r="B80" s="148"/>
    </row>
    <row r="81" spans="1:2">
      <c r="A81" s="147"/>
      <c r="B81" s="148"/>
    </row>
    <row r="82" spans="1:2">
      <c r="A82" s="147"/>
      <c r="B82" s="148"/>
    </row>
    <row r="83" spans="1:2">
      <c r="A83" s="147"/>
      <c r="B83" s="148"/>
    </row>
    <row r="84" spans="1:2">
      <c r="A84" s="147"/>
      <c r="B84" s="148"/>
    </row>
    <row r="85" spans="1:2">
      <c r="A85" s="147"/>
      <c r="B85" s="148"/>
    </row>
    <row r="86" spans="1:2">
      <c r="A86" s="147"/>
      <c r="B86" s="148"/>
    </row>
    <row r="87" spans="1:2">
      <c r="A87" s="147"/>
      <c r="B87" s="148"/>
    </row>
    <row r="88" spans="1:2">
      <c r="A88" s="147"/>
      <c r="B88" s="148"/>
    </row>
    <row r="89" spans="1:2">
      <c r="A89" s="147"/>
      <c r="B89" s="148"/>
    </row>
    <row r="90" spans="1:2">
      <c r="A90" s="147"/>
      <c r="B90" s="148"/>
    </row>
    <row r="91" spans="1:2">
      <c r="A91" s="147"/>
      <c r="B91" s="148"/>
    </row>
    <row r="92" spans="1:2">
      <c r="A92" s="147"/>
      <c r="B92" s="148"/>
    </row>
    <row r="93" spans="1:2">
      <c r="A93" s="147"/>
      <c r="B93" s="148"/>
    </row>
    <row r="94" spans="1:2">
      <c r="A94" s="147"/>
      <c r="B94" s="148"/>
    </row>
    <row r="95" spans="1:2">
      <c r="A95" s="147"/>
      <c r="B95" s="148"/>
    </row>
    <row r="96" spans="1:2">
      <c r="A96" s="147"/>
      <c r="B96" s="148"/>
    </row>
    <row r="97" spans="1:2">
      <c r="A97" s="147"/>
      <c r="B97" s="148"/>
    </row>
    <row r="98" spans="1:2">
      <c r="A98" s="147"/>
      <c r="B98" s="148"/>
    </row>
    <row r="99" spans="1:2" ht="13.5" thickBot="1">
      <c r="A99" s="149"/>
      <c r="B99" s="115"/>
    </row>
  </sheetData>
  <mergeCells count="1">
    <mergeCell ref="A1:B1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T501"/>
  <sheetViews>
    <sheetView topLeftCell="B2" workbookViewId="0">
      <selection activeCell="I4" sqref="I4"/>
    </sheetView>
  </sheetViews>
  <sheetFormatPr defaultRowHeight="12.75"/>
  <cols>
    <col min="1" max="1" width="16.140625" customWidth="1"/>
    <col min="2" max="2" width="18.28515625" customWidth="1"/>
    <col min="3" max="3" width="17.85546875" customWidth="1"/>
    <col min="4" max="5" width="18.28515625" customWidth="1"/>
    <col min="6" max="6" width="16.140625" customWidth="1"/>
    <col min="7" max="7" width="17.28515625" customWidth="1"/>
    <col min="8" max="8" width="15" customWidth="1"/>
    <col min="9" max="9" width="14.42578125" customWidth="1"/>
    <col min="10" max="10" width="38.5703125" customWidth="1"/>
    <col min="11" max="11" width="22" customWidth="1"/>
    <col min="12" max="12" width="22.7109375" customWidth="1"/>
    <col min="13" max="13" width="28.7109375" customWidth="1"/>
    <col min="14" max="14" width="18.42578125" customWidth="1"/>
  </cols>
  <sheetData>
    <row r="1" spans="2:19" ht="12.75" customHeight="1">
      <c r="G1" s="3"/>
      <c r="K1" s="6"/>
    </row>
    <row r="2" spans="2:19" ht="13.5" thickBot="1">
      <c r="L2" s="3"/>
    </row>
    <row r="3" spans="2:19" ht="13.5" thickBot="1">
      <c r="B3" s="32" t="s">
        <v>35</v>
      </c>
      <c r="C3" s="33"/>
      <c r="E3" s="32" t="s">
        <v>36</v>
      </c>
      <c r="F3" s="33"/>
      <c r="H3" s="163" t="s">
        <v>103</v>
      </c>
      <c r="I3" s="164"/>
      <c r="O3" s="56"/>
      <c r="P3" s="56"/>
      <c r="S3" s="56"/>
    </row>
    <row r="4" spans="2:19" ht="13.5" thickBot="1">
      <c r="B4" s="34" t="s">
        <v>21</v>
      </c>
      <c r="C4" s="35" t="s">
        <v>22</v>
      </c>
      <c r="E4" s="34" t="s">
        <v>21</v>
      </c>
      <c r="F4" s="35" t="s">
        <v>23</v>
      </c>
      <c r="H4" s="116" t="s">
        <v>101</v>
      </c>
      <c r="I4" s="114">
        <f ca="1">TODAY()</f>
        <v>43155</v>
      </c>
      <c r="O4" s="56"/>
      <c r="P4" s="56"/>
      <c r="S4" s="56"/>
    </row>
    <row r="5" spans="2:19" ht="13.5" thickBot="1">
      <c r="B5" s="8" t="s">
        <v>0</v>
      </c>
      <c r="C5" s="59">
        <v>39625</v>
      </c>
      <c r="D5" s="62" t="s">
        <v>58</v>
      </c>
      <c r="E5" s="8" t="s">
        <v>0</v>
      </c>
      <c r="F5" s="59">
        <v>39625</v>
      </c>
      <c r="H5" s="117" t="s">
        <v>102</v>
      </c>
      <c r="I5" s="115" t="e">
        <f ca="1">BillSwapPricerCalculatePurchaseCost(B52:D62, C13, J23)</f>
        <v>#NAME?</v>
      </c>
      <c r="O5" s="56"/>
      <c r="S5" s="56"/>
    </row>
    <row r="6" spans="2:19">
      <c r="B6" s="2" t="s">
        <v>1</v>
      </c>
      <c r="C6" s="58">
        <v>40357</v>
      </c>
      <c r="D6" s="62" t="s">
        <v>59</v>
      </c>
      <c r="E6" s="2" t="s">
        <v>1</v>
      </c>
      <c r="F6" s="58">
        <v>40357</v>
      </c>
      <c r="O6" s="56"/>
      <c r="S6" s="56"/>
    </row>
    <row r="7" spans="2:19" ht="13.5" thickBot="1">
      <c r="B7" s="2" t="s">
        <v>20</v>
      </c>
      <c r="C7" s="58" t="s">
        <v>30</v>
      </c>
      <c r="E7" s="2" t="s">
        <v>20</v>
      </c>
      <c r="F7" s="58" t="s">
        <v>30</v>
      </c>
      <c r="O7" s="56"/>
      <c r="S7" s="56"/>
    </row>
    <row r="8" spans="2:19" ht="13.5" thickBot="1">
      <c r="B8" s="10" t="s">
        <v>167</v>
      </c>
      <c r="C8" s="77">
        <v>28</v>
      </c>
      <c r="E8" s="10" t="s">
        <v>167</v>
      </c>
      <c r="F8" s="77">
        <v>28</v>
      </c>
      <c r="H8" s="102" t="s">
        <v>7</v>
      </c>
      <c r="I8" s="152" t="s">
        <v>179</v>
      </c>
      <c r="M8" s="39"/>
      <c r="S8" s="56"/>
    </row>
    <row r="9" spans="2:19">
      <c r="B9" s="2" t="s">
        <v>2</v>
      </c>
      <c r="C9" s="55" t="s">
        <v>180</v>
      </c>
      <c r="D9" s="62" t="s">
        <v>60</v>
      </c>
      <c r="E9" s="2" t="s">
        <v>2</v>
      </c>
      <c r="F9" s="55" t="s">
        <v>180</v>
      </c>
      <c r="H9" s="53"/>
      <c r="M9" s="39"/>
      <c r="S9" s="56"/>
    </row>
    <row r="10" spans="2:19">
      <c r="B10" s="10" t="s">
        <v>12</v>
      </c>
      <c r="C10" s="78">
        <v>5000000</v>
      </c>
      <c r="E10" s="10" t="s">
        <v>12</v>
      </c>
      <c r="F10" s="78">
        <v>5000000</v>
      </c>
      <c r="H10" s="53"/>
      <c r="M10" s="39"/>
      <c r="S10" s="56"/>
    </row>
    <row r="11" spans="2:19">
      <c r="B11" s="2" t="s">
        <v>3</v>
      </c>
      <c r="C11" s="78" t="s">
        <v>9</v>
      </c>
      <c r="E11" s="2" t="s">
        <v>3</v>
      </c>
      <c r="F11" s="78" t="s">
        <v>9</v>
      </c>
      <c r="H11" s="53"/>
      <c r="M11" s="39"/>
      <c r="S11" s="56"/>
    </row>
    <row r="12" spans="2:19">
      <c r="B12" s="10" t="s">
        <v>11</v>
      </c>
      <c r="C12" s="78" t="s">
        <v>4</v>
      </c>
      <c r="E12" s="10" t="s">
        <v>11</v>
      </c>
      <c r="F12" s="78" t="s">
        <v>4</v>
      </c>
      <c r="H12" s="53"/>
      <c r="M12" s="39"/>
      <c r="S12" s="56"/>
    </row>
    <row r="13" spans="2:19" ht="13.5" thickBot="1">
      <c r="B13" s="5" t="s">
        <v>5</v>
      </c>
      <c r="C13" s="154" t="s">
        <v>6</v>
      </c>
      <c r="E13" s="5" t="s">
        <v>5</v>
      </c>
      <c r="F13" s="153" t="s">
        <v>6</v>
      </c>
      <c r="H13" s="53"/>
      <c r="M13" s="39"/>
      <c r="S13" s="56"/>
    </row>
    <row r="14" spans="2:19">
      <c r="C14" s="56"/>
      <c r="F14" s="56"/>
      <c r="H14" s="53"/>
      <c r="M14" s="39"/>
      <c r="S14" s="56"/>
    </row>
    <row r="15" spans="2:19" ht="13.5" thickBot="1">
      <c r="B15" s="7"/>
      <c r="C15" s="16"/>
      <c r="E15" s="7"/>
      <c r="F15" s="16"/>
      <c r="M15" s="39"/>
      <c r="S15" s="56"/>
    </row>
    <row r="16" spans="2:19" ht="13.5" thickBot="1">
      <c r="B16" s="7"/>
      <c r="C16" s="36" t="s">
        <v>37</v>
      </c>
      <c r="D16" s="37"/>
      <c r="E16" s="38"/>
      <c r="F16" s="16"/>
      <c r="M16" s="39"/>
      <c r="S16" s="56"/>
    </row>
    <row r="17" spans="2:19">
      <c r="B17" s="7"/>
      <c r="C17" s="17"/>
      <c r="D17" s="18"/>
      <c r="E17" s="9"/>
      <c r="F17" s="16"/>
      <c r="I17" t="s">
        <v>181</v>
      </c>
      <c r="J17" t="s">
        <v>182</v>
      </c>
      <c r="K17" s="56"/>
      <c r="M17" s="48"/>
      <c r="S17" s="56"/>
    </row>
    <row r="18" spans="2:19">
      <c r="B18" s="7"/>
      <c r="C18" s="19" t="s">
        <v>24</v>
      </c>
      <c r="D18" s="107">
        <v>5</v>
      </c>
      <c r="E18" s="24" t="s">
        <v>29</v>
      </c>
      <c r="F18" s="16"/>
      <c r="I18" t="s">
        <v>183</v>
      </c>
      <c r="J18" t="s">
        <v>184</v>
      </c>
      <c r="K18" s="56"/>
      <c r="M18" s="39"/>
      <c r="S18" s="56"/>
    </row>
    <row r="19" spans="2:19">
      <c r="B19" s="7"/>
      <c r="C19" s="19" t="s">
        <v>165</v>
      </c>
      <c r="D19" s="144">
        <v>5</v>
      </c>
      <c r="E19" s="24" t="s">
        <v>29</v>
      </c>
      <c r="F19" s="16"/>
      <c r="M19" s="39"/>
      <c r="S19" s="56"/>
    </row>
    <row r="20" spans="2:19">
      <c r="B20" s="7"/>
      <c r="C20" s="19" t="s">
        <v>166</v>
      </c>
      <c r="D20" s="22">
        <v>5</v>
      </c>
      <c r="E20" s="143" t="s">
        <v>29</v>
      </c>
      <c r="F20" s="16"/>
      <c r="I20" s="56"/>
      <c r="S20" s="56"/>
    </row>
    <row r="21" spans="2:19">
      <c r="B21" s="7"/>
      <c r="C21" s="19" t="s">
        <v>40</v>
      </c>
      <c r="D21" s="106">
        <v>7.5157299330471147E-2</v>
      </c>
      <c r="E21" s="23"/>
      <c r="F21" s="16"/>
      <c r="S21" s="56"/>
    </row>
    <row r="22" spans="2:19">
      <c r="B22" s="7"/>
      <c r="C22" s="147"/>
      <c r="D22" s="1"/>
      <c r="E22" s="148"/>
      <c r="F22" s="16"/>
      <c r="S22" s="56"/>
    </row>
    <row r="23" spans="2:19">
      <c r="B23" s="7"/>
      <c r="C23" s="19"/>
      <c r="D23" s="1"/>
      <c r="E23" s="4"/>
      <c r="F23" s="16"/>
      <c r="J23" t="str">
        <f t="array" ref="J23:J62">_xll.HLV5r3.Financial.Cache.ListUpTo100PricingStructures( I17:J18)</f>
        <v>Market.LIVE.RateCurve.AUD-LIBOR-BBA-3M</v>
      </c>
      <c r="S23" s="56"/>
    </row>
    <row r="24" spans="2:19" ht="13.5" thickBot="1">
      <c r="C24" s="146" t="s">
        <v>168</v>
      </c>
      <c r="D24" s="151">
        <v>39644.690185185187</v>
      </c>
      <c r="E24" s="12"/>
      <c r="F24" s="16"/>
      <c r="J24" t="str">
        <v>Market.LIVE.RateCurve.USD-LIBOR-BBA-3M</v>
      </c>
      <c r="S24" s="56"/>
    </row>
    <row r="25" spans="2:19" ht="17.25" customHeight="1">
      <c r="B25" s="7"/>
      <c r="C25" s="16"/>
      <c r="E25" s="7"/>
      <c r="F25" s="16"/>
      <c r="J25" t="str">
        <v>Market.LIVE.RateCurve.AUD-LIBOR-BBA-6M</v>
      </c>
      <c r="S25" s="56"/>
    </row>
    <row r="26" spans="2:19" s="56" customFormat="1" ht="13.5" hidden="1" thickBot="1">
      <c r="B26" s="61"/>
      <c r="C26" s="85"/>
      <c r="E26" s="61"/>
      <c r="F26" s="85"/>
      <c r="J26" s="56" t="str">
        <v>Market.LIVE.RateCurve.GBP-LIBOR-BBA-3M</v>
      </c>
    </row>
    <row r="27" spans="2:19" hidden="1">
      <c r="B27" s="32" t="s">
        <v>34</v>
      </c>
      <c r="C27" s="40"/>
      <c r="D27" s="40"/>
      <c r="E27" s="41"/>
      <c r="F27" s="16"/>
      <c r="J27" t="str">
        <v>Market.LIVE.RateCurve.GBP-LIBOR-BBA-1M</v>
      </c>
      <c r="S27" s="56"/>
    </row>
    <row r="28" spans="2:19" ht="13.5" hidden="1" thickBot="1">
      <c r="B28" s="42" t="s">
        <v>0</v>
      </c>
      <c r="C28" s="43" t="s">
        <v>1</v>
      </c>
      <c r="D28" s="43" t="s">
        <v>32</v>
      </c>
      <c r="E28" s="43" t="s">
        <v>155</v>
      </c>
      <c r="J28" t="e">
        <v>#N/A</v>
      </c>
      <c r="S28" s="56"/>
    </row>
    <row r="29" spans="2:19" hidden="1">
      <c r="B29" s="58"/>
      <c r="C29" s="58"/>
      <c r="D29" s="89"/>
      <c r="E29" s="113"/>
      <c r="J29" t="e">
        <v>#N/A</v>
      </c>
      <c r="S29" s="56"/>
    </row>
    <row r="30" spans="2:19" hidden="1">
      <c r="B30" s="63"/>
      <c r="C30" s="60"/>
      <c r="D30" s="61"/>
      <c r="E30" s="64"/>
      <c r="J30" t="e">
        <v>#N/A</v>
      </c>
      <c r="S30" s="56"/>
    </row>
    <row r="31" spans="2:19" hidden="1">
      <c r="B31" s="63"/>
      <c r="C31" s="60"/>
      <c r="D31" s="61"/>
      <c r="E31" s="64"/>
      <c r="J31" t="e">
        <v>#N/A</v>
      </c>
      <c r="S31" s="56"/>
    </row>
    <row r="32" spans="2:19" hidden="1">
      <c r="B32" s="63"/>
      <c r="C32" s="60"/>
      <c r="D32" s="61"/>
      <c r="E32" s="64"/>
      <c r="J32" t="e">
        <v>#N/A</v>
      </c>
      <c r="S32" s="56"/>
    </row>
    <row r="33" spans="2:19" hidden="1">
      <c r="B33" s="63"/>
      <c r="C33" s="60"/>
      <c r="D33" s="61"/>
      <c r="E33" s="64"/>
      <c r="J33" t="e">
        <v>#N/A</v>
      </c>
      <c r="S33" s="56"/>
    </row>
    <row r="34" spans="2:19" ht="13.5" hidden="1" thickBot="1">
      <c r="B34" s="65"/>
      <c r="C34" s="66"/>
      <c r="D34" s="67"/>
      <c r="E34" s="68"/>
      <c r="J34" t="e">
        <v>#N/A</v>
      </c>
    </row>
    <row r="35" spans="2:19" hidden="1">
      <c r="J35" t="e">
        <v>#N/A</v>
      </c>
    </row>
    <row r="36" spans="2:19" hidden="1">
      <c r="C36" s="31" t="s">
        <v>33</v>
      </c>
      <c r="D36" s="27"/>
      <c r="E36" s="28"/>
      <c r="J36" s="39" t="e">
        <v>#N/A</v>
      </c>
    </row>
    <row r="37" spans="2:19" ht="13.5" hidden="1" thickBot="1">
      <c r="C37" s="29" t="s">
        <v>2</v>
      </c>
      <c r="D37" s="30" t="s">
        <v>18</v>
      </c>
      <c r="E37" s="26" t="s">
        <v>8</v>
      </c>
      <c r="J37" t="e">
        <v>#N/A</v>
      </c>
    </row>
    <row r="38" spans="2:19" hidden="1">
      <c r="C38" s="88" t="s">
        <v>13</v>
      </c>
      <c r="D38" s="89" t="s">
        <v>14</v>
      </c>
      <c r="E38" s="90">
        <v>23</v>
      </c>
      <c r="J38" t="e">
        <v>#N/A</v>
      </c>
    </row>
    <row r="39" spans="2:19" hidden="1">
      <c r="C39" s="91" t="s">
        <v>10</v>
      </c>
      <c r="D39" s="61" t="s">
        <v>57</v>
      </c>
      <c r="E39" s="64">
        <v>23</v>
      </c>
      <c r="F39" s="20"/>
      <c r="J39" t="e">
        <v>#N/A</v>
      </c>
    </row>
    <row r="40" spans="2:19" hidden="1">
      <c r="C40" s="91"/>
      <c r="D40" s="61"/>
      <c r="E40" s="64"/>
      <c r="J40" t="e">
        <v>#N/A</v>
      </c>
    </row>
    <row r="41" spans="2:19" hidden="1">
      <c r="C41" s="91"/>
      <c r="D41" s="61"/>
      <c r="E41" s="64"/>
      <c r="J41" t="e">
        <v>#N/A</v>
      </c>
    </row>
    <row r="42" spans="2:19" hidden="1">
      <c r="C42" s="91"/>
      <c r="D42" s="61"/>
      <c r="E42" s="64"/>
      <c r="J42" t="e">
        <v>#N/A</v>
      </c>
    </row>
    <row r="43" spans="2:19" hidden="1">
      <c r="C43" s="91"/>
      <c r="D43" s="61"/>
      <c r="E43" s="64"/>
      <c r="J43" t="e">
        <v>#N/A</v>
      </c>
    </row>
    <row r="44" spans="2:19" hidden="1">
      <c r="C44" s="91"/>
      <c r="D44" s="61"/>
      <c r="E44" s="64"/>
      <c r="J44" t="e">
        <v>#N/A</v>
      </c>
    </row>
    <row r="45" spans="2:19" hidden="1">
      <c r="C45" s="91"/>
      <c r="D45" s="61"/>
      <c r="E45" s="64"/>
      <c r="J45" t="e">
        <v>#N/A</v>
      </c>
    </row>
    <row r="46" spans="2:19" hidden="1">
      <c r="C46" s="91"/>
      <c r="D46" s="61"/>
      <c r="E46" s="64"/>
      <c r="J46" t="e">
        <v>#N/A</v>
      </c>
    </row>
    <row r="47" spans="2:19" hidden="1">
      <c r="C47" s="91"/>
      <c r="D47" s="61"/>
      <c r="E47" s="64"/>
      <c r="J47" t="e">
        <v>#N/A</v>
      </c>
    </row>
    <row r="48" spans="2:19" ht="13.5" hidden="1" thickBot="1">
      <c r="C48" s="92"/>
      <c r="D48" s="67"/>
      <c r="E48" s="68"/>
      <c r="J48" t="e">
        <v>#N/A</v>
      </c>
    </row>
    <row r="49" spans="1:20" ht="13.5" thickBot="1">
      <c r="J49" t="e">
        <v>#N/A</v>
      </c>
    </row>
    <row r="50" spans="1:20">
      <c r="A50" s="32" t="s">
        <v>38</v>
      </c>
      <c r="B50" s="40"/>
      <c r="C50" s="40"/>
      <c r="D50" s="41"/>
      <c r="E50" s="32" t="s">
        <v>39</v>
      </c>
      <c r="F50" s="40"/>
      <c r="G50" s="40"/>
      <c r="H50" s="46"/>
      <c r="J50" t="e">
        <v>#N/A</v>
      </c>
    </row>
    <row r="51" spans="1:20" ht="13.5" thickBot="1">
      <c r="A51" s="45" t="s">
        <v>44</v>
      </c>
      <c r="B51" s="43" t="s">
        <v>8</v>
      </c>
      <c r="C51" s="43" t="s">
        <v>164</v>
      </c>
      <c r="D51" s="35" t="s">
        <v>17</v>
      </c>
      <c r="E51" s="42" t="s">
        <v>44</v>
      </c>
      <c r="F51" s="43" t="s">
        <v>8</v>
      </c>
      <c r="G51" s="43" t="s">
        <v>164</v>
      </c>
      <c r="H51" s="35" t="s">
        <v>17</v>
      </c>
      <c r="J51" t="e">
        <v>#N/A</v>
      </c>
      <c r="Q51" s="25"/>
      <c r="R51" s="25"/>
      <c r="S51" s="25"/>
      <c r="T51" s="25"/>
    </row>
    <row r="52" spans="1:20" ht="13.5" thickTop="1">
      <c r="A52" s="69" t="s">
        <v>61</v>
      </c>
      <c r="B52" s="150">
        <v>39644.420173611114</v>
      </c>
      <c r="C52" s="70">
        <v>0</v>
      </c>
      <c r="D52" s="71">
        <v>5000000</v>
      </c>
      <c r="E52" s="69" t="s">
        <v>61</v>
      </c>
      <c r="F52" s="150">
        <v>39644.420173611114</v>
      </c>
      <c r="G52" s="70">
        <v>0</v>
      </c>
      <c r="H52" s="71">
        <v>5000000</v>
      </c>
      <c r="J52" t="e">
        <v>#N/A</v>
      </c>
    </row>
    <row r="53" spans="1:20">
      <c r="A53" s="72" t="s">
        <v>61</v>
      </c>
      <c r="B53" s="93">
        <v>39828</v>
      </c>
      <c r="C53" s="1">
        <v>0</v>
      </c>
      <c r="D53" s="73">
        <v>5000000</v>
      </c>
      <c r="E53" s="72" t="s">
        <v>61</v>
      </c>
      <c r="F53" s="93">
        <v>39828</v>
      </c>
      <c r="G53" s="1">
        <v>0</v>
      </c>
      <c r="H53" s="73">
        <v>5000000</v>
      </c>
      <c r="J53" t="e">
        <v>#N/A</v>
      </c>
      <c r="Q53" s="21"/>
    </row>
    <row r="54" spans="1:20">
      <c r="A54" s="72" t="s">
        <v>61</v>
      </c>
      <c r="B54" s="93">
        <v>40009</v>
      </c>
      <c r="C54" s="1">
        <v>0</v>
      </c>
      <c r="D54" s="73">
        <v>5000000</v>
      </c>
      <c r="E54" s="72" t="s">
        <v>61</v>
      </c>
      <c r="F54" s="93">
        <v>40009</v>
      </c>
      <c r="G54" s="1">
        <v>0</v>
      </c>
      <c r="H54" s="73">
        <v>5000000</v>
      </c>
      <c r="J54" t="e">
        <v>#N/A</v>
      </c>
      <c r="Q54" s="21"/>
    </row>
    <row r="55" spans="1:20">
      <c r="A55" s="72" t="s">
        <v>61</v>
      </c>
      <c r="B55" s="93">
        <v>40193</v>
      </c>
      <c r="C55" s="1">
        <v>0</v>
      </c>
      <c r="D55" s="73">
        <v>5000000</v>
      </c>
      <c r="E55" s="72" t="s">
        <v>61</v>
      </c>
      <c r="F55" s="93">
        <v>40193</v>
      </c>
      <c r="G55" s="1">
        <v>0</v>
      </c>
      <c r="H55" s="73">
        <v>5000000</v>
      </c>
      <c r="J55" t="e">
        <v>#N/A</v>
      </c>
      <c r="Q55" s="21"/>
    </row>
    <row r="56" spans="1:20">
      <c r="A56" s="72" t="s">
        <v>61</v>
      </c>
      <c r="B56" s="93">
        <v>40374</v>
      </c>
      <c r="C56" s="1">
        <v>0</v>
      </c>
      <c r="D56" s="73">
        <v>5000000</v>
      </c>
      <c r="E56" s="72" t="s">
        <v>61</v>
      </c>
      <c r="F56" s="93">
        <v>40374</v>
      </c>
      <c r="G56" s="1">
        <v>0</v>
      </c>
      <c r="H56" s="73">
        <v>5000000</v>
      </c>
      <c r="J56" t="e">
        <v>#N/A</v>
      </c>
      <c r="Q56" s="21"/>
    </row>
    <row r="57" spans="1:20">
      <c r="A57" s="72" t="s">
        <v>78</v>
      </c>
      <c r="B57" s="93">
        <v>40560</v>
      </c>
      <c r="C57" s="1">
        <v>0</v>
      </c>
      <c r="D57" s="73">
        <v>5000000</v>
      </c>
      <c r="E57" s="72" t="s">
        <v>78</v>
      </c>
      <c r="F57" s="93">
        <v>40560</v>
      </c>
      <c r="G57" s="1">
        <v>0</v>
      </c>
      <c r="H57" s="73">
        <v>5000000</v>
      </c>
      <c r="J57" t="e">
        <v>#N/A</v>
      </c>
      <c r="Q57" s="21"/>
    </row>
    <row r="58" spans="1:20">
      <c r="A58" s="72" t="s">
        <v>61</v>
      </c>
      <c r="B58" s="93">
        <v>40739</v>
      </c>
      <c r="C58" s="1">
        <v>0</v>
      </c>
      <c r="D58" s="73">
        <v>5000000</v>
      </c>
      <c r="E58" s="72" t="s">
        <v>61</v>
      </c>
      <c r="F58" s="93">
        <v>40739</v>
      </c>
      <c r="G58" s="1">
        <v>0</v>
      </c>
      <c r="H58" s="73">
        <v>5000000</v>
      </c>
      <c r="J58" t="e">
        <v>#N/A</v>
      </c>
      <c r="Q58" s="21"/>
    </row>
    <row r="59" spans="1:20">
      <c r="A59" s="72" t="s">
        <v>78</v>
      </c>
      <c r="B59" s="93">
        <v>40924</v>
      </c>
      <c r="C59" s="1">
        <v>0</v>
      </c>
      <c r="D59" s="73">
        <v>5000000</v>
      </c>
      <c r="E59" s="72" t="s">
        <v>78</v>
      </c>
      <c r="F59" s="93">
        <v>40924</v>
      </c>
      <c r="G59" s="1">
        <v>0</v>
      </c>
      <c r="H59" s="73">
        <v>5000000</v>
      </c>
      <c r="J59" t="e">
        <v>#N/A</v>
      </c>
      <c r="Q59" s="21"/>
    </row>
    <row r="60" spans="1:20">
      <c r="A60" s="72" t="s">
        <v>78</v>
      </c>
      <c r="B60" s="93">
        <v>41106</v>
      </c>
      <c r="C60" s="1">
        <v>0</v>
      </c>
      <c r="D60" s="73">
        <v>5000000</v>
      </c>
      <c r="E60" s="72" t="s">
        <v>78</v>
      </c>
      <c r="F60" s="93">
        <v>41106</v>
      </c>
      <c r="G60" s="1">
        <v>0</v>
      </c>
      <c r="H60" s="73">
        <v>5000000</v>
      </c>
      <c r="J60" t="e">
        <v>#N/A</v>
      </c>
      <c r="Q60" s="21"/>
    </row>
    <row r="61" spans="1:20">
      <c r="A61" s="72" t="s">
        <v>61</v>
      </c>
      <c r="B61" s="93">
        <v>41289</v>
      </c>
      <c r="C61" s="1">
        <v>0</v>
      </c>
      <c r="D61" s="73">
        <v>5000000</v>
      </c>
      <c r="E61" s="72" t="s">
        <v>61</v>
      </c>
      <c r="F61" s="93">
        <v>41289</v>
      </c>
      <c r="G61" s="1">
        <v>0</v>
      </c>
      <c r="H61" s="73">
        <v>5000000</v>
      </c>
      <c r="J61" t="e">
        <v>#N/A</v>
      </c>
      <c r="Q61" s="21"/>
    </row>
    <row r="62" spans="1:20">
      <c r="A62" s="72" t="s">
        <v>61</v>
      </c>
      <c r="B62" s="93">
        <v>41470.420173611114</v>
      </c>
      <c r="C62" s="1">
        <v>0</v>
      </c>
      <c r="D62" s="73">
        <v>5000000</v>
      </c>
      <c r="E62" s="72" t="s">
        <v>61</v>
      </c>
      <c r="F62" s="93">
        <v>41470.420173611114</v>
      </c>
      <c r="G62" s="1">
        <v>0</v>
      </c>
      <c r="H62" s="73">
        <v>5000000</v>
      </c>
      <c r="J62" t="e">
        <v>#N/A</v>
      </c>
      <c r="Q62" s="21"/>
    </row>
    <row r="63" spans="1:20">
      <c r="A63" s="72"/>
      <c r="B63" s="93"/>
      <c r="C63" s="1"/>
      <c r="D63" s="73"/>
      <c r="E63" s="72"/>
      <c r="F63" s="93"/>
      <c r="G63" s="1"/>
      <c r="H63" s="73"/>
      <c r="Q63" s="21"/>
    </row>
    <row r="64" spans="1:20">
      <c r="A64" s="72"/>
      <c r="B64" s="1"/>
      <c r="C64" s="1"/>
      <c r="D64" s="73"/>
      <c r="E64" s="72"/>
      <c r="F64" s="1"/>
      <c r="G64" s="1"/>
      <c r="H64" s="73"/>
      <c r="Q64" s="21"/>
    </row>
    <row r="65" spans="1:18">
      <c r="A65" s="72"/>
      <c r="B65" s="1"/>
      <c r="C65" s="1"/>
      <c r="D65" s="73"/>
      <c r="E65" s="72"/>
      <c r="F65" s="1"/>
      <c r="G65" s="1"/>
      <c r="H65" s="73"/>
      <c r="Q65" s="21"/>
    </row>
    <row r="66" spans="1:18">
      <c r="A66" s="72"/>
      <c r="B66" s="1"/>
      <c r="C66" s="1"/>
      <c r="D66" s="73"/>
      <c r="E66" s="72"/>
      <c r="F66" s="1"/>
      <c r="G66" s="1"/>
      <c r="H66" s="73"/>
      <c r="Q66" s="21"/>
    </row>
    <row r="67" spans="1:18">
      <c r="A67" s="72"/>
      <c r="B67" s="1"/>
      <c r="C67" s="1"/>
      <c r="D67" s="73"/>
      <c r="E67" s="72"/>
      <c r="F67" s="1"/>
      <c r="G67" s="1"/>
      <c r="H67" s="73"/>
      <c r="Q67" s="21"/>
    </row>
    <row r="68" spans="1:18">
      <c r="A68" s="72"/>
      <c r="B68" s="1"/>
      <c r="C68" s="1"/>
      <c r="D68" s="73"/>
      <c r="E68" s="72"/>
      <c r="F68" s="1"/>
      <c r="G68" s="1"/>
      <c r="H68" s="73"/>
      <c r="Q68" s="21"/>
    </row>
    <row r="69" spans="1:18">
      <c r="A69" s="72"/>
      <c r="B69" s="1"/>
      <c r="C69" s="1"/>
      <c r="D69" s="73"/>
      <c r="E69" s="72"/>
      <c r="F69" s="1"/>
      <c r="G69" s="1"/>
      <c r="H69" s="73"/>
      <c r="Q69" s="21"/>
    </row>
    <row r="70" spans="1:18">
      <c r="A70" s="72"/>
      <c r="B70" s="1"/>
      <c r="C70" s="1"/>
      <c r="D70" s="73"/>
      <c r="E70" s="72"/>
      <c r="F70" s="1"/>
      <c r="G70" s="1"/>
      <c r="H70" s="73"/>
      <c r="Q70" s="21"/>
    </row>
    <row r="71" spans="1:18">
      <c r="A71" s="72"/>
      <c r="B71" s="1"/>
      <c r="C71" s="1"/>
      <c r="D71" s="73"/>
      <c r="E71" s="72"/>
      <c r="F71" s="1"/>
      <c r="G71" s="1"/>
      <c r="H71" s="73"/>
      <c r="Q71" s="21"/>
    </row>
    <row r="72" spans="1:18">
      <c r="A72" s="72"/>
      <c r="B72" s="1"/>
      <c r="C72" s="1"/>
      <c r="D72" s="73"/>
      <c r="E72" s="72"/>
      <c r="F72" s="1"/>
      <c r="G72" s="1"/>
      <c r="H72" s="73"/>
      <c r="Q72" s="21"/>
    </row>
    <row r="73" spans="1:18">
      <c r="A73" s="72"/>
      <c r="B73" s="1"/>
      <c r="C73" s="1"/>
      <c r="D73" s="73"/>
      <c r="E73" s="72"/>
      <c r="F73" s="1"/>
      <c r="G73" s="1"/>
      <c r="H73" s="73"/>
      <c r="Q73" s="21"/>
    </row>
    <row r="74" spans="1:18">
      <c r="A74" s="72"/>
      <c r="B74" s="1"/>
      <c r="C74" s="1"/>
      <c r="D74" s="73"/>
      <c r="E74" s="72"/>
      <c r="F74" s="1"/>
      <c r="G74" s="1"/>
      <c r="H74" s="73"/>
      <c r="Q74" s="21"/>
    </row>
    <row r="75" spans="1:18">
      <c r="A75" s="72"/>
      <c r="B75" s="1"/>
      <c r="C75" s="1"/>
      <c r="D75" s="73"/>
      <c r="E75" s="72"/>
      <c r="F75" s="1"/>
      <c r="G75" s="1"/>
      <c r="H75" s="73"/>
      <c r="Q75" s="21"/>
    </row>
    <row r="76" spans="1:18">
      <c r="A76" s="72"/>
      <c r="B76" s="1"/>
      <c r="C76" s="1"/>
      <c r="D76" s="73"/>
      <c r="E76" s="72"/>
      <c r="F76" s="1"/>
      <c r="G76" s="1"/>
      <c r="H76" s="73"/>
      <c r="Q76" s="21"/>
    </row>
    <row r="77" spans="1:18">
      <c r="A77" s="72"/>
      <c r="B77" s="1"/>
      <c r="C77" s="1"/>
      <c r="D77" s="73"/>
      <c r="E77" s="72"/>
      <c r="F77" s="1"/>
      <c r="G77" s="1"/>
      <c r="H77" s="73"/>
      <c r="Q77" s="21"/>
      <c r="R77" s="39"/>
    </row>
    <row r="78" spans="1:18">
      <c r="A78" s="72"/>
      <c r="B78" s="1"/>
      <c r="C78" s="1"/>
      <c r="D78" s="73"/>
      <c r="E78" s="72"/>
      <c r="F78" s="1"/>
      <c r="G78" s="1"/>
      <c r="H78" s="73"/>
      <c r="Q78" s="21"/>
    </row>
    <row r="79" spans="1:18">
      <c r="A79" s="72"/>
      <c r="B79" s="1"/>
      <c r="C79" s="1"/>
      <c r="D79" s="73"/>
      <c r="E79" s="72"/>
      <c r="F79" s="1"/>
      <c r="G79" s="1"/>
      <c r="H79" s="73"/>
    </row>
    <row r="80" spans="1:18">
      <c r="A80" s="72"/>
      <c r="B80" s="1"/>
      <c r="C80" s="1"/>
      <c r="D80" s="73"/>
      <c r="E80" s="72"/>
      <c r="F80" s="1"/>
      <c r="G80" s="1"/>
      <c r="H80" s="73"/>
    </row>
    <row r="81" spans="1:8">
      <c r="A81" s="72"/>
      <c r="B81" s="1"/>
      <c r="C81" s="1"/>
      <c r="D81" s="73"/>
      <c r="E81" s="72"/>
      <c r="F81" s="1"/>
      <c r="G81" s="1"/>
      <c r="H81" s="73"/>
    </row>
    <row r="82" spans="1:8">
      <c r="A82" s="72"/>
      <c r="B82" s="1"/>
      <c r="C82" s="1"/>
      <c r="D82" s="73"/>
      <c r="E82" s="72"/>
      <c r="F82" s="1"/>
      <c r="G82" s="1"/>
      <c r="H82" s="73"/>
    </row>
    <row r="83" spans="1:8">
      <c r="A83" s="72"/>
      <c r="B83" s="1"/>
      <c r="C83" s="1"/>
      <c r="D83" s="73"/>
      <c r="E83" s="72"/>
      <c r="F83" s="1"/>
      <c r="G83" s="1"/>
      <c r="H83" s="73"/>
    </row>
    <row r="84" spans="1:8">
      <c r="A84" s="72"/>
      <c r="B84" s="1"/>
      <c r="C84" s="1"/>
      <c r="D84" s="73"/>
      <c r="E84" s="72"/>
      <c r="F84" s="1"/>
      <c r="G84" s="1"/>
      <c r="H84" s="73"/>
    </row>
    <row r="85" spans="1:8">
      <c r="A85" s="72"/>
      <c r="B85" s="1"/>
      <c r="C85" s="1"/>
      <c r="D85" s="73"/>
      <c r="E85" s="72"/>
      <c r="F85" s="1"/>
      <c r="G85" s="1"/>
      <c r="H85" s="73"/>
    </row>
    <row r="86" spans="1:8">
      <c r="A86" s="72"/>
      <c r="B86" s="1"/>
      <c r="C86" s="1"/>
      <c r="D86" s="73"/>
      <c r="E86" s="72"/>
      <c r="F86" s="1"/>
      <c r="G86" s="1"/>
      <c r="H86" s="73"/>
    </row>
    <row r="87" spans="1:8">
      <c r="A87" s="72"/>
      <c r="B87" s="1"/>
      <c r="C87" s="1"/>
      <c r="D87" s="73"/>
      <c r="E87" s="72"/>
      <c r="F87" s="1"/>
      <c r="G87" s="1"/>
      <c r="H87" s="73"/>
    </row>
    <row r="88" spans="1:8">
      <c r="A88" s="72"/>
      <c r="B88" s="1"/>
      <c r="C88" s="1"/>
      <c r="D88" s="73"/>
      <c r="E88" s="72"/>
      <c r="F88" s="1"/>
      <c r="G88" s="1"/>
      <c r="H88" s="73"/>
    </row>
    <row r="89" spans="1:8">
      <c r="A89" s="72"/>
      <c r="B89" s="1"/>
      <c r="C89" s="1"/>
      <c r="D89" s="73"/>
      <c r="E89" s="72"/>
      <c r="F89" s="1"/>
      <c r="G89" s="1"/>
      <c r="H89" s="73"/>
    </row>
    <row r="90" spans="1:8">
      <c r="A90" s="72"/>
      <c r="B90" s="1"/>
      <c r="C90" s="1"/>
      <c r="D90" s="73"/>
      <c r="E90" s="72"/>
      <c r="F90" s="1"/>
      <c r="G90" s="1"/>
      <c r="H90" s="73"/>
    </row>
    <row r="91" spans="1:8">
      <c r="A91" s="72"/>
      <c r="B91" s="1"/>
      <c r="C91" s="1"/>
      <c r="D91" s="73"/>
      <c r="E91" s="72"/>
      <c r="F91" s="1"/>
      <c r="G91" s="1"/>
      <c r="H91" s="73"/>
    </row>
    <row r="92" spans="1:8">
      <c r="A92" s="72"/>
      <c r="B92" s="1"/>
      <c r="C92" s="1"/>
      <c r="D92" s="73"/>
      <c r="E92" s="72"/>
      <c r="F92" s="1"/>
      <c r="G92" s="1"/>
      <c r="H92" s="73"/>
    </row>
    <row r="93" spans="1:8">
      <c r="A93" s="72"/>
      <c r="B93" s="1"/>
      <c r="C93" s="1"/>
      <c r="D93" s="73"/>
      <c r="E93" s="72"/>
      <c r="F93" s="1"/>
      <c r="G93" s="1"/>
      <c r="H93" s="73"/>
    </row>
    <row r="94" spans="1:8">
      <c r="A94" s="72"/>
      <c r="B94" s="1"/>
      <c r="C94" s="1"/>
      <c r="D94" s="73"/>
      <c r="E94" s="72"/>
      <c r="F94" s="1"/>
      <c r="G94" s="1"/>
      <c r="H94" s="73"/>
    </row>
    <row r="95" spans="1:8">
      <c r="A95" s="72"/>
      <c r="B95" s="1"/>
      <c r="C95" s="1"/>
      <c r="D95" s="73"/>
      <c r="E95" s="72"/>
      <c r="F95" s="1"/>
      <c r="G95" s="1"/>
      <c r="H95" s="73"/>
    </row>
    <row r="96" spans="1:8">
      <c r="A96" s="72"/>
      <c r="B96" s="1"/>
      <c r="C96" s="1"/>
      <c r="D96" s="73"/>
      <c r="E96" s="72"/>
      <c r="F96" s="1"/>
      <c r="G96" s="1"/>
      <c r="H96" s="73"/>
    </row>
    <row r="97" spans="1:8">
      <c r="A97" s="72"/>
      <c r="B97" s="1"/>
      <c r="C97" s="1"/>
      <c r="D97" s="73"/>
      <c r="E97" s="72"/>
      <c r="F97" s="1"/>
      <c r="G97" s="1"/>
      <c r="H97" s="73"/>
    </row>
    <row r="98" spans="1:8">
      <c r="A98" s="72"/>
      <c r="B98" s="1"/>
      <c r="C98" s="1"/>
      <c r="D98" s="73"/>
      <c r="E98" s="72"/>
      <c r="F98" s="1"/>
      <c r="G98" s="1"/>
      <c r="H98" s="73"/>
    </row>
    <row r="99" spans="1:8">
      <c r="A99" s="72"/>
      <c r="B99" s="1"/>
      <c r="C99" s="1"/>
      <c r="D99" s="73"/>
      <c r="E99" s="72"/>
      <c r="F99" s="1"/>
      <c r="G99" s="1"/>
      <c r="H99" s="73"/>
    </row>
    <row r="100" spans="1:8">
      <c r="A100" s="72"/>
      <c r="B100" s="1"/>
      <c r="C100" s="1"/>
      <c r="D100" s="73"/>
      <c r="E100" s="72"/>
      <c r="F100" s="1"/>
      <c r="G100" s="1"/>
      <c r="H100" s="73"/>
    </row>
    <row r="101" spans="1:8">
      <c r="A101" s="72"/>
      <c r="B101" s="1"/>
      <c r="C101" s="1"/>
      <c r="D101" s="73"/>
      <c r="E101" s="72"/>
      <c r="F101" s="1"/>
      <c r="G101" s="1"/>
      <c r="H101" s="73"/>
    </row>
    <row r="102" spans="1:8">
      <c r="A102" s="72"/>
      <c r="B102" s="1"/>
      <c r="C102" s="1"/>
      <c r="D102" s="73"/>
      <c r="E102" s="72"/>
      <c r="F102" s="1"/>
      <c r="G102" s="1"/>
      <c r="H102" s="73"/>
    </row>
    <row r="103" spans="1:8">
      <c r="A103" s="72"/>
      <c r="B103" s="1"/>
      <c r="C103" s="1"/>
      <c r="D103" s="73"/>
      <c r="E103" s="72"/>
      <c r="F103" s="1"/>
      <c r="G103" s="1"/>
      <c r="H103" s="73"/>
    </row>
    <row r="104" spans="1:8">
      <c r="A104" s="72"/>
      <c r="B104" s="1"/>
      <c r="C104" s="1"/>
      <c r="D104" s="73"/>
      <c r="E104" s="72"/>
      <c r="F104" s="1"/>
      <c r="G104" s="1"/>
      <c r="H104" s="73"/>
    </row>
    <row r="105" spans="1:8">
      <c r="A105" s="72"/>
      <c r="B105" s="1"/>
      <c r="C105" s="1"/>
      <c r="D105" s="73"/>
      <c r="E105" s="72"/>
      <c r="F105" s="1"/>
      <c r="G105" s="1"/>
      <c r="H105" s="73"/>
    </row>
    <row r="106" spans="1:8">
      <c r="A106" s="72"/>
      <c r="B106" s="1"/>
      <c r="C106" s="1"/>
      <c r="D106" s="73"/>
      <c r="E106" s="72"/>
      <c r="F106" s="1"/>
      <c r="G106" s="1"/>
      <c r="H106" s="73"/>
    </row>
    <row r="107" spans="1:8">
      <c r="A107" s="72"/>
      <c r="B107" s="1"/>
      <c r="C107" s="1"/>
      <c r="D107" s="73"/>
      <c r="E107" s="72"/>
      <c r="F107" s="1"/>
      <c r="G107" s="1"/>
      <c r="H107" s="73"/>
    </row>
    <row r="108" spans="1:8">
      <c r="A108" s="72"/>
      <c r="B108" s="1"/>
      <c r="C108" s="1"/>
      <c r="D108" s="73"/>
      <c r="E108" s="72"/>
      <c r="F108" s="1"/>
      <c r="G108" s="1"/>
      <c r="H108" s="73"/>
    </row>
    <row r="109" spans="1:8">
      <c r="A109" s="72"/>
      <c r="B109" s="1"/>
      <c r="C109" s="1"/>
      <c r="D109" s="73"/>
      <c r="E109" s="72"/>
      <c r="F109" s="1"/>
      <c r="G109" s="1"/>
      <c r="H109" s="73"/>
    </row>
    <row r="110" spans="1:8">
      <c r="A110" s="72"/>
      <c r="B110" s="1"/>
      <c r="C110" s="1"/>
      <c r="D110" s="73"/>
      <c r="E110" s="72"/>
      <c r="F110" s="1"/>
      <c r="G110" s="1"/>
      <c r="H110" s="73"/>
    </row>
    <row r="111" spans="1:8">
      <c r="A111" s="72"/>
      <c r="B111" s="1"/>
      <c r="C111" s="1"/>
      <c r="D111" s="73"/>
      <c r="E111" s="72"/>
      <c r="F111" s="1"/>
      <c r="G111" s="1"/>
      <c r="H111" s="73"/>
    </row>
    <row r="112" spans="1:8">
      <c r="A112" s="72"/>
      <c r="B112" s="1"/>
      <c r="C112" s="1"/>
      <c r="D112" s="73"/>
      <c r="E112" s="72"/>
      <c r="F112" s="1"/>
      <c r="G112" s="1"/>
      <c r="H112" s="73"/>
    </row>
    <row r="113" spans="1:8">
      <c r="A113" s="72"/>
      <c r="B113" s="1"/>
      <c r="C113" s="1"/>
      <c r="D113" s="73"/>
      <c r="E113" s="72"/>
      <c r="F113" s="1"/>
      <c r="G113" s="1"/>
      <c r="H113" s="73"/>
    </row>
    <row r="114" spans="1:8">
      <c r="A114" s="72"/>
      <c r="B114" s="1"/>
      <c r="C114" s="1"/>
      <c r="D114" s="73"/>
      <c r="E114" s="72"/>
      <c r="F114" s="1"/>
      <c r="G114" s="1"/>
      <c r="H114" s="73"/>
    </row>
    <row r="115" spans="1:8">
      <c r="A115" s="72"/>
      <c r="B115" s="1"/>
      <c r="C115" s="1"/>
      <c r="D115" s="73"/>
      <c r="E115" s="72"/>
      <c r="F115" s="1"/>
      <c r="G115" s="1"/>
      <c r="H115" s="73"/>
    </row>
    <row r="116" spans="1:8">
      <c r="A116" s="72"/>
      <c r="B116" s="1"/>
      <c r="C116" s="1"/>
      <c r="D116" s="73"/>
      <c r="E116" s="72"/>
      <c r="F116" s="1"/>
      <c r="G116" s="1"/>
      <c r="H116" s="73"/>
    </row>
    <row r="117" spans="1:8">
      <c r="A117" s="72"/>
      <c r="B117" s="1"/>
      <c r="C117" s="1"/>
      <c r="D117" s="73"/>
      <c r="E117" s="72"/>
      <c r="F117" s="1"/>
      <c r="G117" s="1"/>
      <c r="H117" s="73"/>
    </row>
    <row r="118" spans="1:8">
      <c r="A118" s="72"/>
      <c r="B118" s="1"/>
      <c r="C118" s="1"/>
      <c r="D118" s="73"/>
      <c r="E118" s="72"/>
      <c r="F118" s="1"/>
      <c r="G118" s="1"/>
      <c r="H118" s="73"/>
    </row>
    <row r="119" spans="1:8">
      <c r="A119" s="72"/>
      <c r="B119" s="1"/>
      <c r="C119" s="1"/>
      <c r="D119" s="73"/>
      <c r="E119" s="72"/>
      <c r="F119" s="1"/>
      <c r="G119" s="1"/>
      <c r="H119" s="73"/>
    </row>
    <row r="120" spans="1:8">
      <c r="A120" s="72"/>
      <c r="B120" s="1"/>
      <c r="C120" s="1"/>
      <c r="D120" s="73"/>
      <c r="E120" s="72"/>
      <c r="F120" s="1"/>
      <c r="G120" s="1"/>
      <c r="H120" s="73"/>
    </row>
    <row r="121" spans="1:8">
      <c r="A121" s="72"/>
      <c r="B121" s="1"/>
      <c r="C121" s="1"/>
      <c r="D121" s="73"/>
      <c r="E121" s="72"/>
      <c r="F121" s="1"/>
      <c r="G121" s="1"/>
      <c r="H121" s="73"/>
    </row>
    <row r="122" spans="1:8">
      <c r="A122" s="72"/>
      <c r="B122" s="1"/>
      <c r="C122" s="1"/>
      <c r="D122" s="73"/>
      <c r="E122" s="72"/>
      <c r="F122" s="1"/>
      <c r="G122" s="1"/>
      <c r="H122" s="73"/>
    </row>
    <row r="123" spans="1:8">
      <c r="A123" s="72"/>
      <c r="B123" s="1"/>
      <c r="C123" s="1"/>
      <c r="D123" s="73"/>
      <c r="E123" s="72"/>
      <c r="F123" s="1"/>
      <c r="G123" s="1"/>
      <c r="H123" s="73"/>
    </row>
    <row r="124" spans="1:8">
      <c r="A124" s="72"/>
      <c r="B124" s="1"/>
      <c r="C124" s="1"/>
      <c r="D124" s="73"/>
      <c r="E124" s="72"/>
      <c r="F124" s="1"/>
      <c r="G124" s="1"/>
      <c r="H124" s="73"/>
    </row>
    <row r="125" spans="1:8">
      <c r="A125" s="72"/>
      <c r="B125" s="1"/>
      <c r="C125" s="1"/>
      <c r="D125" s="73"/>
      <c r="E125" s="72"/>
      <c r="F125" s="1"/>
      <c r="G125" s="1"/>
      <c r="H125" s="73"/>
    </row>
    <row r="126" spans="1:8">
      <c r="A126" s="72"/>
      <c r="B126" s="1"/>
      <c r="C126" s="1"/>
      <c r="D126" s="73"/>
      <c r="E126" s="72"/>
      <c r="F126" s="1"/>
      <c r="G126" s="1"/>
      <c r="H126" s="73"/>
    </row>
    <row r="127" spans="1:8">
      <c r="A127" s="72"/>
      <c r="B127" s="1"/>
      <c r="C127" s="1"/>
      <c r="D127" s="73"/>
      <c r="E127" s="72"/>
      <c r="F127" s="1"/>
      <c r="G127" s="1"/>
      <c r="H127" s="73"/>
    </row>
    <row r="128" spans="1:8">
      <c r="A128" s="72"/>
      <c r="B128" s="1"/>
      <c r="C128" s="1"/>
      <c r="D128" s="73"/>
      <c r="E128" s="72"/>
      <c r="F128" s="1"/>
      <c r="G128" s="1"/>
      <c r="H128" s="73"/>
    </row>
    <row r="129" spans="1:16">
      <c r="A129" s="72"/>
      <c r="B129" s="1"/>
      <c r="C129" s="1"/>
      <c r="D129" s="73"/>
      <c r="E129" s="72"/>
      <c r="F129" s="1"/>
      <c r="G129" s="1"/>
      <c r="H129" s="73"/>
    </row>
    <row r="130" spans="1:16">
      <c r="A130" s="72"/>
      <c r="B130" s="1"/>
      <c r="C130" s="1"/>
      <c r="D130" s="73"/>
      <c r="E130" s="72"/>
      <c r="F130" s="1"/>
      <c r="G130" s="1"/>
      <c r="H130" s="73"/>
    </row>
    <row r="131" spans="1:16">
      <c r="A131" s="72"/>
      <c r="B131" s="1"/>
      <c r="C131" s="1"/>
      <c r="D131" s="73"/>
      <c r="E131" s="72"/>
      <c r="F131" s="1"/>
      <c r="G131" s="1"/>
      <c r="H131" s="73"/>
    </row>
    <row r="132" spans="1:16">
      <c r="A132" s="72"/>
      <c r="B132" s="1"/>
      <c r="C132" s="1"/>
      <c r="D132" s="73"/>
      <c r="E132" s="72"/>
      <c r="F132" s="1"/>
      <c r="G132" s="1"/>
      <c r="H132" s="73"/>
    </row>
    <row r="133" spans="1:16">
      <c r="A133" s="72"/>
      <c r="B133" s="1"/>
      <c r="C133" s="1"/>
      <c r="D133" s="73"/>
      <c r="E133" s="72"/>
      <c r="F133" s="1"/>
      <c r="G133" s="1"/>
      <c r="H133" s="73"/>
    </row>
    <row r="134" spans="1:16">
      <c r="A134" s="72"/>
      <c r="B134" s="1"/>
      <c r="C134" s="1"/>
      <c r="D134" s="73"/>
      <c r="E134" s="72"/>
      <c r="F134" s="1"/>
      <c r="G134" s="1"/>
      <c r="H134" s="73"/>
    </row>
    <row r="135" spans="1:16">
      <c r="A135" s="72"/>
      <c r="B135" s="1"/>
      <c r="C135" s="1"/>
      <c r="D135" s="73"/>
      <c r="E135" s="72"/>
      <c r="F135" s="1"/>
      <c r="G135" s="1"/>
      <c r="H135" s="73"/>
    </row>
    <row r="136" spans="1:16">
      <c r="A136" s="72"/>
      <c r="B136" s="1"/>
      <c r="C136" s="1"/>
      <c r="D136" s="73"/>
      <c r="E136" s="72"/>
      <c r="F136" s="1"/>
      <c r="G136" s="1"/>
      <c r="H136" s="73"/>
    </row>
    <row r="137" spans="1:16">
      <c r="A137" s="72"/>
      <c r="B137" s="1"/>
      <c r="C137" s="1"/>
      <c r="D137" s="73"/>
      <c r="E137" s="72"/>
      <c r="F137" s="1"/>
      <c r="G137" s="1"/>
      <c r="H137" s="73"/>
      <c r="L137" s="25"/>
    </row>
    <row r="138" spans="1:16">
      <c r="A138" s="72"/>
      <c r="B138" s="1"/>
      <c r="C138" s="1"/>
      <c r="D138" s="73"/>
      <c r="E138" s="72"/>
      <c r="F138" s="1"/>
      <c r="G138" s="1"/>
      <c r="H138" s="73"/>
      <c r="L138" s="25"/>
      <c r="N138" s="20" t="s">
        <v>25</v>
      </c>
    </row>
    <row r="139" spans="1:16">
      <c r="A139" s="72"/>
      <c r="B139" s="1"/>
      <c r="C139" s="1"/>
      <c r="D139" s="73"/>
      <c r="E139" s="72"/>
      <c r="F139" s="1"/>
      <c r="G139" s="1"/>
      <c r="H139" s="73"/>
      <c r="L139" s="25"/>
      <c r="M139" s="15"/>
      <c r="N139" s="20" t="s">
        <v>25</v>
      </c>
      <c r="O139" s="15"/>
      <c r="P139" s="15"/>
    </row>
    <row r="140" spans="1:16">
      <c r="A140" s="72"/>
      <c r="B140" s="1"/>
      <c r="C140" s="1"/>
      <c r="D140" s="73"/>
      <c r="E140" s="72"/>
      <c r="F140" s="1"/>
      <c r="G140" s="1"/>
      <c r="H140" s="73"/>
      <c r="M140" s="14"/>
      <c r="N140" s="14"/>
      <c r="O140" s="14"/>
      <c r="P140" s="14"/>
    </row>
    <row r="141" spans="1:16">
      <c r="A141" s="72"/>
      <c r="B141" s="1"/>
      <c r="C141" s="1"/>
      <c r="D141" s="73"/>
      <c r="E141" s="72"/>
      <c r="F141" s="1"/>
      <c r="G141" s="1"/>
      <c r="H141" s="73"/>
      <c r="M141" s="14"/>
      <c r="N141" s="14"/>
      <c r="O141" s="14"/>
      <c r="P141" s="14"/>
    </row>
    <row r="142" spans="1:16">
      <c r="A142" s="72"/>
      <c r="B142" s="1"/>
      <c r="C142" s="1"/>
      <c r="D142" s="73"/>
      <c r="E142" s="72"/>
      <c r="F142" s="1"/>
      <c r="G142" s="1"/>
      <c r="H142" s="73"/>
      <c r="M142" s="14"/>
      <c r="N142" s="14"/>
      <c r="O142" s="14"/>
      <c r="P142" s="14"/>
    </row>
    <row r="143" spans="1:16">
      <c r="A143" s="72"/>
      <c r="B143" s="1"/>
      <c r="C143" s="1"/>
      <c r="D143" s="73"/>
      <c r="E143" s="72"/>
      <c r="F143" s="1"/>
      <c r="G143" s="1"/>
      <c r="H143" s="73"/>
      <c r="M143" s="14"/>
      <c r="N143" s="14"/>
      <c r="O143" s="14"/>
      <c r="P143" s="14"/>
    </row>
    <row r="144" spans="1:16">
      <c r="A144" s="72"/>
      <c r="B144" s="1"/>
      <c r="C144" s="1"/>
      <c r="D144" s="73"/>
      <c r="E144" s="72"/>
      <c r="F144" s="1"/>
      <c r="G144" s="1"/>
      <c r="H144" s="73"/>
      <c r="M144" s="14"/>
      <c r="N144" s="14"/>
      <c r="O144" s="14"/>
      <c r="P144" s="14"/>
    </row>
    <row r="145" spans="1:16">
      <c r="A145" s="72"/>
      <c r="B145" s="1"/>
      <c r="C145" s="1"/>
      <c r="D145" s="73"/>
      <c r="E145" s="72"/>
      <c r="F145" s="1"/>
      <c r="G145" s="1"/>
      <c r="H145" s="73"/>
      <c r="M145" s="14"/>
      <c r="N145" s="14"/>
      <c r="O145" s="14"/>
      <c r="P145" s="14"/>
    </row>
    <row r="146" spans="1:16">
      <c r="A146" s="72"/>
      <c r="B146" s="1"/>
      <c r="C146" s="1"/>
      <c r="D146" s="73"/>
      <c r="E146" s="72"/>
      <c r="F146" s="1"/>
      <c r="G146" s="1"/>
      <c r="H146" s="73"/>
      <c r="M146" s="14"/>
      <c r="N146" s="14"/>
      <c r="O146" s="14"/>
      <c r="P146" s="14"/>
    </row>
    <row r="147" spans="1:16">
      <c r="A147" s="72"/>
      <c r="B147" s="1"/>
      <c r="C147" s="1"/>
      <c r="D147" s="73"/>
      <c r="E147" s="72"/>
      <c r="F147" s="1"/>
      <c r="G147" s="1"/>
      <c r="H147" s="73"/>
      <c r="M147" s="14"/>
      <c r="N147" s="14"/>
      <c r="O147" s="14"/>
      <c r="P147" s="14"/>
    </row>
    <row r="148" spans="1:16">
      <c r="A148" s="72"/>
      <c r="B148" s="1"/>
      <c r="C148" s="1"/>
      <c r="D148" s="73"/>
      <c r="E148" s="72"/>
      <c r="F148" s="1"/>
      <c r="G148" s="1"/>
      <c r="H148" s="73"/>
      <c r="M148" s="14"/>
      <c r="N148" s="14"/>
      <c r="O148" s="14"/>
      <c r="P148" s="14"/>
    </row>
    <row r="149" spans="1:16">
      <c r="A149" s="72"/>
      <c r="B149" s="1"/>
      <c r="C149" s="1"/>
      <c r="D149" s="73"/>
      <c r="E149" s="72"/>
      <c r="F149" s="1"/>
      <c r="G149" s="1"/>
      <c r="H149" s="73"/>
    </row>
    <row r="150" spans="1:16">
      <c r="A150" s="72"/>
      <c r="B150" s="1"/>
      <c r="C150" s="1"/>
      <c r="D150" s="73"/>
      <c r="E150" s="72"/>
      <c r="F150" s="1"/>
      <c r="G150" s="1"/>
      <c r="H150" s="73"/>
    </row>
    <row r="151" spans="1:16">
      <c r="A151" s="72"/>
      <c r="B151" s="1"/>
      <c r="C151" s="1"/>
      <c r="D151" s="73"/>
      <c r="E151" s="72"/>
      <c r="F151" s="1"/>
      <c r="G151" s="1"/>
      <c r="H151" s="73"/>
    </row>
    <row r="152" spans="1:16">
      <c r="A152" s="72"/>
      <c r="B152" s="1"/>
      <c r="C152" s="1"/>
      <c r="D152" s="73"/>
      <c r="E152" s="72"/>
      <c r="F152" s="1"/>
      <c r="G152" s="1"/>
      <c r="H152" s="73"/>
    </row>
    <row r="153" spans="1:16">
      <c r="A153" s="72"/>
      <c r="B153" s="1"/>
      <c r="C153" s="1"/>
      <c r="D153" s="73"/>
      <c r="E153" s="72"/>
      <c r="F153" s="1"/>
      <c r="G153" s="1"/>
      <c r="H153" s="73"/>
    </row>
    <row r="154" spans="1:16">
      <c r="A154" s="72"/>
      <c r="B154" s="1"/>
      <c r="C154" s="1"/>
      <c r="D154" s="73"/>
      <c r="E154" s="72"/>
      <c r="F154" s="1"/>
      <c r="G154" s="1"/>
      <c r="H154" s="73"/>
    </row>
    <row r="155" spans="1:16">
      <c r="A155" s="72"/>
      <c r="B155" s="1"/>
      <c r="C155" s="1"/>
      <c r="D155" s="73"/>
      <c r="E155" s="72"/>
      <c r="F155" s="1"/>
      <c r="G155" s="1"/>
      <c r="H155" s="73"/>
    </row>
    <row r="156" spans="1:16">
      <c r="A156" s="72"/>
      <c r="B156" s="1"/>
      <c r="C156" s="1"/>
      <c r="D156" s="73"/>
      <c r="E156" s="72"/>
      <c r="F156" s="1"/>
      <c r="G156" s="1"/>
      <c r="H156" s="73"/>
    </row>
    <row r="157" spans="1:16">
      <c r="A157" s="72"/>
      <c r="B157" s="1"/>
      <c r="C157" s="1"/>
      <c r="D157" s="73"/>
      <c r="E157" s="72"/>
      <c r="F157" s="1"/>
      <c r="G157" s="1"/>
      <c r="H157" s="73"/>
    </row>
    <row r="158" spans="1:16">
      <c r="A158" s="72"/>
      <c r="B158" s="1"/>
      <c r="C158" s="1"/>
      <c r="D158" s="73"/>
      <c r="E158" s="72"/>
      <c r="F158" s="1"/>
      <c r="G158" s="1"/>
      <c r="H158" s="73"/>
    </row>
    <row r="159" spans="1:16">
      <c r="A159" s="72"/>
      <c r="B159" s="1"/>
      <c r="C159" s="1"/>
      <c r="D159" s="73"/>
      <c r="E159" s="72"/>
      <c r="F159" s="1"/>
      <c r="G159" s="1"/>
      <c r="H159" s="73"/>
    </row>
    <row r="160" spans="1:16">
      <c r="A160" s="72"/>
      <c r="B160" s="1"/>
      <c r="C160" s="1"/>
      <c r="D160" s="73"/>
      <c r="E160" s="72"/>
      <c r="F160" s="1"/>
      <c r="G160" s="1"/>
      <c r="H160" s="73"/>
    </row>
    <row r="161" spans="1:11">
      <c r="A161" s="72"/>
      <c r="B161" s="1"/>
      <c r="C161" s="1"/>
      <c r="D161" s="73"/>
      <c r="E161" s="72"/>
      <c r="F161" s="1"/>
      <c r="G161" s="1"/>
      <c r="H161" s="73"/>
    </row>
    <row r="162" spans="1:11">
      <c r="A162" s="72"/>
      <c r="B162" s="1"/>
      <c r="C162" s="1"/>
      <c r="D162" s="73"/>
      <c r="E162" s="72"/>
      <c r="F162" s="1"/>
      <c r="G162" s="1"/>
      <c r="H162" s="73"/>
    </row>
    <row r="163" spans="1:11">
      <c r="A163" s="72"/>
      <c r="B163" s="1"/>
      <c r="C163" s="1"/>
      <c r="D163" s="73"/>
      <c r="E163" s="72"/>
      <c r="F163" s="1"/>
      <c r="G163" s="1"/>
      <c r="H163" s="73"/>
    </row>
    <row r="164" spans="1:11">
      <c r="A164" s="72"/>
      <c r="B164" s="1"/>
      <c r="C164" s="1"/>
      <c r="D164" s="73"/>
      <c r="E164" s="72"/>
      <c r="F164" s="1"/>
      <c r="G164" s="1"/>
      <c r="H164" s="73"/>
    </row>
    <row r="165" spans="1:11">
      <c r="A165" s="72"/>
      <c r="B165" s="1"/>
      <c r="C165" s="1"/>
      <c r="D165" s="73"/>
      <c r="E165" s="72"/>
      <c r="F165" s="1"/>
      <c r="G165" s="1"/>
      <c r="H165" s="73"/>
    </row>
    <row r="166" spans="1:11">
      <c r="A166" s="72"/>
      <c r="B166" s="1"/>
      <c r="C166" s="1"/>
      <c r="D166" s="73"/>
      <c r="E166" s="72"/>
      <c r="F166" s="1"/>
      <c r="G166" s="1"/>
      <c r="H166" s="73"/>
      <c r="K166" s="6"/>
    </row>
    <row r="167" spans="1:11">
      <c r="A167" s="72"/>
      <c r="B167" s="1"/>
      <c r="C167" s="1"/>
      <c r="D167" s="73"/>
      <c r="E167" s="72"/>
      <c r="F167" s="1"/>
      <c r="G167" s="1"/>
      <c r="H167" s="73"/>
      <c r="K167" s="6"/>
    </row>
    <row r="168" spans="1:11">
      <c r="A168" s="72"/>
      <c r="B168" s="1"/>
      <c r="C168" s="1"/>
      <c r="D168" s="73"/>
      <c r="E168" s="72"/>
      <c r="F168" s="1"/>
      <c r="G168" s="1"/>
      <c r="H168" s="73"/>
    </row>
    <row r="169" spans="1:11">
      <c r="A169" s="72"/>
      <c r="B169" s="1"/>
      <c r="C169" s="1"/>
      <c r="D169" s="73"/>
      <c r="E169" s="72"/>
      <c r="F169" s="1"/>
      <c r="G169" s="1"/>
      <c r="H169" s="73"/>
    </row>
    <row r="170" spans="1:11">
      <c r="A170" s="72"/>
      <c r="B170" s="1"/>
      <c r="C170" s="1"/>
      <c r="D170" s="73"/>
      <c r="E170" s="72"/>
      <c r="F170" s="1"/>
      <c r="G170" s="1"/>
      <c r="H170" s="73"/>
    </row>
    <row r="171" spans="1:11">
      <c r="A171" s="72"/>
      <c r="B171" s="1"/>
      <c r="C171" s="1"/>
      <c r="D171" s="73"/>
      <c r="E171" s="72"/>
      <c r="F171" s="1"/>
      <c r="G171" s="1"/>
      <c r="H171" s="73"/>
    </row>
    <row r="172" spans="1:11">
      <c r="A172" s="72"/>
      <c r="B172" s="1"/>
      <c r="C172" s="1"/>
      <c r="D172" s="73"/>
      <c r="E172" s="72"/>
      <c r="F172" s="1"/>
      <c r="G172" s="1"/>
      <c r="H172" s="73"/>
    </row>
    <row r="173" spans="1:11">
      <c r="A173" s="72"/>
      <c r="B173" s="1"/>
      <c r="C173" s="1"/>
      <c r="D173" s="73"/>
      <c r="E173" s="72"/>
      <c r="F173" s="1"/>
      <c r="G173" s="1"/>
      <c r="H173" s="73"/>
    </row>
    <row r="174" spans="1:11">
      <c r="A174" s="72"/>
      <c r="B174" s="1"/>
      <c r="C174" s="1"/>
      <c r="D174" s="73"/>
      <c r="E174" s="72"/>
      <c r="F174" s="1"/>
      <c r="G174" s="1"/>
      <c r="H174" s="73"/>
    </row>
    <row r="175" spans="1:11">
      <c r="A175" s="72"/>
      <c r="B175" s="1"/>
      <c r="C175" s="1"/>
      <c r="D175" s="73"/>
      <c r="E175" s="72"/>
      <c r="F175" s="1"/>
      <c r="G175" s="1"/>
      <c r="H175" s="73"/>
    </row>
    <row r="176" spans="1:11">
      <c r="A176" s="72"/>
      <c r="B176" s="1"/>
      <c r="C176" s="1"/>
      <c r="D176" s="73"/>
      <c r="E176" s="72"/>
      <c r="F176" s="1"/>
      <c r="G176" s="1"/>
      <c r="H176" s="73"/>
    </row>
    <row r="177" spans="1:11">
      <c r="A177" s="72"/>
      <c r="B177" s="1"/>
      <c r="C177" s="1"/>
      <c r="D177" s="73"/>
      <c r="E177" s="72"/>
      <c r="F177" s="1"/>
      <c r="G177" s="1"/>
      <c r="H177" s="73"/>
    </row>
    <row r="178" spans="1:11">
      <c r="A178" s="72"/>
      <c r="B178" s="1"/>
      <c r="C178" s="1"/>
      <c r="D178" s="73"/>
      <c r="E178" s="72"/>
      <c r="F178" s="1"/>
      <c r="G178" s="1"/>
      <c r="H178" s="73"/>
    </row>
    <row r="179" spans="1:11">
      <c r="A179" s="72"/>
      <c r="B179" s="1"/>
      <c r="C179" s="1"/>
      <c r="D179" s="73"/>
      <c r="E179" s="72"/>
      <c r="F179" s="1"/>
      <c r="G179" s="1"/>
      <c r="H179" s="73"/>
    </row>
    <row r="180" spans="1:11">
      <c r="A180" s="72"/>
      <c r="B180" s="1"/>
      <c r="C180" s="1"/>
      <c r="D180" s="73"/>
      <c r="E180" s="72"/>
      <c r="F180" s="1"/>
      <c r="G180" s="1"/>
      <c r="H180" s="73"/>
      <c r="K180" s="11"/>
    </row>
    <row r="181" spans="1:11">
      <c r="A181" s="72"/>
      <c r="B181" s="1"/>
      <c r="C181" s="1"/>
      <c r="D181" s="73"/>
      <c r="E181" s="72"/>
      <c r="F181" s="1"/>
      <c r="G181" s="1"/>
      <c r="H181" s="73"/>
    </row>
    <row r="182" spans="1:11">
      <c r="A182" s="72"/>
      <c r="B182" s="1"/>
      <c r="C182" s="1"/>
      <c r="D182" s="73"/>
      <c r="E182" s="72"/>
      <c r="F182" s="1"/>
      <c r="G182" s="1"/>
      <c r="H182" s="73"/>
    </row>
    <row r="183" spans="1:11">
      <c r="A183" s="72"/>
      <c r="B183" s="1"/>
      <c r="C183" s="1"/>
      <c r="D183" s="73"/>
      <c r="E183" s="72"/>
      <c r="F183" s="1"/>
      <c r="G183" s="1"/>
      <c r="H183" s="73"/>
    </row>
    <row r="184" spans="1:11">
      <c r="A184" s="72"/>
      <c r="B184" s="1"/>
      <c r="C184" s="1"/>
      <c r="D184" s="73"/>
      <c r="E184" s="72"/>
      <c r="F184" s="1"/>
      <c r="G184" s="1"/>
      <c r="H184" s="73"/>
    </row>
    <row r="185" spans="1:11">
      <c r="A185" s="72"/>
      <c r="B185" s="1"/>
      <c r="C185" s="1"/>
      <c r="D185" s="73"/>
      <c r="E185" s="72"/>
      <c r="F185" s="1"/>
      <c r="G185" s="1"/>
      <c r="H185" s="73"/>
    </row>
    <row r="186" spans="1:11">
      <c r="A186" s="72"/>
      <c r="B186" s="1"/>
      <c r="C186" s="1"/>
      <c r="D186" s="73"/>
      <c r="E186" s="72"/>
      <c r="F186" s="1"/>
      <c r="G186" s="1"/>
      <c r="H186" s="73"/>
    </row>
    <row r="187" spans="1:11">
      <c r="A187" s="72"/>
      <c r="B187" s="1"/>
      <c r="C187" s="1"/>
      <c r="D187" s="73"/>
      <c r="E187" s="72"/>
      <c r="F187" s="1"/>
      <c r="G187" s="1"/>
      <c r="H187" s="73"/>
    </row>
    <row r="188" spans="1:11">
      <c r="A188" s="72"/>
      <c r="B188" s="1"/>
      <c r="C188" s="1"/>
      <c r="D188" s="73"/>
      <c r="E188" s="72"/>
      <c r="F188" s="1"/>
      <c r="G188" s="1"/>
      <c r="H188" s="73"/>
    </row>
    <row r="189" spans="1:11">
      <c r="A189" s="72"/>
      <c r="B189" s="1"/>
      <c r="C189" s="1"/>
      <c r="D189" s="73"/>
      <c r="E189" s="72"/>
      <c r="F189" s="1"/>
      <c r="G189" s="1"/>
      <c r="H189" s="73"/>
    </row>
    <row r="190" spans="1:11">
      <c r="A190" s="72"/>
      <c r="B190" s="1"/>
      <c r="C190" s="1"/>
      <c r="D190" s="73"/>
      <c r="E190" s="72"/>
      <c r="F190" s="1"/>
      <c r="G190" s="1"/>
      <c r="H190" s="73"/>
    </row>
    <row r="191" spans="1:11">
      <c r="A191" s="72"/>
      <c r="B191" s="1"/>
      <c r="C191" s="1"/>
      <c r="D191" s="73"/>
      <c r="E191" s="72"/>
      <c r="F191" s="1"/>
      <c r="G191" s="1"/>
      <c r="H191" s="73"/>
    </row>
    <row r="192" spans="1:11">
      <c r="A192" s="72"/>
      <c r="B192" s="1"/>
      <c r="C192" s="1"/>
      <c r="D192" s="73"/>
      <c r="E192" s="72"/>
      <c r="F192" s="1"/>
      <c r="G192" s="1"/>
      <c r="H192" s="73"/>
    </row>
    <row r="193" spans="1:8">
      <c r="A193" s="72"/>
      <c r="B193" s="1"/>
      <c r="C193" s="1"/>
      <c r="D193" s="73"/>
      <c r="E193" s="72"/>
      <c r="F193" s="1"/>
      <c r="G193" s="1"/>
      <c r="H193" s="73"/>
    </row>
    <row r="194" spans="1:8">
      <c r="A194" s="72"/>
      <c r="B194" s="1"/>
      <c r="C194" s="1"/>
      <c r="D194" s="73"/>
      <c r="E194" s="72"/>
      <c r="F194" s="1"/>
      <c r="G194" s="1"/>
      <c r="H194" s="73"/>
    </row>
    <row r="195" spans="1:8">
      <c r="A195" s="72"/>
      <c r="B195" s="1"/>
      <c r="C195" s="1"/>
      <c r="D195" s="73"/>
      <c r="E195" s="72"/>
      <c r="F195" s="1"/>
      <c r="G195" s="1"/>
      <c r="H195" s="73"/>
    </row>
    <row r="196" spans="1:8">
      <c r="A196" s="72"/>
      <c r="B196" s="1"/>
      <c r="C196" s="1"/>
      <c r="D196" s="73"/>
      <c r="E196" s="72"/>
      <c r="F196" s="1"/>
      <c r="G196" s="1"/>
      <c r="H196" s="73"/>
    </row>
    <row r="197" spans="1:8">
      <c r="A197" s="72"/>
      <c r="B197" s="1"/>
      <c r="C197" s="1"/>
      <c r="D197" s="73"/>
      <c r="E197" s="72"/>
      <c r="F197" s="1"/>
      <c r="G197" s="1"/>
      <c r="H197" s="73"/>
    </row>
    <row r="198" spans="1:8">
      <c r="A198" s="72"/>
      <c r="B198" s="1"/>
      <c r="C198" s="1"/>
      <c r="D198" s="73"/>
      <c r="E198" s="72"/>
      <c r="F198" s="1"/>
      <c r="G198" s="1"/>
      <c r="H198" s="73"/>
    </row>
    <row r="199" spans="1:8">
      <c r="A199" s="72"/>
      <c r="B199" s="1"/>
      <c r="C199" s="1"/>
      <c r="D199" s="73"/>
      <c r="E199" s="72"/>
      <c r="F199" s="1"/>
      <c r="G199" s="1"/>
      <c r="H199" s="73"/>
    </row>
    <row r="200" spans="1:8">
      <c r="A200" s="72"/>
      <c r="B200" s="1"/>
      <c r="C200" s="1"/>
      <c r="D200" s="73"/>
      <c r="E200" s="72"/>
      <c r="F200" s="1"/>
      <c r="G200" s="1"/>
      <c r="H200" s="73"/>
    </row>
    <row r="201" spans="1:8">
      <c r="A201" s="72"/>
      <c r="B201" s="1"/>
      <c r="C201" s="1"/>
      <c r="D201" s="73"/>
      <c r="E201" s="72"/>
      <c r="F201" s="1"/>
      <c r="G201" s="1"/>
      <c r="H201" s="73"/>
    </row>
    <row r="202" spans="1:8">
      <c r="A202" s="72"/>
      <c r="B202" s="1"/>
      <c r="C202" s="1"/>
      <c r="D202" s="73"/>
      <c r="E202" s="72"/>
      <c r="F202" s="1"/>
      <c r="G202" s="1"/>
      <c r="H202" s="73"/>
    </row>
    <row r="203" spans="1:8">
      <c r="A203" s="72"/>
      <c r="B203" s="1"/>
      <c r="C203" s="1"/>
      <c r="D203" s="73"/>
      <c r="E203" s="72"/>
      <c r="F203" s="1"/>
      <c r="G203" s="1"/>
      <c r="H203" s="73"/>
    </row>
    <row r="204" spans="1:8">
      <c r="A204" s="72"/>
      <c r="B204" s="1"/>
      <c r="C204" s="1"/>
      <c r="D204" s="73"/>
      <c r="E204" s="72"/>
      <c r="F204" s="1"/>
      <c r="G204" s="1"/>
      <c r="H204" s="73"/>
    </row>
    <row r="205" spans="1:8">
      <c r="A205" s="72"/>
      <c r="B205" s="1"/>
      <c r="C205" s="1"/>
      <c r="D205" s="73"/>
      <c r="E205" s="72"/>
      <c r="F205" s="1"/>
      <c r="G205" s="1"/>
      <c r="H205" s="73"/>
    </row>
    <row r="206" spans="1:8">
      <c r="A206" s="72"/>
      <c r="B206" s="1"/>
      <c r="C206" s="1"/>
      <c r="D206" s="73"/>
      <c r="E206" s="72"/>
      <c r="F206" s="1"/>
      <c r="G206" s="1"/>
      <c r="H206" s="73"/>
    </row>
    <row r="207" spans="1:8">
      <c r="A207" s="72"/>
      <c r="B207" s="1"/>
      <c r="C207" s="1"/>
      <c r="D207" s="73"/>
      <c r="E207" s="72"/>
      <c r="F207" s="1"/>
      <c r="G207" s="1"/>
      <c r="H207" s="73"/>
    </row>
    <row r="208" spans="1:8">
      <c r="A208" s="72"/>
      <c r="B208" s="1"/>
      <c r="C208" s="1"/>
      <c r="D208" s="73"/>
      <c r="E208" s="72"/>
      <c r="F208" s="1"/>
      <c r="G208" s="1"/>
      <c r="H208" s="73"/>
    </row>
    <row r="209" spans="1:8">
      <c r="A209" s="72"/>
      <c r="B209" s="1"/>
      <c r="C209" s="1"/>
      <c r="D209" s="73"/>
      <c r="E209" s="72"/>
      <c r="F209" s="1"/>
      <c r="G209" s="1"/>
      <c r="H209" s="73"/>
    </row>
    <row r="210" spans="1:8">
      <c r="A210" s="72"/>
      <c r="B210" s="1"/>
      <c r="C210" s="1"/>
      <c r="D210" s="73"/>
      <c r="E210" s="72"/>
      <c r="F210" s="1"/>
      <c r="G210" s="1"/>
      <c r="H210" s="73"/>
    </row>
    <row r="211" spans="1:8">
      <c r="A211" s="72"/>
      <c r="B211" s="1"/>
      <c r="C211" s="1"/>
      <c r="D211" s="73"/>
      <c r="E211" s="72"/>
      <c r="F211" s="1"/>
      <c r="G211" s="1"/>
      <c r="H211" s="73"/>
    </row>
    <row r="212" spans="1:8">
      <c r="A212" s="72"/>
      <c r="B212" s="1"/>
      <c r="C212" s="1"/>
      <c r="D212" s="73"/>
      <c r="E212" s="72"/>
      <c r="F212" s="1"/>
      <c r="G212" s="1"/>
      <c r="H212" s="73"/>
    </row>
    <row r="213" spans="1:8">
      <c r="A213" s="72"/>
      <c r="B213" s="1"/>
      <c r="C213" s="1"/>
      <c r="D213" s="73"/>
      <c r="E213" s="72"/>
      <c r="F213" s="1"/>
      <c r="G213" s="1"/>
      <c r="H213" s="73"/>
    </row>
    <row r="214" spans="1:8">
      <c r="A214" s="72"/>
      <c r="B214" s="1"/>
      <c r="C214" s="1"/>
      <c r="D214" s="73"/>
      <c r="E214" s="72"/>
      <c r="F214" s="1"/>
      <c r="G214" s="1"/>
      <c r="H214" s="73"/>
    </row>
    <row r="215" spans="1:8">
      <c r="A215" s="72"/>
      <c r="B215" s="1"/>
      <c r="C215" s="1"/>
      <c r="D215" s="73"/>
      <c r="E215" s="72"/>
      <c r="F215" s="1"/>
      <c r="G215" s="1"/>
      <c r="H215" s="73"/>
    </row>
    <row r="216" spans="1:8">
      <c r="A216" s="72"/>
      <c r="B216" s="1"/>
      <c r="C216" s="1"/>
      <c r="D216" s="73"/>
      <c r="E216" s="72"/>
      <c r="F216" s="1"/>
      <c r="G216" s="1"/>
      <c r="H216" s="73"/>
    </row>
    <row r="217" spans="1:8">
      <c r="A217" s="72"/>
      <c r="B217" s="1"/>
      <c r="C217" s="1"/>
      <c r="D217" s="73"/>
      <c r="E217" s="72"/>
      <c r="F217" s="1"/>
      <c r="G217" s="1"/>
      <c r="H217" s="73"/>
    </row>
    <row r="218" spans="1:8">
      <c r="A218" s="72"/>
      <c r="B218" s="1"/>
      <c r="C218" s="1"/>
      <c r="D218" s="73"/>
      <c r="E218" s="72"/>
      <c r="F218" s="1"/>
      <c r="G218" s="1"/>
      <c r="H218" s="73"/>
    </row>
    <row r="219" spans="1:8">
      <c r="A219" s="72"/>
      <c r="B219" s="1"/>
      <c r="C219" s="1"/>
      <c r="D219" s="73"/>
      <c r="E219" s="72"/>
      <c r="F219" s="1"/>
      <c r="G219" s="1"/>
      <c r="H219" s="73"/>
    </row>
    <row r="220" spans="1:8">
      <c r="A220" s="72"/>
      <c r="B220" s="1"/>
      <c r="C220" s="1"/>
      <c r="D220" s="73"/>
      <c r="E220" s="72"/>
      <c r="F220" s="1"/>
      <c r="G220" s="1"/>
      <c r="H220" s="73"/>
    </row>
    <row r="221" spans="1:8">
      <c r="A221" s="72"/>
      <c r="B221" s="1"/>
      <c r="C221" s="1"/>
      <c r="D221" s="73"/>
      <c r="E221" s="72"/>
      <c r="F221" s="1"/>
      <c r="G221" s="1"/>
      <c r="H221" s="73"/>
    </row>
    <row r="222" spans="1:8">
      <c r="A222" s="72"/>
      <c r="B222" s="1"/>
      <c r="C222" s="1"/>
      <c r="D222" s="73"/>
      <c r="E222" s="72"/>
      <c r="F222" s="1"/>
      <c r="G222" s="1"/>
      <c r="H222" s="73"/>
    </row>
    <row r="223" spans="1:8">
      <c r="A223" s="72"/>
      <c r="B223" s="1"/>
      <c r="C223" s="1"/>
      <c r="D223" s="73"/>
      <c r="E223" s="72"/>
      <c r="F223" s="1"/>
      <c r="G223" s="1"/>
      <c r="H223" s="73"/>
    </row>
    <row r="224" spans="1:8">
      <c r="A224" s="72"/>
      <c r="B224" s="1"/>
      <c r="C224" s="1"/>
      <c r="D224" s="73"/>
      <c r="E224" s="72"/>
      <c r="F224" s="1"/>
      <c r="G224" s="1"/>
      <c r="H224" s="73"/>
    </row>
    <row r="225" spans="1:8">
      <c r="A225" s="72"/>
      <c r="B225" s="1"/>
      <c r="C225" s="1"/>
      <c r="D225" s="73"/>
      <c r="E225" s="72"/>
      <c r="F225" s="1"/>
      <c r="G225" s="1"/>
      <c r="H225" s="73"/>
    </row>
    <row r="226" spans="1:8">
      <c r="A226" s="72"/>
      <c r="B226" s="1"/>
      <c r="C226" s="1"/>
      <c r="D226" s="73"/>
      <c r="E226" s="72"/>
      <c r="F226" s="1"/>
      <c r="G226" s="1"/>
      <c r="H226" s="73"/>
    </row>
    <row r="227" spans="1:8">
      <c r="A227" s="72"/>
      <c r="B227" s="1"/>
      <c r="C227" s="1"/>
      <c r="D227" s="73"/>
      <c r="E227" s="72"/>
      <c r="F227" s="1"/>
      <c r="G227" s="1"/>
      <c r="H227" s="73"/>
    </row>
    <row r="228" spans="1:8">
      <c r="A228" s="72"/>
      <c r="B228" s="1"/>
      <c r="C228" s="1"/>
      <c r="D228" s="73"/>
      <c r="E228" s="72"/>
      <c r="F228" s="1"/>
      <c r="G228" s="1"/>
      <c r="H228" s="73"/>
    </row>
    <row r="229" spans="1:8">
      <c r="A229" s="72"/>
      <c r="B229" s="1"/>
      <c r="C229" s="1"/>
      <c r="D229" s="73"/>
      <c r="E229" s="72"/>
      <c r="F229" s="1"/>
      <c r="G229" s="1"/>
      <c r="H229" s="73"/>
    </row>
    <row r="230" spans="1:8">
      <c r="A230" s="72"/>
      <c r="B230" s="1"/>
      <c r="C230" s="1"/>
      <c r="D230" s="73"/>
      <c r="E230" s="72"/>
      <c r="F230" s="1"/>
      <c r="G230" s="1"/>
      <c r="H230" s="73"/>
    </row>
    <row r="231" spans="1:8">
      <c r="A231" s="72"/>
      <c r="B231" s="1"/>
      <c r="C231" s="1"/>
      <c r="D231" s="73"/>
      <c r="E231" s="72"/>
      <c r="F231" s="1"/>
      <c r="G231" s="1"/>
      <c r="H231" s="73"/>
    </row>
    <row r="232" spans="1:8">
      <c r="A232" s="72"/>
      <c r="B232" s="1"/>
      <c r="C232" s="1"/>
      <c r="D232" s="73"/>
      <c r="E232" s="72"/>
      <c r="F232" s="1"/>
      <c r="G232" s="1"/>
      <c r="H232" s="73"/>
    </row>
    <row r="233" spans="1:8">
      <c r="A233" s="72"/>
      <c r="B233" s="1"/>
      <c r="C233" s="1"/>
      <c r="D233" s="73"/>
      <c r="E233" s="72"/>
      <c r="F233" s="1"/>
      <c r="G233" s="1"/>
      <c r="H233" s="73"/>
    </row>
    <row r="234" spans="1:8">
      <c r="A234" s="72"/>
      <c r="B234" s="1"/>
      <c r="C234" s="1"/>
      <c r="D234" s="73"/>
      <c r="E234" s="72"/>
      <c r="F234" s="1"/>
      <c r="G234" s="1"/>
      <c r="H234" s="73"/>
    </row>
    <row r="235" spans="1:8">
      <c r="A235" s="72"/>
      <c r="B235" s="1"/>
      <c r="C235" s="1"/>
      <c r="D235" s="73"/>
      <c r="E235" s="72"/>
      <c r="F235" s="1"/>
      <c r="G235" s="1"/>
      <c r="H235" s="73"/>
    </row>
    <row r="236" spans="1:8">
      <c r="A236" s="72"/>
      <c r="B236" s="1"/>
      <c r="C236" s="1"/>
      <c r="D236" s="73"/>
      <c r="E236" s="72"/>
      <c r="F236" s="1"/>
      <c r="G236" s="1"/>
      <c r="H236" s="73"/>
    </row>
    <row r="237" spans="1:8">
      <c r="A237" s="72"/>
      <c r="B237" s="1"/>
      <c r="C237" s="1"/>
      <c r="D237" s="73"/>
      <c r="E237" s="72"/>
      <c r="F237" s="1"/>
      <c r="G237" s="1"/>
      <c r="H237" s="73"/>
    </row>
    <row r="238" spans="1:8">
      <c r="A238" s="72"/>
      <c r="B238" s="1"/>
      <c r="C238" s="1"/>
      <c r="D238" s="73"/>
      <c r="E238" s="72"/>
      <c r="F238" s="1"/>
      <c r="G238" s="1"/>
      <c r="H238" s="73"/>
    </row>
    <row r="239" spans="1:8">
      <c r="A239" s="72"/>
      <c r="B239" s="1"/>
      <c r="C239" s="1"/>
      <c r="D239" s="73"/>
      <c r="E239" s="72"/>
      <c r="F239" s="1"/>
      <c r="G239" s="1"/>
      <c r="H239" s="73"/>
    </row>
    <row r="240" spans="1:8">
      <c r="A240" s="72"/>
      <c r="B240" s="1"/>
      <c r="C240" s="1"/>
      <c r="D240" s="73"/>
      <c r="E240" s="72"/>
      <c r="F240" s="1"/>
      <c r="G240" s="1"/>
      <c r="H240" s="73"/>
    </row>
    <row r="241" spans="1:8">
      <c r="A241" s="72"/>
      <c r="B241" s="1"/>
      <c r="C241" s="1"/>
      <c r="D241" s="73"/>
      <c r="E241" s="72"/>
      <c r="F241" s="1"/>
      <c r="G241" s="1"/>
      <c r="H241" s="73"/>
    </row>
    <row r="242" spans="1:8">
      <c r="A242" s="72"/>
      <c r="B242" s="1"/>
      <c r="C242" s="1"/>
      <c r="D242" s="73"/>
      <c r="E242" s="72"/>
      <c r="F242" s="1"/>
      <c r="G242" s="1"/>
      <c r="H242" s="73"/>
    </row>
    <row r="243" spans="1:8">
      <c r="A243" s="72"/>
      <c r="B243" s="1"/>
      <c r="C243" s="1"/>
      <c r="D243" s="73"/>
      <c r="E243" s="72"/>
      <c r="F243" s="1"/>
      <c r="G243" s="1"/>
      <c r="H243" s="73"/>
    </row>
    <row r="244" spans="1:8">
      <c r="A244" s="72"/>
      <c r="B244" s="1"/>
      <c r="C244" s="1"/>
      <c r="D244" s="73"/>
      <c r="E244" s="72"/>
      <c r="F244" s="1"/>
      <c r="G244" s="1"/>
      <c r="H244" s="73"/>
    </row>
    <row r="245" spans="1:8">
      <c r="A245" s="72"/>
      <c r="B245" s="1"/>
      <c r="C245" s="1"/>
      <c r="D245" s="73"/>
      <c r="E245" s="72"/>
      <c r="F245" s="1"/>
      <c r="G245" s="1"/>
      <c r="H245" s="73"/>
    </row>
    <row r="246" spans="1:8">
      <c r="A246" s="72"/>
      <c r="B246" s="1"/>
      <c r="C246" s="1"/>
      <c r="D246" s="73"/>
      <c r="E246" s="72"/>
      <c r="F246" s="1"/>
      <c r="G246" s="1"/>
      <c r="H246" s="73"/>
    </row>
    <row r="247" spans="1:8">
      <c r="A247" s="72"/>
      <c r="B247" s="1"/>
      <c r="C247" s="1"/>
      <c r="D247" s="73"/>
      <c r="E247" s="72"/>
      <c r="F247" s="1"/>
      <c r="G247" s="1"/>
      <c r="H247" s="73"/>
    </row>
    <row r="248" spans="1:8">
      <c r="A248" s="72"/>
      <c r="B248" s="1"/>
      <c r="C248" s="1"/>
      <c r="D248" s="73"/>
      <c r="E248" s="72"/>
      <c r="F248" s="1"/>
      <c r="G248" s="1"/>
      <c r="H248" s="73"/>
    </row>
    <row r="249" spans="1:8">
      <c r="A249" s="72"/>
      <c r="B249" s="1"/>
      <c r="C249" s="1"/>
      <c r="D249" s="73"/>
      <c r="E249" s="72"/>
      <c r="F249" s="1"/>
      <c r="G249" s="1"/>
      <c r="H249" s="73"/>
    </row>
    <row r="250" spans="1:8">
      <c r="A250" s="72"/>
      <c r="B250" s="1"/>
      <c r="C250" s="1"/>
      <c r="D250" s="73"/>
      <c r="E250" s="72"/>
      <c r="F250" s="1"/>
      <c r="G250" s="1"/>
      <c r="H250" s="73"/>
    </row>
    <row r="251" spans="1:8">
      <c r="A251" s="72"/>
      <c r="B251" s="1"/>
      <c r="C251" s="1"/>
      <c r="D251" s="73"/>
      <c r="E251" s="72"/>
      <c r="F251" s="1"/>
      <c r="G251" s="1"/>
      <c r="H251" s="73"/>
    </row>
    <row r="252" spans="1:8">
      <c r="A252" s="72"/>
      <c r="B252" s="1"/>
      <c r="C252" s="1"/>
      <c r="D252" s="73"/>
      <c r="E252" s="72"/>
      <c r="F252" s="1"/>
      <c r="G252" s="1"/>
      <c r="H252" s="73"/>
    </row>
    <row r="253" spans="1:8">
      <c r="A253" s="72"/>
      <c r="B253" s="1"/>
      <c r="C253" s="1"/>
      <c r="D253" s="73"/>
      <c r="E253" s="72"/>
      <c r="F253" s="1"/>
      <c r="G253" s="1"/>
      <c r="H253" s="73"/>
    </row>
    <row r="254" spans="1:8">
      <c r="A254" s="72"/>
      <c r="B254" s="1"/>
      <c r="C254" s="1"/>
      <c r="D254" s="73"/>
      <c r="E254" s="72"/>
      <c r="F254" s="1"/>
      <c r="G254" s="1"/>
      <c r="H254" s="73"/>
    </row>
    <row r="255" spans="1:8">
      <c r="A255" s="72"/>
      <c r="B255" s="1"/>
      <c r="C255" s="1"/>
      <c r="D255" s="73"/>
      <c r="E255" s="72"/>
      <c r="F255" s="1"/>
      <c r="G255" s="1"/>
      <c r="H255" s="73"/>
    </row>
    <row r="256" spans="1:8">
      <c r="A256" s="72"/>
      <c r="B256" s="1"/>
      <c r="C256" s="1"/>
      <c r="D256" s="73"/>
      <c r="E256" s="72"/>
      <c r="F256" s="1"/>
      <c r="G256" s="1"/>
      <c r="H256" s="73"/>
    </row>
    <row r="257" spans="1:8">
      <c r="A257" s="72"/>
      <c r="B257" s="1"/>
      <c r="C257" s="1"/>
      <c r="D257" s="73"/>
      <c r="E257" s="72"/>
      <c r="F257" s="1"/>
      <c r="G257" s="1"/>
      <c r="H257" s="73"/>
    </row>
    <row r="258" spans="1:8">
      <c r="A258" s="72"/>
      <c r="B258" s="1"/>
      <c r="C258" s="1"/>
      <c r="D258" s="73"/>
      <c r="E258" s="72"/>
      <c r="F258" s="1"/>
      <c r="G258" s="1"/>
      <c r="H258" s="73"/>
    </row>
    <row r="259" spans="1:8">
      <c r="A259" s="72"/>
      <c r="B259" s="1"/>
      <c r="C259" s="1"/>
      <c r="D259" s="73"/>
      <c r="E259" s="72"/>
      <c r="F259" s="1"/>
      <c r="G259" s="1"/>
      <c r="H259" s="73"/>
    </row>
    <row r="260" spans="1:8">
      <c r="A260" s="72"/>
      <c r="B260" s="1"/>
      <c r="C260" s="1"/>
      <c r="D260" s="73"/>
      <c r="E260" s="72"/>
      <c r="F260" s="1"/>
      <c r="G260" s="1"/>
      <c r="H260" s="73"/>
    </row>
    <row r="261" spans="1:8">
      <c r="A261" s="72"/>
      <c r="B261" s="1"/>
      <c r="C261" s="1"/>
      <c r="D261" s="73"/>
      <c r="E261" s="72"/>
      <c r="F261" s="1"/>
      <c r="G261" s="1"/>
      <c r="H261" s="73"/>
    </row>
    <row r="262" spans="1:8">
      <c r="A262" s="72"/>
      <c r="B262" s="1"/>
      <c r="C262" s="1"/>
      <c r="D262" s="73"/>
      <c r="E262" s="72"/>
      <c r="F262" s="1"/>
      <c r="G262" s="1"/>
      <c r="H262" s="73"/>
    </row>
    <row r="263" spans="1:8">
      <c r="A263" s="72"/>
      <c r="B263" s="1"/>
      <c r="C263" s="1"/>
      <c r="D263" s="73"/>
      <c r="E263" s="72"/>
      <c r="F263" s="1"/>
      <c r="G263" s="1"/>
      <c r="H263" s="73"/>
    </row>
    <row r="264" spans="1:8">
      <c r="A264" s="72"/>
      <c r="B264" s="1"/>
      <c r="C264" s="1"/>
      <c r="D264" s="73"/>
      <c r="E264" s="72"/>
      <c r="F264" s="1"/>
      <c r="G264" s="1"/>
      <c r="H264" s="73"/>
    </row>
    <row r="265" spans="1:8">
      <c r="A265" s="72"/>
      <c r="B265" s="1"/>
      <c r="C265" s="1"/>
      <c r="D265" s="73"/>
      <c r="E265" s="72"/>
      <c r="F265" s="1"/>
      <c r="G265" s="1"/>
      <c r="H265" s="73"/>
    </row>
    <row r="266" spans="1:8">
      <c r="A266" s="72"/>
      <c r="B266" s="1"/>
      <c r="C266" s="1"/>
      <c r="D266" s="73"/>
      <c r="E266" s="72"/>
      <c r="F266" s="1"/>
      <c r="G266" s="1"/>
      <c r="H266" s="73"/>
    </row>
    <row r="267" spans="1:8">
      <c r="A267" s="72"/>
      <c r="B267" s="1"/>
      <c r="C267" s="1"/>
      <c r="D267" s="73"/>
      <c r="E267" s="72"/>
      <c r="F267" s="1"/>
      <c r="G267" s="1"/>
      <c r="H267" s="73"/>
    </row>
    <row r="268" spans="1:8">
      <c r="A268" s="72"/>
      <c r="B268" s="1"/>
      <c r="C268" s="1"/>
      <c r="D268" s="73"/>
      <c r="E268" s="72"/>
      <c r="F268" s="1"/>
      <c r="G268" s="1"/>
      <c r="H268" s="73"/>
    </row>
    <row r="269" spans="1:8">
      <c r="A269" s="72"/>
      <c r="B269" s="1"/>
      <c r="C269" s="1"/>
      <c r="D269" s="73"/>
      <c r="E269" s="72"/>
      <c r="F269" s="1"/>
      <c r="G269" s="1"/>
      <c r="H269" s="73"/>
    </row>
    <row r="270" spans="1:8">
      <c r="A270" s="72"/>
      <c r="B270" s="1"/>
      <c r="C270" s="1"/>
      <c r="D270" s="73"/>
      <c r="E270" s="72"/>
      <c r="F270" s="1"/>
      <c r="G270" s="1"/>
      <c r="H270" s="73"/>
    </row>
    <row r="271" spans="1:8">
      <c r="A271" s="72"/>
      <c r="B271" s="1"/>
      <c r="C271" s="1"/>
      <c r="D271" s="73"/>
      <c r="E271" s="72"/>
      <c r="F271" s="1"/>
      <c r="G271" s="1"/>
      <c r="H271" s="73"/>
    </row>
    <row r="272" spans="1:8">
      <c r="A272" s="72"/>
      <c r="B272" s="1"/>
      <c r="C272" s="1"/>
      <c r="D272" s="73"/>
      <c r="E272" s="72"/>
      <c r="F272" s="1"/>
      <c r="G272" s="1"/>
      <c r="H272" s="73"/>
    </row>
    <row r="273" spans="1:8">
      <c r="A273" s="72"/>
      <c r="B273" s="1"/>
      <c r="C273" s="1"/>
      <c r="D273" s="73"/>
      <c r="E273" s="72"/>
      <c r="F273" s="1"/>
      <c r="G273" s="1"/>
      <c r="H273" s="73"/>
    </row>
    <row r="274" spans="1:8">
      <c r="A274" s="72"/>
      <c r="B274" s="1"/>
      <c r="C274" s="1"/>
      <c r="D274" s="73"/>
      <c r="E274" s="72"/>
      <c r="F274" s="1"/>
      <c r="G274" s="1"/>
      <c r="H274" s="73"/>
    </row>
    <row r="275" spans="1:8">
      <c r="A275" s="72"/>
      <c r="B275" s="1"/>
      <c r="C275" s="1"/>
      <c r="D275" s="73"/>
      <c r="E275" s="72"/>
      <c r="F275" s="1"/>
      <c r="G275" s="1"/>
      <c r="H275" s="73"/>
    </row>
    <row r="276" spans="1:8">
      <c r="A276" s="72"/>
      <c r="B276" s="1"/>
      <c r="C276" s="1"/>
      <c r="D276" s="73"/>
      <c r="E276" s="72"/>
      <c r="F276" s="1"/>
      <c r="G276" s="1"/>
      <c r="H276" s="73"/>
    </row>
    <row r="277" spans="1:8">
      <c r="A277" s="72"/>
      <c r="B277" s="1"/>
      <c r="C277" s="1"/>
      <c r="D277" s="73"/>
      <c r="E277" s="72"/>
      <c r="F277" s="1"/>
      <c r="G277" s="1"/>
      <c r="H277" s="73"/>
    </row>
    <row r="278" spans="1:8">
      <c r="A278" s="72"/>
      <c r="B278" s="1"/>
      <c r="C278" s="1"/>
      <c r="D278" s="73"/>
      <c r="E278" s="72"/>
      <c r="F278" s="1"/>
      <c r="G278" s="1"/>
      <c r="H278" s="73"/>
    </row>
    <row r="279" spans="1:8">
      <c r="A279" s="72"/>
      <c r="B279" s="1"/>
      <c r="C279" s="1"/>
      <c r="D279" s="73"/>
      <c r="E279" s="72"/>
      <c r="F279" s="1"/>
      <c r="G279" s="1"/>
      <c r="H279" s="73"/>
    </row>
    <row r="280" spans="1:8">
      <c r="A280" s="72"/>
      <c r="B280" s="1"/>
      <c r="C280" s="1"/>
      <c r="D280" s="73"/>
      <c r="E280" s="72"/>
      <c r="F280" s="1"/>
      <c r="G280" s="1"/>
      <c r="H280" s="73"/>
    </row>
    <row r="281" spans="1:8">
      <c r="A281" s="72"/>
      <c r="B281" s="1"/>
      <c r="C281" s="1"/>
      <c r="D281" s="73"/>
      <c r="E281" s="72"/>
      <c r="F281" s="1"/>
      <c r="G281" s="1"/>
      <c r="H281" s="73"/>
    </row>
    <row r="282" spans="1:8">
      <c r="A282" s="72"/>
      <c r="B282" s="1"/>
      <c r="C282" s="1"/>
      <c r="D282" s="73"/>
      <c r="E282" s="72"/>
      <c r="F282" s="1"/>
      <c r="G282" s="1"/>
      <c r="H282" s="73"/>
    </row>
    <row r="283" spans="1:8">
      <c r="A283" s="72"/>
      <c r="B283" s="1"/>
      <c r="C283" s="1"/>
      <c r="D283" s="73"/>
      <c r="E283" s="72"/>
      <c r="F283" s="1"/>
      <c r="G283" s="1"/>
      <c r="H283" s="73"/>
    </row>
    <row r="284" spans="1:8">
      <c r="A284" s="72"/>
      <c r="B284" s="1"/>
      <c r="C284" s="1"/>
      <c r="D284" s="73"/>
      <c r="E284" s="72"/>
      <c r="F284" s="1"/>
      <c r="G284" s="1"/>
      <c r="H284" s="73"/>
    </row>
    <row r="285" spans="1:8">
      <c r="A285" s="72"/>
      <c r="B285" s="1"/>
      <c r="C285" s="1"/>
      <c r="D285" s="73"/>
      <c r="E285" s="72"/>
      <c r="F285" s="1"/>
      <c r="G285" s="1"/>
      <c r="H285" s="73"/>
    </row>
    <row r="286" spans="1:8">
      <c r="A286" s="72"/>
      <c r="B286" s="1"/>
      <c r="C286" s="1"/>
      <c r="D286" s="73"/>
      <c r="E286" s="72"/>
      <c r="F286" s="1"/>
      <c r="G286" s="1"/>
      <c r="H286" s="73"/>
    </row>
    <row r="287" spans="1:8">
      <c r="A287" s="72"/>
      <c r="B287" s="1"/>
      <c r="C287" s="1"/>
      <c r="D287" s="73"/>
      <c r="E287" s="72"/>
      <c r="F287" s="1"/>
      <c r="G287" s="1"/>
      <c r="H287" s="73"/>
    </row>
    <row r="288" spans="1:8">
      <c r="A288" s="72"/>
      <c r="B288" s="1"/>
      <c r="C288" s="1"/>
      <c r="D288" s="73"/>
      <c r="E288" s="72"/>
      <c r="F288" s="1"/>
      <c r="G288" s="1"/>
      <c r="H288" s="73"/>
    </row>
    <row r="289" spans="1:8">
      <c r="A289" s="72"/>
      <c r="B289" s="1"/>
      <c r="C289" s="1"/>
      <c r="D289" s="73"/>
      <c r="E289" s="72"/>
      <c r="F289" s="1"/>
      <c r="G289" s="1"/>
      <c r="H289" s="73"/>
    </row>
    <row r="290" spans="1:8">
      <c r="A290" s="72"/>
      <c r="B290" s="1"/>
      <c r="C290" s="1"/>
      <c r="D290" s="73"/>
      <c r="E290" s="72"/>
      <c r="F290" s="1"/>
      <c r="G290" s="1"/>
      <c r="H290" s="73"/>
    </row>
    <row r="291" spans="1:8">
      <c r="A291" s="72"/>
      <c r="B291" s="1"/>
      <c r="C291" s="1"/>
      <c r="D291" s="73"/>
      <c r="E291" s="72"/>
      <c r="F291" s="1"/>
      <c r="G291" s="1"/>
      <c r="H291" s="73"/>
    </row>
    <row r="292" spans="1:8">
      <c r="A292" s="72"/>
      <c r="B292" s="1"/>
      <c r="C292" s="1"/>
      <c r="D292" s="73"/>
      <c r="E292" s="72"/>
      <c r="F292" s="1"/>
      <c r="G292" s="1"/>
      <c r="H292" s="73"/>
    </row>
    <row r="293" spans="1:8">
      <c r="A293" s="72"/>
      <c r="B293" s="1"/>
      <c r="C293" s="1"/>
      <c r="D293" s="73"/>
      <c r="E293" s="72"/>
      <c r="F293" s="1"/>
      <c r="G293" s="1"/>
      <c r="H293" s="73"/>
    </row>
    <row r="294" spans="1:8">
      <c r="A294" s="72"/>
      <c r="B294" s="1"/>
      <c r="C294" s="1"/>
      <c r="D294" s="73"/>
      <c r="E294" s="72"/>
      <c r="F294" s="1"/>
      <c r="G294" s="1"/>
      <c r="H294" s="73"/>
    </row>
    <row r="295" spans="1:8">
      <c r="A295" s="72"/>
      <c r="B295" s="1"/>
      <c r="C295" s="1"/>
      <c r="D295" s="73"/>
      <c r="E295" s="72"/>
      <c r="F295" s="1"/>
      <c r="G295" s="1"/>
      <c r="H295" s="73"/>
    </row>
    <row r="296" spans="1:8">
      <c r="A296" s="72"/>
      <c r="B296" s="1"/>
      <c r="C296" s="1"/>
      <c r="D296" s="73"/>
      <c r="E296" s="72"/>
      <c r="F296" s="1"/>
      <c r="G296" s="1"/>
      <c r="H296" s="73"/>
    </row>
    <row r="297" spans="1:8">
      <c r="A297" s="72"/>
      <c r="B297" s="1"/>
      <c r="C297" s="1"/>
      <c r="D297" s="73"/>
      <c r="E297" s="72"/>
      <c r="F297" s="1"/>
      <c r="G297" s="1"/>
      <c r="H297" s="73"/>
    </row>
    <row r="298" spans="1:8">
      <c r="A298" s="72"/>
      <c r="B298" s="1"/>
      <c r="C298" s="1"/>
      <c r="D298" s="73"/>
      <c r="E298" s="72"/>
      <c r="F298" s="1"/>
      <c r="G298" s="1"/>
      <c r="H298" s="73"/>
    </row>
    <row r="299" spans="1:8">
      <c r="A299" s="72"/>
      <c r="B299" s="1"/>
      <c r="C299" s="1"/>
      <c r="D299" s="73"/>
      <c r="E299" s="72"/>
      <c r="F299" s="1"/>
      <c r="G299" s="1"/>
      <c r="H299" s="73"/>
    </row>
    <row r="300" spans="1:8">
      <c r="A300" s="72"/>
      <c r="B300" s="1"/>
      <c r="C300" s="1"/>
      <c r="D300" s="73"/>
      <c r="E300" s="72"/>
      <c r="F300" s="1"/>
      <c r="G300" s="1"/>
      <c r="H300" s="73"/>
    </row>
    <row r="301" spans="1:8">
      <c r="A301" s="72"/>
      <c r="B301" s="1"/>
      <c r="C301" s="1"/>
      <c r="D301" s="73"/>
      <c r="E301" s="72"/>
      <c r="F301" s="1"/>
      <c r="G301" s="1"/>
      <c r="H301" s="73"/>
    </row>
    <row r="302" spans="1:8">
      <c r="A302" s="72"/>
      <c r="B302" s="1"/>
      <c r="C302" s="1"/>
      <c r="D302" s="73"/>
      <c r="E302" s="72"/>
      <c r="F302" s="1"/>
      <c r="G302" s="1"/>
      <c r="H302" s="73"/>
    </row>
    <row r="303" spans="1:8">
      <c r="A303" s="72"/>
      <c r="B303" s="1"/>
      <c r="C303" s="1"/>
      <c r="D303" s="73"/>
      <c r="E303" s="72"/>
      <c r="F303" s="1"/>
      <c r="G303" s="1"/>
      <c r="H303" s="73"/>
    </row>
    <row r="304" spans="1:8">
      <c r="A304" s="72"/>
      <c r="B304" s="1"/>
      <c r="C304" s="1"/>
      <c r="D304" s="73"/>
      <c r="E304" s="72"/>
      <c r="F304" s="1"/>
      <c r="G304" s="1"/>
      <c r="H304" s="73"/>
    </row>
    <row r="305" spans="1:8">
      <c r="A305" s="72"/>
      <c r="B305" s="1"/>
      <c r="C305" s="1"/>
      <c r="D305" s="73"/>
      <c r="E305" s="72"/>
      <c r="F305" s="1"/>
      <c r="G305" s="1"/>
      <c r="H305" s="73"/>
    </row>
    <row r="306" spans="1:8">
      <c r="A306" s="72"/>
      <c r="B306" s="1"/>
      <c r="C306" s="1"/>
      <c r="D306" s="73"/>
      <c r="E306" s="72"/>
      <c r="F306" s="1"/>
      <c r="G306" s="1"/>
      <c r="H306" s="73"/>
    </row>
    <row r="307" spans="1:8">
      <c r="A307" s="72"/>
      <c r="B307" s="1"/>
      <c r="C307" s="1"/>
      <c r="D307" s="73"/>
      <c r="E307" s="72"/>
      <c r="F307" s="1"/>
      <c r="G307" s="1"/>
      <c r="H307" s="73"/>
    </row>
    <row r="308" spans="1:8">
      <c r="A308" s="72"/>
      <c r="B308" s="1"/>
      <c r="C308" s="1"/>
      <c r="D308" s="73"/>
      <c r="E308" s="72"/>
      <c r="F308" s="1"/>
      <c r="G308" s="1"/>
      <c r="H308" s="73"/>
    </row>
    <row r="309" spans="1:8">
      <c r="A309" s="72"/>
      <c r="B309" s="1"/>
      <c r="C309" s="1"/>
      <c r="D309" s="73"/>
      <c r="E309" s="72"/>
      <c r="F309" s="1"/>
      <c r="G309" s="1"/>
      <c r="H309" s="73"/>
    </row>
    <row r="310" spans="1:8">
      <c r="A310" s="72"/>
      <c r="B310" s="1"/>
      <c r="C310" s="1"/>
      <c r="D310" s="73"/>
      <c r="E310" s="72"/>
      <c r="F310" s="1"/>
      <c r="G310" s="1"/>
      <c r="H310" s="73"/>
    </row>
    <row r="311" spans="1:8">
      <c r="A311" s="72"/>
      <c r="B311" s="1"/>
      <c r="C311" s="1"/>
      <c r="D311" s="73"/>
      <c r="E311" s="72"/>
      <c r="F311" s="1"/>
      <c r="G311" s="1"/>
      <c r="H311" s="73"/>
    </row>
    <row r="312" spans="1:8">
      <c r="A312" s="72"/>
      <c r="B312" s="1"/>
      <c r="C312" s="1"/>
      <c r="D312" s="73"/>
      <c r="E312" s="72"/>
      <c r="F312" s="1"/>
      <c r="G312" s="1"/>
      <c r="H312" s="73"/>
    </row>
    <row r="313" spans="1:8">
      <c r="A313" s="72"/>
      <c r="B313" s="1"/>
      <c r="C313" s="1"/>
      <c r="D313" s="73"/>
      <c r="E313" s="72"/>
      <c r="F313" s="1"/>
      <c r="G313" s="1"/>
      <c r="H313" s="73"/>
    </row>
    <row r="314" spans="1:8">
      <c r="A314" s="72"/>
      <c r="B314" s="1"/>
      <c r="C314" s="1"/>
      <c r="D314" s="73"/>
      <c r="E314" s="72"/>
      <c r="F314" s="1"/>
      <c r="G314" s="1"/>
      <c r="H314" s="73"/>
    </row>
    <row r="315" spans="1:8">
      <c r="A315" s="72"/>
      <c r="B315" s="1"/>
      <c r="C315" s="1"/>
      <c r="D315" s="73"/>
      <c r="E315" s="72"/>
      <c r="F315" s="1"/>
      <c r="G315" s="1"/>
      <c r="H315" s="73"/>
    </row>
    <row r="316" spans="1:8">
      <c r="A316" s="72"/>
      <c r="B316" s="1"/>
      <c r="C316" s="1"/>
      <c r="D316" s="73"/>
      <c r="E316" s="72"/>
      <c r="F316" s="1"/>
      <c r="G316" s="1"/>
      <c r="H316" s="73"/>
    </row>
    <row r="317" spans="1:8">
      <c r="A317" s="72"/>
      <c r="B317" s="1"/>
      <c r="C317" s="1"/>
      <c r="D317" s="73"/>
      <c r="E317" s="72"/>
      <c r="F317" s="1"/>
      <c r="G317" s="1"/>
      <c r="H317" s="73"/>
    </row>
    <row r="318" spans="1:8">
      <c r="A318" s="72"/>
      <c r="B318" s="1"/>
      <c r="C318" s="1"/>
      <c r="D318" s="73"/>
      <c r="E318" s="72"/>
      <c r="F318" s="1"/>
      <c r="G318" s="1"/>
      <c r="H318" s="73"/>
    </row>
    <row r="319" spans="1:8">
      <c r="A319" s="72"/>
      <c r="B319" s="1"/>
      <c r="C319" s="1"/>
      <c r="D319" s="73"/>
      <c r="E319" s="72"/>
      <c r="F319" s="1"/>
      <c r="G319" s="1"/>
      <c r="H319" s="73"/>
    </row>
    <row r="320" spans="1:8">
      <c r="A320" s="72"/>
      <c r="B320" s="1"/>
      <c r="C320" s="1"/>
      <c r="D320" s="73"/>
      <c r="E320" s="72"/>
      <c r="F320" s="1"/>
      <c r="G320" s="1"/>
      <c r="H320" s="73"/>
    </row>
    <row r="321" spans="1:8">
      <c r="A321" s="72"/>
      <c r="B321" s="1"/>
      <c r="C321" s="1"/>
      <c r="D321" s="73"/>
      <c r="E321" s="72"/>
      <c r="F321" s="1"/>
      <c r="G321" s="1"/>
      <c r="H321" s="73"/>
    </row>
    <row r="322" spans="1:8">
      <c r="A322" s="72"/>
      <c r="B322" s="1"/>
      <c r="C322" s="1"/>
      <c r="D322" s="73"/>
      <c r="E322" s="72"/>
      <c r="F322" s="1"/>
      <c r="G322" s="1"/>
      <c r="H322" s="73"/>
    </row>
    <row r="323" spans="1:8">
      <c r="A323" s="72"/>
      <c r="B323" s="1"/>
      <c r="C323" s="1"/>
      <c r="D323" s="73"/>
      <c r="E323" s="72"/>
      <c r="F323" s="1"/>
      <c r="G323" s="1"/>
      <c r="H323" s="73"/>
    </row>
    <row r="324" spans="1:8">
      <c r="A324" s="72"/>
      <c r="B324" s="1"/>
      <c r="C324" s="1"/>
      <c r="D324" s="73"/>
      <c r="E324" s="72"/>
      <c r="F324" s="1"/>
      <c r="G324" s="1"/>
      <c r="H324" s="73"/>
    </row>
    <row r="325" spans="1:8">
      <c r="A325" s="72"/>
      <c r="B325" s="1"/>
      <c r="C325" s="1"/>
      <c r="D325" s="73"/>
      <c r="E325" s="72"/>
      <c r="F325" s="1"/>
      <c r="G325" s="1"/>
      <c r="H325" s="73"/>
    </row>
    <row r="326" spans="1:8">
      <c r="A326" s="72"/>
      <c r="B326" s="1"/>
      <c r="C326" s="1"/>
      <c r="D326" s="73"/>
      <c r="E326" s="72"/>
      <c r="F326" s="1"/>
      <c r="G326" s="1"/>
      <c r="H326" s="73"/>
    </row>
    <row r="327" spans="1:8">
      <c r="A327" s="72"/>
      <c r="B327" s="1"/>
      <c r="C327" s="1"/>
      <c r="D327" s="73"/>
      <c r="E327" s="72"/>
      <c r="F327" s="1"/>
      <c r="G327" s="1"/>
      <c r="H327" s="73"/>
    </row>
    <row r="328" spans="1:8">
      <c r="A328" s="72"/>
      <c r="B328" s="1"/>
      <c r="C328" s="1"/>
      <c r="D328" s="73"/>
      <c r="E328" s="72"/>
      <c r="F328" s="1"/>
      <c r="G328" s="1"/>
      <c r="H328" s="73"/>
    </row>
    <row r="329" spans="1:8">
      <c r="A329" s="72"/>
      <c r="B329" s="1"/>
      <c r="C329" s="1"/>
      <c r="D329" s="73"/>
      <c r="E329" s="72"/>
      <c r="F329" s="1"/>
      <c r="G329" s="1"/>
      <c r="H329" s="73"/>
    </row>
    <row r="330" spans="1:8">
      <c r="A330" s="72"/>
      <c r="B330" s="1"/>
      <c r="C330" s="1"/>
      <c r="D330" s="73"/>
      <c r="E330" s="72"/>
      <c r="F330" s="1"/>
      <c r="G330" s="1"/>
      <c r="H330" s="73"/>
    </row>
    <row r="331" spans="1:8">
      <c r="A331" s="72"/>
      <c r="B331" s="1"/>
      <c r="C331" s="1"/>
      <c r="D331" s="73"/>
      <c r="E331" s="72"/>
      <c r="F331" s="1"/>
      <c r="G331" s="1"/>
      <c r="H331" s="73"/>
    </row>
    <row r="332" spans="1:8">
      <c r="A332" s="72"/>
      <c r="B332" s="1"/>
      <c r="C332" s="1"/>
      <c r="D332" s="73"/>
      <c r="E332" s="72"/>
      <c r="F332" s="1"/>
      <c r="G332" s="1"/>
      <c r="H332" s="73"/>
    </row>
    <row r="333" spans="1:8">
      <c r="A333" s="72"/>
      <c r="B333" s="1"/>
      <c r="C333" s="1"/>
      <c r="D333" s="73"/>
      <c r="E333" s="72"/>
      <c r="F333" s="1"/>
      <c r="G333" s="1"/>
      <c r="H333" s="73"/>
    </row>
    <row r="334" spans="1:8">
      <c r="A334" s="72"/>
      <c r="B334" s="1"/>
      <c r="C334" s="1"/>
      <c r="D334" s="73"/>
      <c r="E334" s="72"/>
      <c r="F334" s="1"/>
      <c r="G334" s="1"/>
      <c r="H334" s="73"/>
    </row>
    <row r="335" spans="1:8">
      <c r="A335" s="72"/>
      <c r="B335" s="1"/>
      <c r="C335" s="1"/>
      <c r="D335" s="73"/>
      <c r="E335" s="72"/>
      <c r="F335" s="1"/>
      <c r="G335" s="1"/>
      <c r="H335" s="73"/>
    </row>
    <row r="336" spans="1:8">
      <c r="A336" s="72"/>
      <c r="B336" s="1"/>
      <c r="C336" s="1"/>
      <c r="D336" s="73"/>
      <c r="E336" s="72"/>
      <c r="F336" s="1"/>
      <c r="G336" s="1"/>
      <c r="H336" s="73"/>
    </row>
    <row r="337" spans="1:8">
      <c r="A337" s="72"/>
      <c r="B337" s="1"/>
      <c r="C337" s="1"/>
      <c r="D337" s="73"/>
      <c r="E337" s="72"/>
      <c r="F337" s="1"/>
      <c r="G337" s="1"/>
      <c r="H337" s="73"/>
    </row>
    <row r="338" spans="1:8">
      <c r="A338" s="72"/>
      <c r="B338" s="1"/>
      <c r="C338" s="1"/>
      <c r="D338" s="73"/>
      <c r="E338" s="72"/>
      <c r="F338" s="1"/>
      <c r="G338" s="1"/>
      <c r="H338" s="73"/>
    </row>
    <row r="339" spans="1:8">
      <c r="A339" s="72"/>
      <c r="B339" s="1"/>
      <c r="C339" s="1"/>
      <c r="D339" s="73"/>
      <c r="E339" s="72"/>
      <c r="F339" s="1"/>
      <c r="G339" s="1"/>
      <c r="H339" s="73"/>
    </row>
    <row r="340" spans="1:8">
      <c r="A340" s="72"/>
      <c r="B340" s="1"/>
      <c r="C340" s="1"/>
      <c r="D340" s="73"/>
      <c r="E340" s="72"/>
      <c r="F340" s="1"/>
      <c r="G340" s="1"/>
      <c r="H340" s="73"/>
    </row>
    <row r="341" spans="1:8">
      <c r="A341" s="72"/>
      <c r="B341" s="1"/>
      <c r="C341" s="1"/>
      <c r="D341" s="73"/>
      <c r="E341" s="72"/>
      <c r="F341" s="1"/>
      <c r="G341" s="1"/>
      <c r="H341" s="73"/>
    </row>
    <row r="342" spans="1:8">
      <c r="A342" s="72"/>
      <c r="B342" s="1"/>
      <c r="C342" s="1"/>
      <c r="D342" s="73"/>
      <c r="E342" s="72"/>
      <c r="F342" s="1"/>
      <c r="G342" s="1"/>
      <c r="H342" s="73"/>
    </row>
    <row r="343" spans="1:8">
      <c r="A343" s="72"/>
      <c r="B343" s="1"/>
      <c r="C343" s="1"/>
      <c r="D343" s="73"/>
      <c r="E343" s="72"/>
      <c r="F343" s="1"/>
      <c r="G343" s="1"/>
      <c r="H343" s="73"/>
    </row>
    <row r="344" spans="1:8">
      <c r="A344" s="72"/>
      <c r="B344" s="1"/>
      <c r="C344" s="1"/>
      <c r="D344" s="73"/>
      <c r="E344" s="72"/>
      <c r="F344" s="1"/>
      <c r="G344" s="1"/>
      <c r="H344" s="73"/>
    </row>
    <row r="345" spans="1:8">
      <c r="A345" s="72"/>
      <c r="B345" s="1"/>
      <c r="C345" s="1"/>
      <c r="D345" s="73"/>
      <c r="E345" s="72"/>
      <c r="F345" s="1"/>
      <c r="G345" s="1"/>
      <c r="H345" s="73"/>
    </row>
    <row r="346" spans="1:8">
      <c r="A346" s="72"/>
      <c r="B346" s="1"/>
      <c r="C346" s="1"/>
      <c r="D346" s="73"/>
      <c r="E346" s="72"/>
      <c r="F346" s="1"/>
      <c r="G346" s="1"/>
      <c r="H346" s="73"/>
    </row>
    <row r="347" spans="1:8">
      <c r="A347" s="72"/>
      <c r="B347" s="1"/>
      <c r="C347" s="1"/>
      <c r="D347" s="73"/>
      <c r="E347" s="72"/>
      <c r="F347" s="1"/>
      <c r="G347" s="1"/>
      <c r="H347" s="73"/>
    </row>
    <row r="348" spans="1:8">
      <c r="A348" s="72"/>
      <c r="B348" s="1"/>
      <c r="C348" s="1"/>
      <c r="D348" s="73"/>
      <c r="E348" s="72"/>
      <c r="F348" s="1"/>
      <c r="G348" s="1"/>
      <c r="H348" s="73"/>
    </row>
    <row r="349" spans="1:8">
      <c r="A349" s="72"/>
      <c r="B349" s="1"/>
      <c r="C349" s="1"/>
      <c r="D349" s="73"/>
      <c r="E349" s="72"/>
      <c r="F349" s="1"/>
      <c r="G349" s="1"/>
      <c r="H349" s="73"/>
    </row>
    <row r="350" spans="1:8">
      <c r="A350" s="72"/>
      <c r="B350" s="1"/>
      <c r="C350" s="1"/>
      <c r="D350" s="73"/>
      <c r="E350" s="72"/>
      <c r="F350" s="1"/>
      <c r="G350" s="1"/>
      <c r="H350" s="73"/>
    </row>
    <row r="351" spans="1:8">
      <c r="A351" s="72"/>
      <c r="B351" s="1"/>
      <c r="C351" s="1"/>
      <c r="D351" s="73"/>
      <c r="E351" s="72"/>
      <c r="F351" s="1"/>
      <c r="G351" s="1"/>
      <c r="H351" s="73"/>
    </row>
    <row r="352" spans="1:8">
      <c r="A352" s="72"/>
      <c r="B352" s="1"/>
      <c r="C352" s="1"/>
      <c r="D352" s="73"/>
      <c r="E352" s="72"/>
      <c r="F352" s="1"/>
      <c r="G352" s="1"/>
      <c r="H352" s="73"/>
    </row>
    <row r="353" spans="1:8">
      <c r="A353" s="72"/>
      <c r="B353" s="1"/>
      <c r="C353" s="1"/>
      <c r="D353" s="73"/>
      <c r="E353" s="72"/>
      <c r="F353" s="1"/>
      <c r="G353" s="1"/>
      <c r="H353" s="73"/>
    </row>
    <row r="354" spans="1:8">
      <c r="A354" s="72"/>
      <c r="B354" s="1"/>
      <c r="C354" s="1"/>
      <c r="D354" s="73"/>
      <c r="E354" s="72"/>
      <c r="F354" s="1"/>
      <c r="G354" s="1"/>
      <c r="H354" s="73"/>
    </row>
    <row r="355" spans="1:8">
      <c r="A355" s="72"/>
      <c r="B355" s="1"/>
      <c r="C355" s="1"/>
      <c r="D355" s="73"/>
      <c r="E355" s="72"/>
      <c r="F355" s="1"/>
      <c r="G355" s="1"/>
      <c r="H355" s="73"/>
    </row>
    <row r="356" spans="1:8">
      <c r="A356" s="72"/>
      <c r="B356" s="1"/>
      <c r="C356" s="1"/>
      <c r="D356" s="73"/>
      <c r="E356" s="72"/>
      <c r="F356" s="1"/>
      <c r="G356" s="1"/>
      <c r="H356" s="73"/>
    </row>
    <row r="357" spans="1:8">
      <c r="A357" s="72"/>
      <c r="B357" s="1"/>
      <c r="C357" s="1"/>
      <c r="D357" s="73"/>
      <c r="E357" s="72"/>
      <c r="F357" s="1"/>
      <c r="G357" s="1"/>
      <c r="H357" s="73"/>
    </row>
    <row r="358" spans="1:8">
      <c r="A358" s="72"/>
      <c r="B358" s="1"/>
      <c r="C358" s="1"/>
      <c r="D358" s="73"/>
      <c r="E358" s="72"/>
      <c r="F358" s="1"/>
      <c r="G358" s="1"/>
      <c r="H358" s="73"/>
    </row>
    <row r="359" spans="1:8">
      <c r="A359" s="72"/>
      <c r="B359" s="1"/>
      <c r="C359" s="1"/>
      <c r="D359" s="73"/>
      <c r="E359" s="72"/>
      <c r="F359" s="1"/>
      <c r="G359" s="1"/>
      <c r="H359" s="73"/>
    </row>
    <row r="360" spans="1:8">
      <c r="A360" s="72"/>
      <c r="B360" s="1"/>
      <c r="C360" s="1"/>
      <c r="D360" s="73"/>
      <c r="E360" s="72"/>
      <c r="F360" s="1"/>
      <c r="G360" s="1"/>
      <c r="H360" s="73"/>
    </row>
    <row r="361" spans="1:8">
      <c r="A361" s="72"/>
      <c r="B361" s="1"/>
      <c r="C361" s="1"/>
      <c r="D361" s="73"/>
      <c r="E361" s="72"/>
      <c r="F361" s="1"/>
      <c r="G361" s="1"/>
      <c r="H361" s="73"/>
    </row>
    <row r="362" spans="1:8">
      <c r="A362" s="72"/>
      <c r="B362" s="1"/>
      <c r="C362" s="1"/>
      <c r="D362" s="73"/>
      <c r="E362" s="72"/>
      <c r="F362" s="1"/>
      <c r="G362" s="1"/>
      <c r="H362" s="73"/>
    </row>
    <row r="363" spans="1:8">
      <c r="A363" s="72"/>
      <c r="B363" s="1"/>
      <c r="C363" s="1"/>
      <c r="D363" s="73"/>
      <c r="E363" s="72"/>
      <c r="F363" s="1"/>
      <c r="G363" s="1"/>
      <c r="H363" s="73"/>
    </row>
    <row r="364" spans="1:8">
      <c r="A364" s="72"/>
      <c r="B364" s="1"/>
      <c r="C364" s="1"/>
      <c r="D364" s="73"/>
      <c r="E364" s="72"/>
      <c r="F364" s="1"/>
      <c r="G364" s="1"/>
      <c r="H364" s="73"/>
    </row>
    <row r="365" spans="1:8">
      <c r="A365" s="72"/>
      <c r="B365" s="1"/>
      <c r="C365" s="1"/>
      <c r="D365" s="73"/>
      <c r="E365" s="72"/>
      <c r="F365" s="1"/>
      <c r="G365" s="1"/>
      <c r="H365" s="73"/>
    </row>
    <row r="366" spans="1:8">
      <c r="A366" s="72"/>
      <c r="B366" s="1"/>
      <c r="C366" s="1"/>
      <c r="D366" s="73"/>
      <c r="E366" s="72"/>
      <c r="F366" s="1"/>
      <c r="G366" s="1"/>
      <c r="H366" s="73"/>
    </row>
    <row r="367" spans="1:8">
      <c r="A367" s="72"/>
      <c r="B367" s="1"/>
      <c r="C367" s="1"/>
      <c r="D367" s="73"/>
      <c r="E367" s="72"/>
      <c r="F367" s="1"/>
      <c r="G367" s="1"/>
      <c r="H367" s="73"/>
    </row>
    <row r="368" spans="1:8">
      <c r="A368" s="72"/>
      <c r="B368" s="1"/>
      <c r="C368" s="1"/>
      <c r="D368" s="73"/>
      <c r="E368" s="72"/>
      <c r="F368" s="1"/>
      <c r="G368" s="1"/>
      <c r="H368" s="73"/>
    </row>
    <row r="369" spans="1:8">
      <c r="A369" s="72"/>
      <c r="B369" s="1"/>
      <c r="C369" s="1"/>
      <c r="D369" s="73"/>
      <c r="E369" s="72"/>
      <c r="F369" s="1"/>
      <c r="G369" s="1"/>
      <c r="H369" s="73"/>
    </row>
    <row r="370" spans="1:8">
      <c r="A370" s="72"/>
      <c r="B370" s="1"/>
      <c r="C370" s="1"/>
      <c r="D370" s="73"/>
      <c r="E370" s="72"/>
      <c r="F370" s="1"/>
      <c r="G370" s="1"/>
      <c r="H370" s="73"/>
    </row>
    <row r="371" spans="1:8">
      <c r="A371" s="72"/>
      <c r="B371" s="1"/>
      <c r="C371" s="1"/>
      <c r="D371" s="73"/>
      <c r="E371" s="72"/>
      <c r="F371" s="1"/>
      <c r="G371" s="1"/>
      <c r="H371" s="73"/>
    </row>
    <row r="372" spans="1:8">
      <c r="A372" s="72"/>
      <c r="B372" s="1"/>
      <c r="C372" s="1"/>
      <c r="D372" s="73"/>
      <c r="E372" s="72"/>
      <c r="F372" s="1"/>
      <c r="G372" s="1"/>
      <c r="H372" s="73"/>
    </row>
    <row r="373" spans="1:8">
      <c r="A373" s="72"/>
      <c r="B373" s="1"/>
      <c r="C373" s="1"/>
      <c r="D373" s="73"/>
      <c r="E373" s="72"/>
      <c r="F373" s="1"/>
      <c r="G373" s="1"/>
      <c r="H373" s="73"/>
    </row>
    <row r="374" spans="1:8">
      <c r="A374" s="72"/>
      <c r="B374" s="1"/>
      <c r="C374" s="1"/>
      <c r="D374" s="73"/>
      <c r="E374" s="72"/>
      <c r="F374" s="1"/>
      <c r="G374" s="1"/>
      <c r="H374" s="73"/>
    </row>
    <row r="375" spans="1:8">
      <c r="A375" s="72"/>
      <c r="B375" s="1"/>
      <c r="C375" s="1"/>
      <c r="D375" s="73"/>
      <c r="E375" s="72"/>
      <c r="F375" s="1"/>
      <c r="G375" s="1"/>
      <c r="H375" s="73"/>
    </row>
    <row r="376" spans="1:8">
      <c r="A376" s="72"/>
      <c r="B376" s="1"/>
      <c r="C376" s="1"/>
      <c r="D376" s="73"/>
      <c r="E376" s="72"/>
      <c r="F376" s="1"/>
      <c r="G376" s="1"/>
      <c r="H376" s="73"/>
    </row>
    <row r="377" spans="1:8">
      <c r="A377" s="72"/>
      <c r="B377" s="1"/>
      <c r="C377" s="1"/>
      <c r="D377" s="73"/>
      <c r="E377" s="72"/>
      <c r="F377" s="1"/>
      <c r="G377" s="1"/>
      <c r="H377" s="73"/>
    </row>
    <row r="378" spans="1:8">
      <c r="A378" s="72"/>
      <c r="B378" s="1"/>
      <c r="C378" s="1"/>
      <c r="D378" s="73"/>
      <c r="E378" s="72"/>
      <c r="F378" s="1"/>
      <c r="G378" s="1"/>
      <c r="H378" s="73"/>
    </row>
    <row r="379" spans="1:8">
      <c r="A379" s="72"/>
      <c r="B379" s="1"/>
      <c r="C379" s="1"/>
      <c r="D379" s="73"/>
      <c r="E379" s="72"/>
      <c r="F379" s="1"/>
      <c r="G379" s="1"/>
      <c r="H379" s="73"/>
    </row>
    <row r="380" spans="1:8">
      <c r="A380" s="72"/>
      <c r="B380" s="1"/>
      <c r="C380" s="1"/>
      <c r="D380" s="73"/>
      <c r="E380" s="72"/>
      <c r="F380" s="1"/>
      <c r="G380" s="1"/>
      <c r="H380" s="73"/>
    </row>
    <row r="381" spans="1:8">
      <c r="A381" s="72"/>
      <c r="B381" s="1"/>
      <c r="C381" s="1"/>
      <c r="D381" s="73"/>
      <c r="E381" s="72"/>
      <c r="F381" s="1"/>
      <c r="G381" s="1"/>
      <c r="H381" s="73"/>
    </row>
    <row r="382" spans="1:8">
      <c r="A382" s="72"/>
      <c r="B382" s="1"/>
      <c r="C382" s="1"/>
      <c r="D382" s="73"/>
      <c r="E382" s="72"/>
      <c r="F382" s="1"/>
      <c r="G382" s="1"/>
      <c r="H382" s="73"/>
    </row>
    <row r="383" spans="1:8">
      <c r="A383" s="72"/>
      <c r="B383" s="1"/>
      <c r="C383" s="1"/>
      <c r="D383" s="73"/>
      <c r="E383" s="72"/>
      <c r="F383" s="1"/>
      <c r="G383" s="1"/>
      <c r="H383" s="73"/>
    </row>
    <row r="384" spans="1:8">
      <c r="A384" s="72"/>
      <c r="B384" s="1"/>
      <c r="C384" s="1"/>
      <c r="D384" s="73"/>
      <c r="E384" s="72"/>
      <c r="F384" s="1"/>
      <c r="G384" s="1"/>
      <c r="H384" s="73"/>
    </row>
    <row r="385" spans="1:8">
      <c r="A385" s="72"/>
      <c r="B385" s="1"/>
      <c r="C385" s="1"/>
      <c r="D385" s="73"/>
      <c r="E385" s="72"/>
      <c r="F385" s="1"/>
      <c r="G385" s="1"/>
      <c r="H385" s="73"/>
    </row>
    <row r="386" spans="1:8">
      <c r="A386" s="72"/>
      <c r="B386" s="1"/>
      <c r="C386" s="1"/>
      <c r="D386" s="73"/>
      <c r="E386" s="72"/>
      <c r="F386" s="1"/>
      <c r="G386" s="1"/>
      <c r="H386" s="73"/>
    </row>
    <row r="387" spans="1:8">
      <c r="A387" s="72"/>
      <c r="B387" s="1"/>
      <c r="C387" s="1"/>
      <c r="D387" s="73"/>
      <c r="E387" s="72"/>
      <c r="F387" s="1"/>
      <c r="G387" s="1"/>
      <c r="H387" s="73"/>
    </row>
    <row r="388" spans="1:8">
      <c r="A388" s="72"/>
      <c r="B388" s="1"/>
      <c r="C388" s="1"/>
      <c r="D388" s="73"/>
      <c r="E388" s="72"/>
      <c r="F388" s="1"/>
      <c r="G388" s="1"/>
      <c r="H388" s="73"/>
    </row>
    <row r="389" spans="1:8">
      <c r="A389" s="72"/>
      <c r="B389" s="1"/>
      <c r="C389" s="1"/>
      <c r="D389" s="73"/>
      <c r="E389" s="72"/>
      <c r="F389" s="1"/>
      <c r="G389" s="1"/>
      <c r="H389" s="73"/>
    </row>
    <row r="390" spans="1:8">
      <c r="A390" s="72"/>
      <c r="B390" s="1"/>
      <c r="C390" s="1"/>
      <c r="D390" s="73"/>
      <c r="E390" s="72"/>
      <c r="F390" s="1"/>
      <c r="G390" s="1"/>
      <c r="H390" s="73"/>
    </row>
    <row r="391" spans="1:8">
      <c r="A391" s="72"/>
      <c r="B391" s="1"/>
      <c r="C391" s="1"/>
      <c r="D391" s="73"/>
      <c r="E391" s="72"/>
      <c r="F391" s="1"/>
      <c r="G391" s="1"/>
      <c r="H391" s="73"/>
    </row>
    <row r="392" spans="1:8">
      <c r="A392" s="72"/>
      <c r="B392" s="1"/>
      <c r="C392" s="1"/>
      <c r="D392" s="73"/>
      <c r="E392" s="72"/>
      <c r="F392" s="1"/>
      <c r="G392" s="1"/>
      <c r="H392" s="73"/>
    </row>
    <row r="393" spans="1:8">
      <c r="A393" s="72"/>
      <c r="B393" s="1"/>
      <c r="C393" s="1"/>
      <c r="D393" s="73"/>
      <c r="E393" s="72"/>
      <c r="F393" s="1"/>
      <c r="G393" s="1"/>
      <c r="H393" s="73"/>
    </row>
    <row r="394" spans="1:8">
      <c r="A394" s="72"/>
      <c r="B394" s="1"/>
      <c r="C394" s="1"/>
      <c r="D394" s="73"/>
      <c r="E394" s="72"/>
      <c r="F394" s="1"/>
      <c r="G394" s="1"/>
      <c r="H394" s="73"/>
    </row>
    <row r="395" spans="1:8">
      <c r="A395" s="72"/>
      <c r="B395" s="1"/>
      <c r="C395" s="1"/>
      <c r="D395" s="73"/>
      <c r="E395" s="72"/>
      <c r="F395" s="1"/>
      <c r="G395" s="1"/>
      <c r="H395" s="73"/>
    </row>
    <row r="396" spans="1:8">
      <c r="A396" s="72"/>
      <c r="B396" s="1"/>
      <c r="C396" s="1"/>
      <c r="D396" s="73"/>
      <c r="E396" s="72"/>
      <c r="F396" s="1"/>
      <c r="G396" s="1"/>
      <c r="H396" s="73"/>
    </row>
    <row r="397" spans="1:8">
      <c r="A397" s="72"/>
      <c r="B397" s="1"/>
      <c r="C397" s="1"/>
      <c r="D397" s="73"/>
      <c r="E397" s="72"/>
      <c r="F397" s="1"/>
      <c r="G397" s="1"/>
      <c r="H397" s="73"/>
    </row>
    <row r="398" spans="1:8">
      <c r="A398" s="72"/>
      <c r="B398" s="1"/>
      <c r="C398" s="1"/>
      <c r="D398" s="73"/>
      <c r="E398" s="72"/>
      <c r="F398" s="1"/>
      <c r="G398" s="1"/>
      <c r="H398" s="73"/>
    </row>
    <row r="399" spans="1:8">
      <c r="A399" s="72"/>
      <c r="B399" s="1"/>
      <c r="C399" s="1"/>
      <c r="D399" s="73"/>
      <c r="E399" s="72"/>
      <c r="F399" s="1"/>
      <c r="G399" s="1"/>
      <c r="H399" s="73"/>
    </row>
    <row r="400" spans="1:8">
      <c r="A400" s="72"/>
      <c r="B400" s="1"/>
      <c r="C400" s="1"/>
      <c r="D400" s="73"/>
      <c r="E400" s="72"/>
      <c r="F400" s="1"/>
      <c r="G400" s="1"/>
      <c r="H400" s="73"/>
    </row>
    <row r="401" spans="1:8">
      <c r="A401" s="72"/>
      <c r="B401" s="1"/>
      <c r="C401" s="1"/>
      <c r="D401" s="73"/>
      <c r="E401" s="72"/>
      <c r="F401" s="1"/>
      <c r="G401" s="1"/>
      <c r="H401" s="73"/>
    </row>
    <row r="402" spans="1:8">
      <c r="A402" s="72"/>
      <c r="B402" s="1"/>
      <c r="C402" s="1"/>
      <c r="D402" s="73"/>
      <c r="E402" s="72"/>
      <c r="F402" s="1"/>
      <c r="G402" s="1"/>
      <c r="H402" s="73"/>
    </row>
    <row r="403" spans="1:8">
      <c r="A403" s="72"/>
      <c r="B403" s="1"/>
      <c r="C403" s="1"/>
      <c r="D403" s="73"/>
      <c r="E403" s="72"/>
      <c r="F403" s="1"/>
      <c r="G403" s="1"/>
      <c r="H403" s="73"/>
    </row>
    <row r="404" spans="1:8">
      <c r="A404" s="72"/>
      <c r="B404" s="1"/>
      <c r="C404" s="1"/>
      <c r="D404" s="73"/>
      <c r="E404" s="72"/>
      <c r="F404" s="1"/>
      <c r="G404" s="1"/>
      <c r="H404" s="73"/>
    </row>
    <row r="405" spans="1:8">
      <c r="A405" s="72"/>
      <c r="B405" s="1"/>
      <c r="C405" s="1"/>
      <c r="D405" s="73"/>
      <c r="E405" s="72"/>
      <c r="F405" s="1"/>
      <c r="G405" s="1"/>
      <c r="H405" s="73"/>
    </row>
    <row r="406" spans="1:8">
      <c r="A406" s="72"/>
      <c r="B406" s="1"/>
      <c r="C406" s="1"/>
      <c r="D406" s="73"/>
      <c r="E406" s="72"/>
      <c r="F406" s="1"/>
      <c r="G406" s="1"/>
      <c r="H406" s="73"/>
    </row>
    <row r="407" spans="1:8">
      <c r="A407" s="72"/>
      <c r="B407" s="1"/>
      <c r="C407" s="1"/>
      <c r="D407" s="73"/>
      <c r="E407" s="72"/>
      <c r="F407" s="1"/>
      <c r="G407" s="1"/>
      <c r="H407" s="73"/>
    </row>
    <row r="408" spans="1:8">
      <c r="A408" s="72"/>
      <c r="B408" s="1"/>
      <c r="C408" s="1"/>
      <c r="D408" s="73"/>
      <c r="E408" s="72"/>
      <c r="F408" s="1"/>
      <c r="G408" s="1"/>
      <c r="H408" s="73"/>
    </row>
    <row r="409" spans="1:8">
      <c r="A409" s="72"/>
      <c r="B409" s="1"/>
      <c r="C409" s="1"/>
      <c r="D409" s="73"/>
      <c r="E409" s="72"/>
      <c r="F409" s="1"/>
      <c r="G409" s="1"/>
      <c r="H409" s="73"/>
    </row>
    <row r="410" spans="1:8">
      <c r="A410" s="72"/>
      <c r="B410" s="1"/>
      <c r="C410" s="1"/>
      <c r="D410" s="73"/>
      <c r="E410" s="72"/>
      <c r="F410" s="1"/>
      <c r="G410" s="1"/>
      <c r="H410" s="73"/>
    </row>
    <row r="411" spans="1:8">
      <c r="A411" s="72"/>
      <c r="B411" s="1"/>
      <c r="C411" s="1"/>
      <c r="D411" s="73"/>
      <c r="E411" s="72"/>
      <c r="F411" s="1"/>
      <c r="G411" s="1"/>
      <c r="H411" s="73"/>
    </row>
    <row r="412" spans="1:8">
      <c r="A412" s="72"/>
      <c r="B412" s="1"/>
      <c r="C412" s="1"/>
      <c r="D412" s="73"/>
      <c r="E412" s="72"/>
      <c r="F412" s="1"/>
      <c r="G412" s="1"/>
      <c r="H412" s="73"/>
    </row>
    <row r="413" spans="1:8">
      <c r="A413" s="72"/>
      <c r="B413" s="1"/>
      <c r="C413" s="1"/>
      <c r="D413" s="73"/>
      <c r="E413" s="72"/>
      <c r="F413" s="1"/>
      <c r="G413" s="1"/>
      <c r="H413" s="73"/>
    </row>
    <row r="414" spans="1:8">
      <c r="A414" s="72"/>
      <c r="B414" s="1"/>
      <c r="C414" s="1"/>
      <c r="D414" s="73"/>
      <c r="E414" s="72"/>
      <c r="F414" s="1"/>
      <c r="G414" s="1"/>
      <c r="H414" s="73"/>
    </row>
    <row r="415" spans="1:8">
      <c r="A415" s="72"/>
      <c r="B415" s="1"/>
      <c r="C415" s="1"/>
      <c r="D415" s="73"/>
      <c r="E415" s="72"/>
      <c r="F415" s="1"/>
      <c r="G415" s="1"/>
      <c r="H415" s="73"/>
    </row>
    <row r="416" spans="1:8">
      <c r="A416" s="72"/>
      <c r="B416" s="1"/>
      <c r="C416" s="1"/>
      <c r="D416" s="73"/>
      <c r="E416" s="72"/>
      <c r="F416" s="1"/>
      <c r="G416" s="1"/>
      <c r="H416" s="73"/>
    </row>
    <row r="417" spans="1:8">
      <c r="A417" s="72"/>
      <c r="B417" s="1"/>
      <c r="C417" s="1"/>
      <c r="D417" s="73"/>
      <c r="E417" s="72"/>
      <c r="F417" s="1"/>
      <c r="G417" s="1"/>
      <c r="H417" s="73"/>
    </row>
    <row r="418" spans="1:8">
      <c r="A418" s="72"/>
      <c r="B418" s="1"/>
      <c r="C418" s="1"/>
      <c r="D418" s="73"/>
      <c r="E418" s="72"/>
      <c r="F418" s="1"/>
      <c r="G418" s="1"/>
      <c r="H418" s="73"/>
    </row>
    <row r="419" spans="1:8">
      <c r="A419" s="72"/>
      <c r="B419" s="1"/>
      <c r="C419" s="1"/>
      <c r="D419" s="73"/>
      <c r="E419" s="72"/>
      <c r="F419" s="1"/>
      <c r="G419" s="1"/>
      <c r="H419" s="73"/>
    </row>
    <row r="420" spans="1:8">
      <c r="A420" s="72"/>
      <c r="B420" s="1"/>
      <c r="C420" s="1"/>
      <c r="D420" s="73"/>
      <c r="E420" s="72"/>
      <c r="F420" s="1"/>
      <c r="G420" s="1"/>
      <c r="H420" s="73"/>
    </row>
    <row r="421" spans="1:8">
      <c r="A421" s="72"/>
      <c r="B421" s="1"/>
      <c r="C421" s="1"/>
      <c r="D421" s="73"/>
      <c r="E421" s="72"/>
      <c r="F421" s="1"/>
      <c r="G421" s="1"/>
      <c r="H421" s="73"/>
    </row>
    <row r="422" spans="1:8">
      <c r="A422" s="72"/>
      <c r="B422" s="1"/>
      <c r="C422" s="1"/>
      <c r="D422" s="73"/>
      <c r="E422" s="72"/>
      <c r="F422" s="1"/>
      <c r="G422" s="1"/>
      <c r="H422" s="73"/>
    </row>
    <row r="423" spans="1:8">
      <c r="A423" s="72"/>
      <c r="B423" s="1"/>
      <c r="C423" s="1"/>
      <c r="D423" s="73"/>
      <c r="E423" s="72"/>
      <c r="F423" s="1"/>
      <c r="G423" s="1"/>
      <c r="H423" s="73"/>
    </row>
    <row r="424" spans="1:8">
      <c r="A424" s="72"/>
      <c r="B424" s="1"/>
      <c r="C424" s="1"/>
      <c r="D424" s="73"/>
      <c r="E424" s="72"/>
      <c r="F424" s="1"/>
      <c r="G424" s="1"/>
      <c r="H424" s="73"/>
    </row>
    <row r="425" spans="1:8">
      <c r="A425" s="72"/>
      <c r="B425" s="1"/>
      <c r="C425" s="1"/>
      <c r="D425" s="73"/>
      <c r="E425" s="72"/>
      <c r="F425" s="1"/>
      <c r="G425" s="1"/>
      <c r="H425" s="73"/>
    </row>
    <row r="426" spans="1:8">
      <c r="A426" s="72"/>
      <c r="B426" s="1"/>
      <c r="C426" s="1"/>
      <c r="D426" s="73"/>
      <c r="E426" s="72"/>
      <c r="F426" s="1"/>
      <c r="G426" s="1"/>
      <c r="H426" s="73"/>
    </row>
    <row r="427" spans="1:8">
      <c r="A427" s="72"/>
      <c r="B427" s="1"/>
      <c r="C427" s="1"/>
      <c r="D427" s="73"/>
      <c r="E427" s="72"/>
      <c r="F427" s="1"/>
      <c r="G427" s="1"/>
      <c r="H427" s="73"/>
    </row>
    <row r="428" spans="1:8">
      <c r="A428" s="72"/>
      <c r="B428" s="1"/>
      <c r="C428" s="1"/>
      <c r="D428" s="73"/>
      <c r="E428" s="72"/>
      <c r="F428" s="1"/>
      <c r="G428" s="1"/>
      <c r="H428" s="73"/>
    </row>
    <row r="429" spans="1:8">
      <c r="A429" s="72"/>
      <c r="B429" s="1"/>
      <c r="C429" s="1"/>
      <c r="D429" s="73"/>
      <c r="E429" s="72"/>
      <c r="F429" s="1"/>
      <c r="G429" s="1"/>
      <c r="H429" s="73"/>
    </row>
    <row r="430" spans="1:8">
      <c r="A430" s="72"/>
      <c r="B430" s="1"/>
      <c r="C430" s="1"/>
      <c r="D430" s="73"/>
      <c r="E430" s="72"/>
      <c r="F430" s="1"/>
      <c r="G430" s="1"/>
      <c r="H430" s="73"/>
    </row>
    <row r="431" spans="1:8">
      <c r="A431" s="72"/>
      <c r="B431" s="1"/>
      <c r="C431" s="1"/>
      <c r="D431" s="73"/>
      <c r="E431" s="72"/>
      <c r="F431" s="1"/>
      <c r="G431" s="1"/>
      <c r="H431" s="73"/>
    </row>
    <row r="432" spans="1:8">
      <c r="A432" s="72"/>
      <c r="B432" s="1"/>
      <c r="C432" s="1"/>
      <c r="D432" s="73"/>
      <c r="E432" s="72"/>
      <c r="F432" s="1"/>
      <c r="G432" s="1"/>
      <c r="H432" s="73"/>
    </row>
    <row r="433" spans="1:8">
      <c r="A433" s="72"/>
      <c r="B433" s="1"/>
      <c r="C433" s="1"/>
      <c r="D433" s="73"/>
      <c r="E433" s="72"/>
      <c r="F433" s="1"/>
      <c r="G433" s="1"/>
      <c r="H433" s="73"/>
    </row>
    <row r="434" spans="1:8">
      <c r="A434" s="72"/>
      <c r="B434" s="1"/>
      <c r="C434" s="1"/>
      <c r="D434" s="73"/>
      <c r="E434" s="72"/>
      <c r="F434" s="1"/>
      <c r="G434" s="1"/>
      <c r="H434" s="73"/>
    </row>
    <row r="435" spans="1:8">
      <c r="A435" s="72"/>
      <c r="B435" s="1"/>
      <c r="C435" s="1"/>
      <c r="D435" s="73"/>
      <c r="E435" s="72"/>
      <c r="F435" s="1"/>
      <c r="G435" s="1"/>
      <c r="H435" s="73"/>
    </row>
    <row r="436" spans="1:8">
      <c r="A436" s="72"/>
      <c r="B436" s="1"/>
      <c r="C436" s="1"/>
      <c r="D436" s="73"/>
      <c r="E436" s="72"/>
      <c r="F436" s="1"/>
      <c r="G436" s="1"/>
      <c r="H436" s="73"/>
    </row>
    <row r="437" spans="1:8">
      <c r="A437" s="72"/>
      <c r="B437" s="1"/>
      <c r="C437" s="1"/>
      <c r="D437" s="73"/>
      <c r="E437" s="72"/>
      <c r="F437" s="1"/>
      <c r="G437" s="1"/>
      <c r="H437" s="73"/>
    </row>
    <row r="438" spans="1:8">
      <c r="A438" s="72"/>
      <c r="B438" s="1"/>
      <c r="C438" s="1"/>
      <c r="D438" s="73"/>
      <c r="E438" s="72"/>
      <c r="F438" s="1"/>
      <c r="G438" s="1"/>
      <c r="H438" s="73"/>
    </row>
    <row r="439" spans="1:8">
      <c r="A439" s="72"/>
      <c r="B439" s="1"/>
      <c r="C439" s="1"/>
      <c r="D439" s="73"/>
      <c r="E439" s="72"/>
      <c r="F439" s="1"/>
      <c r="G439" s="1"/>
      <c r="H439" s="73"/>
    </row>
    <row r="440" spans="1:8">
      <c r="A440" s="72"/>
      <c r="B440" s="1"/>
      <c r="C440" s="1"/>
      <c r="D440" s="73"/>
      <c r="E440" s="72"/>
      <c r="F440" s="1"/>
      <c r="G440" s="1"/>
      <c r="H440" s="73"/>
    </row>
    <row r="441" spans="1:8">
      <c r="A441" s="72"/>
      <c r="B441" s="1"/>
      <c r="C441" s="1"/>
      <c r="D441" s="73"/>
      <c r="E441" s="72"/>
      <c r="F441" s="1"/>
      <c r="G441" s="1"/>
      <c r="H441" s="73"/>
    </row>
    <row r="442" spans="1:8">
      <c r="A442" s="72"/>
      <c r="B442" s="1"/>
      <c r="C442" s="1"/>
      <c r="D442" s="73"/>
      <c r="E442" s="72"/>
      <c r="F442" s="1"/>
      <c r="G442" s="1"/>
      <c r="H442" s="73"/>
    </row>
    <row r="443" spans="1:8">
      <c r="A443" s="72"/>
      <c r="B443" s="1"/>
      <c r="C443" s="1"/>
      <c r="D443" s="73"/>
      <c r="E443" s="72"/>
      <c r="F443" s="1"/>
      <c r="G443" s="1"/>
      <c r="H443" s="73"/>
    </row>
    <row r="444" spans="1:8">
      <c r="A444" s="72"/>
      <c r="B444" s="1"/>
      <c r="C444" s="1"/>
      <c r="D444" s="73"/>
      <c r="E444" s="72"/>
      <c r="F444" s="1"/>
      <c r="G444" s="1"/>
      <c r="H444" s="73"/>
    </row>
    <row r="445" spans="1:8">
      <c r="A445" s="72"/>
      <c r="B445" s="1"/>
      <c r="C445" s="1"/>
      <c r="D445" s="73"/>
      <c r="E445" s="72"/>
      <c r="F445" s="1"/>
      <c r="G445" s="1"/>
      <c r="H445" s="73"/>
    </row>
    <row r="446" spans="1:8">
      <c r="A446" s="72"/>
      <c r="B446" s="1"/>
      <c r="C446" s="1"/>
      <c r="D446" s="73"/>
      <c r="E446" s="72"/>
      <c r="F446" s="1"/>
      <c r="G446" s="1"/>
      <c r="H446" s="73"/>
    </row>
    <row r="447" spans="1:8">
      <c r="A447" s="72"/>
      <c r="B447" s="1"/>
      <c r="C447" s="1"/>
      <c r="D447" s="73"/>
      <c r="E447" s="72"/>
      <c r="F447" s="1"/>
      <c r="G447" s="1"/>
      <c r="H447" s="73"/>
    </row>
    <row r="448" spans="1:8">
      <c r="A448" s="72"/>
      <c r="B448" s="1"/>
      <c r="C448" s="1"/>
      <c r="D448" s="73"/>
      <c r="E448" s="72"/>
      <c r="F448" s="1"/>
      <c r="G448" s="1"/>
      <c r="H448" s="73"/>
    </row>
    <row r="449" spans="1:8">
      <c r="A449" s="72"/>
      <c r="B449" s="1"/>
      <c r="C449" s="1"/>
      <c r="D449" s="73"/>
      <c r="E449" s="72"/>
      <c r="F449" s="1"/>
      <c r="G449" s="1"/>
      <c r="H449" s="73"/>
    </row>
    <row r="450" spans="1:8">
      <c r="A450" s="72"/>
      <c r="B450" s="1"/>
      <c r="C450" s="1"/>
      <c r="D450" s="73"/>
      <c r="E450" s="72"/>
      <c r="F450" s="1"/>
      <c r="G450" s="1"/>
      <c r="H450" s="73"/>
    </row>
    <row r="451" spans="1:8">
      <c r="A451" s="72"/>
      <c r="B451" s="1"/>
      <c r="C451" s="1"/>
      <c r="D451" s="73"/>
      <c r="E451" s="72"/>
      <c r="F451" s="1"/>
      <c r="G451" s="1"/>
      <c r="H451" s="73"/>
    </row>
    <row r="452" spans="1:8">
      <c r="A452" s="72"/>
      <c r="B452" s="1"/>
      <c r="C452" s="1"/>
      <c r="D452" s="73"/>
      <c r="E452" s="72"/>
      <c r="F452" s="1"/>
      <c r="G452" s="1"/>
      <c r="H452" s="73"/>
    </row>
    <row r="453" spans="1:8">
      <c r="A453" s="72"/>
      <c r="B453" s="1"/>
      <c r="C453" s="1"/>
      <c r="D453" s="73"/>
      <c r="E453" s="72"/>
      <c r="F453" s="1"/>
      <c r="G453" s="1"/>
      <c r="H453" s="73"/>
    </row>
    <row r="454" spans="1:8">
      <c r="A454" s="72"/>
      <c r="B454" s="1"/>
      <c r="C454" s="1"/>
      <c r="D454" s="73"/>
      <c r="E454" s="72"/>
      <c r="F454" s="1"/>
      <c r="G454" s="1"/>
      <c r="H454" s="73"/>
    </row>
    <row r="455" spans="1:8">
      <c r="A455" s="72"/>
      <c r="B455" s="1"/>
      <c r="C455" s="1"/>
      <c r="D455" s="73"/>
      <c r="E455" s="72"/>
      <c r="F455" s="1"/>
      <c r="G455" s="1"/>
      <c r="H455" s="73"/>
    </row>
    <row r="456" spans="1:8">
      <c r="A456" s="72"/>
      <c r="B456" s="1"/>
      <c r="C456" s="1"/>
      <c r="D456" s="73"/>
      <c r="E456" s="72"/>
      <c r="F456" s="1"/>
      <c r="G456" s="1"/>
      <c r="H456" s="73"/>
    </row>
    <row r="457" spans="1:8">
      <c r="A457" s="72"/>
      <c r="B457" s="1"/>
      <c r="C457" s="1"/>
      <c r="D457" s="73"/>
      <c r="E457" s="72"/>
      <c r="F457" s="1"/>
      <c r="G457" s="1"/>
      <c r="H457" s="73"/>
    </row>
    <row r="458" spans="1:8">
      <c r="A458" s="72"/>
      <c r="B458" s="1"/>
      <c r="C458" s="1"/>
      <c r="D458" s="73"/>
      <c r="E458" s="72"/>
      <c r="F458" s="1"/>
      <c r="G458" s="1"/>
      <c r="H458" s="73"/>
    </row>
    <row r="459" spans="1:8">
      <c r="A459" s="72"/>
      <c r="B459" s="1"/>
      <c r="C459" s="1"/>
      <c r="D459" s="73"/>
      <c r="E459" s="72"/>
      <c r="F459" s="1"/>
      <c r="G459" s="1"/>
      <c r="H459" s="73"/>
    </row>
    <row r="460" spans="1:8">
      <c r="A460" s="72"/>
      <c r="B460" s="1"/>
      <c r="C460" s="1"/>
      <c r="D460" s="73"/>
      <c r="E460" s="72"/>
      <c r="F460" s="1"/>
      <c r="G460" s="1"/>
      <c r="H460" s="73"/>
    </row>
    <row r="461" spans="1:8">
      <c r="A461" s="72"/>
      <c r="B461" s="1"/>
      <c r="C461" s="1"/>
      <c r="D461" s="73"/>
      <c r="E461" s="72"/>
      <c r="F461" s="1"/>
      <c r="G461" s="1"/>
      <c r="H461" s="73"/>
    </row>
    <row r="462" spans="1:8">
      <c r="A462" s="72"/>
      <c r="B462" s="1"/>
      <c r="C462" s="1"/>
      <c r="D462" s="73"/>
      <c r="E462" s="72"/>
      <c r="F462" s="1"/>
      <c r="G462" s="1"/>
      <c r="H462" s="73"/>
    </row>
    <row r="463" spans="1:8">
      <c r="A463" s="72"/>
      <c r="B463" s="1"/>
      <c r="C463" s="1"/>
      <c r="D463" s="73"/>
      <c r="E463" s="72"/>
      <c r="F463" s="1"/>
      <c r="G463" s="1"/>
      <c r="H463" s="73"/>
    </row>
    <row r="464" spans="1:8">
      <c r="A464" s="72"/>
      <c r="B464" s="1"/>
      <c r="C464" s="1"/>
      <c r="D464" s="73"/>
      <c r="E464" s="72"/>
      <c r="F464" s="1"/>
      <c r="G464" s="1"/>
      <c r="H464" s="73"/>
    </row>
    <row r="465" spans="1:8">
      <c r="A465" s="72"/>
      <c r="B465" s="1"/>
      <c r="C465" s="1"/>
      <c r="D465" s="73"/>
      <c r="E465" s="72"/>
      <c r="F465" s="1"/>
      <c r="G465" s="1"/>
      <c r="H465" s="73"/>
    </row>
    <row r="466" spans="1:8">
      <c r="A466" s="72"/>
      <c r="B466" s="1"/>
      <c r="C466" s="1"/>
      <c r="D466" s="73"/>
      <c r="E466" s="72"/>
      <c r="F466" s="1"/>
      <c r="G466" s="1"/>
      <c r="H466" s="73"/>
    </row>
    <row r="467" spans="1:8">
      <c r="A467" s="72"/>
      <c r="B467" s="1"/>
      <c r="C467" s="1"/>
      <c r="D467" s="73"/>
      <c r="E467" s="72"/>
      <c r="F467" s="1"/>
      <c r="G467" s="1"/>
      <c r="H467" s="73"/>
    </row>
    <row r="468" spans="1:8">
      <c r="A468" s="72"/>
      <c r="B468" s="1"/>
      <c r="C468" s="1"/>
      <c r="D468" s="73"/>
      <c r="E468" s="72"/>
      <c r="F468" s="1"/>
      <c r="G468" s="1"/>
      <c r="H468" s="73"/>
    </row>
    <row r="469" spans="1:8">
      <c r="A469" s="72"/>
      <c r="B469" s="1"/>
      <c r="C469" s="1"/>
      <c r="D469" s="73"/>
      <c r="E469" s="72"/>
      <c r="F469" s="1"/>
      <c r="G469" s="1"/>
      <c r="H469" s="73"/>
    </row>
    <row r="470" spans="1:8">
      <c r="A470" s="72"/>
      <c r="B470" s="1"/>
      <c r="C470" s="1"/>
      <c r="D470" s="73"/>
      <c r="E470" s="72"/>
      <c r="F470" s="1"/>
      <c r="G470" s="1"/>
      <c r="H470" s="73"/>
    </row>
    <row r="471" spans="1:8">
      <c r="A471" s="72"/>
      <c r="B471" s="1"/>
      <c r="C471" s="1"/>
      <c r="D471" s="73"/>
      <c r="E471" s="72"/>
      <c r="F471" s="1"/>
      <c r="G471" s="1"/>
      <c r="H471" s="73"/>
    </row>
    <row r="472" spans="1:8">
      <c r="A472" s="72"/>
      <c r="B472" s="1"/>
      <c r="C472" s="1"/>
      <c r="D472" s="73"/>
      <c r="E472" s="72"/>
      <c r="F472" s="1"/>
      <c r="G472" s="1"/>
      <c r="H472" s="73"/>
    </row>
    <row r="473" spans="1:8">
      <c r="A473" s="72"/>
      <c r="B473" s="1"/>
      <c r="C473" s="1"/>
      <c r="D473" s="73"/>
      <c r="E473" s="72"/>
      <c r="F473" s="1"/>
      <c r="G473" s="1"/>
      <c r="H473" s="73"/>
    </row>
    <row r="474" spans="1:8">
      <c r="A474" s="72"/>
      <c r="B474" s="1"/>
      <c r="C474" s="1"/>
      <c r="D474" s="73"/>
      <c r="E474" s="72"/>
      <c r="F474" s="1"/>
      <c r="G474" s="1"/>
      <c r="H474" s="73"/>
    </row>
    <row r="475" spans="1:8">
      <c r="A475" s="72"/>
      <c r="B475" s="1"/>
      <c r="C475" s="1"/>
      <c r="D475" s="73"/>
      <c r="E475" s="72"/>
      <c r="F475" s="1"/>
      <c r="G475" s="1"/>
      <c r="H475" s="73"/>
    </row>
    <row r="476" spans="1:8">
      <c r="A476" s="72"/>
      <c r="B476" s="1"/>
      <c r="C476" s="1"/>
      <c r="D476" s="73"/>
      <c r="E476" s="72"/>
      <c r="F476" s="1"/>
      <c r="G476" s="1"/>
      <c r="H476" s="73"/>
    </row>
    <row r="477" spans="1:8">
      <c r="A477" s="72"/>
      <c r="B477" s="1"/>
      <c r="C477" s="1"/>
      <c r="D477" s="73"/>
      <c r="E477" s="72"/>
      <c r="F477" s="1"/>
      <c r="G477" s="1"/>
      <c r="H477" s="73"/>
    </row>
    <row r="478" spans="1:8">
      <c r="A478" s="72"/>
      <c r="B478" s="1"/>
      <c r="C478" s="1"/>
      <c r="D478" s="73"/>
      <c r="E478" s="72"/>
      <c r="F478" s="1"/>
      <c r="G478" s="1"/>
      <c r="H478" s="73"/>
    </row>
    <row r="479" spans="1:8">
      <c r="A479" s="72"/>
      <c r="B479" s="1"/>
      <c r="C479" s="1"/>
      <c r="D479" s="73"/>
      <c r="E479" s="72"/>
      <c r="F479" s="1"/>
      <c r="G479" s="1"/>
      <c r="H479" s="73"/>
    </row>
    <row r="480" spans="1:8">
      <c r="A480" s="72"/>
      <c r="B480" s="1"/>
      <c r="C480" s="1"/>
      <c r="D480" s="73"/>
      <c r="E480" s="72"/>
      <c r="F480" s="1"/>
      <c r="G480" s="1"/>
      <c r="H480" s="73"/>
    </row>
    <row r="481" spans="1:8">
      <c r="A481" s="72"/>
      <c r="B481" s="1"/>
      <c r="C481" s="1"/>
      <c r="D481" s="73"/>
      <c r="E481" s="72"/>
      <c r="F481" s="1"/>
      <c r="G481" s="1"/>
      <c r="H481" s="73"/>
    </row>
    <row r="482" spans="1:8">
      <c r="A482" s="72"/>
      <c r="B482" s="1"/>
      <c r="C482" s="1"/>
      <c r="D482" s="73"/>
      <c r="E482" s="72"/>
      <c r="F482" s="1"/>
      <c r="G482" s="1"/>
      <c r="H482" s="73"/>
    </row>
    <row r="483" spans="1:8">
      <c r="A483" s="72"/>
      <c r="B483" s="1"/>
      <c r="C483" s="1"/>
      <c r="D483" s="73"/>
      <c r="E483" s="72"/>
      <c r="F483" s="1"/>
      <c r="G483" s="1"/>
      <c r="H483" s="73"/>
    </row>
    <row r="484" spans="1:8">
      <c r="A484" s="72"/>
      <c r="B484" s="1"/>
      <c r="C484" s="1"/>
      <c r="D484" s="73"/>
      <c r="E484" s="72"/>
      <c r="F484" s="1"/>
      <c r="G484" s="1"/>
      <c r="H484" s="73"/>
    </row>
    <row r="485" spans="1:8">
      <c r="A485" s="72"/>
      <c r="B485" s="1"/>
      <c r="C485" s="1"/>
      <c r="D485" s="73"/>
      <c r="E485" s="72"/>
      <c r="F485" s="1"/>
      <c r="G485" s="1"/>
      <c r="H485" s="73"/>
    </row>
    <row r="486" spans="1:8">
      <c r="A486" s="72"/>
      <c r="B486" s="1"/>
      <c r="C486" s="1"/>
      <c r="D486" s="73"/>
      <c r="E486" s="72"/>
      <c r="F486" s="1"/>
      <c r="G486" s="1"/>
      <c r="H486" s="73"/>
    </row>
    <row r="487" spans="1:8">
      <c r="A487" s="72"/>
      <c r="B487" s="1"/>
      <c r="C487" s="1"/>
      <c r="D487" s="73"/>
      <c r="E487" s="72"/>
      <c r="F487" s="1"/>
      <c r="G487" s="1"/>
      <c r="H487" s="73"/>
    </row>
    <row r="488" spans="1:8">
      <c r="A488" s="72"/>
      <c r="B488" s="1"/>
      <c r="C488" s="1"/>
      <c r="D488" s="73"/>
      <c r="E488" s="72"/>
      <c r="F488" s="1"/>
      <c r="G488" s="1"/>
      <c r="H488" s="73"/>
    </row>
    <row r="489" spans="1:8">
      <c r="A489" s="72"/>
      <c r="B489" s="1"/>
      <c r="C489" s="1"/>
      <c r="D489" s="73"/>
      <c r="E489" s="72"/>
      <c r="F489" s="1"/>
      <c r="G489" s="1"/>
      <c r="H489" s="73"/>
    </row>
    <row r="490" spans="1:8">
      <c r="A490" s="72"/>
      <c r="B490" s="1"/>
      <c r="C490" s="1"/>
      <c r="D490" s="73"/>
      <c r="E490" s="72"/>
      <c r="F490" s="1"/>
      <c r="G490" s="1"/>
      <c r="H490" s="73"/>
    </row>
    <row r="491" spans="1:8">
      <c r="A491" s="72"/>
      <c r="B491" s="1"/>
      <c r="C491" s="1"/>
      <c r="D491" s="73"/>
      <c r="E491" s="72"/>
      <c r="F491" s="1"/>
      <c r="G491" s="1"/>
      <c r="H491" s="73"/>
    </row>
    <row r="492" spans="1:8">
      <c r="A492" s="72"/>
      <c r="B492" s="1"/>
      <c r="C492" s="1"/>
      <c r="D492" s="73"/>
      <c r="E492" s="72"/>
      <c r="F492" s="1"/>
      <c r="G492" s="1"/>
      <c r="H492" s="73"/>
    </row>
    <row r="493" spans="1:8">
      <c r="A493" s="72"/>
      <c r="B493" s="1"/>
      <c r="C493" s="1"/>
      <c r="D493" s="73"/>
      <c r="E493" s="72"/>
      <c r="F493" s="1"/>
      <c r="G493" s="1"/>
      <c r="H493" s="73"/>
    </row>
    <row r="494" spans="1:8">
      <c r="A494" s="72"/>
      <c r="B494" s="1"/>
      <c r="C494" s="1"/>
      <c r="D494" s="73"/>
      <c r="E494" s="72"/>
      <c r="F494" s="1"/>
      <c r="G494" s="1"/>
      <c r="H494" s="73"/>
    </row>
    <row r="495" spans="1:8">
      <c r="A495" s="72"/>
      <c r="B495" s="1"/>
      <c r="C495" s="1"/>
      <c r="D495" s="73"/>
      <c r="E495" s="72"/>
      <c r="F495" s="1"/>
      <c r="G495" s="1"/>
      <c r="H495" s="73"/>
    </row>
    <row r="496" spans="1:8">
      <c r="A496" s="72"/>
      <c r="B496" s="1"/>
      <c r="C496" s="1"/>
      <c r="D496" s="73"/>
      <c r="E496" s="72"/>
      <c r="F496" s="1"/>
      <c r="G496" s="1"/>
      <c r="H496" s="73"/>
    </row>
    <row r="497" spans="1:8">
      <c r="A497" s="72"/>
      <c r="B497" s="1"/>
      <c r="C497" s="1"/>
      <c r="D497" s="73"/>
      <c r="E497" s="72"/>
      <c r="F497" s="1"/>
      <c r="G497" s="1"/>
      <c r="H497" s="73"/>
    </row>
    <row r="498" spans="1:8">
      <c r="A498" s="72"/>
      <c r="B498" s="1"/>
      <c r="C498" s="1"/>
      <c r="D498" s="73"/>
      <c r="E498" s="72"/>
      <c r="F498" s="1"/>
      <c r="G498" s="1"/>
      <c r="H498" s="73"/>
    </row>
    <row r="499" spans="1:8">
      <c r="A499" s="72"/>
      <c r="B499" s="1"/>
      <c r="C499" s="1"/>
      <c r="D499" s="73"/>
      <c r="E499" s="72"/>
      <c r="F499" s="1"/>
      <c r="G499" s="1"/>
      <c r="H499" s="73"/>
    </row>
    <row r="500" spans="1:8" ht="13.5" thickBot="1">
      <c r="A500" s="74"/>
      <c r="B500" s="75"/>
      <c r="C500" s="75"/>
      <c r="D500" s="76"/>
      <c r="E500" s="74"/>
      <c r="F500" s="75"/>
      <c r="G500" s="75"/>
      <c r="H500" s="76"/>
    </row>
    <row r="501" spans="1:8" ht="13.5" thickTop="1"/>
  </sheetData>
  <mergeCells count="1">
    <mergeCell ref="H3:I3"/>
  </mergeCells>
  <phoneticPr fontId="2" type="noConversion"/>
  <dataValidations count="7">
    <dataValidation type="list" allowBlank="1" showInputMessage="1" showErrorMessage="1" sqref="F11 C11" xr:uid="{00000000-0002-0000-0200-000000000000}">
      <formula1>Calendars</formula1>
    </dataValidation>
    <dataValidation type="list" allowBlank="1" showInputMessage="1" showErrorMessage="1" sqref="C9 F9" xr:uid="{00000000-0002-0000-0200-000001000000}">
      <formula1>ConfigRollFreq</formula1>
    </dataValidation>
    <dataValidation type="list" allowBlank="1" showInputMessage="1" showErrorMessage="1" sqref="C8 F8" xr:uid="{00000000-0002-0000-0200-000002000000}">
      <formula1>ConfigRollDay</formula1>
    </dataValidation>
    <dataValidation type="list" allowBlank="1" showInputMessage="1" showErrorMessage="1" sqref="C7 F7" xr:uid="{00000000-0002-0000-0200-000003000000}">
      <formula1>ConfigRollDirection</formula1>
    </dataValidation>
    <dataValidation type="list" allowBlank="1" showInputMessage="1" showErrorMessage="1" sqref="C14 F14 I8" xr:uid="{00000000-0002-0000-0200-000004000000}">
      <formula1>ListOfTodaysCurves</formula1>
    </dataValidation>
    <dataValidation type="list" allowBlank="1" showInputMessage="1" showErrorMessage="1" sqref="C12 F12" xr:uid="{00000000-0002-0000-0200-000005000000}">
      <formula1>ConfigBusinessDayConvention</formula1>
    </dataValidation>
    <dataValidation type="list" allowBlank="1" showInputMessage="1" showErrorMessage="1" sqref="C13 F13" xr:uid="{00000000-0002-0000-0200-000006000000}">
      <formula1>ConfigDayCounters</formula1>
    </dataValidation>
  </dataValidations>
  <printOptions gridLines="1"/>
  <pageMargins left="0.70866141732283472" right="0.70866141732283472" top="0.74803149606299213" bottom="0.74803149606299213" header="0.31496062992125984" footer="0.31496062992125984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19" r:id="rId4" name="CheckBox1">
          <controlPr defaultSize="0" autoLine="0" r:id="rId5">
            <anchor moveWithCells="1">
              <from>
                <xdr:col>6</xdr:col>
                <xdr:colOff>771525</xdr:colOff>
                <xdr:row>18</xdr:row>
                <xdr:rowOff>85725</xdr:rowOff>
              </from>
              <to>
                <xdr:col>8</xdr:col>
                <xdr:colOff>9525</xdr:colOff>
                <xdr:row>20</xdr:row>
                <xdr:rowOff>19050</xdr:rowOff>
              </to>
            </anchor>
          </controlPr>
        </control>
      </mc:Choice>
      <mc:Fallback>
        <control shapeId="4119" r:id="rId4" name="CheckBox1"/>
      </mc:Fallback>
    </mc:AlternateContent>
    <mc:AlternateContent xmlns:mc="http://schemas.openxmlformats.org/markup-compatibility/2006">
      <mc:Choice Requires="x14">
        <control shapeId="4108" r:id="rId6" name="clearCashflowsButton">
          <controlPr defaultSize="0" autoLine="0" autoPict="0" r:id="rId7">
            <anchor moveWithCells="1">
              <from>
                <xdr:col>5</xdr:col>
                <xdr:colOff>219075</xdr:colOff>
                <xdr:row>14</xdr:row>
                <xdr:rowOff>161925</xdr:rowOff>
              </from>
              <to>
                <xdr:col>6</xdr:col>
                <xdr:colOff>723900</xdr:colOff>
                <xdr:row>17</xdr:row>
                <xdr:rowOff>9525</xdr:rowOff>
              </to>
            </anchor>
          </controlPr>
        </control>
      </mc:Choice>
      <mc:Fallback>
        <control shapeId="4108" r:id="rId6" name="clearCashflowsButton"/>
      </mc:Fallback>
    </mc:AlternateContent>
    <mc:AlternateContent xmlns:mc="http://schemas.openxmlformats.org/markup-compatibility/2006">
      <mc:Choice Requires="x14">
        <control shapeId="4101" r:id="rId8" name="CalcRateButton">
          <controlPr defaultSize="0" autoLine="0" autoPict="0" r:id="rId9">
            <anchor moveWithCells="1">
              <from>
                <xdr:col>5</xdr:col>
                <xdr:colOff>219075</xdr:colOff>
                <xdr:row>21</xdr:row>
                <xdr:rowOff>95250</xdr:rowOff>
              </from>
              <to>
                <xdr:col>6</xdr:col>
                <xdr:colOff>742950</xdr:colOff>
                <xdr:row>23</xdr:row>
                <xdr:rowOff>114300</xdr:rowOff>
              </to>
            </anchor>
          </controlPr>
        </control>
      </mc:Choice>
      <mc:Fallback>
        <control shapeId="4101" r:id="rId8" name="CalcRateButton"/>
      </mc:Fallback>
    </mc:AlternateContent>
    <mc:AlternateContent xmlns:mc="http://schemas.openxmlformats.org/markup-compatibility/2006">
      <mc:Choice Requires="x14">
        <control shapeId="4100" r:id="rId10" name="copyTermsButton">
          <controlPr defaultSize="0" autoLine="0" r:id="rId11">
            <anchor moveWithCells="1">
              <from>
                <xdr:col>3</xdr:col>
                <xdr:colOff>133350</xdr:colOff>
                <xdr:row>9</xdr:row>
                <xdr:rowOff>38100</xdr:rowOff>
              </from>
              <to>
                <xdr:col>3</xdr:col>
                <xdr:colOff>1123950</xdr:colOff>
                <xdr:row>11</xdr:row>
                <xdr:rowOff>47625</xdr:rowOff>
              </to>
            </anchor>
          </controlPr>
        </control>
      </mc:Choice>
      <mc:Fallback>
        <control shapeId="4100" r:id="rId10" name="copyTermsButton"/>
      </mc:Fallback>
    </mc:AlternateContent>
    <mc:AlternateContent xmlns:mc="http://schemas.openxmlformats.org/markup-compatibility/2006">
      <mc:Choice Requires="x14">
        <control shapeId="4099" r:id="rId12" name="amortisationButton">
          <controlPr defaultSize="0" autoLine="0" autoPict="0" r:id="rId13">
            <anchor moveWithCells="1">
              <from>
                <xdr:col>5</xdr:col>
                <xdr:colOff>219075</xdr:colOff>
                <xdr:row>28</xdr:row>
                <xdr:rowOff>0</xdr:rowOff>
              </from>
              <to>
                <xdr:col>6</xdr:col>
                <xdr:colOff>704850</xdr:colOff>
                <xdr:row>50</xdr:row>
                <xdr:rowOff>9525</xdr:rowOff>
              </to>
            </anchor>
          </controlPr>
        </control>
      </mc:Choice>
      <mc:Fallback>
        <control shapeId="4099" r:id="rId12" name="amortisationButton"/>
      </mc:Fallback>
    </mc:AlternateContent>
    <mc:AlternateContent xmlns:mc="http://schemas.openxmlformats.org/markup-compatibility/2006">
      <mc:Choice Requires="x14">
        <control shapeId="4098" r:id="rId14" name="CommandButton1">
          <controlPr defaultSize="0" autoLine="0" autoPict="0" r:id="rId15">
            <anchor moveWithCells="1">
              <from>
                <xdr:col>5</xdr:col>
                <xdr:colOff>219075</xdr:colOff>
                <xdr:row>18</xdr:row>
                <xdr:rowOff>57150</xdr:rowOff>
              </from>
              <to>
                <xdr:col>6</xdr:col>
                <xdr:colOff>752475</xdr:colOff>
                <xdr:row>20</xdr:row>
                <xdr:rowOff>85725</xdr:rowOff>
              </to>
            </anchor>
          </controlPr>
        </control>
      </mc:Choice>
      <mc:Fallback>
        <control shapeId="4098" r:id="rId1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L65536"/>
  <sheetViews>
    <sheetView workbookViewId="0">
      <selection activeCell="D19" sqref="D19"/>
    </sheetView>
  </sheetViews>
  <sheetFormatPr defaultRowHeight="12.75"/>
  <cols>
    <col min="1" max="1" width="34.42578125" customWidth="1"/>
    <col min="2" max="2" width="21.28515625" customWidth="1"/>
    <col min="3" max="3" width="24.5703125" customWidth="1"/>
    <col min="4" max="4" width="16.7109375" customWidth="1"/>
    <col min="5" max="5" width="17.7109375" customWidth="1"/>
    <col min="6" max="6" width="21.85546875" customWidth="1"/>
    <col min="7" max="7" width="19.140625" customWidth="1"/>
    <col min="8" max="8" width="21.140625" customWidth="1"/>
    <col min="9" max="9" width="24.28515625" customWidth="1"/>
    <col min="10" max="10" width="20.42578125" customWidth="1"/>
    <col min="11" max="11" width="18.28515625" customWidth="1"/>
    <col min="12" max="12" width="25.85546875" customWidth="1"/>
  </cols>
  <sheetData>
    <row r="1" spans="1:9" ht="13.5" thickBot="1">
      <c r="A1" s="102" t="s">
        <v>62</v>
      </c>
      <c r="B1" s="104">
        <f ca="1">TODAY()</f>
        <v>43155</v>
      </c>
    </row>
    <row r="2" spans="1:9" ht="13.5" thickBot="1">
      <c r="A2" s="36" t="s">
        <v>45</v>
      </c>
      <c r="B2" s="95" t="s">
        <v>46</v>
      </c>
      <c r="C2" s="95" t="s">
        <v>66</v>
      </c>
    </row>
    <row r="3" spans="1:9">
      <c r="A3" s="56" t="s">
        <v>63</v>
      </c>
      <c r="B3" s="96">
        <v>7.2499999999999995E-2</v>
      </c>
      <c r="C3" s="101">
        <v>1.3213402738329023</v>
      </c>
      <c r="H3" s="101"/>
      <c r="I3" s="101"/>
    </row>
    <row r="4" spans="1:9" ht="13.5" thickBot="1">
      <c r="A4" s="56" t="s">
        <v>64</v>
      </c>
      <c r="B4" s="96">
        <v>7.5399999999999995E-2</v>
      </c>
      <c r="C4" s="100">
        <v>1.28183055203408E-2</v>
      </c>
      <c r="H4" s="100"/>
      <c r="I4" s="100"/>
    </row>
    <row r="5" spans="1:9" ht="13.5" thickBot="1">
      <c r="A5" s="56" t="s">
        <v>65</v>
      </c>
      <c r="B5" s="96">
        <v>7.6700000000000004E-2</v>
      </c>
      <c r="C5" s="100">
        <v>0.11308403871953487</v>
      </c>
      <c r="F5" s="102" t="s">
        <v>81</v>
      </c>
      <c r="G5" s="103">
        <v>19737.148005822906</v>
      </c>
      <c r="H5" s="100"/>
      <c r="I5" s="100"/>
    </row>
    <row r="6" spans="1:9" ht="13.5" thickBot="1">
      <c r="A6" s="56" t="s">
        <v>104</v>
      </c>
      <c r="B6" s="156">
        <v>7.7950000000000005E-2</v>
      </c>
      <c r="C6" s="100">
        <v>4.9219862557947636E-4</v>
      </c>
      <c r="H6" s="100"/>
      <c r="I6" s="100"/>
    </row>
    <row r="7" spans="1:9" ht="13.5" thickBot="1">
      <c r="A7" s="56" t="s">
        <v>67</v>
      </c>
      <c r="B7" s="97">
        <v>92.165000000000006</v>
      </c>
      <c r="C7" s="100">
        <v>0.19877056102268398</v>
      </c>
      <c r="F7" s="105" t="s">
        <v>77</v>
      </c>
      <c r="G7" s="103">
        <v>1.4519930607639253</v>
      </c>
      <c r="H7" s="100"/>
      <c r="I7" s="100"/>
    </row>
    <row r="8" spans="1:9" ht="13.5" thickBot="1">
      <c r="A8" s="56" t="s">
        <v>68</v>
      </c>
      <c r="B8" s="122">
        <v>92.165000000000006</v>
      </c>
      <c r="C8" s="100">
        <v>0.16420458815991879</v>
      </c>
      <c r="F8" s="105" t="s">
        <v>76</v>
      </c>
      <c r="G8" s="103">
        <v>1.0426182963419706</v>
      </c>
      <c r="H8" s="100"/>
      <c r="I8" s="100"/>
    </row>
    <row r="9" spans="1:9" ht="13.5" thickBot="1">
      <c r="A9" s="56" t="s">
        <v>69</v>
      </c>
      <c r="B9" s="97">
        <v>92.215000000000003</v>
      </c>
      <c r="C9" s="100">
        <v>0.22390198265202343</v>
      </c>
      <c r="D9" s="21"/>
      <c r="F9" s="105" t="s">
        <v>75</v>
      </c>
      <c r="G9" s="103">
        <v>1975.8322854684666</v>
      </c>
      <c r="H9" s="100"/>
      <c r="I9" s="100"/>
    </row>
    <row r="10" spans="1:9" ht="13.5" thickBot="1">
      <c r="A10" s="56" t="s">
        <v>70</v>
      </c>
      <c r="B10" s="97">
        <v>92.275000000000006</v>
      </c>
      <c r="C10" s="100">
        <v>0.10974572715349495</v>
      </c>
      <c r="F10" s="102" t="s">
        <v>48</v>
      </c>
      <c r="G10" s="103">
        <v>1978.2183637134731</v>
      </c>
      <c r="H10" s="100"/>
      <c r="I10" s="100"/>
    </row>
    <row r="11" spans="1:9">
      <c r="A11" s="56" t="s">
        <v>71</v>
      </c>
      <c r="B11" s="97">
        <v>92.344999999999999</v>
      </c>
      <c r="C11" s="100">
        <v>0.11211053188890219</v>
      </c>
      <c r="G11" s="100"/>
      <c r="H11" s="100"/>
      <c r="I11" s="100"/>
    </row>
    <row r="12" spans="1:9">
      <c r="A12" s="56" t="s">
        <v>72</v>
      </c>
      <c r="B12" s="97">
        <v>92.424999999999997</v>
      </c>
      <c r="C12" s="100">
        <v>1.9788980949670076E-2</v>
      </c>
      <c r="G12" s="100"/>
      <c r="H12" s="100"/>
      <c r="I12" s="100"/>
    </row>
    <row r="13" spans="1:9">
      <c r="A13" s="56" t="s">
        <v>73</v>
      </c>
      <c r="B13" s="100">
        <v>92.5</v>
      </c>
      <c r="C13" s="100">
        <v>0.17102411342784762</v>
      </c>
      <c r="G13" s="100"/>
      <c r="H13" s="100"/>
      <c r="I13" s="100"/>
    </row>
    <row r="14" spans="1:9">
      <c r="A14" s="56" t="s">
        <v>105</v>
      </c>
      <c r="B14" s="100">
        <v>92.555000000000007</v>
      </c>
      <c r="C14" s="100">
        <v>2.1649347618222237E-2</v>
      </c>
      <c r="G14" s="100"/>
      <c r="H14" s="100"/>
      <c r="I14" s="100"/>
    </row>
    <row r="15" spans="1:9">
      <c r="A15" s="56" t="s">
        <v>49</v>
      </c>
      <c r="B15" s="96">
        <v>7.62833333333333E-2</v>
      </c>
      <c r="C15" s="100">
        <v>0.43695701495744288</v>
      </c>
      <c r="G15" s="100"/>
      <c r="H15" s="100"/>
      <c r="I15" s="100"/>
    </row>
    <row r="16" spans="1:9">
      <c r="A16" s="56" t="s">
        <v>107</v>
      </c>
      <c r="B16" s="96">
        <v>7.6695363350694407E-2</v>
      </c>
      <c r="C16" s="100">
        <v>0.61434012721292675</v>
      </c>
      <c r="G16" s="100"/>
      <c r="H16" s="100"/>
      <c r="I16" s="100"/>
    </row>
    <row r="17" spans="1:10">
      <c r="A17" s="56" t="s">
        <v>50</v>
      </c>
      <c r="B17" s="96">
        <v>7.6380000000000003E-2</v>
      </c>
      <c r="C17" s="100">
        <v>1.3775570434518158</v>
      </c>
      <c r="G17" s="100"/>
      <c r="H17" s="100"/>
      <c r="I17" s="100"/>
    </row>
    <row r="18" spans="1:10">
      <c r="A18" s="56" t="s">
        <v>108</v>
      </c>
      <c r="B18" s="96">
        <v>7.5014999999999998E-2</v>
      </c>
      <c r="C18" s="100">
        <v>9.4820104439277202</v>
      </c>
      <c r="G18" s="100"/>
      <c r="H18" s="100"/>
      <c r="I18" s="100"/>
    </row>
    <row r="19" spans="1:10">
      <c r="A19" s="56" t="s">
        <v>51</v>
      </c>
      <c r="B19" s="96">
        <v>7.3649999999999993E-2</v>
      </c>
      <c r="C19" s="100">
        <v>1964.2246593469754</v>
      </c>
      <c r="G19" s="100"/>
      <c r="H19" s="100"/>
      <c r="I19" s="100"/>
      <c r="J19" s="47"/>
    </row>
    <row r="20" spans="1:10">
      <c r="A20" s="56" t="s">
        <v>109</v>
      </c>
      <c r="B20" s="96">
        <v>7.3780833333333296E-2</v>
      </c>
      <c r="C20" s="100">
        <v>0</v>
      </c>
      <c r="G20" s="100"/>
      <c r="H20" s="100"/>
      <c r="I20" s="100"/>
      <c r="J20" s="47"/>
    </row>
    <row r="21" spans="1:10">
      <c r="A21" s="11" t="s">
        <v>110</v>
      </c>
      <c r="B21" s="96">
        <v>7.3911666666666598E-2</v>
      </c>
      <c r="C21" s="100">
        <v>0</v>
      </c>
      <c r="G21" s="100"/>
      <c r="H21" s="100"/>
      <c r="I21" s="100"/>
      <c r="J21" s="47"/>
    </row>
    <row r="22" spans="1:10">
      <c r="A22" s="87" t="s">
        <v>111</v>
      </c>
      <c r="B22" s="96">
        <v>7.4042499999999997E-2</v>
      </c>
      <c r="C22" s="100">
        <v>0</v>
      </c>
      <c r="G22" s="100"/>
      <c r="H22" s="100"/>
      <c r="I22" s="100"/>
      <c r="J22" s="47"/>
    </row>
    <row r="23" spans="1:10">
      <c r="A23" s="87" t="s">
        <v>52</v>
      </c>
      <c r="B23" s="96">
        <v>7.4173333333333299E-2</v>
      </c>
      <c r="C23" s="101">
        <v>0</v>
      </c>
      <c r="G23" s="101"/>
      <c r="H23" s="101"/>
      <c r="I23" s="101"/>
      <c r="J23" s="47"/>
    </row>
    <row r="24" spans="1:10">
      <c r="A24" s="87" t="s">
        <v>112</v>
      </c>
      <c r="B24" s="96">
        <v>7.3740138888888904E-2</v>
      </c>
      <c r="C24" s="101">
        <v>0</v>
      </c>
      <c r="G24" s="101"/>
      <c r="H24" s="101"/>
      <c r="I24" s="101"/>
      <c r="J24" s="47"/>
    </row>
    <row r="25" spans="1:10">
      <c r="A25" s="87" t="s">
        <v>113</v>
      </c>
      <c r="B25" s="96">
        <v>7.3306944444444397E-2</v>
      </c>
      <c r="C25" s="101">
        <v>0</v>
      </c>
      <c r="G25" s="101"/>
      <c r="H25" s="101"/>
      <c r="I25" s="101"/>
      <c r="J25" s="47"/>
    </row>
    <row r="26" spans="1:10">
      <c r="A26" s="87" t="s">
        <v>114</v>
      </c>
      <c r="B26" s="96">
        <v>7.2873750000000001E-2</v>
      </c>
      <c r="C26" s="101">
        <v>0</v>
      </c>
      <c r="G26" s="101"/>
      <c r="H26" s="101"/>
      <c r="I26" s="101"/>
      <c r="J26" s="47"/>
    </row>
    <row r="27" spans="1:10">
      <c r="A27" s="87" t="s">
        <v>115</v>
      </c>
      <c r="B27" s="96">
        <v>7.2440555555555494E-2</v>
      </c>
      <c r="C27" s="101">
        <v>0</v>
      </c>
      <c r="J27" s="47"/>
    </row>
    <row r="28" spans="1:10">
      <c r="A28" s="87" t="s">
        <v>116</v>
      </c>
      <c r="B28" s="96">
        <v>7.2007361111111098E-2</v>
      </c>
      <c r="C28" s="101">
        <v>0</v>
      </c>
      <c r="J28" s="47"/>
    </row>
    <row r="29" spans="1:10">
      <c r="A29" s="87" t="s">
        <v>53</v>
      </c>
      <c r="B29" s="96">
        <v>7.1574166666666605E-2</v>
      </c>
      <c r="C29" s="101">
        <v>0</v>
      </c>
      <c r="J29" s="47"/>
    </row>
    <row r="30" spans="1:10">
      <c r="A30" s="87" t="s">
        <v>117</v>
      </c>
      <c r="B30" s="96">
        <v>7.1589249999999993E-2</v>
      </c>
      <c r="C30" s="101">
        <v>0</v>
      </c>
      <c r="J30" s="47"/>
    </row>
    <row r="31" spans="1:10">
      <c r="A31" s="87" t="s">
        <v>118</v>
      </c>
      <c r="B31" s="96">
        <v>7.1604333333333298E-2</v>
      </c>
      <c r="C31" s="101">
        <v>0</v>
      </c>
      <c r="J31" s="47"/>
    </row>
    <row r="32" spans="1:10">
      <c r="A32" s="87" t="s">
        <v>119</v>
      </c>
      <c r="B32" s="96">
        <v>7.1619416666666602E-2</v>
      </c>
      <c r="C32" s="101">
        <v>0</v>
      </c>
      <c r="J32" s="47"/>
    </row>
    <row r="33" spans="1:12">
      <c r="A33" s="87" t="s">
        <v>120</v>
      </c>
      <c r="B33" s="96">
        <v>7.1634500000000004E-2</v>
      </c>
      <c r="C33" s="101">
        <v>0</v>
      </c>
      <c r="J33" s="47"/>
    </row>
    <row r="34" spans="1:12">
      <c r="A34" s="87" t="s">
        <v>121</v>
      </c>
      <c r="B34" s="96">
        <v>7.1649583333333294E-2</v>
      </c>
      <c r="C34" s="101">
        <v>0</v>
      </c>
      <c r="J34" s="47"/>
    </row>
    <row r="35" spans="1:12">
      <c r="A35" s="87" t="s">
        <v>122</v>
      </c>
      <c r="B35" s="96">
        <v>7.1664666666666599E-2</v>
      </c>
      <c r="C35" s="101">
        <v>0</v>
      </c>
      <c r="J35" s="47"/>
    </row>
    <row r="36" spans="1:12">
      <c r="A36" s="87" t="s">
        <v>123</v>
      </c>
      <c r="B36" s="96">
        <v>7.167975E-2</v>
      </c>
      <c r="C36" s="101">
        <v>0</v>
      </c>
      <c r="J36" s="47"/>
    </row>
    <row r="37" spans="1:12">
      <c r="A37" s="87" t="s">
        <v>124</v>
      </c>
      <c r="B37" s="96">
        <v>7.1694833333333305E-2</v>
      </c>
      <c r="C37" s="101">
        <v>0</v>
      </c>
      <c r="J37" s="47"/>
    </row>
    <row r="38" spans="1:12">
      <c r="A38" s="87" t="s">
        <v>125</v>
      </c>
      <c r="B38" s="96">
        <v>7.1709916666666595E-2</v>
      </c>
      <c r="C38" s="101">
        <v>0</v>
      </c>
      <c r="J38" s="47"/>
    </row>
    <row r="39" spans="1:12">
      <c r="A39" s="87" t="s">
        <v>54</v>
      </c>
      <c r="B39" s="96">
        <v>7.1724999999999997E-2</v>
      </c>
      <c r="C39" s="101">
        <v>0</v>
      </c>
      <c r="J39" s="47"/>
    </row>
    <row r="40" spans="1:12">
      <c r="A40" s="87" t="s">
        <v>126</v>
      </c>
      <c r="B40" s="96">
        <v>7.1557499999999996E-2</v>
      </c>
      <c r="C40" s="101">
        <v>0</v>
      </c>
    </row>
    <row r="41" spans="1:12">
      <c r="A41" s="87" t="s">
        <v>127</v>
      </c>
      <c r="B41" s="98">
        <v>7.1389999999999995E-2</v>
      </c>
      <c r="C41" s="101">
        <v>0</v>
      </c>
    </row>
    <row r="42" spans="1:12">
      <c r="A42" s="87" t="s">
        <v>128</v>
      </c>
      <c r="B42" s="96">
        <v>7.1222499999999994E-2</v>
      </c>
      <c r="C42" s="101">
        <v>0</v>
      </c>
      <c r="D42" s="3"/>
      <c r="E42" s="3"/>
      <c r="F42" s="3"/>
      <c r="G42" s="3"/>
      <c r="H42" s="3"/>
      <c r="I42" s="3"/>
      <c r="J42" s="3"/>
      <c r="K42" s="3"/>
      <c r="L42" s="3"/>
    </row>
    <row r="43" spans="1:12">
      <c r="A43" s="87" t="s">
        <v>129</v>
      </c>
      <c r="B43" s="96">
        <v>7.1054999999999993E-2</v>
      </c>
      <c r="C43" s="101">
        <v>0</v>
      </c>
    </row>
    <row r="44" spans="1:12">
      <c r="A44" s="87" t="s">
        <v>130</v>
      </c>
      <c r="B44" s="96">
        <v>7.0887500000000006E-2</v>
      </c>
      <c r="C44" s="101">
        <v>0</v>
      </c>
      <c r="D44" s="54"/>
      <c r="E44" s="54"/>
      <c r="F44" s="54"/>
      <c r="G44" s="54"/>
      <c r="H44" s="54"/>
      <c r="I44" s="54"/>
      <c r="J44" s="54"/>
      <c r="K44" s="54"/>
      <c r="L44" s="54"/>
    </row>
    <row r="45" spans="1:12">
      <c r="A45" s="87" t="s">
        <v>131</v>
      </c>
      <c r="B45" s="96">
        <v>7.0720000000000005E-2</v>
      </c>
      <c r="C45" s="101">
        <v>0</v>
      </c>
    </row>
    <row r="46" spans="1:12">
      <c r="A46" s="87" t="s">
        <v>132</v>
      </c>
      <c r="B46" s="96">
        <v>7.0552500000000004E-2</v>
      </c>
      <c r="C46" s="101">
        <v>0</v>
      </c>
    </row>
    <row r="47" spans="1:12">
      <c r="A47" s="87" t="s">
        <v>133</v>
      </c>
      <c r="B47" s="96">
        <v>7.0385000000000003E-2</v>
      </c>
      <c r="C47" s="101">
        <v>0</v>
      </c>
    </row>
    <row r="48" spans="1:12">
      <c r="A48" s="11" t="s">
        <v>134</v>
      </c>
      <c r="B48" s="96">
        <v>7.0217500000000002E-2</v>
      </c>
      <c r="C48" s="101">
        <v>0</v>
      </c>
    </row>
    <row r="49" spans="1:12">
      <c r="A49" s="87" t="s">
        <v>74</v>
      </c>
      <c r="B49" s="96">
        <v>7.0050000000000001E-2</v>
      </c>
      <c r="C49" s="101">
        <v>0</v>
      </c>
    </row>
    <row r="50" spans="1:12">
      <c r="A50" s="87" t="s">
        <v>135</v>
      </c>
      <c r="B50" s="96">
        <v>6.991E-2</v>
      </c>
      <c r="C50" s="101">
        <v>0</v>
      </c>
    </row>
    <row r="51" spans="1:12">
      <c r="A51" s="87" t="s">
        <v>136</v>
      </c>
      <c r="B51" s="96">
        <v>6.9769999999999999E-2</v>
      </c>
      <c r="C51" s="101">
        <v>0</v>
      </c>
      <c r="D51" s="94"/>
      <c r="E51" s="94"/>
      <c r="F51" s="94"/>
      <c r="G51" s="94"/>
      <c r="H51" s="94"/>
      <c r="I51" s="94"/>
      <c r="J51" s="94"/>
      <c r="K51" s="94"/>
      <c r="L51" s="94"/>
    </row>
    <row r="52" spans="1:12">
      <c r="A52" s="87" t="s">
        <v>137</v>
      </c>
      <c r="B52" s="96">
        <v>6.9629999999999997E-2</v>
      </c>
      <c r="C52" s="101">
        <v>0</v>
      </c>
    </row>
    <row r="53" spans="1:12">
      <c r="A53" s="87" t="s">
        <v>138</v>
      </c>
      <c r="B53" s="96">
        <v>6.9489999999999996E-2</v>
      </c>
      <c r="C53" s="101">
        <v>0</v>
      </c>
    </row>
    <row r="54" spans="1:12">
      <c r="A54" s="87" t="s">
        <v>139</v>
      </c>
      <c r="B54" s="96">
        <v>6.9349999999999995E-2</v>
      </c>
      <c r="C54" s="101">
        <v>0</v>
      </c>
    </row>
    <row r="55" spans="1:12">
      <c r="A55" s="87" t="s">
        <v>140</v>
      </c>
      <c r="B55" s="96">
        <v>6.9209999999999994E-2</v>
      </c>
      <c r="C55" s="101">
        <v>0</v>
      </c>
    </row>
    <row r="56" spans="1:12">
      <c r="A56" s="87" t="s">
        <v>141</v>
      </c>
      <c r="B56" s="96">
        <v>6.9070000000000006E-2</v>
      </c>
      <c r="C56" s="101">
        <v>0</v>
      </c>
    </row>
    <row r="57" spans="1:12">
      <c r="A57" s="87" t="s">
        <v>142</v>
      </c>
      <c r="B57" s="96">
        <v>6.8930000000000005E-2</v>
      </c>
      <c r="C57" s="101">
        <v>0</v>
      </c>
    </row>
    <row r="58" spans="1:12">
      <c r="A58" s="87" t="s">
        <v>143</v>
      </c>
      <c r="B58" s="96">
        <v>6.8790000000000004E-2</v>
      </c>
      <c r="C58" s="101">
        <v>0</v>
      </c>
    </row>
    <row r="59" spans="1:12">
      <c r="A59" s="87" t="s">
        <v>79</v>
      </c>
      <c r="B59" s="96">
        <v>6.8650000000000003E-2</v>
      </c>
      <c r="C59" s="101">
        <v>0</v>
      </c>
    </row>
    <row r="60" spans="1:12">
      <c r="A60" s="87" t="s">
        <v>144</v>
      </c>
      <c r="B60" s="96">
        <v>6.8462499999999996E-2</v>
      </c>
      <c r="C60" s="101">
        <v>0</v>
      </c>
    </row>
    <row r="61" spans="1:12">
      <c r="A61" s="87" t="s">
        <v>145</v>
      </c>
      <c r="B61" s="96">
        <v>6.8275000000000002E-2</v>
      </c>
      <c r="C61" s="101">
        <v>0</v>
      </c>
    </row>
    <row r="62" spans="1:12">
      <c r="A62" s="87" t="s">
        <v>146</v>
      </c>
      <c r="B62" s="96">
        <v>6.8087499999999995E-2</v>
      </c>
      <c r="C62" s="101">
        <v>0</v>
      </c>
    </row>
    <row r="63" spans="1:12">
      <c r="A63" s="87" t="s">
        <v>147</v>
      </c>
      <c r="B63" s="96">
        <v>6.7900000000000002E-2</v>
      </c>
      <c r="C63" s="101">
        <v>0</v>
      </c>
    </row>
    <row r="64" spans="1:12">
      <c r="A64" s="87" t="s">
        <v>148</v>
      </c>
      <c r="B64" s="96">
        <v>6.7712499999999995E-2</v>
      </c>
      <c r="C64" s="101">
        <v>0</v>
      </c>
    </row>
    <row r="65" spans="1:3">
      <c r="A65" s="87" t="s">
        <v>149</v>
      </c>
      <c r="B65" s="96">
        <v>6.7525000000000002E-2</v>
      </c>
      <c r="C65" s="101">
        <v>0</v>
      </c>
    </row>
    <row r="66" spans="1:3">
      <c r="A66" s="87" t="s">
        <v>150</v>
      </c>
      <c r="B66" s="96">
        <v>6.7337499999999995E-2</v>
      </c>
      <c r="C66" s="101">
        <v>0</v>
      </c>
    </row>
    <row r="67" spans="1:3">
      <c r="A67" s="87" t="s">
        <v>151</v>
      </c>
      <c r="B67" s="96">
        <v>6.7150000000000001E-2</v>
      </c>
      <c r="C67" s="101">
        <v>0</v>
      </c>
    </row>
    <row r="68" spans="1:3">
      <c r="A68" s="87" t="s">
        <v>152</v>
      </c>
      <c r="B68" s="96">
        <v>6.6962499999999994E-2</v>
      </c>
      <c r="C68" s="101">
        <v>0</v>
      </c>
    </row>
    <row r="69" spans="1:3">
      <c r="A69" s="87" t="s">
        <v>80</v>
      </c>
      <c r="B69" s="96">
        <v>6.6775000000000001E-2</v>
      </c>
      <c r="C69" s="101">
        <v>0</v>
      </c>
    </row>
    <row r="70" spans="1:3">
      <c r="A70" s="87"/>
      <c r="B70" s="99"/>
      <c r="C70" s="101"/>
    </row>
    <row r="71" spans="1:3">
      <c r="A71" s="87"/>
      <c r="B71" s="99"/>
      <c r="C71" s="101"/>
    </row>
    <row r="72" spans="1:3">
      <c r="A72" s="87"/>
      <c r="B72" s="99"/>
      <c r="C72" s="101"/>
    </row>
    <row r="73" spans="1:3">
      <c r="A73" s="87"/>
      <c r="B73" s="99"/>
      <c r="C73" s="101"/>
    </row>
    <row r="74" spans="1:3">
      <c r="A74" s="87"/>
      <c r="B74" s="99"/>
      <c r="C74" s="101"/>
    </row>
    <row r="75" spans="1:3">
      <c r="A75" s="87"/>
      <c r="B75" s="99"/>
      <c r="C75" s="101"/>
    </row>
    <row r="76" spans="1:3">
      <c r="A76" s="87"/>
      <c r="B76" s="99"/>
      <c r="C76" s="101"/>
    </row>
    <row r="77" spans="1:3">
      <c r="A77" s="87"/>
      <c r="B77" s="99"/>
      <c r="C77" s="101"/>
    </row>
    <row r="78" spans="1:3">
      <c r="A78" s="87"/>
      <c r="B78" s="99"/>
      <c r="C78" s="101"/>
    </row>
    <row r="79" spans="1:3">
      <c r="A79" s="87"/>
      <c r="B79" s="99"/>
      <c r="C79" s="101"/>
    </row>
    <row r="80" spans="1:3">
      <c r="A80" s="87"/>
      <c r="B80" s="99"/>
      <c r="C80" s="101"/>
    </row>
    <row r="81" spans="1:3">
      <c r="A81" s="87"/>
      <c r="B81" s="99"/>
      <c r="C81" s="101"/>
    </row>
    <row r="82" spans="1:3">
      <c r="A82" s="87"/>
      <c r="B82" s="99"/>
      <c r="C82" s="101"/>
    </row>
    <row r="83" spans="1:3">
      <c r="A83" s="87"/>
      <c r="B83" s="99"/>
      <c r="C83" s="101"/>
    </row>
    <row r="84" spans="1:3">
      <c r="A84" s="87"/>
      <c r="B84" s="99"/>
      <c r="C84" s="101"/>
    </row>
    <row r="85" spans="1:3">
      <c r="A85" s="87"/>
      <c r="B85" s="99"/>
      <c r="C85" s="101"/>
    </row>
    <row r="86" spans="1:3">
      <c r="A86" s="87"/>
      <c r="B86" s="99"/>
      <c r="C86" s="101"/>
    </row>
    <row r="87" spans="1:3">
      <c r="A87" s="87"/>
      <c r="B87" s="99"/>
      <c r="C87" s="101"/>
    </row>
    <row r="88" spans="1:3">
      <c r="A88" s="87"/>
      <c r="B88" s="99"/>
      <c r="C88" s="101"/>
    </row>
    <row r="89" spans="1:3">
      <c r="A89" s="87"/>
      <c r="B89" s="99"/>
      <c r="C89" s="101"/>
    </row>
    <row r="90" spans="1:3">
      <c r="A90" s="87"/>
      <c r="B90" s="99"/>
      <c r="C90" s="101"/>
    </row>
    <row r="91" spans="1:3">
      <c r="A91" s="87"/>
      <c r="B91" s="99"/>
      <c r="C91" s="101"/>
    </row>
    <row r="92" spans="1:3">
      <c r="A92" s="87"/>
      <c r="B92" s="99"/>
      <c r="C92" s="101"/>
    </row>
    <row r="93" spans="1:3">
      <c r="A93" s="87"/>
      <c r="B93" s="99"/>
      <c r="C93" s="101"/>
    </row>
    <row r="94" spans="1:3">
      <c r="A94" s="87"/>
      <c r="B94" s="99"/>
      <c r="C94" s="101"/>
    </row>
    <row r="95" spans="1:3">
      <c r="A95" s="87"/>
      <c r="B95" s="99"/>
      <c r="C95" s="101"/>
    </row>
    <row r="96" spans="1:3">
      <c r="A96" s="87"/>
      <c r="B96" s="99"/>
      <c r="C96" s="101"/>
    </row>
    <row r="97" spans="1:3">
      <c r="A97" s="87"/>
      <c r="B97" s="99"/>
      <c r="C97" s="101"/>
    </row>
    <row r="65536" spans="4:4">
      <c r="D65536" t="s">
        <v>47</v>
      </c>
    </row>
  </sheetData>
  <phoneticPr fontId="2" type="noConversion"/>
  <printOptions gridLines="1"/>
  <pageMargins left="0.74803149606299213" right="0.74803149606299213" top="0.98425196850393704" bottom="0.98425196850393704" header="0.51181102362204722" footer="0.51181102362204722"/>
  <pageSetup paperSize="9" pageOrder="overThenDown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229" r:id="rId4" name="calcDurationsButton">
          <controlPr defaultSize="0" autoLine="0" autoPict="0" r:id="rId5">
            <anchor moveWithCells="1">
              <from>
                <xdr:col>3</xdr:col>
                <xdr:colOff>104775</xdr:colOff>
                <xdr:row>0</xdr:row>
                <xdr:rowOff>142875</xdr:rowOff>
              </from>
              <to>
                <xdr:col>4</xdr:col>
                <xdr:colOff>257175</xdr:colOff>
                <xdr:row>2</xdr:row>
                <xdr:rowOff>104775</xdr:rowOff>
              </to>
            </anchor>
          </controlPr>
        </control>
      </mc:Choice>
      <mc:Fallback>
        <control shapeId="9229" r:id="rId4" name="calcDurationsButton"/>
      </mc:Fallback>
    </mc:AlternateContent>
    <mc:AlternateContent xmlns:mc="http://schemas.openxmlformats.org/markup-compatibility/2006">
      <mc:Choice Requires="x14">
        <control shapeId="9218" r:id="rId6" name="calculateRiskButton">
          <controlPr defaultSize="0" autoLine="0" r:id="rId7">
            <anchor moveWithCells="1">
              <from>
                <xdr:col>5</xdr:col>
                <xdr:colOff>19050</xdr:colOff>
                <xdr:row>1</xdr:row>
                <xdr:rowOff>0</xdr:rowOff>
              </from>
              <to>
                <xdr:col>5</xdr:col>
                <xdr:colOff>1200150</xdr:colOff>
                <xdr:row>2</xdr:row>
                <xdr:rowOff>133350</xdr:rowOff>
              </to>
            </anchor>
          </controlPr>
        </control>
      </mc:Choice>
      <mc:Fallback>
        <control shapeId="9218" r:id="rId6" name="calculateRisk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S501"/>
  <sheetViews>
    <sheetView workbookViewId="0">
      <selection activeCell="C17" sqref="C17"/>
    </sheetView>
  </sheetViews>
  <sheetFormatPr defaultRowHeight="12.75"/>
  <cols>
    <col min="1" max="1" width="16.140625" customWidth="1"/>
    <col min="2" max="2" width="18.28515625" customWidth="1"/>
    <col min="3" max="3" width="17.85546875" customWidth="1"/>
    <col min="4" max="4" width="18.28515625" customWidth="1"/>
    <col min="5" max="5" width="17" customWidth="1"/>
    <col min="6" max="6" width="17.7109375" bestFit="1" customWidth="1"/>
    <col min="7" max="7" width="17.28515625" customWidth="1"/>
    <col min="8" max="8" width="15" customWidth="1"/>
    <col min="9" max="9" width="16.140625" customWidth="1"/>
    <col min="10" max="10" width="38.5703125" customWidth="1"/>
    <col min="11" max="11" width="22" customWidth="1"/>
    <col min="12" max="12" width="22.7109375" customWidth="1"/>
    <col min="13" max="13" width="28.7109375" customWidth="1"/>
    <col min="14" max="14" width="18.42578125" customWidth="1"/>
  </cols>
  <sheetData>
    <row r="1" spans="2:19" ht="12.75" customHeight="1">
      <c r="G1" s="3"/>
      <c r="K1" s="6"/>
    </row>
    <row r="2" spans="2:19" ht="13.5" thickBot="1"/>
    <row r="3" spans="2:19">
      <c r="B3" s="32" t="s">
        <v>35</v>
      </c>
      <c r="C3" s="33"/>
      <c r="E3" s="32" t="s">
        <v>36</v>
      </c>
      <c r="F3" s="33"/>
      <c r="S3" s="56"/>
    </row>
    <row r="4" spans="2:19" ht="13.5" thickBot="1">
      <c r="B4" s="34" t="s">
        <v>21</v>
      </c>
      <c r="C4" s="35" t="s">
        <v>23</v>
      </c>
      <c r="E4" s="34" t="s">
        <v>21</v>
      </c>
      <c r="F4" s="35" t="s">
        <v>23</v>
      </c>
      <c r="S4" s="56"/>
    </row>
    <row r="5" spans="2:19" ht="13.5" thickTop="1">
      <c r="B5" s="8" t="s">
        <v>0</v>
      </c>
      <c r="C5" s="79">
        <v>39644.420173611114</v>
      </c>
      <c r="E5" s="8" t="s">
        <v>0</v>
      </c>
      <c r="F5" s="79">
        <v>39644.420173611114</v>
      </c>
      <c r="S5" s="56"/>
    </row>
    <row r="6" spans="2:19">
      <c r="B6" s="2" t="s">
        <v>1</v>
      </c>
      <c r="C6" s="80">
        <v>41470.420173611114</v>
      </c>
      <c r="E6" s="2" t="s">
        <v>1</v>
      </c>
      <c r="F6" s="80">
        <v>41470.420173611114</v>
      </c>
      <c r="S6" s="56"/>
    </row>
    <row r="7" spans="2:19">
      <c r="B7" s="2" t="s">
        <v>20</v>
      </c>
      <c r="C7" s="81" t="s">
        <v>30</v>
      </c>
      <c r="E7" s="2" t="s">
        <v>20</v>
      </c>
      <c r="F7" s="80" t="s">
        <v>30</v>
      </c>
      <c r="S7" s="56"/>
    </row>
    <row r="8" spans="2:19">
      <c r="B8" s="10" t="s">
        <v>8</v>
      </c>
      <c r="C8" s="81">
        <v>15</v>
      </c>
      <c r="E8" s="10" t="s">
        <v>8</v>
      </c>
      <c r="F8" s="81">
        <v>15</v>
      </c>
      <c r="S8" s="56"/>
    </row>
    <row r="9" spans="2:19">
      <c r="B9" s="2" t="s">
        <v>2</v>
      </c>
      <c r="C9" s="81" t="s">
        <v>162</v>
      </c>
      <c r="E9" s="2" t="s">
        <v>2</v>
      </c>
      <c r="F9" s="82" t="s">
        <v>162</v>
      </c>
      <c r="H9" s="3"/>
      <c r="L9" s="39"/>
      <c r="S9" s="56"/>
    </row>
    <row r="10" spans="2:19">
      <c r="B10" s="10" t="s">
        <v>12</v>
      </c>
      <c r="C10" s="81">
        <v>5000000</v>
      </c>
      <c r="E10" s="10" t="s">
        <v>12</v>
      </c>
      <c r="F10" s="83">
        <v>5000000</v>
      </c>
      <c r="L10" s="39"/>
      <c r="S10" s="56"/>
    </row>
    <row r="11" spans="2:19">
      <c r="B11" s="2" t="s">
        <v>3</v>
      </c>
      <c r="C11" s="83" t="s">
        <v>9</v>
      </c>
      <c r="E11" s="2" t="s">
        <v>3</v>
      </c>
      <c r="F11" s="83" t="s">
        <v>9</v>
      </c>
      <c r="L11" s="39"/>
      <c r="S11" s="56"/>
    </row>
    <row r="12" spans="2:19">
      <c r="B12" s="10" t="s">
        <v>11</v>
      </c>
      <c r="C12" s="81" t="s">
        <v>4</v>
      </c>
      <c r="E12" s="10" t="s">
        <v>11</v>
      </c>
      <c r="F12" s="83" t="s">
        <v>4</v>
      </c>
      <c r="L12" s="39"/>
      <c r="S12" s="56"/>
    </row>
    <row r="13" spans="2:19">
      <c r="B13" s="2" t="s">
        <v>5</v>
      </c>
      <c r="C13" s="81" t="s">
        <v>6</v>
      </c>
      <c r="E13" s="2" t="s">
        <v>5</v>
      </c>
      <c r="F13" s="83" t="s">
        <v>6</v>
      </c>
      <c r="L13" s="39"/>
      <c r="S13" s="56"/>
    </row>
    <row r="14" spans="2:19" ht="13.5" thickBot="1">
      <c r="B14" s="5" t="s">
        <v>7</v>
      </c>
      <c r="C14" s="57" t="s">
        <v>177</v>
      </c>
      <c r="E14" s="5" t="s">
        <v>7</v>
      </c>
      <c r="F14" s="84" t="s">
        <v>177</v>
      </c>
      <c r="L14" s="39"/>
      <c r="S14" s="56"/>
    </row>
    <row r="15" spans="2:19">
      <c r="B15" s="7"/>
      <c r="C15" s="16"/>
      <c r="E15" s="7"/>
      <c r="F15" s="16"/>
      <c r="L15" s="39"/>
      <c r="S15" s="56"/>
    </row>
    <row r="16" spans="2:19">
      <c r="B16" s="7"/>
      <c r="F16" s="16"/>
      <c r="L16" s="39"/>
      <c r="S16" s="56"/>
    </row>
    <row r="17" spans="2:19">
      <c r="B17" s="7"/>
      <c r="F17" s="16"/>
      <c r="L17" s="39"/>
      <c r="S17" s="56"/>
    </row>
    <row r="18" spans="2:19">
      <c r="B18" s="7"/>
      <c r="F18" s="16"/>
      <c r="L18" s="49"/>
      <c r="S18" s="56"/>
    </row>
    <row r="19" spans="2:19">
      <c r="B19" s="7"/>
      <c r="F19" s="16"/>
      <c r="L19" s="39"/>
      <c r="S19" s="56"/>
    </row>
    <row r="20" spans="2:19">
      <c r="B20" s="7"/>
      <c r="F20" s="16"/>
      <c r="I20" s="56"/>
      <c r="L20" s="39"/>
      <c r="S20" s="56"/>
    </row>
    <row r="21" spans="2:19">
      <c r="B21" s="7"/>
      <c r="F21" s="16"/>
      <c r="S21" s="56"/>
    </row>
    <row r="22" spans="2:19">
      <c r="B22" s="7"/>
      <c r="F22" s="16"/>
      <c r="S22" s="56"/>
    </row>
    <row r="23" spans="2:19">
      <c r="B23" s="7"/>
      <c r="F23" s="16"/>
      <c r="S23" s="56"/>
    </row>
    <row r="24" spans="2:19">
      <c r="F24" s="16"/>
      <c r="K24" s="25"/>
      <c r="L24" s="25"/>
      <c r="M24" s="25"/>
      <c r="N24" s="25"/>
      <c r="S24" s="56"/>
    </row>
    <row r="25" spans="2:19" ht="17.25" customHeight="1">
      <c r="B25" s="7"/>
      <c r="C25" s="16"/>
      <c r="E25" s="7"/>
      <c r="F25" s="16"/>
      <c r="S25" s="56"/>
    </row>
    <row r="26" spans="2:19" s="87" customFormat="1" ht="13.5" hidden="1" thickBot="1">
      <c r="B26" s="61"/>
      <c r="C26" s="85"/>
      <c r="D26" s="56"/>
      <c r="E26" s="61"/>
      <c r="F26" s="85"/>
      <c r="G26" s="56"/>
      <c r="H26" s="56"/>
      <c r="I26" s="56"/>
      <c r="J26" s="56"/>
      <c r="K26" s="86"/>
      <c r="S26" s="56"/>
    </row>
    <row r="27" spans="2:19" hidden="1">
      <c r="B27" s="32" t="s">
        <v>34</v>
      </c>
      <c r="C27" s="40"/>
      <c r="D27" s="40"/>
      <c r="E27" s="41"/>
      <c r="F27" s="16"/>
      <c r="K27" s="21"/>
      <c r="S27" s="56"/>
    </row>
    <row r="28" spans="2:19" ht="13.5" hidden="1" thickBot="1">
      <c r="B28" s="110" t="s">
        <v>0</v>
      </c>
      <c r="C28" s="111" t="s">
        <v>1</v>
      </c>
      <c r="D28" s="111" t="s">
        <v>32</v>
      </c>
      <c r="E28" s="43" t="s">
        <v>155</v>
      </c>
      <c r="K28" s="21"/>
      <c r="S28" s="56"/>
    </row>
    <row r="29" spans="2:19" ht="13.5" hidden="1" thickTop="1">
      <c r="B29" s="79"/>
      <c r="C29" s="80"/>
      <c r="D29" s="89"/>
      <c r="E29" s="90"/>
      <c r="K29" s="21"/>
      <c r="S29" s="56"/>
    </row>
    <row r="30" spans="2:19" hidden="1">
      <c r="B30" s="63"/>
      <c r="C30" s="60"/>
      <c r="D30" s="61"/>
      <c r="E30" s="64"/>
      <c r="K30" s="21"/>
      <c r="S30" s="56"/>
    </row>
    <row r="31" spans="2:19" hidden="1">
      <c r="B31" s="63"/>
      <c r="C31" s="60"/>
      <c r="D31" s="61"/>
      <c r="E31" s="64"/>
      <c r="K31" s="21"/>
      <c r="S31" s="56"/>
    </row>
    <row r="32" spans="2:19" hidden="1">
      <c r="B32" s="63"/>
      <c r="C32" s="60"/>
      <c r="D32" s="61"/>
      <c r="E32" s="64"/>
      <c r="K32" s="21"/>
      <c r="S32" s="56"/>
    </row>
    <row r="33" spans="2:19" hidden="1">
      <c r="B33" s="63"/>
      <c r="C33" s="60"/>
      <c r="D33" s="61"/>
      <c r="E33" s="64"/>
      <c r="K33" s="21"/>
      <c r="S33" s="56"/>
    </row>
    <row r="34" spans="2:19" ht="13.5" hidden="1" thickBot="1">
      <c r="B34" s="65"/>
      <c r="C34" s="66"/>
      <c r="D34" s="67"/>
      <c r="E34" s="68"/>
      <c r="K34" s="21"/>
    </row>
    <row r="35" spans="2:19" ht="13.5" hidden="1" customHeight="1">
      <c r="K35" s="21"/>
    </row>
    <row r="36" spans="2:19" hidden="1">
      <c r="C36" s="31" t="s">
        <v>33</v>
      </c>
      <c r="D36" s="27"/>
      <c r="E36" s="28"/>
      <c r="J36" s="39"/>
      <c r="K36" s="21"/>
    </row>
    <row r="37" spans="2:19" ht="13.5" hidden="1" thickBot="1">
      <c r="C37" s="29" t="s">
        <v>2</v>
      </c>
      <c r="D37" s="30" t="s">
        <v>18</v>
      </c>
      <c r="E37" s="26" t="s">
        <v>8</v>
      </c>
      <c r="K37" s="21"/>
    </row>
    <row r="38" spans="2:19" hidden="1">
      <c r="C38" s="88" t="s">
        <v>13</v>
      </c>
      <c r="D38" s="89" t="s">
        <v>14</v>
      </c>
      <c r="E38" s="90">
        <v>23</v>
      </c>
      <c r="K38" s="21"/>
    </row>
    <row r="39" spans="2:19" hidden="1">
      <c r="C39" s="91" t="s">
        <v>10</v>
      </c>
      <c r="D39" s="61" t="s">
        <v>57</v>
      </c>
      <c r="E39" s="64">
        <v>23</v>
      </c>
      <c r="F39" s="20"/>
      <c r="K39" s="21"/>
    </row>
    <row r="40" spans="2:19" hidden="1">
      <c r="C40" s="91"/>
      <c r="D40" s="61"/>
      <c r="E40" s="64"/>
      <c r="K40" s="21"/>
      <c r="R40" t="s">
        <v>19</v>
      </c>
    </row>
    <row r="41" spans="2:19" hidden="1">
      <c r="C41" s="91"/>
      <c r="D41" s="61"/>
      <c r="E41" s="64"/>
      <c r="K41" s="21"/>
      <c r="R41" t="s">
        <v>2</v>
      </c>
    </row>
    <row r="42" spans="2:19" hidden="1">
      <c r="C42" s="91"/>
      <c r="D42" s="61"/>
      <c r="E42" s="64"/>
      <c r="K42" s="21"/>
      <c r="R42" t="s">
        <v>10</v>
      </c>
    </row>
    <row r="43" spans="2:19" hidden="1">
      <c r="C43" s="91"/>
      <c r="D43" s="61"/>
      <c r="E43" s="64"/>
      <c r="K43" s="21"/>
      <c r="R43" t="s">
        <v>16</v>
      </c>
    </row>
    <row r="44" spans="2:19" hidden="1">
      <c r="C44" s="91"/>
      <c r="D44" s="61"/>
      <c r="E44" s="64"/>
      <c r="K44" s="21"/>
    </row>
    <row r="45" spans="2:19" hidden="1">
      <c r="C45" s="91"/>
      <c r="D45" s="61"/>
      <c r="E45" s="64"/>
      <c r="K45" s="21"/>
    </row>
    <row r="46" spans="2:19" hidden="1">
      <c r="C46" s="91"/>
      <c r="D46" s="61"/>
      <c r="E46" s="64"/>
      <c r="K46" s="21"/>
    </row>
    <row r="47" spans="2:19" hidden="1">
      <c r="C47" s="91"/>
      <c r="D47" s="61"/>
      <c r="E47" s="64"/>
      <c r="K47" s="21"/>
    </row>
    <row r="48" spans="2:19" ht="13.5" hidden="1" thickBot="1">
      <c r="C48" s="92"/>
      <c r="D48" s="67"/>
      <c r="E48" s="68"/>
      <c r="K48" s="21"/>
    </row>
    <row r="49" spans="1:12" ht="13.5" thickBot="1">
      <c r="K49" s="21"/>
      <c r="L49" s="39"/>
    </row>
    <row r="50" spans="1:12">
      <c r="A50" s="32" t="s">
        <v>38</v>
      </c>
      <c r="B50" s="40"/>
      <c r="C50" s="40"/>
      <c r="D50" s="41"/>
      <c r="E50" s="32" t="s">
        <v>39</v>
      </c>
      <c r="F50" s="40"/>
      <c r="G50" s="40"/>
      <c r="H50" s="46"/>
      <c r="K50" s="21"/>
    </row>
    <row r="51" spans="1:12" ht="13.5" thickBot="1">
      <c r="A51" s="45" t="s">
        <v>44</v>
      </c>
      <c r="B51" s="43" t="s">
        <v>8</v>
      </c>
      <c r="C51" s="43" t="s">
        <v>155</v>
      </c>
      <c r="D51" s="35" t="s">
        <v>17</v>
      </c>
      <c r="E51" s="42" t="s">
        <v>44</v>
      </c>
      <c r="F51" s="43" t="s">
        <v>8</v>
      </c>
      <c r="G51" s="43" t="s">
        <v>155</v>
      </c>
      <c r="H51" s="35" t="s">
        <v>17</v>
      </c>
    </row>
    <row r="52" spans="1:12" ht="13.5" thickTop="1">
      <c r="A52" s="69" t="s">
        <v>61</v>
      </c>
      <c r="B52" s="127">
        <v>39644.420173611114</v>
      </c>
      <c r="C52" s="70">
        <v>0</v>
      </c>
      <c r="D52" s="71">
        <v>5000000</v>
      </c>
      <c r="E52" s="69" t="s">
        <v>61</v>
      </c>
      <c r="F52" s="127">
        <v>39644.420173611114</v>
      </c>
      <c r="G52" s="70">
        <v>0</v>
      </c>
      <c r="H52" s="71">
        <v>5000000</v>
      </c>
    </row>
    <row r="53" spans="1:12">
      <c r="A53" s="72" t="s">
        <v>61</v>
      </c>
      <c r="B53" s="93">
        <v>39828</v>
      </c>
      <c r="C53" s="1">
        <v>0</v>
      </c>
      <c r="D53" s="73">
        <v>5000000</v>
      </c>
      <c r="E53" s="72" t="s">
        <v>61</v>
      </c>
      <c r="F53" s="93">
        <v>39828</v>
      </c>
      <c r="G53" s="1">
        <v>0</v>
      </c>
      <c r="H53" s="73">
        <v>5000000</v>
      </c>
    </row>
    <row r="54" spans="1:12">
      <c r="A54" s="72" t="s">
        <v>61</v>
      </c>
      <c r="B54" s="93">
        <v>40009</v>
      </c>
      <c r="C54" s="1">
        <v>0</v>
      </c>
      <c r="D54" s="73">
        <v>5000000</v>
      </c>
      <c r="E54" s="72" t="s">
        <v>61</v>
      </c>
      <c r="F54" s="93">
        <v>40009</v>
      </c>
      <c r="G54" s="1">
        <v>0</v>
      </c>
      <c r="H54" s="73">
        <v>5000000</v>
      </c>
    </row>
    <row r="55" spans="1:12">
      <c r="A55" s="72" t="s">
        <v>61</v>
      </c>
      <c r="B55" s="93">
        <v>40193</v>
      </c>
      <c r="C55" s="1">
        <v>0</v>
      </c>
      <c r="D55" s="73">
        <v>5000000</v>
      </c>
      <c r="E55" s="72" t="s">
        <v>61</v>
      </c>
      <c r="F55" s="93">
        <v>40193</v>
      </c>
      <c r="G55" s="1">
        <v>0</v>
      </c>
      <c r="H55" s="73">
        <v>5000000</v>
      </c>
    </row>
    <row r="56" spans="1:12">
      <c r="A56" s="72" t="s">
        <v>61</v>
      </c>
      <c r="B56" s="93">
        <v>40374</v>
      </c>
      <c r="C56" s="1">
        <v>0</v>
      </c>
      <c r="D56" s="73">
        <v>5000000</v>
      </c>
      <c r="E56" s="72" t="s">
        <v>61</v>
      </c>
      <c r="F56" s="93">
        <v>40374</v>
      </c>
      <c r="G56" s="1">
        <v>0</v>
      </c>
      <c r="H56" s="73">
        <v>5000000</v>
      </c>
    </row>
    <row r="57" spans="1:12">
      <c r="A57" s="72" t="s">
        <v>78</v>
      </c>
      <c r="B57" s="93">
        <v>40560</v>
      </c>
      <c r="C57" s="1">
        <v>0</v>
      </c>
      <c r="D57" s="73">
        <v>5000000</v>
      </c>
      <c r="E57" s="72" t="s">
        <v>78</v>
      </c>
      <c r="F57" s="93">
        <v>40560</v>
      </c>
      <c r="G57" s="1">
        <v>0</v>
      </c>
      <c r="H57" s="73">
        <v>5000000</v>
      </c>
    </row>
    <row r="58" spans="1:12">
      <c r="A58" s="72" t="s">
        <v>61</v>
      </c>
      <c r="B58" s="93">
        <v>40739</v>
      </c>
      <c r="C58" s="1">
        <v>0</v>
      </c>
      <c r="D58" s="73">
        <v>5000000</v>
      </c>
      <c r="E58" s="72" t="s">
        <v>61</v>
      </c>
      <c r="F58" s="93">
        <v>40739</v>
      </c>
      <c r="G58" s="1">
        <v>0</v>
      </c>
      <c r="H58" s="73">
        <v>5000000</v>
      </c>
    </row>
    <row r="59" spans="1:12">
      <c r="A59" s="72" t="s">
        <v>78</v>
      </c>
      <c r="B59" s="93">
        <v>40924</v>
      </c>
      <c r="C59" s="1">
        <v>0</v>
      </c>
      <c r="D59" s="73">
        <v>5000000</v>
      </c>
      <c r="E59" s="72" t="s">
        <v>78</v>
      </c>
      <c r="F59" s="93">
        <v>40924</v>
      </c>
      <c r="G59" s="1">
        <v>0</v>
      </c>
      <c r="H59" s="73">
        <v>5000000</v>
      </c>
    </row>
    <row r="60" spans="1:12">
      <c r="A60" s="72" t="s">
        <v>78</v>
      </c>
      <c r="B60" s="93">
        <v>41106</v>
      </c>
      <c r="C60" s="1">
        <v>0</v>
      </c>
      <c r="D60" s="73">
        <v>5000000</v>
      </c>
      <c r="E60" s="72" t="s">
        <v>78</v>
      </c>
      <c r="F60" s="93">
        <v>41106</v>
      </c>
      <c r="G60" s="1">
        <v>0</v>
      </c>
      <c r="H60" s="73">
        <v>5000000</v>
      </c>
    </row>
    <row r="61" spans="1:12">
      <c r="A61" s="72" t="s">
        <v>61</v>
      </c>
      <c r="B61" s="93">
        <v>41289</v>
      </c>
      <c r="C61" s="1">
        <v>0</v>
      </c>
      <c r="D61" s="73">
        <v>5000000</v>
      </c>
      <c r="E61" s="72" t="s">
        <v>61</v>
      </c>
      <c r="F61" s="93">
        <v>41289</v>
      </c>
      <c r="G61" s="1">
        <v>0</v>
      </c>
      <c r="H61" s="73">
        <v>5000000</v>
      </c>
    </row>
    <row r="62" spans="1:12">
      <c r="A62" s="72" t="s">
        <v>61</v>
      </c>
      <c r="B62" s="128">
        <v>41470.420173611114</v>
      </c>
      <c r="C62" s="1">
        <v>0</v>
      </c>
      <c r="D62" s="73">
        <v>5000000</v>
      </c>
      <c r="E62" s="72" t="s">
        <v>61</v>
      </c>
      <c r="F62" s="128">
        <v>41470.420173611114</v>
      </c>
      <c r="G62" s="1">
        <v>0</v>
      </c>
      <c r="H62" s="73">
        <v>5000000</v>
      </c>
    </row>
    <row r="63" spans="1:12">
      <c r="A63" s="72"/>
      <c r="B63" s="1"/>
      <c r="C63" s="1"/>
      <c r="D63" s="73"/>
      <c r="E63" s="72"/>
      <c r="F63" s="1"/>
      <c r="G63" s="1"/>
      <c r="H63" s="73"/>
    </row>
    <row r="64" spans="1:12">
      <c r="A64" s="72"/>
      <c r="B64" s="1"/>
      <c r="C64" s="1"/>
      <c r="D64" s="73"/>
      <c r="E64" s="72"/>
      <c r="F64" s="1"/>
      <c r="G64" s="1"/>
      <c r="H64" s="73"/>
    </row>
    <row r="65" spans="1:8">
      <c r="A65" s="72"/>
      <c r="B65" s="1"/>
      <c r="C65" s="1"/>
      <c r="D65" s="73"/>
      <c r="E65" s="72"/>
      <c r="F65" s="1"/>
      <c r="G65" s="1"/>
      <c r="H65" s="73"/>
    </row>
    <row r="66" spans="1:8">
      <c r="A66" s="72"/>
      <c r="B66" s="1"/>
      <c r="C66" s="1"/>
      <c r="D66" s="73"/>
      <c r="E66" s="72"/>
      <c r="F66" s="1"/>
      <c r="G66" s="1"/>
      <c r="H66" s="73"/>
    </row>
    <row r="67" spans="1:8">
      <c r="A67" s="72"/>
      <c r="B67" s="1"/>
      <c r="C67" s="1"/>
      <c r="D67" s="73"/>
      <c r="E67" s="72"/>
      <c r="F67" s="1"/>
      <c r="G67" s="1"/>
      <c r="H67" s="73"/>
    </row>
    <row r="68" spans="1:8">
      <c r="A68" s="72"/>
      <c r="B68" s="1"/>
      <c r="C68" s="1"/>
      <c r="D68" s="73"/>
      <c r="E68" s="72"/>
      <c r="F68" s="1"/>
      <c r="G68" s="1"/>
      <c r="H68" s="73"/>
    </row>
    <row r="69" spans="1:8">
      <c r="A69" s="72"/>
      <c r="B69" s="1"/>
      <c r="C69" s="1"/>
      <c r="D69" s="73"/>
      <c r="E69" s="72"/>
      <c r="F69" s="1"/>
      <c r="G69" s="1"/>
      <c r="H69" s="73"/>
    </row>
    <row r="70" spans="1:8">
      <c r="A70" s="72"/>
      <c r="B70" s="1"/>
      <c r="C70" s="1"/>
      <c r="D70" s="73"/>
      <c r="E70" s="72"/>
      <c r="F70" s="1"/>
      <c r="G70" s="1"/>
      <c r="H70" s="73"/>
    </row>
    <row r="71" spans="1:8">
      <c r="A71" s="72"/>
      <c r="B71" s="1"/>
      <c r="C71" s="1"/>
      <c r="D71" s="73"/>
      <c r="E71" s="72"/>
      <c r="F71" s="1"/>
      <c r="G71" s="1"/>
      <c r="H71" s="73"/>
    </row>
    <row r="72" spans="1:8">
      <c r="A72" s="72"/>
      <c r="B72" s="1"/>
      <c r="C72" s="1"/>
      <c r="D72" s="73"/>
      <c r="E72" s="72"/>
      <c r="F72" s="1"/>
      <c r="G72" s="1"/>
      <c r="H72" s="73"/>
    </row>
    <row r="73" spans="1:8">
      <c r="A73" s="72"/>
      <c r="B73" s="1"/>
      <c r="C73" s="1"/>
      <c r="D73" s="73"/>
      <c r="E73" s="72"/>
      <c r="F73" s="1"/>
      <c r="G73" s="1"/>
      <c r="H73" s="73"/>
    </row>
    <row r="74" spans="1:8">
      <c r="A74" s="72"/>
      <c r="B74" s="1"/>
      <c r="C74" s="1"/>
      <c r="D74" s="73"/>
      <c r="E74" s="72"/>
      <c r="F74" s="1"/>
      <c r="G74" s="1"/>
      <c r="H74" s="73"/>
    </row>
    <row r="75" spans="1:8">
      <c r="A75" s="72"/>
      <c r="B75" s="1"/>
      <c r="C75" s="1"/>
      <c r="D75" s="73"/>
      <c r="E75" s="72"/>
      <c r="F75" s="1"/>
      <c r="G75" s="1"/>
      <c r="H75" s="73"/>
    </row>
    <row r="76" spans="1:8">
      <c r="A76" s="72"/>
      <c r="B76" s="1"/>
      <c r="C76" s="1"/>
      <c r="D76" s="73"/>
      <c r="E76" s="72"/>
      <c r="F76" s="1"/>
      <c r="G76" s="1"/>
      <c r="H76" s="73"/>
    </row>
    <row r="77" spans="1:8">
      <c r="A77" s="72"/>
      <c r="B77" s="1"/>
      <c r="C77" s="1"/>
      <c r="D77" s="73"/>
      <c r="E77" s="72"/>
      <c r="F77" s="1"/>
      <c r="G77" s="1"/>
      <c r="H77" s="73"/>
    </row>
    <row r="78" spans="1:8">
      <c r="A78" s="72"/>
      <c r="B78" s="1"/>
      <c r="C78" s="1"/>
      <c r="D78" s="73"/>
      <c r="E78" s="72"/>
      <c r="F78" s="1"/>
      <c r="G78" s="1"/>
      <c r="H78" s="73"/>
    </row>
    <row r="79" spans="1:8">
      <c r="A79" s="72"/>
      <c r="B79" s="1"/>
      <c r="C79" s="1"/>
      <c r="D79" s="73"/>
      <c r="E79" s="72"/>
      <c r="F79" s="1"/>
      <c r="G79" s="1"/>
      <c r="H79" s="73"/>
    </row>
    <row r="80" spans="1:8">
      <c r="A80" s="72"/>
      <c r="B80" s="1"/>
      <c r="C80" s="1"/>
      <c r="D80" s="73"/>
      <c r="E80" s="72"/>
      <c r="F80" s="1"/>
      <c r="G80" s="1"/>
      <c r="H80" s="73"/>
    </row>
    <row r="81" spans="1:8">
      <c r="A81" s="72"/>
      <c r="B81" s="1"/>
      <c r="C81" s="1"/>
      <c r="D81" s="73"/>
      <c r="E81" s="72"/>
      <c r="F81" s="1"/>
      <c r="G81" s="1"/>
      <c r="H81" s="73"/>
    </row>
    <row r="82" spans="1:8">
      <c r="A82" s="72"/>
      <c r="B82" s="1"/>
      <c r="C82" s="1"/>
      <c r="D82" s="73"/>
      <c r="E82" s="72"/>
      <c r="F82" s="1"/>
      <c r="G82" s="1"/>
      <c r="H82" s="73"/>
    </row>
    <row r="83" spans="1:8">
      <c r="A83" s="72"/>
      <c r="B83" s="1"/>
      <c r="C83" s="1"/>
      <c r="D83" s="73"/>
      <c r="E83" s="72"/>
      <c r="F83" s="1"/>
      <c r="G83" s="1"/>
      <c r="H83" s="73"/>
    </row>
    <row r="84" spans="1:8">
      <c r="A84" s="72"/>
      <c r="B84" s="1"/>
      <c r="C84" s="1"/>
      <c r="D84" s="73"/>
      <c r="E84" s="72"/>
      <c r="F84" s="1"/>
      <c r="G84" s="1"/>
      <c r="H84" s="73"/>
    </row>
    <row r="85" spans="1:8">
      <c r="A85" s="72"/>
      <c r="B85" s="1"/>
      <c r="C85" s="1"/>
      <c r="D85" s="73"/>
      <c r="E85" s="72"/>
      <c r="F85" s="1"/>
      <c r="G85" s="1"/>
      <c r="H85" s="73"/>
    </row>
    <row r="86" spans="1:8">
      <c r="A86" s="72"/>
      <c r="B86" s="1"/>
      <c r="C86" s="1"/>
      <c r="D86" s="73"/>
      <c r="E86" s="72"/>
      <c r="F86" s="1"/>
      <c r="G86" s="1"/>
      <c r="H86" s="73"/>
    </row>
    <row r="87" spans="1:8">
      <c r="A87" s="72"/>
      <c r="B87" s="1"/>
      <c r="C87" s="1"/>
      <c r="D87" s="73"/>
      <c r="E87" s="72"/>
      <c r="F87" s="1"/>
      <c r="G87" s="1"/>
      <c r="H87" s="73"/>
    </row>
    <row r="88" spans="1:8">
      <c r="A88" s="72"/>
      <c r="B88" s="1"/>
      <c r="C88" s="1"/>
      <c r="D88" s="73"/>
      <c r="E88" s="72"/>
      <c r="F88" s="1"/>
      <c r="G88" s="1"/>
      <c r="H88" s="73"/>
    </row>
    <row r="89" spans="1:8">
      <c r="A89" s="72"/>
      <c r="B89" s="1"/>
      <c r="C89" s="1"/>
      <c r="D89" s="73"/>
      <c r="E89" s="72"/>
      <c r="F89" s="1"/>
      <c r="G89" s="1"/>
      <c r="H89" s="73"/>
    </row>
    <row r="90" spans="1:8">
      <c r="A90" s="72"/>
      <c r="B90" s="1"/>
      <c r="C90" s="1"/>
      <c r="D90" s="73"/>
      <c r="E90" s="72"/>
      <c r="F90" s="1"/>
      <c r="G90" s="1"/>
      <c r="H90" s="73"/>
    </row>
    <row r="91" spans="1:8">
      <c r="A91" s="72"/>
      <c r="B91" s="1"/>
      <c r="C91" s="1"/>
      <c r="D91" s="73"/>
      <c r="E91" s="72"/>
      <c r="F91" s="1"/>
      <c r="G91" s="1"/>
      <c r="H91" s="73"/>
    </row>
    <row r="92" spans="1:8">
      <c r="A92" s="72"/>
      <c r="B92" s="1"/>
      <c r="C92" s="1"/>
      <c r="D92" s="73"/>
      <c r="E92" s="72"/>
      <c r="F92" s="1"/>
      <c r="G92" s="1"/>
      <c r="H92" s="73"/>
    </row>
    <row r="93" spans="1:8">
      <c r="A93" s="72"/>
      <c r="B93" s="1"/>
      <c r="C93" s="1"/>
      <c r="D93" s="73"/>
      <c r="E93" s="72"/>
      <c r="F93" s="1"/>
      <c r="G93" s="1"/>
      <c r="H93" s="73"/>
    </row>
    <row r="94" spans="1:8">
      <c r="A94" s="72"/>
      <c r="B94" s="1"/>
      <c r="C94" s="1"/>
      <c r="D94" s="73"/>
      <c r="E94" s="72"/>
      <c r="F94" s="1"/>
      <c r="G94" s="1"/>
      <c r="H94" s="73"/>
    </row>
    <row r="95" spans="1:8">
      <c r="A95" s="72"/>
      <c r="B95" s="1"/>
      <c r="C95" s="1"/>
      <c r="D95" s="73"/>
      <c r="E95" s="72"/>
      <c r="F95" s="1"/>
      <c r="G95" s="1"/>
      <c r="H95" s="73"/>
    </row>
    <row r="96" spans="1:8">
      <c r="A96" s="72"/>
      <c r="B96" s="1"/>
      <c r="C96" s="1"/>
      <c r="D96" s="73"/>
      <c r="E96" s="72"/>
      <c r="F96" s="1"/>
      <c r="G96" s="1"/>
      <c r="H96" s="73"/>
    </row>
    <row r="97" spans="1:8">
      <c r="A97" s="72"/>
      <c r="B97" s="1"/>
      <c r="C97" s="1"/>
      <c r="D97" s="73"/>
      <c r="E97" s="72"/>
      <c r="F97" s="1"/>
      <c r="G97" s="1"/>
      <c r="H97" s="73"/>
    </row>
    <row r="98" spans="1:8">
      <c r="A98" s="72"/>
      <c r="B98" s="1"/>
      <c r="C98" s="1"/>
      <c r="D98" s="73"/>
      <c r="E98" s="72"/>
      <c r="F98" s="1"/>
      <c r="G98" s="1"/>
      <c r="H98" s="73"/>
    </row>
    <row r="99" spans="1:8">
      <c r="A99" s="72"/>
      <c r="B99" s="1"/>
      <c r="C99" s="1"/>
      <c r="D99" s="73"/>
      <c r="E99" s="72"/>
      <c r="F99" s="1"/>
      <c r="G99" s="1"/>
      <c r="H99" s="73"/>
    </row>
    <row r="100" spans="1:8">
      <c r="A100" s="72"/>
      <c r="B100" s="1"/>
      <c r="C100" s="1"/>
      <c r="D100" s="73"/>
      <c r="E100" s="72"/>
      <c r="F100" s="1"/>
      <c r="G100" s="1"/>
      <c r="H100" s="73"/>
    </row>
    <row r="101" spans="1:8">
      <c r="A101" s="72"/>
      <c r="B101" s="1"/>
      <c r="C101" s="1"/>
      <c r="D101" s="73"/>
      <c r="E101" s="72"/>
      <c r="F101" s="1"/>
      <c r="G101" s="1"/>
      <c r="H101" s="73"/>
    </row>
    <row r="102" spans="1:8">
      <c r="A102" s="72"/>
      <c r="B102" s="1"/>
      <c r="C102" s="1"/>
      <c r="D102" s="73"/>
      <c r="E102" s="72"/>
      <c r="F102" s="1"/>
      <c r="G102" s="1"/>
      <c r="H102" s="73"/>
    </row>
    <row r="103" spans="1:8">
      <c r="A103" s="72"/>
      <c r="B103" s="1"/>
      <c r="C103" s="1"/>
      <c r="D103" s="73"/>
      <c r="E103" s="72"/>
      <c r="F103" s="1"/>
      <c r="G103" s="1"/>
      <c r="H103" s="73"/>
    </row>
    <row r="104" spans="1:8">
      <c r="A104" s="72"/>
      <c r="B104" s="1"/>
      <c r="C104" s="1"/>
      <c r="D104" s="73"/>
      <c r="E104" s="72"/>
      <c r="F104" s="1"/>
      <c r="G104" s="1"/>
      <c r="H104" s="73"/>
    </row>
    <row r="105" spans="1:8">
      <c r="A105" s="72"/>
      <c r="B105" s="1"/>
      <c r="C105" s="1"/>
      <c r="D105" s="73"/>
      <c r="E105" s="72"/>
      <c r="F105" s="1"/>
      <c r="G105" s="1"/>
      <c r="H105" s="73"/>
    </row>
    <row r="106" spans="1:8">
      <c r="A106" s="72"/>
      <c r="B106" s="1"/>
      <c r="C106" s="1"/>
      <c r="D106" s="73"/>
      <c r="E106" s="72"/>
      <c r="F106" s="1"/>
      <c r="G106" s="1"/>
      <c r="H106" s="73"/>
    </row>
    <row r="107" spans="1:8">
      <c r="A107" s="72"/>
      <c r="B107" s="1"/>
      <c r="C107" s="1"/>
      <c r="D107" s="73"/>
      <c r="E107" s="72"/>
      <c r="F107" s="1"/>
      <c r="G107" s="1"/>
      <c r="H107" s="73"/>
    </row>
    <row r="108" spans="1:8">
      <c r="A108" s="72"/>
      <c r="B108" s="1"/>
      <c r="C108" s="1"/>
      <c r="D108" s="73"/>
      <c r="E108" s="72"/>
      <c r="F108" s="1"/>
      <c r="G108" s="1"/>
      <c r="H108" s="73"/>
    </row>
    <row r="109" spans="1:8">
      <c r="A109" s="72"/>
      <c r="B109" s="1"/>
      <c r="C109" s="1"/>
      <c r="D109" s="73"/>
      <c r="E109" s="72"/>
      <c r="F109" s="1"/>
      <c r="G109" s="1"/>
      <c r="H109" s="73"/>
    </row>
    <row r="110" spans="1:8">
      <c r="A110" s="72"/>
      <c r="B110" s="1"/>
      <c r="C110" s="1"/>
      <c r="D110" s="73"/>
      <c r="E110" s="72"/>
      <c r="F110" s="1"/>
      <c r="G110" s="1"/>
      <c r="H110" s="73"/>
    </row>
    <row r="111" spans="1:8">
      <c r="A111" s="72"/>
      <c r="B111" s="1"/>
      <c r="C111" s="1"/>
      <c r="D111" s="73"/>
      <c r="E111" s="72"/>
      <c r="F111" s="1"/>
      <c r="G111" s="1"/>
      <c r="H111" s="73"/>
    </row>
    <row r="112" spans="1:8">
      <c r="A112" s="72"/>
      <c r="B112" s="1"/>
      <c r="C112" s="1"/>
      <c r="D112" s="73"/>
      <c r="E112" s="72"/>
      <c r="F112" s="1"/>
      <c r="G112" s="1"/>
      <c r="H112" s="73"/>
    </row>
    <row r="113" spans="1:8">
      <c r="A113" s="72"/>
      <c r="B113" s="1"/>
      <c r="C113" s="1"/>
      <c r="D113" s="73"/>
      <c r="E113" s="72"/>
      <c r="F113" s="1"/>
      <c r="G113" s="1"/>
      <c r="H113" s="73"/>
    </row>
    <row r="114" spans="1:8">
      <c r="A114" s="72"/>
      <c r="B114" s="1"/>
      <c r="C114" s="1"/>
      <c r="D114" s="73"/>
      <c r="E114" s="72"/>
      <c r="F114" s="1"/>
      <c r="G114" s="1"/>
      <c r="H114" s="73"/>
    </row>
    <row r="115" spans="1:8">
      <c r="A115" s="72"/>
      <c r="B115" s="1"/>
      <c r="C115" s="1"/>
      <c r="D115" s="73"/>
      <c r="E115" s="72"/>
      <c r="F115" s="1"/>
      <c r="G115" s="1"/>
      <c r="H115" s="73"/>
    </row>
    <row r="116" spans="1:8">
      <c r="A116" s="72"/>
      <c r="B116" s="1"/>
      <c r="C116" s="1"/>
      <c r="D116" s="73"/>
      <c r="E116" s="72"/>
      <c r="F116" s="1"/>
      <c r="G116" s="1"/>
      <c r="H116" s="73"/>
    </row>
    <row r="117" spans="1:8">
      <c r="A117" s="72"/>
      <c r="B117" s="1"/>
      <c r="C117" s="1"/>
      <c r="D117" s="73"/>
      <c r="E117" s="72"/>
      <c r="F117" s="1"/>
      <c r="G117" s="1"/>
      <c r="H117" s="73"/>
    </row>
    <row r="118" spans="1:8">
      <c r="A118" s="72"/>
      <c r="B118" s="1"/>
      <c r="C118" s="1"/>
      <c r="D118" s="73"/>
      <c r="E118" s="72"/>
      <c r="F118" s="1"/>
      <c r="G118" s="1"/>
      <c r="H118" s="73"/>
    </row>
    <row r="119" spans="1:8">
      <c r="A119" s="72"/>
      <c r="B119" s="1"/>
      <c r="C119" s="1"/>
      <c r="D119" s="73"/>
      <c r="E119" s="72"/>
      <c r="F119" s="1"/>
      <c r="G119" s="1"/>
      <c r="H119" s="73"/>
    </row>
    <row r="120" spans="1:8">
      <c r="A120" s="72"/>
      <c r="B120" s="1"/>
      <c r="C120" s="1"/>
      <c r="D120" s="73"/>
      <c r="E120" s="72"/>
      <c r="F120" s="1"/>
      <c r="G120" s="1"/>
      <c r="H120" s="73"/>
    </row>
    <row r="121" spans="1:8">
      <c r="A121" s="72"/>
      <c r="B121" s="1"/>
      <c r="C121" s="1"/>
      <c r="D121" s="73"/>
      <c r="E121" s="72"/>
      <c r="F121" s="1"/>
      <c r="G121" s="1"/>
      <c r="H121" s="73"/>
    </row>
    <row r="122" spans="1:8">
      <c r="A122" s="72"/>
      <c r="B122" s="1"/>
      <c r="C122" s="1"/>
      <c r="D122" s="73"/>
      <c r="E122" s="72"/>
      <c r="F122" s="1"/>
      <c r="G122" s="1"/>
      <c r="H122" s="73"/>
    </row>
    <row r="123" spans="1:8">
      <c r="A123" s="72"/>
      <c r="B123" s="1"/>
      <c r="C123" s="1"/>
      <c r="D123" s="73"/>
      <c r="E123" s="72"/>
      <c r="F123" s="1"/>
      <c r="G123" s="1"/>
      <c r="H123" s="73"/>
    </row>
    <row r="124" spans="1:8">
      <c r="A124" s="72"/>
      <c r="B124" s="1"/>
      <c r="C124" s="1"/>
      <c r="D124" s="73"/>
      <c r="E124" s="72"/>
      <c r="F124" s="1"/>
      <c r="G124" s="1"/>
      <c r="H124" s="73"/>
    </row>
    <row r="125" spans="1:8">
      <c r="A125" s="72"/>
      <c r="B125" s="1"/>
      <c r="C125" s="1"/>
      <c r="D125" s="73"/>
      <c r="E125" s="72"/>
      <c r="F125" s="1"/>
      <c r="G125" s="1"/>
      <c r="H125" s="73"/>
    </row>
    <row r="126" spans="1:8">
      <c r="A126" s="72"/>
      <c r="B126" s="1"/>
      <c r="C126" s="1"/>
      <c r="D126" s="73"/>
      <c r="E126" s="72"/>
      <c r="F126" s="1"/>
      <c r="G126" s="1"/>
      <c r="H126" s="73"/>
    </row>
    <row r="127" spans="1:8">
      <c r="A127" s="72"/>
      <c r="B127" s="1"/>
      <c r="C127" s="1"/>
      <c r="D127" s="73"/>
      <c r="E127" s="72"/>
      <c r="F127" s="1"/>
      <c r="G127" s="1"/>
      <c r="H127" s="73"/>
    </row>
    <row r="128" spans="1:8">
      <c r="A128" s="72"/>
      <c r="B128" s="1"/>
      <c r="C128" s="1"/>
      <c r="D128" s="73"/>
      <c r="E128" s="72"/>
      <c r="F128" s="1"/>
      <c r="G128" s="1"/>
      <c r="H128" s="73"/>
    </row>
    <row r="129" spans="1:16">
      <c r="A129" s="72"/>
      <c r="B129" s="1"/>
      <c r="C129" s="1"/>
      <c r="D129" s="73"/>
      <c r="E129" s="72"/>
      <c r="F129" s="1"/>
      <c r="G129" s="1"/>
      <c r="H129" s="73"/>
    </row>
    <row r="130" spans="1:16">
      <c r="A130" s="72"/>
      <c r="B130" s="1"/>
      <c r="C130" s="1"/>
      <c r="D130" s="73"/>
      <c r="E130" s="72"/>
      <c r="F130" s="1"/>
      <c r="G130" s="1"/>
      <c r="H130" s="73"/>
    </row>
    <row r="131" spans="1:16">
      <c r="A131" s="72"/>
      <c r="B131" s="1"/>
      <c r="C131" s="1"/>
      <c r="D131" s="73"/>
      <c r="E131" s="72"/>
      <c r="F131" s="1"/>
      <c r="G131" s="1"/>
      <c r="H131" s="73"/>
    </row>
    <row r="132" spans="1:16">
      <c r="A132" s="72"/>
      <c r="B132" s="1"/>
      <c r="C132" s="1"/>
      <c r="D132" s="73"/>
      <c r="E132" s="72"/>
      <c r="F132" s="1"/>
      <c r="G132" s="1"/>
      <c r="H132" s="73"/>
    </row>
    <row r="133" spans="1:16">
      <c r="A133" s="72"/>
      <c r="B133" s="1"/>
      <c r="C133" s="1"/>
      <c r="D133" s="73"/>
      <c r="E133" s="72"/>
      <c r="F133" s="1"/>
      <c r="G133" s="1"/>
      <c r="H133" s="73"/>
    </row>
    <row r="134" spans="1:16">
      <c r="A134" s="72"/>
      <c r="B134" s="1"/>
      <c r="C134" s="1"/>
      <c r="D134" s="73"/>
      <c r="E134" s="72"/>
      <c r="F134" s="1"/>
      <c r="G134" s="1"/>
      <c r="H134" s="73"/>
    </row>
    <row r="135" spans="1:16">
      <c r="A135" s="72"/>
      <c r="B135" s="1"/>
      <c r="C135" s="1"/>
      <c r="D135" s="73"/>
      <c r="E135" s="72"/>
      <c r="F135" s="1"/>
      <c r="G135" s="1"/>
      <c r="H135" s="73"/>
    </row>
    <row r="136" spans="1:16">
      <c r="A136" s="72"/>
      <c r="B136" s="1"/>
      <c r="C136" s="1"/>
      <c r="D136" s="73"/>
      <c r="E136" s="72"/>
      <c r="F136" s="1"/>
      <c r="G136" s="1"/>
      <c r="H136" s="73"/>
      <c r="L136" s="25"/>
    </row>
    <row r="137" spans="1:16">
      <c r="A137" s="72"/>
      <c r="B137" s="1"/>
      <c r="C137" s="1"/>
      <c r="D137" s="73"/>
      <c r="E137" s="72"/>
      <c r="F137" s="1"/>
      <c r="G137" s="1"/>
      <c r="H137" s="73"/>
      <c r="L137" s="25"/>
      <c r="N137" s="20" t="s">
        <v>25</v>
      </c>
    </row>
    <row r="138" spans="1:16">
      <c r="A138" s="72"/>
      <c r="B138" s="1"/>
      <c r="C138" s="1"/>
      <c r="D138" s="73"/>
      <c r="E138" s="72"/>
      <c r="F138" s="1"/>
      <c r="G138" s="1"/>
      <c r="H138" s="73"/>
      <c r="L138" s="25"/>
      <c r="M138" s="15"/>
      <c r="N138" s="20" t="s">
        <v>25</v>
      </c>
      <c r="O138" s="15"/>
      <c r="P138" s="15"/>
    </row>
    <row r="139" spans="1:16">
      <c r="A139" s="72"/>
      <c r="B139" s="1"/>
      <c r="C139" s="1"/>
      <c r="D139" s="73"/>
      <c r="E139" s="72"/>
      <c r="F139" s="1"/>
      <c r="G139" s="1"/>
      <c r="H139" s="73"/>
      <c r="M139" s="14"/>
      <c r="N139" s="14"/>
      <c r="O139" s="14"/>
      <c r="P139" s="14"/>
    </row>
    <row r="140" spans="1:16">
      <c r="A140" s="72"/>
      <c r="B140" s="1"/>
      <c r="C140" s="1"/>
      <c r="D140" s="73"/>
      <c r="E140" s="72"/>
      <c r="F140" s="1"/>
      <c r="G140" s="1"/>
      <c r="H140" s="73"/>
      <c r="M140" s="14"/>
      <c r="N140" s="14"/>
      <c r="O140" s="14"/>
      <c r="P140" s="14"/>
    </row>
    <row r="141" spans="1:16">
      <c r="A141" s="72"/>
      <c r="B141" s="1"/>
      <c r="C141" s="1"/>
      <c r="D141" s="73"/>
      <c r="E141" s="72"/>
      <c r="F141" s="1"/>
      <c r="G141" s="1"/>
      <c r="H141" s="73"/>
      <c r="M141" s="14"/>
      <c r="N141" s="14"/>
      <c r="O141" s="14"/>
      <c r="P141" s="14"/>
    </row>
    <row r="142" spans="1:16">
      <c r="A142" s="72"/>
      <c r="B142" s="1"/>
      <c r="C142" s="1"/>
      <c r="D142" s="73"/>
      <c r="E142" s="72"/>
      <c r="F142" s="1"/>
      <c r="G142" s="1"/>
      <c r="H142" s="73"/>
      <c r="M142" s="14"/>
      <c r="N142" s="14"/>
      <c r="O142" s="14"/>
      <c r="P142" s="14"/>
    </row>
    <row r="143" spans="1:16">
      <c r="A143" s="72"/>
      <c r="B143" s="1"/>
      <c r="C143" s="1"/>
      <c r="D143" s="73"/>
      <c r="E143" s="72"/>
      <c r="F143" s="1"/>
      <c r="G143" s="1"/>
      <c r="H143" s="73"/>
      <c r="M143" s="14"/>
      <c r="N143" s="14"/>
      <c r="O143" s="14"/>
      <c r="P143" s="14"/>
    </row>
    <row r="144" spans="1:16">
      <c r="A144" s="72"/>
      <c r="B144" s="1"/>
      <c r="C144" s="1"/>
      <c r="D144" s="73"/>
      <c r="E144" s="72"/>
      <c r="F144" s="1"/>
      <c r="G144" s="1"/>
      <c r="H144" s="73"/>
      <c r="M144" s="14"/>
      <c r="N144" s="14"/>
      <c r="O144" s="14"/>
      <c r="P144" s="14"/>
    </row>
    <row r="145" spans="1:16">
      <c r="A145" s="72"/>
      <c r="B145" s="1"/>
      <c r="C145" s="1"/>
      <c r="D145" s="73"/>
      <c r="E145" s="72"/>
      <c r="F145" s="1"/>
      <c r="G145" s="1"/>
      <c r="H145" s="73"/>
      <c r="M145" s="14"/>
      <c r="N145" s="14"/>
      <c r="O145" s="14"/>
      <c r="P145" s="14"/>
    </row>
    <row r="146" spans="1:16">
      <c r="A146" s="72"/>
      <c r="B146" s="1"/>
      <c r="C146" s="1"/>
      <c r="D146" s="73"/>
      <c r="E146" s="72"/>
      <c r="F146" s="1"/>
      <c r="G146" s="1"/>
      <c r="H146" s="73"/>
      <c r="M146" s="14"/>
      <c r="N146" s="14"/>
      <c r="O146" s="14"/>
      <c r="P146" s="14"/>
    </row>
    <row r="147" spans="1:16">
      <c r="A147" s="72"/>
      <c r="B147" s="1"/>
      <c r="C147" s="1"/>
      <c r="D147" s="73"/>
      <c r="E147" s="72"/>
      <c r="F147" s="1"/>
      <c r="G147" s="1"/>
      <c r="H147" s="73"/>
      <c r="M147" s="14"/>
      <c r="N147" s="14"/>
      <c r="O147" s="14"/>
      <c r="P147" s="14"/>
    </row>
    <row r="148" spans="1:16">
      <c r="A148" s="72"/>
      <c r="B148" s="1"/>
      <c r="C148" s="1"/>
      <c r="D148" s="73"/>
      <c r="E148" s="72"/>
      <c r="F148" s="1"/>
      <c r="G148" s="1"/>
      <c r="H148" s="73"/>
    </row>
    <row r="149" spans="1:16">
      <c r="A149" s="72"/>
      <c r="B149" s="1"/>
      <c r="C149" s="1"/>
      <c r="D149" s="73"/>
      <c r="E149" s="72"/>
      <c r="F149" s="1"/>
      <c r="G149" s="1"/>
      <c r="H149" s="73"/>
    </row>
    <row r="150" spans="1:16">
      <c r="A150" s="72"/>
      <c r="B150" s="1"/>
      <c r="C150" s="1"/>
      <c r="D150" s="73"/>
      <c r="E150" s="72"/>
      <c r="F150" s="1"/>
      <c r="G150" s="1"/>
      <c r="H150" s="73"/>
    </row>
    <row r="151" spans="1:16">
      <c r="A151" s="72"/>
      <c r="B151" s="1"/>
      <c r="C151" s="1"/>
      <c r="D151" s="73"/>
      <c r="E151" s="72"/>
      <c r="F151" s="1"/>
      <c r="G151" s="1"/>
      <c r="H151" s="73"/>
    </row>
    <row r="152" spans="1:16">
      <c r="A152" s="72"/>
      <c r="B152" s="1"/>
      <c r="C152" s="1"/>
      <c r="D152" s="73"/>
      <c r="E152" s="72"/>
      <c r="F152" s="1"/>
      <c r="G152" s="1"/>
      <c r="H152" s="73"/>
    </row>
    <row r="153" spans="1:16">
      <c r="A153" s="72"/>
      <c r="B153" s="1"/>
      <c r="C153" s="1"/>
      <c r="D153" s="73"/>
      <c r="E153" s="72"/>
      <c r="F153" s="1"/>
      <c r="G153" s="1"/>
      <c r="H153" s="73"/>
    </row>
    <row r="154" spans="1:16">
      <c r="A154" s="72"/>
      <c r="B154" s="1"/>
      <c r="C154" s="1"/>
      <c r="D154" s="73"/>
      <c r="E154" s="72"/>
      <c r="F154" s="1"/>
      <c r="G154" s="1"/>
      <c r="H154" s="73"/>
    </row>
    <row r="155" spans="1:16">
      <c r="A155" s="72"/>
      <c r="B155" s="1"/>
      <c r="C155" s="1"/>
      <c r="D155" s="73"/>
      <c r="E155" s="72"/>
      <c r="F155" s="1"/>
      <c r="G155" s="1"/>
      <c r="H155" s="73"/>
    </row>
    <row r="156" spans="1:16">
      <c r="A156" s="72"/>
      <c r="B156" s="1"/>
      <c r="C156" s="1"/>
      <c r="D156" s="73"/>
      <c r="E156" s="72"/>
      <c r="F156" s="1"/>
      <c r="G156" s="1"/>
      <c r="H156" s="73"/>
    </row>
    <row r="157" spans="1:16">
      <c r="A157" s="72"/>
      <c r="B157" s="1"/>
      <c r="C157" s="1"/>
      <c r="D157" s="73"/>
      <c r="E157" s="72"/>
      <c r="F157" s="1"/>
      <c r="G157" s="1"/>
      <c r="H157" s="73"/>
    </row>
    <row r="158" spans="1:16">
      <c r="A158" s="72"/>
      <c r="B158" s="1"/>
      <c r="C158" s="1"/>
      <c r="D158" s="73"/>
      <c r="E158" s="72"/>
      <c r="F158" s="1"/>
      <c r="G158" s="1"/>
      <c r="H158" s="73"/>
    </row>
    <row r="159" spans="1:16">
      <c r="A159" s="72"/>
      <c r="B159" s="1"/>
      <c r="C159" s="1"/>
      <c r="D159" s="73"/>
      <c r="E159" s="72"/>
      <c r="F159" s="1"/>
      <c r="G159" s="1"/>
      <c r="H159" s="73"/>
    </row>
    <row r="160" spans="1:16">
      <c r="A160" s="72"/>
      <c r="B160" s="1"/>
      <c r="C160" s="1"/>
      <c r="D160" s="73"/>
      <c r="E160" s="72"/>
      <c r="F160" s="1"/>
      <c r="G160" s="1"/>
      <c r="H160" s="73"/>
    </row>
    <row r="161" spans="1:11">
      <c r="A161" s="72"/>
      <c r="B161" s="1"/>
      <c r="C161" s="1"/>
      <c r="D161" s="73"/>
      <c r="E161" s="72"/>
      <c r="F161" s="1"/>
      <c r="G161" s="1"/>
      <c r="H161" s="73"/>
    </row>
    <row r="162" spans="1:11">
      <c r="A162" s="72"/>
      <c r="B162" s="1"/>
      <c r="C162" s="1"/>
      <c r="D162" s="73"/>
      <c r="E162" s="72"/>
      <c r="F162" s="1"/>
      <c r="G162" s="1"/>
      <c r="H162" s="73"/>
    </row>
    <row r="163" spans="1:11">
      <c r="A163" s="72"/>
      <c r="B163" s="1"/>
      <c r="C163" s="1"/>
      <c r="D163" s="73"/>
      <c r="E163" s="72"/>
      <c r="F163" s="1"/>
      <c r="G163" s="1"/>
      <c r="H163" s="73"/>
    </row>
    <row r="164" spans="1:11">
      <c r="A164" s="72"/>
      <c r="B164" s="1"/>
      <c r="C164" s="1"/>
      <c r="D164" s="73"/>
      <c r="E164" s="72"/>
      <c r="F164" s="1"/>
      <c r="G164" s="1"/>
      <c r="H164" s="73"/>
    </row>
    <row r="165" spans="1:11">
      <c r="A165" s="72"/>
      <c r="B165" s="1"/>
      <c r="C165" s="1"/>
      <c r="D165" s="73"/>
      <c r="E165" s="72"/>
      <c r="F165" s="1"/>
      <c r="G165" s="1"/>
      <c r="H165" s="73"/>
      <c r="K165" s="6"/>
    </row>
    <row r="166" spans="1:11">
      <c r="A166" s="72"/>
      <c r="B166" s="1"/>
      <c r="C166" s="1"/>
      <c r="D166" s="73"/>
      <c r="E166" s="72"/>
      <c r="F166" s="1"/>
      <c r="G166" s="1"/>
      <c r="H166" s="73"/>
      <c r="K166" s="6"/>
    </row>
    <row r="167" spans="1:11">
      <c r="A167" s="72"/>
      <c r="B167" s="1"/>
      <c r="C167" s="1"/>
      <c r="D167" s="73"/>
      <c r="E167" s="72"/>
      <c r="F167" s="1"/>
      <c r="G167" s="1"/>
      <c r="H167" s="73"/>
    </row>
    <row r="168" spans="1:11">
      <c r="A168" s="72"/>
      <c r="B168" s="1"/>
      <c r="C168" s="1"/>
      <c r="D168" s="73"/>
      <c r="E168" s="72"/>
      <c r="F168" s="1"/>
      <c r="G168" s="1"/>
      <c r="H168" s="73"/>
    </row>
    <row r="169" spans="1:11">
      <c r="A169" s="72"/>
      <c r="B169" s="1"/>
      <c r="C169" s="1"/>
      <c r="D169" s="73"/>
      <c r="E169" s="72"/>
      <c r="F169" s="1"/>
      <c r="G169" s="1"/>
      <c r="H169" s="73"/>
    </row>
    <row r="170" spans="1:11">
      <c r="A170" s="72"/>
      <c r="B170" s="1"/>
      <c r="C170" s="1"/>
      <c r="D170" s="73"/>
      <c r="E170" s="72"/>
      <c r="F170" s="1"/>
      <c r="G170" s="1"/>
      <c r="H170" s="73"/>
    </row>
    <row r="171" spans="1:11">
      <c r="A171" s="72"/>
      <c r="B171" s="1"/>
      <c r="C171" s="1"/>
      <c r="D171" s="73"/>
      <c r="E171" s="72"/>
      <c r="F171" s="1"/>
      <c r="G171" s="1"/>
      <c r="H171" s="73"/>
    </row>
    <row r="172" spans="1:11">
      <c r="A172" s="72"/>
      <c r="B172" s="1"/>
      <c r="C172" s="1"/>
      <c r="D172" s="73"/>
      <c r="E172" s="72"/>
      <c r="F172" s="1"/>
      <c r="G172" s="1"/>
      <c r="H172" s="73"/>
    </row>
    <row r="173" spans="1:11">
      <c r="A173" s="72"/>
      <c r="B173" s="1"/>
      <c r="C173" s="1"/>
      <c r="D173" s="73"/>
      <c r="E173" s="72"/>
      <c r="F173" s="1"/>
      <c r="G173" s="1"/>
      <c r="H173" s="73"/>
    </row>
    <row r="174" spans="1:11">
      <c r="A174" s="72"/>
      <c r="B174" s="1"/>
      <c r="C174" s="1"/>
      <c r="D174" s="73"/>
      <c r="E174" s="72"/>
      <c r="F174" s="1"/>
      <c r="G174" s="1"/>
      <c r="H174" s="73"/>
    </row>
    <row r="175" spans="1:11">
      <c r="A175" s="72"/>
      <c r="B175" s="1"/>
      <c r="C175" s="1"/>
      <c r="D175" s="73"/>
      <c r="E175" s="72"/>
      <c r="F175" s="1"/>
      <c r="G175" s="1"/>
      <c r="H175" s="73"/>
    </row>
    <row r="176" spans="1:11">
      <c r="A176" s="72"/>
      <c r="B176" s="1"/>
      <c r="C176" s="1"/>
      <c r="D176" s="73"/>
      <c r="E176" s="72"/>
      <c r="F176" s="1"/>
      <c r="G176" s="1"/>
      <c r="H176" s="73"/>
    </row>
    <row r="177" spans="1:11">
      <c r="A177" s="72"/>
      <c r="B177" s="1"/>
      <c r="C177" s="1"/>
      <c r="D177" s="73"/>
      <c r="E177" s="72"/>
      <c r="F177" s="1"/>
      <c r="G177" s="1"/>
      <c r="H177" s="73"/>
    </row>
    <row r="178" spans="1:11">
      <c r="A178" s="72"/>
      <c r="B178" s="1"/>
      <c r="C178" s="1"/>
      <c r="D178" s="73"/>
      <c r="E178" s="72"/>
      <c r="F178" s="1"/>
      <c r="G178" s="1"/>
      <c r="H178" s="73"/>
    </row>
    <row r="179" spans="1:11">
      <c r="A179" s="72"/>
      <c r="B179" s="1"/>
      <c r="C179" s="1"/>
      <c r="D179" s="73"/>
      <c r="E179" s="72"/>
      <c r="F179" s="1"/>
      <c r="G179" s="1"/>
      <c r="H179" s="73"/>
      <c r="K179" s="11"/>
    </row>
    <row r="180" spans="1:11">
      <c r="A180" s="72"/>
      <c r="B180" s="1"/>
      <c r="C180" s="1"/>
      <c r="D180" s="73"/>
      <c r="E180" s="72"/>
      <c r="F180" s="1"/>
      <c r="G180" s="1"/>
      <c r="H180" s="73"/>
    </row>
    <row r="181" spans="1:11">
      <c r="A181" s="72"/>
      <c r="B181" s="1"/>
      <c r="C181" s="1"/>
      <c r="D181" s="73"/>
      <c r="E181" s="72"/>
      <c r="F181" s="1"/>
      <c r="G181" s="1"/>
      <c r="H181" s="73"/>
    </row>
    <row r="182" spans="1:11">
      <c r="A182" s="72"/>
      <c r="B182" s="1"/>
      <c r="C182" s="1"/>
      <c r="D182" s="73"/>
      <c r="E182" s="72"/>
      <c r="F182" s="1"/>
      <c r="G182" s="1"/>
      <c r="H182" s="73"/>
    </row>
    <row r="183" spans="1:11">
      <c r="A183" s="72"/>
      <c r="B183" s="1"/>
      <c r="C183" s="1"/>
      <c r="D183" s="73"/>
      <c r="E183" s="72"/>
      <c r="F183" s="1"/>
      <c r="G183" s="1"/>
      <c r="H183" s="73"/>
    </row>
    <row r="184" spans="1:11">
      <c r="A184" s="72"/>
      <c r="B184" s="1"/>
      <c r="C184" s="1"/>
      <c r="D184" s="73"/>
      <c r="E184" s="72"/>
      <c r="F184" s="1"/>
      <c r="G184" s="1"/>
      <c r="H184" s="73"/>
    </row>
    <row r="185" spans="1:11">
      <c r="A185" s="72"/>
      <c r="B185" s="1"/>
      <c r="C185" s="1"/>
      <c r="D185" s="73"/>
      <c r="E185" s="72"/>
      <c r="F185" s="1"/>
      <c r="G185" s="1"/>
      <c r="H185" s="73"/>
    </row>
    <row r="186" spans="1:11">
      <c r="A186" s="72"/>
      <c r="B186" s="1"/>
      <c r="C186" s="1"/>
      <c r="D186" s="73"/>
      <c r="E186" s="72"/>
      <c r="F186" s="1"/>
      <c r="G186" s="1"/>
      <c r="H186" s="73"/>
    </row>
    <row r="187" spans="1:11">
      <c r="A187" s="72"/>
      <c r="B187" s="1"/>
      <c r="C187" s="1"/>
      <c r="D187" s="73"/>
      <c r="E187" s="72"/>
      <c r="F187" s="1"/>
      <c r="G187" s="1"/>
      <c r="H187" s="73"/>
    </row>
    <row r="188" spans="1:11">
      <c r="A188" s="72"/>
      <c r="B188" s="1"/>
      <c r="C188" s="1"/>
      <c r="D188" s="73"/>
      <c r="E188" s="72"/>
      <c r="F188" s="1"/>
      <c r="G188" s="1"/>
      <c r="H188" s="73"/>
    </row>
    <row r="189" spans="1:11">
      <c r="A189" s="72"/>
      <c r="B189" s="1"/>
      <c r="C189" s="1"/>
      <c r="D189" s="73"/>
      <c r="E189" s="72"/>
      <c r="F189" s="1"/>
      <c r="G189" s="1"/>
      <c r="H189" s="73"/>
    </row>
    <row r="190" spans="1:11">
      <c r="A190" s="72"/>
      <c r="B190" s="1"/>
      <c r="C190" s="1"/>
      <c r="D190" s="73"/>
      <c r="E190" s="72"/>
      <c r="F190" s="1"/>
      <c r="G190" s="1"/>
      <c r="H190" s="73"/>
    </row>
    <row r="191" spans="1:11">
      <c r="A191" s="72"/>
      <c r="B191" s="1"/>
      <c r="C191" s="1"/>
      <c r="D191" s="73"/>
      <c r="E191" s="72"/>
      <c r="F191" s="1"/>
      <c r="G191" s="1"/>
      <c r="H191" s="73"/>
    </row>
    <row r="192" spans="1:11">
      <c r="A192" s="72"/>
      <c r="B192" s="1"/>
      <c r="C192" s="1"/>
      <c r="D192" s="73"/>
      <c r="E192" s="72"/>
      <c r="F192" s="1"/>
      <c r="G192" s="1"/>
      <c r="H192" s="73"/>
    </row>
    <row r="193" spans="1:8">
      <c r="A193" s="72"/>
      <c r="B193" s="1"/>
      <c r="C193" s="1"/>
      <c r="D193" s="73"/>
      <c r="E193" s="72"/>
      <c r="F193" s="1"/>
      <c r="G193" s="1"/>
      <c r="H193" s="73"/>
    </row>
    <row r="194" spans="1:8">
      <c r="A194" s="72"/>
      <c r="B194" s="1"/>
      <c r="C194" s="1"/>
      <c r="D194" s="73"/>
      <c r="E194" s="72"/>
      <c r="F194" s="1"/>
      <c r="G194" s="1"/>
      <c r="H194" s="73"/>
    </row>
    <row r="195" spans="1:8">
      <c r="A195" s="72"/>
      <c r="B195" s="1"/>
      <c r="C195" s="1"/>
      <c r="D195" s="73"/>
      <c r="E195" s="72"/>
      <c r="F195" s="1"/>
      <c r="G195" s="1"/>
      <c r="H195" s="73"/>
    </row>
    <row r="196" spans="1:8">
      <c r="A196" s="72"/>
      <c r="B196" s="1"/>
      <c r="C196" s="1"/>
      <c r="D196" s="73"/>
      <c r="E196" s="72"/>
      <c r="F196" s="1"/>
      <c r="G196" s="1"/>
      <c r="H196" s="73"/>
    </row>
    <row r="197" spans="1:8">
      <c r="A197" s="72"/>
      <c r="B197" s="1"/>
      <c r="C197" s="1"/>
      <c r="D197" s="73"/>
      <c r="E197" s="72"/>
      <c r="F197" s="1"/>
      <c r="G197" s="1"/>
      <c r="H197" s="73"/>
    </row>
    <row r="198" spans="1:8">
      <c r="A198" s="72"/>
      <c r="B198" s="1"/>
      <c r="C198" s="1"/>
      <c r="D198" s="73"/>
      <c r="E198" s="72"/>
      <c r="F198" s="1"/>
      <c r="G198" s="1"/>
      <c r="H198" s="73"/>
    </row>
    <row r="199" spans="1:8">
      <c r="A199" s="72"/>
      <c r="B199" s="1"/>
      <c r="C199" s="1"/>
      <c r="D199" s="73"/>
      <c r="E199" s="72"/>
      <c r="F199" s="1"/>
      <c r="G199" s="1"/>
      <c r="H199" s="73"/>
    </row>
    <row r="200" spans="1:8">
      <c r="A200" s="72"/>
      <c r="B200" s="1"/>
      <c r="C200" s="1"/>
      <c r="D200" s="73"/>
      <c r="E200" s="72"/>
      <c r="F200" s="1"/>
      <c r="G200" s="1"/>
      <c r="H200" s="73"/>
    </row>
    <row r="201" spans="1:8">
      <c r="A201" s="72"/>
      <c r="B201" s="1"/>
      <c r="C201" s="1"/>
      <c r="D201" s="73"/>
      <c r="E201" s="72"/>
      <c r="F201" s="1"/>
      <c r="G201" s="1"/>
      <c r="H201" s="73"/>
    </row>
    <row r="202" spans="1:8">
      <c r="A202" s="72"/>
      <c r="B202" s="1"/>
      <c r="C202" s="1"/>
      <c r="D202" s="73"/>
      <c r="E202" s="72"/>
      <c r="F202" s="1"/>
      <c r="G202" s="1"/>
      <c r="H202" s="73"/>
    </row>
    <row r="203" spans="1:8">
      <c r="A203" s="72"/>
      <c r="B203" s="1"/>
      <c r="C203" s="1"/>
      <c r="D203" s="73"/>
      <c r="E203" s="72"/>
      <c r="F203" s="1"/>
      <c r="G203" s="1"/>
      <c r="H203" s="73"/>
    </row>
    <row r="204" spans="1:8">
      <c r="A204" s="72"/>
      <c r="B204" s="1"/>
      <c r="C204" s="1"/>
      <c r="D204" s="73"/>
      <c r="E204" s="72"/>
      <c r="F204" s="1"/>
      <c r="G204" s="1"/>
      <c r="H204" s="73"/>
    </row>
    <row r="205" spans="1:8">
      <c r="A205" s="72"/>
      <c r="B205" s="1"/>
      <c r="C205" s="1"/>
      <c r="D205" s="73"/>
      <c r="E205" s="72"/>
      <c r="F205" s="1"/>
      <c r="G205" s="1"/>
      <c r="H205" s="73"/>
    </row>
    <row r="206" spans="1:8">
      <c r="A206" s="72"/>
      <c r="B206" s="1"/>
      <c r="C206" s="1"/>
      <c r="D206" s="73"/>
      <c r="E206" s="72"/>
      <c r="F206" s="1"/>
      <c r="G206" s="1"/>
      <c r="H206" s="73"/>
    </row>
    <row r="207" spans="1:8">
      <c r="A207" s="72"/>
      <c r="B207" s="1"/>
      <c r="C207" s="1"/>
      <c r="D207" s="73"/>
      <c r="E207" s="72"/>
      <c r="F207" s="1"/>
      <c r="G207" s="1"/>
      <c r="H207" s="73"/>
    </row>
    <row r="208" spans="1:8">
      <c r="A208" s="72"/>
      <c r="B208" s="1"/>
      <c r="C208" s="1"/>
      <c r="D208" s="73"/>
      <c r="E208" s="72"/>
      <c r="F208" s="1"/>
      <c r="G208" s="1"/>
      <c r="H208" s="73"/>
    </row>
    <row r="209" spans="1:8">
      <c r="A209" s="72"/>
      <c r="B209" s="1"/>
      <c r="C209" s="1"/>
      <c r="D209" s="73"/>
      <c r="E209" s="72"/>
      <c r="F209" s="1"/>
      <c r="G209" s="1"/>
      <c r="H209" s="73"/>
    </row>
    <row r="210" spans="1:8">
      <c r="A210" s="72"/>
      <c r="B210" s="1"/>
      <c r="C210" s="1"/>
      <c r="D210" s="73"/>
      <c r="E210" s="72"/>
      <c r="F210" s="1"/>
      <c r="G210" s="1"/>
      <c r="H210" s="73"/>
    </row>
    <row r="211" spans="1:8">
      <c r="A211" s="72"/>
      <c r="B211" s="1"/>
      <c r="C211" s="1"/>
      <c r="D211" s="73"/>
      <c r="E211" s="72"/>
      <c r="F211" s="1"/>
      <c r="G211" s="1"/>
      <c r="H211" s="73"/>
    </row>
    <row r="212" spans="1:8">
      <c r="A212" s="72"/>
      <c r="B212" s="1"/>
      <c r="C212" s="1"/>
      <c r="D212" s="73"/>
      <c r="E212" s="72"/>
      <c r="F212" s="1"/>
      <c r="G212" s="1"/>
      <c r="H212" s="73"/>
    </row>
    <row r="213" spans="1:8">
      <c r="A213" s="72"/>
      <c r="B213" s="1"/>
      <c r="C213" s="1"/>
      <c r="D213" s="73"/>
      <c r="E213" s="72"/>
      <c r="F213" s="1"/>
      <c r="G213" s="1"/>
      <c r="H213" s="73"/>
    </row>
    <row r="214" spans="1:8">
      <c r="A214" s="72"/>
      <c r="B214" s="1"/>
      <c r="C214" s="1"/>
      <c r="D214" s="73"/>
      <c r="E214" s="72"/>
      <c r="F214" s="1"/>
      <c r="G214" s="1"/>
      <c r="H214" s="73"/>
    </row>
    <row r="215" spans="1:8">
      <c r="A215" s="72"/>
      <c r="B215" s="1"/>
      <c r="C215" s="1"/>
      <c r="D215" s="73"/>
      <c r="E215" s="72"/>
      <c r="F215" s="1"/>
      <c r="G215" s="1"/>
      <c r="H215" s="73"/>
    </row>
    <row r="216" spans="1:8">
      <c r="A216" s="72"/>
      <c r="B216" s="1"/>
      <c r="C216" s="1"/>
      <c r="D216" s="73"/>
      <c r="E216" s="72"/>
      <c r="F216" s="1"/>
      <c r="G216" s="1"/>
      <c r="H216" s="73"/>
    </row>
    <row r="217" spans="1:8">
      <c r="A217" s="72"/>
      <c r="B217" s="1"/>
      <c r="C217" s="1"/>
      <c r="D217" s="73"/>
      <c r="E217" s="72"/>
      <c r="F217" s="1"/>
      <c r="G217" s="1"/>
      <c r="H217" s="73"/>
    </row>
    <row r="218" spans="1:8">
      <c r="A218" s="72"/>
      <c r="B218" s="1"/>
      <c r="C218" s="1"/>
      <c r="D218" s="73"/>
      <c r="E218" s="72"/>
      <c r="F218" s="1"/>
      <c r="G218" s="1"/>
      <c r="H218" s="73"/>
    </row>
    <row r="219" spans="1:8">
      <c r="A219" s="72"/>
      <c r="B219" s="1"/>
      <c r="C219" s="1"/>
      <c r="D219" s="73"/>
      <c r="E219" s="72"/>
      <c r="F219" s="1"/>
      <c r="G219" s="1"/>
      <c r="H219" s="73"/>
    </row>
    <row r="220" spans="1:8">
      <c r="A220" s="72"/>
      <c r="B220" s="1"/>
      <c r="C220" s="1"/>
      <c r="D220" s="73"/>
      <c r="E220" s="72"/>
      <c r="F220" s="1"/>
      <c r="G220" s="1"/>
      <c r="H220" s="73"/>
    </row>
    <row r="221" spans="1:8">
      <c r="A221" s="72"/>
      <c r="B221" s="1"/>
      <c r="C221" s="1"/>
      <c r="D221" s="73"/>
      <c r="E221" s="72"/>
      <c r="F221" s="1"/>
      <c r="G221" s="1"/>
      <c r="H221" s="73"/>
    </row>
    <row r="222" spans="1:8">
      <c r="A222" s="72"/>
      <c r="B222" s="1"/>
      <c r="C222" s="1"/>
      <c r="D222" s="73"/>
      <c r="E222" s="72"/>
      <c r="F222" s="1"/>
      <c r="G222" s="1"/>
      <c r="H222" s="73"/>
    </row>
    <row r="223" spans="1:8">
      <c r="A223" s="72"/>
      <c r="B223" s="1"/>
      <c r="C223" s="1"/>
      <c r="D223" s="73"/>
      <c r="E223" s="72"/>
      <c r="F223" s="1"/>
      <c r="G223" s="1"/>
      <c r="H223" s="73"/>
    </row>
    <row r="224" spans="1:8">
      <c r="A224" s="72"/>
      <c r="B224" s="1"/>
      <c r="C224" s="1"/>
      <c r="D224" s="73"/>
      <c r="E224" s="72"/>
      <c r="F224" s="1"/>
      <c r="G224" s="1"/>
      <c r="H224" s="73"/>
    </row>
    <row r="225" spans="1:8">
      <c r="A225" s="72"/>
      <c r="B225" s="1"/>
      <c r="C225" s="1"/>
      <c r="D225" s="73"/>
      <c r="E225" s="72"/>
      <c r="F225" s="1"/>
      <c r="G225" s="1"/>
      <c r="H225" s="73"/>
    </row>
    <row r="226" spans="1:8">
      <c r="A226" s="72"/>
      <c r="B226" s="1"/>
      <c r="C226" s="1"/>
      <c r="D226" s="73"/>
      <c r="E226" s="72"/>
      <c r="F226" s="1"/>
      <c r="G226" s="1"/>
      <c r="H226" s="73"/>
    </row>
    <row r="227" spans="1:8">
      <c r="A227" s="72"/>
      <c r="B227" s="1"/>
      <c r="C227" s="1"/>
      <c r="D227" s="73"/>
      <c r="E227" s="72"/>
      <c r="F227" s="1"/>
      <c r="G227" s="1"/>
      <c r="H227" s="73"/>
    </row>
    <row r="228" spans="1:8">
      <c r="A228" s="72"/>
      <c r="B228" s="1"/>
      <c r="C228" s="1"/>
      <c r="D228" s="73"/>
      <c r="E228" s="72"/>
      <c r="F228" s="1"/>
      <c r="G228" s="1"/>
      <c r="H228" s="73"/>
    </row>
    <row r="229" spans="1:8">
      <c r="A229" s="72"/>
      <c r="B229" s="1"/>
      <c r="C229" s="1"/>
      <c r="D229" s="73"/>
      <c r="E229" s="72"/>
      <c r="F229" s="1"/>
      <c r="G229" s="1"/>
      <c r="H229" s="73"/>
    </row>
    <row r="230" spans="1:8">
      <c r="A230" s="72"/>
      <c r="B230" s="1"/>
      <c r="C230" s="1"/>
      <c r="D230" s="73"/>
      <c r="E230" s="72"/>
      <c r="F230" s="1"/>
      <c r="G230" s="1"/>
      <c r="H230" s="73"/>
    </row>
    <row r="231" spans="1:8">
      <c r="A231" s="72"/>
      <c r="B231" s="1"/>
      <c r="C231" s="1"/>
      <c r="D231" s="73"/>
      <c r="E231" s="72"/>
      <c r="F231" s="1"/>
      <c r="G231" s="1"/>
      <c r="H231" s="73"/>
    </row>
    <row r="232" spans="1:8">
      <c r="A232" s="72"/>
      <c r="B232" s="1"/>
      <c r="C232" s="1"/>
      <c r="D232" s="73"/>
      <c r="E232" s="72"/>
      <c r="F232" s="1"/>
      <c r="G232" s="1"/>
      <c r="H232" s="73"/>
    </row>
    <row r="233" spans="1:8">
      <c r="A233" s="72"/>
      <c r="B233" s="1"/>
      <c r="C233" s="1"/>
      <c r="D233" s="73"/>
      <c r="E233" s="72"/>
      <c r="F233" s="1"/>
      <c r="G233" s="1"/>
      <c r="H233" s="73"/>
    </row>
    <row r="234" spans="1:8">
      <c r="A234" s="72"/>
      <c r="B234" s="1"/>
      <c r="C234" s="1"/>
      <c r="D234" s="73"/>
      <c r="E234" s="72"/>
      <c r="F234" s="1"/>
      <c r="G234" s="1"/>
      <c r="H234" s="73"/>
    </row>
    <row r="235" spans="1:8">
      <c r="A235" s="72"/>
      <c r="B235" s="1"/>
      <c r="C235" s="1"/>
      <c r="D235" s="73"/>
      <c r="E235" s="72"/>
      <c r="F235" s="1"/>
      <c r="G235" s="1"/>
      <c r="H235" s="73"/>
    </row>
    <row r="236" spans="1:8">
      <c r="A236" s="72"/>
      <c r="B236" s="1"/>
      <c r="C236" s="1"/>
      <c r="D236" s="73"/>
      <c r="E236" s="72"/>
      <c r="F236" s="1"/>
      <c r="G236" s="1"/>
      <c r="H236" s="73"/>
    </row>
    <row r="237" spans="1:8">
      <c r="A237" s="72"/>
      <c r="B237" s="1"/>
      <c r="C237" s="1"/>
      <c r="D237" s="73"/>
      <c r="E237" s="72"/>
      <c r="F237" s="1"/>
      <c r="G237" s="1"/>
      <c r="H237" s="73"/>
    </row>
    <row r="238" spans="1:8">
      <c r="A238" s="72"/>
      <c r="B238" s="1"/>
      <c r="C238" s="1"/>
      <c r="D238" s="73"/>
      <c r="E238" s="72"/>
      <c r="F238" s="1"/>
      <c r="G238" s="1"/>
      <c r="H238" s="73"/>
    </row>
    <row r="239" spans="1:8">
      <c r="A239" s="72"/>
      <c r="B239" s="1"/>
      <c r="C239" s="1"/>
      <c r="D239" s="73"/>
      <c r="E239" s="72"/>
      <c r="F239" s="1"/>
      <c r="G239" s="1"/>
      <c r="H239" s="73"/>
    </row>
    <row r="240" spans="1:8">
      <c r="A240" s="72"/>
      <c r="B240" s="1"/>
      <c r="C240" s="1"/>
      <c r="D240" s="73"/>
      <c r="E240" s="72"/>
      <c r="F240" s="1"/>
      <c r="G240" s="1"/>
      <c r="H240" s="73"/>
    </row>
    <row r="241" spans="1:8">
      <c r="A241" s="72"/>
      <c r="B241" s="1"/>
      <c r="C241" s="1"/>
      <c r="D241" s="73"/>
      <c r="E241" s="72"/>
      <c r="F241" s="1"/>
      <c r="G241" s="1"/>
      <c r="H241" s="73"/>
    </row>
    <row r="242" spans="1:8">
      <c r="A242" s="72"/>
      <c r="B242" s="1"/>
      <c r="C242" s="1"/>
      <c r="D242" s="73"/>
      <c r="E242" s="72"/>
      <c r="F242" s="1"/>
      <c r="G242" s="1"/>
      <c r="H242" s="73"/>
    </row>
    <row r="243" spans="1:8">
      <c r="A243" s="72"/>
      <c r="B243" s="1"/>
      <c r="C243" s="1"/>
      <c r="D243" s="73"/>
      <c r="E243" s="72"/>
      <c r="F243" s="1"/>
      <c r="G243" s="1"/>
      <c r="H243" s="73"/>
    </row>
    <row r="244" spans="1:8">
      <c r="A244" s="72"/>
      <c r="B244" s="1"/>
      <c r="C244" s="1"/>
      <c r="D244" s="73"/>
      <c r="E244" s="72"/>
      <c r="F244" s="1"/>
      <c r="G244" s="1"/>
      <c r="H244" s="73"/>
    </row>
    <row r="245" spans="1:8">
      <c r="A245" s="72"/>
      <c r="B245" s="1"/>
      <c r="C245" s="1"/>
      <c r="D245" s="73"/>
      <c r="E245" s="72"/>
      <c r="F245" s="1"/>
      <c r="G245" s="1"/>
      <c r="H245" s="73"/>
    </row>
    <row r="246" spans="1:8">
      <c r="A246" s="72"/>
      <c r="B246" s="1"/>
      <c r="C246" s="1"/>
      <c r="D246" s="73"/>
      <c r="E246" s="72"/>
      <c r="F246" s="1"/>
      <c r="G246" s="1"/>
      <c r="H246" s="73"/>
    </row>
    <row r="247" spans="1:8">
      <c r="A247" s="72"/>
      <c r="B247" s="1"/>
      <c r="C247" s="1"/>
      <c r="D247" s="73"/>
      <c r="E247" s="72"/>
      <c r="F247" s="1"/>
      <c r="G247" s="1"/>
      <c r="H247" s="73"/>
    </row>
    <row r="248" spans="1:8">
      <c r="A248" s="72"/>
      <c r="B248" s="1"/>
      <c r="C248" s="1"/>
      <c r="D248" s="73"/>
      <c r="E248" s="72"/>
      <c r="F248" s="1"/>
      <c r="G248" s="1"/>
      <c r="H248" s="73"/>
    </row>
    <row r="249" spans="1:8">
      <c r="A249" s="72"/>
      <c r="B249" s="1"/>
      <c r="C249" s="1"/>
      <c r="D249" s="73"/>
      <c r="E249" s="72"/>
      <c r="F249" s="1"/>
      <c r="G249" s="1"/>
      <c r="H249" s="73"/>
    </row>
    <row r="250" spans="1:8">
      <c r="A250" s="72"/>
      <c r="B250" s="1"/>
      <c r="C250" s="1"/>
      <c r="D250" s="73"/>
      <c r="E250" s="72"/>
      <c r="F250" s="1"/>
      <c r="G250" s="1"/>
      <c r="H250" s="73"/>
    </row>
    <row r="251" spans="1:8">
      <c r="A251" s="72"/>
      <c r="B251" s="1"/>
      <c r="C251" s="1"/>
      <c r="D251" s="73"/>
      <c r="E251" s="72"/>
      <c r="F251" s="1"/>
      <c r="G251" s="1"/>
      <c r="H251" s="73"/>
    </row>
    <row r="252" spans="1:8">
      <c r="A252" s="72"/>
      <c r="B252" s="1"/>
      <c r="C252" s="1"/>
      <c r="D252" s="73"/>
      <c r="E252" s="72"/>
      <c r="F252" s="1"/>
      <c r="G252" s="1"/>
      <c r="H252" s="73"/>
    </row>
    <row r="253" spans="1:8">
      <c r="A253" s="72"/>
      <c r="B253" s="1"/>
      <c r="C253" s="1"/>
      <c r="D253" s="73"/>
      <c r="E253" s="72"/>
      <c r="F253" s="1"/>
      <c r="G253" s="1"/>
      <c r="H253" s="73"/>
    </row>
    <row r="254" spans="1:8">
      <c r="A254" s="72"/>
      <c r="B254" s="1"/>
      <c r="C254" s="1"/>
      <c r="D254" s="73"/>
      <c r="E254" s="72"/>
      <c r="F254" s="1"/>
      <c r="G254" s="1"/>
      <c r="H254" s="73"/>
    </row>
    <row r="255" spans="1:8">
      <c r="A255" s="72"/>
      <c r="B255" s="1"/>
      <c r="C255" s="1"/>
      <c r="D255" s="73"/>
      <c r="E255" s="72"/>
      <c r="F255" s="1"/>
      <c r="G255" s="1"/>
      <c r="H255" s="73"/>
    </row>
    <row r="256" spans="1:8">
      <c r="A256" s="72"/>
      <c r="B256" s="1"/>
      <c r="C256" s="1"/>
      <c r="D256" s="73"/>
      <c r="E256" s="72"/>
      <c r="F256" s="1"/>
      <c r="G256" s="1"/>
      <c r="H256" s="73"/>
    </row>
    <row r="257" spans="1:8">
      <c r="A257" s="72"/>
      <c r="B257" s="1"/>
      <c r="C257" s="1"/>
      <c r="D257" s="73"/>
      <c r="E257" s="72"/>
      <c r="F257" s="1"/>
      <c r="G257" s="1"/>
      <c r="H257" s="73"/>
    </row>
    <row r="258" spans="1:8">
      <c r="A258" s="72"/>
      <c r="B258" s="1"/>
      <c r="C258" s="1"/>
      <c r="D258" s="73"/>
      <c r="E258" s="72"/>
      <c r="F258" s="1"/>
      <c r="G258" s="1"/>
      <c r="H258" s="73"/>
    </row>
    <row r="259" spans="1:8">
      <c r="A259" s="72"/>
      <c r="B259" s="1"/>
      <c r="C259" s="1"/>
      <c r="D259" s="73"/>
      <c r="E259" s="72"/>
      <c r="F259" s="1"/>
      <c r="G259" s="1"/>
      <c r="H259" s="73"/>
    </row>
    <row r="260" spans="1:8">
      <c r="A260" s="72"/>
      <c r="B260" s="1"/>
      <c r="C260" s="1"/>
      <c r="D260" s="73"/>
      <c r="E260" s="72"/>
      <c r="F260" s="1"/>
      <c r="G260" s="1"/>
      <c r="H260" s="73"/>
    </row>
    <row r="261" spans="1:8">
      <c r="A261" s="72"/>
      <c r="B261" s="1"/>
      <c r="C261" s="1"/>
      <c r="D261" s="73"/>
      <c r="E261" s="72"/>
      <c r="F261" s="1"/>
      <c r="G261" s="1"/>
      <c r="H261" s="73"/>
    </row>
    <row r="262" spans="1:8">
      <c r="A262" s="72"/>
      <c r="B262" s="1"/>
      <c r="C262" s="1"/>
      <c r="D262" s="73"/>
      <c r="E262" s="72"/>
      <c r="F262" s="1"/>
      <c r="G262" s="1"/>
      <c r="H262" s="73"/>
    </row>
    <row r="263" spans="1:8">
      <c r="A263" s="72"/>
      <c r="B263" s="1"/>
      <c r="C263" s="1"/>
      <c r="D263" s="73"/>
      <c r="E263" s="72"/>
      <c r="F263" s="1"/>
      <c r="G263" s="1"/>
      <c r="H263" s="73"/>
    </row>
    <row r="264" spans="1:8">
      <c r="A264" s="72"/>
      <c r="B264" s="1"/>
      <c r="C264" s="1"/>
      <c r="D264" s="73"/>
      <c r="E264" s="72"/>
      <c r="F264" s="1"/>
      <c r="G264" s="1"/>
      <c r="H264" s="73"/>
    </row>
    <row r="265" spans="1:8">
      <c r="A265" s="72"/>
      <c r="B265" s="1"/>
      <c r="C265" s="1"/>
      <c r="D265" s="73"/>
      <c r="E265" s="72"/>
      <c r="F265" s="1"/>
      <c r="G265" s="1"/>
      <c r="H265" s="73"/>
    </row>
    <row r="266" spans="1:8">
      <c r="A266" s="72"/>
      <c r="B266" s="1"/>
      <c r="C266" s="1"/>
      <c r="D266" s="73"/>
      <c r="E266" s="72"/>
      <c r="F266" s="1"/>
      <c r="G266" s="1"/>
      <c r="H266" s="73"/>
    </row>
    <row r="267" spans="1:8">
      <c r="A267" s="72"/>
      <c r="B267" s="1"/>
      <c r="C267" s="1"/>
      <c r="D267" s="73"/>
      <c r="E267" s="72"/>
      <c r="F267" s="1"/>
      <c r="G267" s="1"/>
      <c r="H267" s="73"/>
    </row>
    <row r="268" spans="1:8">
      <c r="A268" s="72"/>
      <c r="B268" s="1"/>
      <c r="C268" s="1"/>
      <c r="D268" s="73"/>
      <c r="E268" s="72"/>
      <c r="F268" s="1"/>
      <c r="G268" s="1"/>
      <c r="H268" s="73"/>
    </row>
    <row r="269" spans="1:8">
      <c r="A269" s="72"/>
      <c r="B269" s="1"/>
      <c r="C269" s="1"/>
      <c r="D269" s="73"/>
      <c r="E269" s="72"/>
      <c r="F269" s="1"/>
      <c r="G269" s="1"/>
      <c r="H269" s="73"/>
    </row>
    <row r="270" spans="1:8">
      <c r="A270" s="72"/>
      <c r="B270" s="1"/>
      <c r="C270" s="1"/>
      <c r="D270" s="73"/>
      <c r="E270" s="72"/>
      <c r="F270" s="1"/>
      <c r="G270" s="1"/>
      <c r="H270" s="73"/>
    </row>
    <row r="271" spans="1:8">
      <c r="A271" s="72"/>
      <c r="B271" s="1"/>
      <c r="C271" s="1"/>
      <c r="D271" s="73"/>
      <c r="E271" s="72"/>
      <c r="F271" s="1"/>
      <c r="G271" s="1"/>
      <c r="H271" s="73"/>
    </row>
    <row r="272" spans="1:8">
      <c r="A272" s="72"/>
      <c r="B272" s="1"/>
      <c r="C272" s="1"/>
      <c r="D272" s="73"/>
      <c r="E272" s="72"/>
      <c r="F272" s="1"/>
      <c r="G272" s="1"/>
      <c r="H272" s="73"/>
    </row>
    <row r="273" spans="1:8">
      <c r="A273" s="72"/>
      <c r="B273" s="1"/>
      <c r="C273" s="1"/>
      <c r="D273" s="73"/>
      <c r="E273" s="72"/>
      <c r="F273" s="1"/>
      <c r="G273" s="1"/>
      <c r="H273" s="73"/>
    </row>
    <row r="274" spans="1:8">
      <c r="A274" s="72"/>
      <c r="B274" s="1"/>
      <c r="C274" s="1"/>
      <c r="D274" s="73"/>
      <c r="E274" s="72"/>
      <c r="F274" s="1"/>
      <c r="G274" s="1"/>
      <c r="H274" s="73"/>
    </row>
    <row r="275" spans="1:8">
      <c r="A275" s="72"/>
      <c r="B275" s="1"/>
      <c r="C275" s="1"/>
      <c r="D275" s="73"/>
      <c r="E275" s="72"/>
      <c r="F275" s="1"/>
      <c r="G275" s="1"/>
      <c r="H275" s="73"/>
    </row>
    <row r="276" spans="1:8">
      <c r="A276" s="72"/>
      <c r="B276" s="1"/>
      <c r="C276" s="1"/>
      <c r="D276" s="73"/>
      <c r="E276" s="72"/>
      <c r="F276" s="1"/>
      <c r="G276" s="1"/>
      <c r="H276" s="73"/>
    </row>
    <row r="277" spans="1:8">
      <c r="A277" s="72"/>
      <c r="B277" s="1"/>
      <c r="C277" s="1"/>
      <c r="D277" s="73"/>
      <c r="E277" s="72"/>
      <c r="F277" s="1"/>
      <c r="G277" s="1"/>
      <c r="H277" s="73"/>
    </row>
    <row r="278" spans="1:8">
      <c r="A278" s="72"/>
      <c r="B278" s="1"/>
      <c r="C278" s="1"/>
      <c r="D278" s="73"/>
      <c r="E278" s="72"/>
      <c r="F278" s="1"/>
      <c r="G278" s="1"/>
      <c r="H278" s="73"/>
    </row>
    <row r="279" spans="1:8">
      <c r="A279" s="72"/>
      <c r="B279" s="1"/>
      <c r="C279" s="1"/>
      <c r="D279" s="73"/>
      <c r="E279" s="72"/>
      <c r="F279" s="1"/>
      <c r="G279" s="1"/>
      <c r="H279" s="73"/>
    </row>
    <row r="280" spans="1:8">
      <c r="A280" s="72"/>
      <c r="B280" s="1"/>
      <c r="C280" s="1"/>
      <c r="D280" s="73"/>
      <c r="E280" s="72"/>
      <c r="F280" s="1"/>
      <c r="G280" s="1"/>
      <c r="H280" s="73"/>
    </row>
    <row r="281" spans="1:8">
      <c r="A281" s="72"/>
      <c r="B281" s="1"/>
      <c r="C281" s="1"/>
      <c r="D281" s="73"/>
      <c r="E281" s="72"/>
      <c r="F281" s="1"/>
      <c r="G281" s="1"/>
      <c r="H281" s="73"/>
    </row>
    <row r="282" spans="1:8">
      <c r="A282" s="72"/>
      <c r="B282" s="1"/>
      <c r="C282" s="1"/>
      <c r="D282" s="73"/>
      <c r="E282" s="72"/>
      <c r="F282" s="1"/>
      <c r="G282" s="1"/>
      <c r="H282" s="73"/>
    </row>
    <row r="283" spans="1:8">
      <c r="A283" s="72"/>
      <c r="B283" s="1"/>
      <c r="C283" s="1"/>
      <c r="D283" s="73"/>
      <c r="E283" s="72"/>
      <c r="F283" s="1"/>
      <c r="G283" s="1"/>
      <c r="H283" s="73"/>
    </row>
    <row r="284" spans="1:8">
      <c r="A284" s="72"/>
      <c r="B284" s="1"/>
      <c r="C284" s="1"/>
      <c r="D284" s="73"/>
      <c r="E284" s="72"/>
      <c r="F284" s="1"/>
      <c r="G284" s="1"/>
      <c r="H284" s="73"/>
    </row>
    <row r="285" spans="1:8">
      <c r="A285" s="72"/>
      <c r="B285" s="1"/>
      <c r="C285" s="1"/>
      <c r="D285" s="73"/>
      <c r="E285" s="72"/>
      <c r="F285" s="1"/>
      <c r="G285" s="1"/>
      <c r="H285" s="73"/>
    </row>
    <row r="286" spans="1:8">
      <c r="A286" s="72"/>
      <c r="B286" s="1"/>
      <c r="C286" s="1"/>
      <c r="D286" s="73"/>
      <c r="E286" s="72"/>
      <c r="F286" s="1"/>
      <c r="G286" s="1"/>
      <c r="H286" s="73"/>
    </row>
    <row r="287" spans="1:8">
      <c r="A287" s="72"/>
      <c r="B287" s="1"/>
      <c r="C287" s="1"/>
      <c r="D287" s="73"/>
      <c r="E287" s="72"/>
      <c r="F287" s="1"/>
      <c r="G287" s="1"/>
      <c r="H287" s="73"/>
    </row>
    <row r="288" spans="1:8">
      <c r="A288" s="72"/>
      <c r="B288" s="1"/>
      <c r="C288" s="1"/>
      <c r="D288" s="73"/>
      <c r="E288" s="72"/>
      <c r="F288" s="1"/>
      <c r="G288" s="1"/>
      <c r="H288" s="73"/>
    </row>
    <row r="289" spans="1:8">
      <c r="A289" s="72"/>
      <c r="B289" s="1"/>
      <c r="C289" s="1"/>
      <c r="D289" s="73"/>
      <c r="E289" s="72"/>
      <c r="F289" s="1"/>
      <c r="G289" s="1"/>
      <c r="H289" s="73"/>
    </row>
    <row r="290" spans="1:8">
      <c r="A290" s="72"/>
      <c r="B290" s="1"/>
      <c r="C290" s="1"/>
      <c r="D290" s="73"/>
      <c r="E290" s="72"/>
      <c r="F290" s="1"/>
      <c r="G290" s="1"/>
      <c r="H290" s="73"/>
    </row>
    <row r="291" spans="1:8">
      <c r="A291" s="72"/>
      <c r="B291" s="1"/>
      <c r="C291" s="1"/>
      <c r="D291" s="73"/>
      <c r="E291" s="72"/>
      <c r="F291" s="1"/>
      <c r="G291" s="1"/>
      <c r="H291" s="73"/>
    </row>
    <row r="292" spans="1:8">
      <c r="A292" s="72"/>
      <c r="B292" s="1"/>
      <c r="C292" s="1"/>
      <c r="D292" s="73"/>
      <c r="E292" s="72"/>
      <c r="F292" s="1"/>
      <c r="G292" s="1"/>
      <c r="H292" s="73"/>
    </row>
    <row r="293" spans="1:8">
      <c r="A293" s="72"/>
      <c r="B293" s="1"/>
      <c r="C293" s="1"/>
      <c r="D293" s="73"/>
      <c r="E293" s="72"/>
      <c r="F293" s="1"/>
      <c r="G293" s="1"/>
      <c r="H293" s="73"/>
    </row>
    <row r="294" spans="1:8">
      <c r="A294" s="72"/>
      <c r="B294" s="1"/>
      <c r="C294" s="1"/>
      <c r="D294" s="73"/>
      <c r="E294" s="72"/>
      <c r="F294" s="1"/>
      <c r="G294" s="1"/>
      <c r="H294" s="73"/>
    </row>
    <row r="295" spans="1:8">
      <c r="A295" s="72"/>
      <c r="B295" s="1"/>
      <c r="C295" s="1"/>
      <c r="D295" s="73"/>
      <c r="E295" s="72"/>
      <c r="F295" s="1"/>
      <c r="G295" s="1"/>
      <c r="H295" s="73"/>
    </row>
    <row r="296" spans="1:8">
      <c r="A296" s="72"/>
      <c r="B296" s="1"/>
      <c r="C296" s="1"/>
      <c r="D296" s="73"/>
      <c r="E296" s="72"/>
      <c r="F296" s="1"/>
      <c r="G296" s="1"/>
      <c r="H296" s="73"/>
    </row>
    <row r="297" spans="1:8">
      <c r="A297" s="72"/>
      <c r="B297" s="1"/>
      <c r="C297" s="1"/>
      <c r="D297" s="73"/>
      <c r="E297" s="72"/>
      <c r="F297" s="1"/>
      <c r="G297" s="1"/>
      <c r="H297" s="73"/>
    </row>
    <row r="298" spans="1:8">
      <c r="A298" s="72"/>
      <c r="B298" s="1"/>
      <c r="C298" s="1"/>
      <c r="D298" s="73"/>
      <c r="E298" s="72"/>
      <c r="F298" s="1"/>
      <c r="G298" s="1"/>
      <c r="H298" s="73"/>
    </row>
    <row r="299" spans="1:8">
      <c r="A299" s="72"/>
      <c r="B299" s="1"/>
      <c r="C299" s="1"/>
      <c r="D299" s="73"/>
      <c r="E299" s="72"/>
      <c r="F299" s="1"/>
      <c r="G299" s="1"/>
      <c r="H299" s="73"/>
    </row>
    <row r="300" spans="1:8">
      <c r="A300" s="72"/>
      <c r="B300" s="1"/>
      <c r="C300" s="1"/>
      <c r="D300" s="73"/>
      <c r="E300" s="72"/>
      <c r="F300" s="1"/>
      <c r="G300" s="1"/>
      <c r="H300" s="73"/>
    </row>
    <row r="301" spans="1:8">
      <c r="A301" s="72"/>
      <c r="B301" s="1"/>
      <c r="C301" s="1"/>
      <c r="D301" s="73"/>
      <c r="E301" s="72"/>
      <c r="F301" s="1"/>
      <c r="G301" s="1"/>
      <c r="H301" s="73"/>
    </row>
    <row r="302" spans="1:8">
      <c r="A302" s="72"/>
      <c r="B302" s="1"/>
      <c r="C302" s="1"/>
      <c r="D302" s="73"/>
      <c r="E302" s="72"/>
      <c r="F302" s="1"/>
      <c r="G302" s="1"/>
      <c r="H302" s="73"/>
    </row>
    <row r="303" spans="1:8">
      <c r="A303" s="72"/>
      <c r="B303" s="1"/>
      <c r="C303" s="1"/>
      <c r="D303" s="73"/>
      <c r="E303" s="72"/>
      <c r="F303" s="1"/>
      <c r="G303" s="1"/>
      <c r="H303" s="73"/>
    </row>
    <row r="304" spans="1:8">
      <c r="A304" s="72"/>
      <c r="B304" s="1"/>
      <c r="C304" s="1"/>
      <c r="D304" s="73"/>
      <c r="E304" s="72"/>
      <c r="F304" s="1"/>
      <c r="G304" s="1"/>
      <c r="H304" s="73"/>
    </row>
    <row r="305" spans="1:8">
      <c r="A305" s="72"/>
      <c r="B305" s="1"/>
      <c r="C305" s="1"/>
      <c r="D305" s="73"/>
      <c r="E305" s="72"/>
      <c r="F305" s="1"/>
      <c r="G305" s="1"/>
      <c r="H305" s="73"/>
    </row>
    <row r="306" spans="1:8">
      <c r="A306" s="72"/>
      <c r="B306" s="1"/>
      <c r="C306" s="1"/>
      <c r="D306" s="73"/>
      <c r="E306" s="72"/>
      <c r="F306" s="1"/>
      <c r="G306" s="1"/>
      <c r="H306" s="73"/>
    </row>
    <row r="307" spans="1:8">
      <c r="A307" s="72"/>
      <c r="B307" s="1"/>
      <c r="C307" s="1"/>
      <c r="D307" s="73"/>
      <c r="E307" s="72"/>
      <c r="F307" s="1"/>
      <c r="G307" s="1"/>
      <c r="H307" s="73"/>
    </row>
    <row r="308" spans="1:8">
      <c r="A308" s="72"/>
      <c r="B308" s="1"/>
      <c r="C308" s="1"/>
      <c r="D308" s="73"/>
      <c r="E308" s="72"/>
      <c r="F308" s="1"/>
      <c r="G308" s="1"/>
      <c r="H308" s="73"/>
    </row>
    <row r="309" spans="1:8">
      <c r="A309" s="72"/>
      <c r="B309" s="1"/>
      <c r="C309" s="1"/>
      <c r="D309" s="73"/>
      <c r="E309" s="72"/>
      <c r="F309" s="1"/>
      <c r="G309" s="1"/>
      <c r="H309" s="73"/>
    </row>
    <row r="310" spans="1:8">
      <c r="A310" s="72"/>
      <c r="B310" s="1"/>
      <c r="C310" s="1"/>
      <c r="D310" s="73"/>
      <c r="E310" s="72"/>
      <c r="F310" s="1"/>
      <c r="G310" s="1"/>
      <c r="H310" s="73"/>
    </row>
    <row r="311" spans="1:8">
      <c r="A311" s="72"/>
      <c r="B311" s="1"/>
      <c r="C311" s="1"/>
      <c r="D311" s="73"/>
      <c r="E311" s="72"/>
      <c r="F311" s="1"/>
      <c r="G311" s="1"/>
      <c r="H311" s="73"/>
    </row>
    <row r="312" spans="1:8">
      <c r="A312" s="72"/>
      <c r="B312" s="1"/>
      <c r="C312" s="1"/>
      <c r="D312" s="73"/>
      <c r="E312" s="72"/>
      <c r="F312" s="1"/>
      <c r="G312" s="1"/>
      <c r="H312" s="73"/>
    </row>
    <row r="313" spans="1:8">
      <c r="A313" s="72"/>
      <c r="B313" s="1"/>
      <c r="C313" s="1"/>
      <c r="D313" s="73"/>
      <c r="E313" s="72"/>
      <c r="F313" s="1"/>
      <c r="G313" s="1"/>
      <c r="H313" s="73"/>
    </row>
    <row r="314" spans="1:8">
      <c r="A314" s="72"/>
      <c r="B314" s="1"/>
      <c r="C314" s="1"/>
      <c r="D314" s="73"/>
      <c r="E314" s="72"/>
      <c r="F314" s="1"/>
      <c r="G314" s="1"/>
      <c r="H314" s="73"/>
    </row>
    <row r="315" spans="1:8">
      <c r="A315" s="72"/>
      <c r="B315" s="1"/>
      <c r="C315" s="1"/>
      <c r="D315" s="73"/>
      <c r="E315" s="72"/>
      <c r="F315" s="1"/>
      <c r="G315" s="1"/>
      <c r="H315" s="73"/>
    </row>
    <row r="316" spans="1:8">
      <c r="A316" s="72"/>
      <c r="B316" s="1"/>
      <c r="C316" s="1"/>
      <c r="D316" s="73"/>
      <c r="E316" s="72"/>
      <c r="F316" s="1"/>
      <c r="G316" s="1"/>
      <c r="H316" s="73"/>
    </row>
    <row r="317" spans="1:8">
      <c r="A317" s="72"/>
      <c r="B317" s="1"/>
      <c r="C317" s="1"/>
      <c r="D317" s="73"/>
      <c r="E317" s="72"/>
      <c r="F317" s="1"/>
      <c r="G317" s="1"/>
      <c r="H317" s="73"/>
    </row>
    <row r="318" spans="1:8">
      <c r="A318" s="72"/>
      <c r="B318" s="1"/>
      <c r="C318" s="1"/>
      <c r="D318" s="73"/>
      <c r="E318" s="72"/>
      <c r="F318" s="1"/>
      <c r="G318" s="1"/>
      <c r="H318" s="73"/>
    </row>
    <row r="319" spans="1:8">
      <c r="A319" s="72"/>
      <c r="B319" s="1"/>
      <c r="C319" s="1"/>
      <c r="D319" s="73"/>
      <c r="E319" s="72"/>
      <c r="F319" s="1"/>
      <c r="G319" s="1"/>
      <c r="H319" s="73"/>
    </row>
    <row r="320" spans="1:8">
      <c r="A320" s="72"/>
      <c r="B320" s="1"/>
      <c r="C320" s="1"/>
      <c r="D320" s="73"/>
      <c r="E320" s="72"/>
      <c r="F320" s="1"/>
      <c r="G320" s="1"/>
      <c r="H320" s="73"/>
    </row>
    <row r="321" spans="1:8">
      <c r="A321" s="72"/>
      <c r="B321" s="1"/>
      <c r="C321" s="1"/>
      <c r="D321" s="73"/>
      <c r="E321" s="72"/>
      <c r="F321" s="1"/>
      <c r="G321" s="1"/>
      <c r="H321" s="73"/>
    </row>
    <row r="322" spans="1:8">
      <c r="A322" s="72"/>
      <c r="B322" s="1"/>
      <c r="C322" s="1"/>
      <c r="D322" s="73"/>
      <c r="E322" s="72"/>
      <c r="F322" s="1"/>
      <c r="G322" s="1"/>
      <c r="H322" s="73"/>
    </row>
    <row r="323" spans="1:8">
      <c r="A323" s="72"/>
      <c r="B323" s="1"/>
      <c r="C323" s="1"/>
      <c r="D323" s="73"/>
      <c r="E323" s="72"/>
      <c r="F323" s="1"/>
      <c r="G323" s="1"/>
      <c r="H323" s="73"/>
    </row>
    <row r="324" spans="1:8">
      <c r="A324" s="72"/>
      <c r="B324" s="1"/>
      <c r="C324" s="1"/>
      <c r="D324" s="73"/>
      <c r="E324" s="72"/>
      <c r="F324" s="1"/>
      <c r="G324" s="1"/>
      <c r="H324" s="73"/>
    </row>
    <row r="325" spans="1:8">
      <c r="A325" s="72"/>
      <c r="B325" s="1"/>
      <c r="C325" s="1"/>
      <c r="D325" s="73"/>
      <c r="E325" s="72"/>
      <c r="F325" s="1"/>
      <c r="G325" s="1"/>
      <c r="H325" s="73"/>
    </row>
    <row r="326" spans="1:8">
      <c r="A326" s="72"/>
      <c r="B326" s="1"/>
      <c r="C326" s="1"/>
      <c r="D326" s="73"/>
      <c r="E326" s="72"/>
      <c r="F326" s="1"/>
      <c r="G326" s="1"/>
      <c r="H326" s="73"/>
    </row>
    <row r="327" spans="1:8">
      <c r="A327" s="72"/>
      <c r="B327" s="1"/>
      <c r="C327" s="1"/>
      <c r="D327" s="73"/>
      <c r="E327" s="72"/>
      <c r="F327" s="1"/>
      <c r="G327" s="1"/>
      <c r="H327" s="73"/>
    </row>
    <row r="328" spans="1:8">
      <c r="A328" s="72"/>
      <c r="B328" s="1"/>
      <c r="C328" s="1"/>
      <c r="D328" s="73"/>
      <c r="E328" s="72"/>
      <c r="F328" s="1"/>
      <c r="G328" s="1"/>
      <c r="H328" s="73"/>
    </row>
    <row r="329" spans="1:8">
      <c r="A329" s="72"/>
      <c r="B329" s="1"/>
      <c r="C329" s="1"/>
      <c r="D329" s="73"/>
      <c r="E329" s="72"/>
      <c r="F329" s="1"/>
      <c r="G329" s="1"/>
      <c r="H329" s="73"/>
    </row>
    <row r="330" spans="1:8">
      <c r="A330" s="72"/>
      <c r="B330" s="1"/>
      <c r="C330" s="1"/>
      <c r="D330" s="73"/>
      <c r="E330" s="72"/>
      <c r="F330" s="1"/>
      <c r="G330" s="1"/>
      <c r="H330" s="73"/>
    </row>
    <row r="331" spans="1:8">
      <c r="A331" s="72"/>
      <c r="B331" s="1"/>
      <c r="C331" s="1"/>
      <c r="D331" s="73"/>
      <c r="E331" s="72"/>
      <c r="F331" s="1"/>
      <c r="G331" s="1"/>
      <c r="H331" s="73"/>
    </row>
    <row r="332" spans="1:8">
      <c r="A332" s="72"/>
      <c r="B332" s="1"/>
      <c r="C332" s="1"/>
      <c r="D332" s="73"/>
      <c r="E332" s="72"/>
      <c r="F332" s="1"/>
      <c r="G332" s="1"/>
      <c r="H332" s="73"/>
    </row>
    <row r="333" spans="1:8">
      <c r="A333" s="72"/>
      <c r="B333" s="1"/>
      <c r="C333" s="1"/>
      <c r="D333" s="73"/>
      <c r="E333" s="72"/>
      <c r="F333" s="1"/>
      <c r="G333" s="1"/>
      <c r="H333" s="73"/>
    </row>
    <row r="334" spans="1:8">
      <c r="A334" s="72"/>
      <c r="B334" s="1"/>
      <c r="C334" s="1"/>
      <c r="D334" s="73"/>
      <c r="E334" s="72"/>
      <c r="F334" s="1"/>
      <c r="G334" s="1"/>
      <c r="H334" s="73"/>
    </row>
    <row r="335" spans="1:8">
      <c r="A335" s="72"/>
      <c r="B335" s="1"/>
      <c r="C335" s="1"/>
      <c r="D335" s="73"/>
      <c r="E335" s="72"/>
      <c r="F335" s="1"/>
      <c r="G335" s="1"/>
      <c r="H335" s="73"/>
    </row>
    <row r="336" spans="1:8">
      <c r="A336" s="72"/>
      <c r="B336" s="1"/>
      <c r="C336" s="1"/>
      <c r="D336" s="73"/>
      <c r="E336" s="72"/>
      <c r="F336" s="1"/>
      <c r="G336" s="1"/>
      <c r="H336" s="73"/>
    </row>
    <row r="337" spans="1:8">
      <c r="A337" s="72"/>
      <c r="B337" s="1"/>
      <c r="C337" s="1"/>
      <c r="D337" s="73"/>
      <c r="E337" s="72"/>
      <c r="F337" s="1"/>
      <c r="G337" s="1"/>
      <c r="H337" s="73"/>
    </row>
    <row r="338" spans="1:8">
      <c r="A338" s="72"/>
      <c r="B338" s="1"/>
      <c r="C338" s="1"/>
      <c r="D338" s="73"/>
      <c r="E338" s="72"/>
      <c r="F338" s="1"/>
      <c r="G338" s="1"/>
      <c r="H338" s="73"/>
    </row>
    <row r="339" spans="1:8">
      <c r="A339" s="72"/>
      <c r="B339" s="1"/>
      <c r="C339" s="1"/>
      <c r="D339" s="73"/>
      <c r="E339" s="72"/>
      <c r="F339" s="1"/>
      <c r="G339" s="1"/>
      <c r="H339" s="73"/>
    </row>
    <row r="340" spans="1:8">
      <c r="A340" s="72"/>
      <c r="B340" s="1"/>
      <c r="C340" s="1"/>
      <c r="D340" s="73"/>
      <c r="E340" s="72"/>
      <c r="F340" s="1"/>
      <c r="G340" s="1"/>
      <c r="H340" s="73"/>
    </row>
    <row r="341" spans="1:8">
      <c r="A341" s="72"/>
      <c r="B341" s="1"/>
      <c r="C341" s="1"/>
      <c r="D341" s="73"/>
      <c r="E341" s="72"/>
      <c r="F341" s="1"/>
      <c r="G341" s="1"/>
      <c r="H341" s="73"/>
    </row>
    <row r="342" spans="1:8">
      <c r="A342" s="72"/>
      <c r="B342" s="1"/>
      <c r="C342" s="1"/>
      <c r="D342" s="73"/>
      <c r="E342" s="72"/>
      <c r="F342" s="1"/>
      <c r="G342" s="1"/>
      <c r="H342" s="73"/>
    </row>
    <row r="343" spans="1:8">
      <c r="A343" s="72"/>
      <c r="B343" s="1"/>
      <c r="C343" s="1"/>
      <c r="D343" s="73"/>
      <c r="E343" s="72"/>
      <c r="F343" s="1"/>
      <c r="G343" s="1"/>
      <c r="H343" s="73"/>
    </row>
    <row r="344" spans="1:8">
      <c r="A344" s="72"/>
      <c r="B344" s="1"/>
      <c r="C344" s="1"/>
      <c r="D344" s="73"/>
      <c r="E344" s="72"/>
      <c r="F344" s="1"/>
      <c r="G344" s="1"/>
      <c r="H344" s="73"/>
    </row>
    <row r="345" spans="1:8">
      <c r="A345" s="72"/>
      <c r="B345" s="1"/>
      <c r="C345" s="1"/>
      <c r="D345" s="73"/>
      <c r="E345" s="72"/>
      <c r="F345" s="1"/>
      <c r="G345" s="1"/>
      <c r="H345" s="73"/>
    </row>
    <row r="346" spans="1:8">
      <c r="A346" s="72"/>
      <c r="B346" s="1"/>
      <c r="C346" s="1"/>
      <c r="D346" s="73"/>
      <c r="E346" s="72"/>
      <c r="F346" s="1"/>
      <c r="G346" s="1"/>
      <c r="H346" s="73"/>
    </row>
    <row r="347" spans="1:8">
      <c r="A347" s="72"/>
      <c r="B347" s="1"/>
      <c r="C347" s="1"/>
      <c r="D347" s="73"/>
      <c r="E347" s="72"/>
      <c r="F347" s="1"/>
      <c r="G347" s="1"/>
      <c r="H347" s="73"/>
    </row>
    <row r="348" spans="1:8">
      <c r="A348" s="72"/>
      <c r="B348" s="1"/>
      <c r="C348" s="1"/>
      <c r="D348" s="73"/>
      <c r="E348" s="72"/>
      <c r="F348" s="1"/>
      <c r="G348" s="1"/>
      <c r="H348" s="73"/>
    </row>
    <row r="349" spans="1:8">
      <c r="A349" s="72"/>
      <c r="B349" s="1"/>
      <c r="C349" s="1"/>
      <c r="D349" s="73"/>
      <c r="E349" s="72"/>
      <c r="F349" s="1"/>
      <c r="G349" s="1"/>
      <c r="H349" s="73"/>
    </row>
    <row r="350" spans="1:8">
      <c r="A350" s="72"/>
      <c r="B350" s="1"/>
      <c r="C350" s="1"/>
      <c r="D350" s="73"/>
      <c r="E350" s="72"/>
      <c r="F350" s="1"/>
      <c r="G350" s="1"/>
      <c r="H350" s="73"/>
    </row>
    <row r="351" spans="1:8">
      <c r="A351" s="72"/>
      <c r="B351" s="1"/>
      <c r="C351" s="1"/>
      <c r="D351" s="73"/>
      <c r="E351" s="72"/>
      <c r="F351" s="1"/>
      <c r="G351" s="1"/>
      <c r="H351" s="73"/>
    </row>
    <row r="352" spans="1:8">
      <c r="A352" s="72"/>
      <c r="B352" s="1"/>
      <c r="C352" s="1"/>
      <c r="D352" s="73"/>
      <c r="E352" s="72"/>
      <c r="F352" s="1"/>
      <c r="G352" s="1"/>
      <c r="H352" s="73"/>
    </row>
    <row r="353" spans="1:8">
      <c r="A353" s="72"/>
      <c r="B353" s="1"/>
      <c r="C353" s="1"/>
      <c r="D353" s="73"/>
      <c r="E353" s="72"/>
      <c r="F353" s="1"/>
      <c r="G353" s="1"/>
      <c r="H353" s="73"/>
    </row>
    <row r="354" spans="1:8">
      <c r="A354" s="72"/>
      <c r="B354" s="1"/>
      <c r="C354" s="1"/>
      <c r="D354" s="73"/>
      <c r="E354" s="72"/>
      <c r="F354" s="1"/>
      <c r="G354" s="1"/>
      <c r="H354" s="73"/>
    </row>
    <row r="355" spans="1:8">
      <c r="A355" s="72"/>
      <c r="B355" s="1"/>
      <c r="C355" s="1"/>
      <c r="D355" s="73"/>
      <c r="E355" s="72"/>
      <c r="F355" s="1"/>
      <c r="G355" s="1"/>
      <c r="H355" s="73"/>
    </row>
    <row r="356" spans="1:8">
      <c r="A356" s="72"/>
      <c r="B356" s="1"/>
      <c r="C356" s="1"/>
      <c r="D356" s="73"/>
      <c r="E356" s="72"/>
      <c r="F356" s="1"/>
      <c r="G356" s="1"/>
      <c r="H356" s="73"/>
    </row>
    <row r="357" spans="1:8">
      <c r="A357" s="72"/>
      <c r="B357" s="1"/>
      <c r="C357" s="1"/>
      <c r="D357" s="73"/>
      <c r="E357" s="72"/>
      <c r="F357" s="1"/>
      <c r="G357" s="1"/>
      <c r="H357" s="73"/>
    </row>
    <row r="358" spans="1:8">
      <c r="A358" s="72"/>
      <c r="B358" s="1"/>
      <c r="C358" s="1"/>
      <c r="D358" s="73"/>
      <c r="E358" s="72"/>
      <c r="F358" s="1"/>
      <c r="G358" s="1"/>
      <c r="H358" s="73"/>
    </row>
    <row r="359" spans="1:8">
      <c r="A359" s="72"/>
      <c r="B359" s="1"/>
      <c r="C359" s="1"/>
      <c r="D359" s="73"/>
      <c r="E359" s="72"/>
      <c r="F359" s="1"/>
      <c r="G359" s="1"/>
      <c r="H359" s="73"/>
    </row>
    <row r="360" spans="1:8">
      <c r="A360" s="72"/>
      <c r="B360" s="1"/>
      <c r="C360" s="1"/>
      <c r="D360" s="73"/>
      <c r="E360" s="72"/>
      <c r="F360" s="1"/>
      <c r="G360" s="1"/>
      <c r="H360" s="73"/>
    </row>
    <row r="361" spans="1:8">
      <c r="A361" s="72"/>
      <c r="B361" s="1"/>
      <c r="C361" s="1"/>
      <c r="D361" s="73"/>
      <c r="E361" s="72"/>
      <c r="F361" s="1"/>
      <c r="G361" s="1"/>
      <c r="H361" s="73"/>
    </row>
    <row r="362" spans="1:8">
      <c r="A362" s="72"/>
      <c r="B362" s="1"/>
      <c r="C362" s="1"/>
      <c r="D362" s="73"/>
      <c r="E362" s="72"/>
      <c r="F362" s="1"/>
      <c r="G362" s="1"/>
      <c r="H362" s="73"/>
    </row>
    <row r="363" spans="1:8">
      <c r="A363" s="72"/>
      <c r="B363" s="1"/>
      <c r="C363" s="1"/>
      <c r="D363" s="73"/>
      <c r="E363" s="72"/>
      <c r="F363" s="1"/>
      <c r="G363" s="1"/>
      <c r="H363" s="73"/>
    </row>
    <row r="364" spans="1:8">
      <c r="A364" s="72"/>
      <c r="B364" s="1"/>
      <c r="C364" s="1"/>
      <c r="D364" s="73"/>
      <c r="E364" s="72"/>
      <c r="F364" s="1"/>
      <c r="G364" s="1"/>
      <c r="H364" s="73"/>
    </row>
    <row r="365" spans="1:8">
      <c r="A365" s="72"/>
      <c r="B365" s="1"/>
      <c r="C365" s="1"/>
      <c r="D365" s="73"/>
      <c r="E365" s="72"/>
      <c r="F365" s="1"/>
      <c r="G365" s="1"/>
      <c r="H365" s="73"/>
    </row>
    <row r="366" spans="1:8">
      <c r="A366" s="72"/>
      <c r="B366" s="1"/>
      <c r="C366" s="1"/>
      <c r="D366" s="73"/>
      <c r="E366" s="72"/>
      <c r="F366" s="1"/>
      <c r="G366" s="1"/>
      <c r="H366" s="73"/>
    </row>
    <row r="367" spans="1:8">
      <c r="A367" s="72"/>
      <c r="B367" s="1"/>
      <c r="C367" s="1"/>
      <c r="D367" s="73"/>
      <c r="E367" s="72"/>
      <c r="F367" s="1"/>
      <c r="G367" s="1"/>
      <c r="H367" s="73"/>
    </row>
    <row r="368" spans="1:8">
      <c r="A368" s="72"/>
      <c r="B368" s="1"/>
      <c r="C368" s="1"/>
      <c r="D368" s="73"/>
      <c r="E368" s="72"/>
      <c r="F368" s="1"/>
      <c r="G368" s="1"/>
      <c r="H368" s="73"/>
    </row>
    <row r="369" spans="1:8">
      <c r="A369" s="72"/>
      <c r="B369" s="1"/>
      <c r="C369" s="1"/>
      <c r="D369" s="73"/>
      <c r="E369" s="72"/>
      <c r="F369" s="1"/>
      <c r="G369" s="1"/>
      <c r="H369" s="73"/>
    </row>
    <row r="370" spans="1:8">
      <c r="A370" s="72"/>
      <c r="B370" s="1"/>
      <c r="C370" s="1"/>
      <c r="D370" s="73"/>
      <c r="E370" s="72"/>
      <c r="F370" s="1"/>
      <c r="G370" s="1"/>
      <c r="H370" s="73"/>
    </row>
    <row r="371" spans="1:8">
      <c r="A371" s="72"/>
      <c r="B371" s="1"/>
      <c r="C371" s="1"/>
      <c r="D371" s="73"/>
      <c r="E371" s="72"/>
      <c r="F371" s="1"/>
      <c r="G371" s="1"/>
      <c r="H371" s="73"/>
    </row>
    <row r="372" spans="1:8">
      <c r="A372" s="72"/>
      <c r="B372" s="1"/>
      <c r="C372" s="1"/>
      <c r="D372" s="73"/>
      <c r="E372" s="72"/>
      <c r="F372" s="1"/>
      <c r="G372" s="1"/>
      <c r="H372" s="73"/>
    </row>
    <row r="373" spans="1:8">
      <c r="A373" s="72"/>
      <c r="B373" s="1"/>
      <c r="C373" s="1"/>
      <c r="D373" s="73"/>
      <c r="E373" s="72"/>
      <c r="F373" s="1"/>
      <c r="G373" s="1"/>
      <c r="H373" s="73"/>
    </row>
    <row r="374" spans="1:8">
      <c r="A374" s="72"/>
      <c r="B374" s="1"/>
      <c r="C374" s="1"/>
      <c r="D374" s="73"/>
      <c r="E374" s="72"/>
      <c r="F374" s="1"/>
      <c r="G374" s="1"/>
      <c r="H374" s="73"/>
    </row>
    <row r="375" spans="1:8">
      <c r="A375" s="72"/>
      <c r="B375" s="1"/>
      <c r="C375" s="1"/>
      <c r="D375" s="73"/>
      <c r="E375" s="72"/>
      <c r="F375" s="1"/>
      <c r="G375" s="1"/>
      <c r="H375" s="73"/>
    </row>
    <row r="376" spans="1:8">
      <c r="A376" s="72"/>
      <c r="B376" s="1"/>
      <c r="C376" s="1"/>
      <c r="D376" s="73"/>
      <c r="E376" s="72"/>
      <c r="F376" s="1"/>
      <c r="G376" s="1"/>
      <c r="H376" s="73"/>
    </row>
    <row r="377" spans="1:8">
      <c r="A377" s="72"/>
      <c r="B377" s="1"/>
      <c r="C377" s="1"/>
      <c r="D377" s="73"/>
      <c r="E377" s="72"/>
      <c r="F377" s="1"/>
      <c r="G377" s="1"/>
      <c r="H377" s="73"/>
    </row>
    <row r="378" spans="1:8">
      <c r="A378" s="72"/>
      <c r="B378" s="1"/>
      <c r="C378" s="1"/>
      <c r="D378" s="73"/>
      <c r="E378" s="72"/>
      <c r="F378" s="1"/>
      <c r="G378" s="1"/>
      <c r="H378" s="73"/>
    </row>
    <row r="379" spans="1:8">
      <c r="A379" s="72"/>
      <c r="B379" s="1"/>
      <c r="C379" s="1"/>
      <c r="D379" s="73"/>
      <c r="E379" s="72"/>
      <c r="F379" s="1"/>
      <c r="G379" s="1"/>
      <c r="H379" s="73"/>
    </row>
    <row r="380" spans="1:8">
      <c r="A380" s="72"/>
      <c r="B380" s="1"/>
      <c r="C380" s="1"/>
      <c r="D380" s="73"/>
      <c r="E380" s="72"/>
      <c r="F380" s="1"/>
      <c r="G380" s="1"/>
      <c r="H380" s="73"/>
    </row>
    <row r="381" spans="1:8">
      <c r="A381" s="72"/>
      <c r="B381" s="1"/>
      <c r="C381" s="1"/>
      <c r="D381" s="73"/>
      <c r="E381" s="72"/>
      <c r="F381" s="1"/>
      <c r="G381" s="1"/>
      <c r="H381" s="73"/>
    </row>
    <row r="382" spans="1:8">
      <c r="A382" s="72"/>
      <c r="B382" s="1"/>
      <c r="C382" s="1"/>
      <c r="D382" s="73"/>
      <c r="E382" s="72"/>
      <c r="F382" s="1"/>
      <c r="G382" s="1"/>
      <c r="H382" s="73"/>
    </row>
    <row r="383" spans="1:8">
      <c r="A383" s="72"/>
      <c r="B383" s="1"/>
      <c r="C383" s="1"/>
      <c r="D383" s="73"/>
      <c r="E383" s="72"/>
      <c r="F383" s="1"/>
      <c r="G383" s="1"/>
      <c r="H383" s="73"/>
    </row>
    <row r="384" spans="1:8">
      <c r="A384" s="72"/>
      <c r="B384" s="1"/>
      <c r="C384" s="1"/>
      <c r="D384" s="73"/>
      <c r="E384" s="72"/>
      <c r="F384" s="1"/>
      <c r="G384" s="1"/>
      <c r="H384" s="73"/>
    </row>
    <row r="385" spans="1:8">
      <c r="A385" s="72"/>
      <c r="B385" s="1"/>
      <c r="C385" s="1"/>
      <c r="D385" s="73"/>
      <c r="E385" s="72"/>
      <c r="F385" s="1"/>
      <c r="G385" s="1"/>
      <c r="H385" s="73"/>
    </row>
    <row r="386" spans="1:8">
      <c r="A386" s="72"/>
      <c r="B386" s="1"/>
      <c r="C386" s="1"/>
      <c r="D386" s="73"/>
      <c r="E386" s="72"/>
      <c r="F386" s="1"/>
      <c r="G386" s="1"/>
      <c r="H386" s="73"/>
    </row>
    <row r="387" spans="1:8">
      <c r="A387" s="72"/>
      <c r="B387" s="1"/>
      <c r="C387" s="1"/>
      <c r="D387" s="73"/>
      <c r="E387" s="72"/>
      <c r="F387" s="1"/>
      <c r="G387" s="1"/>
      <c r="H387" s="73"/>
    </row>
    <row r="388" spans="1:8">
      <c r="A388" s="72"/>
      <c r="B388" s="1"/>
      <c r="C388" s="1"/>
      <c r="D388" s="73"/>
      <c r="E388" s="72"/>
      <c r="F388" s="1"/>
      <c r="G388" s="1"/>
      <c r="H388" s="73"/>
    </row>
    <row r="389" spans="1:8">
      <c r="A389" s="72"/>
      <c r="B389" s="1"/>
      <c r="C389" s="1"/>
      <c r="D389" s="73"/>
      <c r="E389" s="72"/>
      <c r="F389" s="1"/>
      <c r="G389" s="1"/>
      <c r="H389" s="73"/>
    </row>
    <row r="390" spans="1:8">
      <c r="A390" s="72"/>
      <c r="B390" s="1"/>
      <c r="C390" s="1"/>
      <c r="D390" s="73"/>
      <c r="E390" s="72"/>
      <c r="F390" s="1"/>
      <c r="G390" s="1"/>
      <c r="H390" s="73"/>
    </row>
    <row r="391" spans="1:8">
      <c r="A391" s="72"/>
      <c r="B391" s="1"/>
      <c r="C391" s="1"/>
      <c r="D391" s="73"/>
      <c r="E391" s="72"/>
      <c r="F391" s="1"/>
      <c r="G391" s="1"/>
      <c r="H391" s="73"/>
    </row>
    <row r="392" spans="1:8">
      <c r="A392" s="72"/>
      <c r="B392" s="1"/>
      <c r="C392" s="1"/>
      <c r="D392" s="73"/>
      <c r="E392" s="72"/>
      <c r="F392" s="1"/>
      <c r="G392" s="1"/>
      <c r="H392" s="73"/>
    </row>
    <row r="393" spans="1:8">
      <c r="A393" s="72"/>
      <c r="B393" s="1"/>
      <c r="C393" s="1"/>
      <c r="D393" s="73"/>
      <c r="E393" s="72"/>
      <c r="F393" s="1"/>
      <c r="G393" s="1"/>
      <c r="H393" s="73"/>
    </row>
    <row r="394" spans="1:8">
      <c r="A394" s="72"/>
      <c r="B394" s="1"/>
      <c r="C394" s="1"/>
      <c r="D394" s="73"/>
      <c r="E394" s="72"/>
      <c r="F394" s="1"/>
      <c r="G394" s="1"/>
      <c r="H394" s="73"/>
    </row>
    <row r="395" spans="1:8">
      <c r="A395" s="72"/>
      <c r="B395" s="1"/>
      <c r="C395" s="1"/>
      <c r="D395" s="73"/>
      <c r="E395" s="72"/>
      <c r="F395" s="1"/>
      <c r="G395" s="1"/>
      <c r="H395" s="73"/>
    </row>
    <row r="396" spans="1:8">
      <c r="A396" s="72"/>
      <c r="B396" s="1"/>
      <c r="C396" s="1"/>
      <c r="D396" s="73"/>
      <c r="E396" s="72"/>
      <c r="F396" s="1"/>
      <c r="G396" s="1"/>
      <c r="H396" s="73"/>
    </row>
    <row r="397" spans="1:8">
      <c r="A397" s="72"/>
      <c r="B397" s="1"/>
      <c r="C397" s="1"/>
      <c r="D397" s="73"/>
      <c r="E397" s="72"/>
      <c r="F397" s="1"/>
      <c r="G397" s="1"/>
      <c r="H397" s="73"/>
    </row>
    <row r="398" spans="1:8">
      <c r="A398" s="72"/>
      <c r="B398" s="1"/>
      <c r="C398" s="1"/>
      <c r="D398" s="73"/>
      <c r="E398" s="72"/>
      <c r="F398" s="1"/>
      <c r="G398" s="1"/>
      <c r="H398" s="73"/>
    </row>
    <row r="399" spans="1:8">
      <c r="A399" s="72"/>
      <c r="B399" s="1"/>
      <c r="C399" s="1"/>
      <c r="D399" s="73"/>
      <c r="E399" s="72"/>
      <c r="F399" s="1"/>
      <c r="G399" s="1"/>
      <c r="H399" s="73"/>
    </row>
    <row r="400" spans="1:8">
      <c r="A400" s="72"/>
      <c r="B400" s="1"/>
      <c r="C400" s="1"/>
      <c r="D400" s="73"/>
      <c r="E400" s="72"/>
      <c r="F400" s="1"/>
      <c r="G400" s="1"/>
      <c r="H400" s="73"/>
    </row>
    <row r="401" spans="1:8">
      <c r="A401" s="72"/>
      <c r="B401" s="1"/>
      <c r="C401" s="1"/>
      <c r="D401" s="73"/>
      <c r="E401" s="72"/>
      <c r="F401" s="1"/>
      <c r="G401" s="1"/>
      <c r="H401" s="73"/>
    </row>
    <row r="402" spans="1:8">
      <c r="A402" s="72"/>
      <c r="B402" s="1"/>
      <c r="C402" s="1"/>
      <c r="D402" s="73"/>
      <c r="E402" s="72"/>
      <c r="F402" s="1"/>
      <c r="G402" s="1"/>
      <c r="H402" s="73"/>
    </row>
    <row r="403" spans="1:8">
      <c r="A403" s="72"/>
      <c r="B403" s="1"/>
      <c r="C403" s="1"/>
      <c r="D403" s="73"/>
      <c r="E403" s="72"/>
      <c r="F403" s="1"/>
      <c r="G403" s="1"/>
      <c r="H403" s="73"/>
    </row>
    <row r="404" spans="1:8">
      <c r="A404" s="72"/>
      <c r="B404" s="1"/>
      <c r="C404" s="1"/>
      <c r="D404" s="73"/>
      <c r="E404" s="72"/>
      <c r="F404" s="1"/>
      <c r="G404" s="1"/>
      <c r="H404" s="73"/>
    </row>
    <row r="405" spans="1:8">
      <c r="A405" s="72"/>
      <c r="B405" s="1"/>
      <c r="C405" s="1"/>
      <c r="D405" s="73"/>
      <c r="E405" s="72"/>
      <c r="F405" s="1"/>
      <c r="G405" s="1"/>
      <c r="H405" s="73"/>
    </row>
    <row r="406" spans="1:8">
      <c r="A406" s="72"/>
      <c r="B406" s="1"/>
      <c r="C406" s="1"/>
      <c r="D406" s="73"/>
      <c r="E406" s="72"/>
      <c r="F406" s="1"/>
      <c r="G406" s="1"/>
      <c r="H406" s="73"/>
    </row>
    <row r="407" spans="1:8">
      <c r="A407" s="72"/>
      <c r="B407" s="1"/>
      <c r="C407" s="1"/>
      <c r="D407" s="73"/>
      <c r="E407" s="72"/>
      <c r="F407" s="1"/>
      <c r="G407" s="1"/>
      <c r="H407" s="73"/>
    </row>
    <row r="408" spans="1:8">
      <c r="A408" s="72"/>
      <c r="B408" s="1"/>
      <c r="C408" s="1"/>
      <c r="D408" s="73"/>
      <c r="E408" s="72"/>
      <c r="F408" s="1"/>
      <c r="G408" s="1"/>
      <c r="H408" s="73"/>
    </row>
    <row r="409" spans="1:8">
      <c r="A409" s="72"/>
      <c r="B409" s="1"/>
      <c r="C409" s="1"/>
      <c r="D409" s="73"/>
      <c r="E409" s="72"/>
      <c r="F409" s="1"/>
      <c r="G409" s="1"/>
      <c r="H409" s="73"/>
    </row>
    <row r="410" spans="1:8">
      <c r="A410" s="72"/>
      <c r="B410" s="1"/>
      <c r="C410" s="1"/>
      <c r="D410" s="73"/>
      <c r="E410" s="72"/>
      <c r="F410" s="1"/>
      <c r="G410" s="1"/>
      <c r="H410" s="73"/>
    </row>
    <row r="411" spans="1:8">
      <c r="A411" s="72"/>
      <c r="B411" s="1"/>
      <c r="C411" s="1"/>
      <c r="D411" s="73"/>
      <c r="E411" s="72"/>
      <c r="F411" s="1"/>
      <c r="G411" s="1"/>
      <c r="H411" s="73"/>
    </row>
    <row r="412" spans="1:8">
      <c r="A412" s="72"/>
      <c r="B412" s="1"/>
      <c r="C412" s="1"/>
      <c r="D412" s="73"/>
      <c r="E412" s="72"/>
      <c r="F412" s="1"/>
      <c r="G412" s="1"/>
      <c r="H412" s="73"/>
    </row>
    <row r="413" spans="1:8">
      <c r="A413" s="72"/>
      <c r="B413" s="1"/>
      <c r="C413" s="1"/>
      <c r="D413" s="73"/>
      <c r="E413" s="72"/>
      <c r="F413" s="1"/>
      <c r="G413" s="1"/>
      <c r="H413" s="73"/>
    </row>
    <row r="414" spans="1:8">
      <c r="A414" s="72"/>
      <c r="B414" s="1"/>
      <c r="C414" s="1"/>
      <c r="D414" s="73"/>
      <c r="E414" s="72"/>
      <c r="F414" s="1"/>
      <c r="G414" s="1"/>
      <c r="H414" s="73"/>
    </row>
    <row r="415" spans="1:8">
      <c r="A415" s="72"/>
      <c r="B415" s="1"/>
      <c r="C415" s="1"/>
      <c r="D415" s="73"/>
      <c r="E415" s="72"/>
      <c r="F415" s="1"/>
      <c r="G415" s="1"/>
      <c r="H415" s="73"/>
    </row>
    <row r="416" spans="1:8">
      <c r="A416" s="72"/>
      <c r="B416" s="1"/>
      <c r="C416" s="1"/>
      <c r="D416" s="73"/>
      <c r="E416" s="72"/>
      <c r="F416" s="1"/>
      <c r="G416" s="1"/>
      <c r="H416" s="73"/>
    </row>
    <row r="417" spans="1:8">
      <c r="A417" s="72"/>
      <c r="B417" s="1"/>
      <c r="C417" s="1"/>
      <c r="D417" s="73"/>
      <c r="E417" s="72"/>
      <c r="F417" s="1"/>
      <c r="G417" s="1"/>
      <c r="H417" s="73"/>
    </row>
    <row r="418" spans="1:8">
      <c r="A418" s="72"/>
      <c r="B418" s="1"/>
      <c r="C418" s="1"/>
      <c r="D418" s="73"/>
      <c r="E418" s="72"/>
      <c r="F418" s="1"/>
      <c r="G418" s="1"/>
      <c r="H418" s="73"/>
    </row>
    <row r="419" spans="1:8">
      <c r="A419" s="72"/>
      <c r="B419" s="1"/>
      <c r="C419" s="1"/>
      <c r="D419" s="73"/>
      <c r="E419" s="72"/>
      <c r="F419" s="1"/>
      <c r="G419" s="1"/>
      <c r="H419" s="73"/>
    </row>
    <row r="420" spans="1:8">
      <c r="A420" s="72"/>
      <c r="B420" s="1"/>
      <c r="C420" s="1"/>
      <c r="D420" s="73"/>
      <c r="E420" s="72"/>
      <c r="F420" s="1"/>
      <c r="G420" s="1"/>
      <c r="H420" s="73"/>
    </row>
    <row r="421" spans="1:8">
      <c r="A421" s="72"/>
      <c r="B421" s="1"/>
      <c r="C421" s="1"/>
      <c r="D421" s="73"/>
      <c r="E421" s="72"/>
      <c r="F421" s="1"/>
      <c r="G421" s="1"/>
      <c r="H421" s="73"/>
    </row>
    <row r="422" spans="1:8">
      <c r="A422" s="72"/>
      <c r="B422" s="1"/>
      <c r="C422" s="1"/>
      <c r="D422" s="73"/>
      <c r="E422" s="72"/>
      <c r="F422" s="1"/>
      <c r="G422" s="1"/>
      <c r="H422" s="73"/>
    </row>
    <row r="423" spans="1:8">
      <c r="A423" s="72"/>
      <c r="B423" s="1"/>
      <c r="C423" s="1"/>
      <c r="D423" s="73"/>
      <c r="E423" s="72"/>
      <c r="F423" s="1"/>
      <c r="G423" s="1"/>
      <c r="H423" s="73"/>
    </row>
    <row r="424" spans="1:8">
      <c r="A424" s="72"/>
      <c r="B424" s="1"/>
      <c r="C424" s="1"/>
      <c r="D424" s="73"/>
      <c r="E424" s="72"/>
      <c r="F424" s="1"/>
      <c r="G424" s="1"/>
      <c r="H424" s="73"/>
    </row>
    <row r="425" spans="1:8">
      <c r="A425" s="72"/>
      <c r="B425" s="1"/>
      <c r="C425" s="1"/>
      <c r="D425" s="73"/>
      <c r="E425" s="72"/>
      <c r="F425" s="1"/>
      <c r="G425" s="1"/>
      <c r="H425" s="73"/>
    </row>
    <row r="426" spans="1:8">
      <c r="A426" s="72"/>
      <c r="B426" s="1"/>
      <c r="C426" s="1"/>
      <c r="D426" s="73"/>
      <c r="E426" s="72"/>
      <c r="F426" s="1"/>
      <c r="G426" s="1"/>
      <c r="H426" s="73"/>
    </row>
    <row r="427" spans="1:8">
      <c r="A427" s="72"/>
      <c r="B427" s="1"/>
      <c r="C427" s="1"/>
      <c r="D427" s="73"/>
      <c r="E427" s="72"/>
      <c r="F427" s="1"/>
      <c r="G427" s="1"/>
      <c r="H427" s="73"/>
    </row>
    <row r="428" spans="1:8">
      <c r="A428" s="72"/>
      <c r="B428" s="1"/>
      <c r="C428" s="1"/>
      <c r="D428" s="73"/>
      <c r="E428" s="72"/>
      <c r="F428" s="1"/>
      <c r="G428" s="1"/>
      <c r="H428" s="73"/>
    </row>
    <row r="429" spans="1:8">
      <c r="A429" s="72"/>
      <c r="B429" s="1"/>
      <c r="C429" s="1"/>
      <c r="D429" s="73"/>
      <c r="E429" s="72"/>
      <c r="F429" s="1"/>
      <c r="G429" s="1"/>
      <c r="H429" s="73"/>
    </row>
    <row r="430" spans="1:8">
      <c r="A430" s="72"/>
      <c r="B430" s="1"/>
      <c r="C430" s="1"/>
      <c r="D430" s="73"/>
      <c r="E430" s="72"/>
      <c r="F430" s="1"/>
      <c r="G430" s="1"/>
      <c r="H430" s="73"/>
    </row>
    <row r="431" spans="1:8">
      <c r="A431" s="72"/>
      <c r="B431" s="1"/>
      <c r="C431" s="1"/>
      <c r="D431" s="73"/>
      <c r="E431" s="72"/>
      <c r="F431" s="1"/>
      <c r="G431" s="1"/>
      <c r="H431" s="73"/>
    </row>
    <row r="432" spans="1:8">
      <c r="A432" s="72"/>
      <c r="B432" s="1"/>
      <c r="C432" s="1"/>
      <c r="D432" s="73"/>
      <c r="E432" s="72"/>
      <c r="F432" s="1"/>
      <c r="G432" s="1"/>
      <c r="H432" s="73"/>
    </row>
    <row r="433" spans="1:8">
      <c r="A433" s="72"/>
      <c r="B433" s="1"/>
      <c r="C433" s="1"/>
      <c r="D433" s="73"/>
      <c r="E433" s="72"/>
      <c r="F433" s="1"/>
      <c r="G433" s="1"/>
      <c r="H433" s="73"/>
    </row>
    <row r="434" spans="1:8">
      <c r="A434" s="72"/>
      <c r="B434" s="1"/>
      <c r="C434" s="1"/>
      <c r="D434" s="73"/>
      <c r="E434" s="72"/>
      <c r="F434" s="1"/>
      <c r="G434" s="1"/>
      <c r="H434" s="73"/>
    </row>
    <row r="435" spans="1:8">
      <c r="A435" s="72"/>
      <c r="B435" s="1"/>
      <c r="C435" s="1"/>
      <c r="D435" s="73"/>
      <c r="E435" s="72"/>
      <c r="F435" s="1"/>
      <c r="G435" s="1"/>
      <c r="H435" s="73"/>
    </row>
    <row r="436" spans="1:8">
      <c r="A436" s="72"/>
      <c r="B436" s="1"/>
      <c r="C436" s="1"/>
      <c r="D436" s="73"/>
      <c r="E436" s="72"/>
      <c r="F436" s="1"/>
      <c r="G436" s="1"/>
      <c r="H436" s="73"/>
    </row>
    <row r="437" spans="1:8">
      <c r="A437" s="72"/>
      <c r="B437" s="1"/>
      <c r="C437" s="1"/>
      <c r="D437" s="73"/>
      <c r="E437" s="72"/>
      <c r="F437" s="1"/>
      <c r="G437" s="1"/>
      <c r="H437" s="73"/>
    </row>
    <row r="438" spans="1:8">
      <c r="A438" s="72"/>
      <c r="B438" s="1"/>
      <c r="C438" s="1"/>
      <c r="D438" s="73"/>
      <c r="E438" s="72"/>
      <c r="F438" s="1"/>
      <c r="G438" s="1"/>
      <c r="H438" s="73"/>
    </row>
    <row r="439" spans="1:8">
      <c r="A439" s="72"/>
      <c r="B439" s="1"/>
      <c r="C439" s="1"/>
      <c r="D439" s="73"/>
      <c r="E439" s="72"/>
      <c r="F439" s="1"/>
      <c r="G439" s="1"/>
      <c r="H439" s="73"/>
    </row>
    <row r="440" spans="1:8">
      <c r="A440" s="72"/>
      <c r="B440" s="1"/>
      <c r="C440" s="1"/>
      <c r="D440" s="73"/>
      <c r="E440" s="72"/>
      <c r="F440" s="1"/>
      <c r="G440" s="1"/>
      <c r="H440" s="73"/>
    </row>
    <row r="441" spans="1:8">
      <c r="A441" s="72"/>
      <c r="B441" s="1"/>
      <c r="C441" s="1"/>
      <c r="D441" s="73"/>
      <c r="E441" s="72"/>
      <c r="F441" s="1"/>
      <c r="G441" s="1"/>
      <c r="H441" s="73"/>
    </row>
    <row r="442" spans="1:8">
      <c r="A442" s="72"/>
      <c r="B442" s="1"/>
      <c r="C442" s="1"/>
      <c r="D442" s="73"/>
      <c r="E442" s="72"/>
      <c r="F442" s="1"/>
      <c r="G442" s="1"/>
      <c r="H442" s="73"/>
    </row>
    <row r="443" spans="1:8">
      <c r="A443" s="72"/>
      <c r="B443" s="1"/>
      <c r="C443" s="1"/>
      <c r="D443" s="73"/>
      <c r="E443" s="72"/>
      <c r="F443" s="1"/>
      <c r="G443" s="1"/>
      <c r="H443" s="73"/>
    </row>
    <row r="444" spans="1:8">
      <c r="A444" s="72"/>
      <c r="B444" s="1"/>
      <c r="C444" s="1"/>
      <c r="D444" s="73"/>
      <c r="E444" s="72"/>
      <c r="F444" s="1"/>
      <c r="G444" s="1"/>
      <c r="H444" s="73"/>
    </row>
    <row r="445" spans="1:8">
      <c r="A445" s="72"/>
      <c r="B445" s="1"/>
      <c r="C445" s="1"/>
      <c r="D445" s="73"/>
      <c r="E445" s="72"/>
      <c r="F445" s="1"/>
      <c r="G445" s="1"/>
      <c r="H445" s="73"/>
    </row>
    <row r="446" spans="1:8">
      <c r="A446" s="72"/>
      <c r="B446" s="1"/>
      <c r="C446" s="1"/>
      <c r="D446" s="73"/>
      <c r="E446" s="72"/>
      <c r="F446" s="1"/>
      <c r="G446" s="1"/>
      <c r="H446" s="73"/>
    </row>
    <row r="447" spans="1:8">
      <c r="A447" s="72"/>
      <c r="B447" s="1"/>
      <c r="C447" s="1"/>
      <c r="D447" s="73"/>
      <c r="E447" s="72"/>
      <c r="F447" s="1"/>
      <c r="G447" s="1"/>
      <c r="H447" s="73"/>
    </row>
    <row r="448" spans="1:8">
      <c r="A448" s="72"/>
      <c r="B448" s="1"/>
      <c r="C448" s="1"/>
      <c r="D448" s="73"/>
      <c r="E448" s="72"/>
      <c r="F448" s="1"/>
      <c r="G448" s="1"/>
      <c r="H448" s="73"/>
    </row>
    <row r="449" spans="1:8">
      <c r="A449" s="72"/>
      <c r="B449" s="1"/>
      <c r="C449" s="1"/>
      <c r="D449" s="73"/>
      <c r="E449" s="72"/>
      <c r="F449" s="1"/>
      <c r="G449" s="1"/>
      <c r="H449" s="73"/>
    </row>
    <row r="450" spans="1:8">
      <c r="A450" s="72"/>
      <c r="B450" s="1"/>
      <c r="C450" s="1"/>
      <c r="D450" s="73"/>
      <c r="E450" s="72"/>
      <c r="F450" s="1"/>
      <c r="G450" s="1"/>
      <c r="H450" s="73"/>
    </row>
    <row r="451" spans="1:8">
      <c r="A451" s="72"/>
      <c r="B451" s="1"/>
      <c r="C451" s="1"/>
      <c r="D451" s="73"/>
      <c r="E451" s="72"/>
      <c r="F451" s="1"/>
      <c r="G451" s="1"/>
      <c r="H451" s="73"/>
    </row>
    <row r="452" spans="1:8">
      <c r="A452" s="72"/>
      <c r="B452" s="1"/>
      <c r="C452" s="1"/>
      <c r="D452" s="73"/>
      <c r="E452" s="72"/>
      <c r="F452" s="1"/>
      <c r="G452" s="1"/>
      <c r="H452" s="73"/>
    </row>
    <row r="453" spans="1:8">
      <c r="A453" s="72"/>
      <c r="B453" s="1"/>
      <c r="C453" s="1"/>
      <c r="D453" s="73"/>
      <c r="E453" s="72"/>
      <c r="F453" s="1"/>
      <c r="G453" s="1"/>
      <c r="H453" s="73"/>
    </row>
    <row r="454" spans="1:8">
      <c r="A454" s="72"/>
      <c r="B454" s="1"/>
      <c r="C454" s="1"/>
      <c r="D454" s="73"/>
      <c r="E454" s="72"/>
      <c r="F454" s="1"/>
      <c r="G454" s="1"/>
      <c r="H454" s="73"/>
    </row>
    <row r="455" spans="1:8">
      <c r="A455" s="72"/>
      <c r="B455" s="1"/>
      <c r="C455" s="1"/>
      <c r="D455" s="73"/>
      <c r="E455" s="72"/>
      <c r="F455" s="1"/>
      <c r="G455" s="1"/>
      <c r="H455" s="73"/>
    </row>
    <row r="456" spans="1:8">
      <c r="A456" s="72"/>
      <c r="B456" s="1"/>
      <c r="C456" s="1"/>
      <c r="D456" s="73"/>
      <c r="E456" s="72"/>
      <c r="F456" s="1"/>
      <c r="G456" s="1"/>
      <c r="H456" s="73"/>
    </row>
    <row r="457" spans="1:8">
      <c r="A457" s="72"/>
      <c r="B457" s="1"/>
      <c r="C457" s="1"/>
      <c r="D457" s="73"/>
      <c r="E457" s="72"/>
      <c r="F457" s="1"/>
      <c r="G457" s="1"/>
      <c r="H457" s="73"/>
    </row>
    <row r="458" spans="1:8">
      <c r="A458" s="72"/>
      <c r="B458" s="1"/>
      <c r="C458" s="1"/>
      <c r="D458" s="73"/>
      <c r="E458" s="72"/>
      <c r="F458" s="1"/>
      <c r="G458" s="1"/>
      <c r="H458" s="73"/>
    </row>
    <row r="459" spans="1:8">
      <c r="A459" s="72"/>
      <c r="B459" s="1"/>
      <c r="C459" s="1"/>
      <c r="D459" s="73"/>
      <c r="E459" s="72"/>
      <c r="F459" s="1"/>
      <c r="G459" s="1"/>
      <c r="H459" s="73"/>
    </row>
    <row r="460" spans="1:8">
      <c r="A460" s="72"/>
      <c r="B460" s="1"/>
      <c r="C460" s="1"/>
      <c r="D460" s="73"/>
      <c r="E460" s="72"/>
      <c r="F460" s="1"/>
      <c r="G460" s="1"/>
      <c r="H460" s="73"/>
    </row>
    <row r="461" spans="1:8">
      <c r="A461" s="72"/>
      <c r="B461" s="1"/>
      <c r="C461" s="1"/>
      <c r="D461" s="73"/>
      <c r="E461" s="72"/>
      <c r="F461" s="1"/>
      <c r="G461" s="1"/>
      <c r="H461" s="73"/>
    </row>
    <row r="462" spans="1:8">
      <c r="A462" s="72"/>
      <c r="B462" s="1"/>
      <c r="C462" s="1"/>
      <c r="D462" s="73"/>
      <c r="E462" s="72"/>
      <c r="F462" s="1"/>
      <c r="G462" s="1"/>
      <c r="H462" s="73"/>
    </row>
    <row r="463" spans="1:8">
      <c r="A463" s="72"/>
      <c r="B463" s="1"/>
      <c r="C463" s="1"/>
      <c r="D463" s="73"/>
      <c r="E463" s="72"/>
      <c r="F463" s="1"/>
      <c r="G463" s="1"/>
      <c r="H463" s="73"/>
    </row>
    <row r="464" spans="1:8">
      <c r="A464" s="72"/>
      <c r="B464" s="1"/>
      <c r="C464" s="1"/>
      <c r="D464" s="73"/>
      <c r="E464" s="72"/>
      <c r="F464" s="1"/>
      <c r="G464" s="1"/>
      <c r="H464" s="73"/>
    </row>
    <row r="465" spans="1:8">
      <c r="A465" s="72"/>
      <c r="B465" s="1"/>
      <c r="C465" s="1"/>
      <c r="D465" s="73"/>
      <c r="E465" s="72"/>
      <c r="F465" s="1"/>
      <c r="G465" s="1"/>
      <c r="H465" s="73"/>
    </row>
    <row r="466" spans="1:8">
      <c r="A466" s="72"/>
      <c r="B466" s="1"/>
      <c r="C466" s="1"/>
      <c r="D466" s="73"/>
      <c r="E466" s="72"/>
      <c r="F466" s="1"/>
      <c r="G466" s="1"/>
      <c r="H466" s="73"/>
    </row>
    <row r="467" spans="1:8">
      <c r="A467" s="72"/>
      <c r="B467" s="1"/>
      <c r="C467" s="1"/>
      <c r="D467" s="73"/>
      <c r="E467" s="72"/>
      <c r="F467" s="1"/>
      <c r="G467" s="1"/>
      <c r="H467" s="73"/>
    </row>
    <row r="468" spans="1:8">
      <c r="A468" s="72"/>
      <c r="B468" s="1"/>
      <c r="C468" s="1"/>
      <c r="D468" s="73"/>
      <c r="E468" s="72"/>
      <c r="F468" s="1"/>
      <c r="G468" s="1"/>
      <c r="H468" s="73"/>
    </row>
    <row r="469" spans="1:8">
      <c r="A469" s="72"/>
      <c r="B469" s="1"/>
      <c r="C469" s="1"/>
      <c r="D469" s="73"/>
      <c r="E469" s="72"/>
      <c r="F469" s="1"/>
      <c r="G469" s="1"/>
      <c r="H469" s="73"/>
    </row>
    <row r="470" spans="1:8">
      <c r="A470" s="72"/>
      <c r="B470" s="1"/>
      <c r="C470" s="1"/>
      <c r="D470" s="73"/>
      <c r="E470" s="72"/>
      <c r="F470" s="1"/>
      <c r="G470" s="1"/>
      <c r="H470" s="73"/>
    </row>
    <row r="471" spans="1:8">
      <c r="A471" s="72"/>
      <c r="B471" s="1"/>
      <c r="C471" s="1"/>
      <c r="D471" s="73"/>
      <c r="E471" s="72"/>
      <c r="F471" s="1"/>
      <c r="G471" s="1"/>
      <c r="H471" s="73"/>
    </row>
    <row r="472" spans="1:8">
      <c r="A472" s="72"/>
      <c r="B472" s="1"/>
      <c r="C472" s="1"/>
      <c r="D472" s="73"/>
      <c r="E472" s="72"/>
      <c r="F472" s="1"/>
      <c r="G472" s="1"/>
      <c r="H472" s="73"/>
    </row>
    <row r="473" spans="1:8">
      <c r="A473" s="72"/>
      <c r="B473" s="1"/>
      <c r="C473" s="1"/>
      <c r="D473" s="73"/>
      <c r="E473" s="72"/>
      <c r="F473" s="1"/>
      <c r="G473" s="1"/>
      <c r="H473" s="73"/>
    </row>
    <row r="474" spans="1:8">
      <c r="A474" s="72"/>
      <c r="B474" s="1"/>
      <c r="C474" s="1"/>
      <c r="D474" s="73"/>
      <c r="E474" s="72"/>
      <c r="F474" s="1"/>
      <c r="G474" s="1"/>
      <c r="H474" s="73"/>
    </row>
    <row r="475" spans="1:8">
      <c r="A475" s="72"/>
      <c r="B475" s="1"/>
      <c r="C475" s="1"/>
      <c r="D475" s="73"/>
      <c r="E475" s="72"/>
      <c r="F475" s="1"/>
      <c r="G475" s="1"/>
      <c r="H475" s="73"/>
    </row>
    <row r="476" spans="1:8">
      <c r="A476" s="72"/>
      <c r="B476" s="1"/>
      <c r="C476" s="1"/>
      <c r="D476" s="73"/>
      <c r="E476" s="72"/>
      <c r="F476" s="1"/>
      <c r="G476" s="1"/>
      <c r="H476" s="73"/>
    </row>
    <row r="477" spans="1:8">
      <c r="A477" s="72"/>
      <c r="B477" s="1"/>
      <c r="C477" s="1"/>
      <c r="D477" s="73"/>
      <c r="E477" s="72"/>
      <c r="F477" s="1"/>
      <c r="G477" s="1"/>
      <c r="H477" s="73"/>
    </row>
    <row r="478" spans="1:8">
      <c r="A478" s="72"/>
      <c r="B478" s="1"/>
      <c r="C478" s="1"/>
      <c r="D478" s="73"/>
      <c r="E478" s="72"/>
      <c r="F478" s="1"/>
      <c r="G478" s="1"/>
      <c r="H478" s="73"/>
    </row>
    <row r="479" spans="1:8">
      <c r="A479" s="72"/>
      <c r="B479" s="1"/>
      <c r="C479" s="1"/>
      <c r="D479" s="73"/>
      <c r="E479" s="72"/>
      <c r="F479" s="1"/>
      <c r="G479" s="1"/>
      <c r="H479" s="73"/>
    </row>
    <row r="480" spans="1:8">
      <c r="A480" s="72"/>
      <c r="B480" s="1"/>
      <c r="C480" s="1"/>
      <c r="D480" s="73"/>
      <c r="E480" s="72"/>
      <c r="F480" s="1"/>
      <c r="G480" s="1"/>
      <c r="H480" s="73"/>
    </row>
    <row r="481" spans="1:8">
      <c r="A481" s="72"/>
      <c r="B481" s="1"/>
      <c r="C481" s="1"/>
      <c r="D481" s="73"/>
      <c r="E481" s="72"/>
      <c r="F481" s="1"/>
      <c r="G481" s="1"/>
      <c r="H481" s="73"/>
    </row>
    <row r="482" spans="1:8">
      <c r="A482" s="72"/>
      <c r="B482" s="1"/>
      <c r="C482" s="1"/>
      <c r="D482" s="73"/>
      <c r="E482" s="72"/>
      <c r="F482" s="1"/>
      <c r="G482" s="1"/>
      <c r="H482" s="73"/>
    </row>
    <row r="483" spans="1:8">
      <c r="A483" s="72"/>
      <c r="B483" s="1"/>
      <c r="C483" s="1"/>
      <c r="D483" s="73"/>
      <c r="E483" s="72"/>
      <c r="F483" s="1"/>
      <c r="G483" s="1"/>
      <c r="H483" s="73"/>
    </row>
    <row r="484" spans="1:8">
      <c r="A484" s="72"/>
      <c r="B484" s="1"/>
      <c r="C484" s="1"/>
      <c r="D484" s="73"/>
      <c r="E484" s="72"/>
      <c r="F484" s="1"/>
      <c r="G484" s="1"/>
      <c r="H484" s="73"/>
    </row>
    <row r="485" spans="1:8">
      <c r="A485" s="72"/>
      <c r="B485" s="1"/>
      <c r="C485" s="1"/>
      <c r="D485" s="73"/>
      <c r="E485" s="72"/>
      <c r="F485" s="1"/>
      <c r="G485" s="1"/>
      <c r="H485" s="73"/>
    </row>
    <row r="486" spans="1:8">
      <c r="A486" s="72"/>
      <c r="B486" s="1"/>
      <c r="C486" s="1"/>
      <c r="D486" s="73"/>
      <c r="E486" s="72"/>
      <c r="F486" s="1"/>
      <c r="G486" s="1"/>
      <c r="H486" s="73"/>
    </row>
    <row r="487" spans="1:8">
      <c r="A487" s="72"/>
      <c r="B487" s="1"/>
      <c r="C487" s="1"/>
      <c r="D487" s="73"/>
      <c r="E487" s="72"/>
      <c r="F487" s="1"/>
      <c r="G487" s="1"/>
      <c r="H487" s="73"/>
    </row>
    <row r="488" spans="1:8">
      <c r="A488" s="72"/>
      <c r="B488" s="1"/>
      <c r="C488" s="1"/>
      <c r="D488" s="73"/>
      <c r="E488" s="72"/>
      <c r="F488" s="1"/>
      <c r="G488" s="1"/>
      <c r="H488" s="73"/>
    </row>
    <row r="489" spans="1:8">
      <c r="A489" s="72"/>
      <c r="B489" s="1"/>
      <c r="C489" s="1"/>
      <c r="D489" s="73"/>
      <c r="E489" s="72"/>
      <c r="F489" s="1"/>
      <c r="G489" s="1"/>
      <c r="H489" s="73"/>
    </row>
    <row r="490" spans="1:8">
      <c r="A490" s="72"/>
      <c r="B490" s="1"/>
      <c r="C490" s="1"/>
      <c r="D490" s="73"/>
      <c r="E490" s="72"/>
      <c r="F490" s="1"/>
      <c r="G490" s="1"/>
      <c r="H490" s="73"/>
    </row>
    <row r="491" spans="1:8">
      <c r="A491" s="72"/>
      <c r="B491" s="1"/>
      <c r="C491" s="1"/>
      <c r="D491" s="73"/>
      <c r="E491" s="72"/>
      <c r="F491" s="1"/>
      <c r="G491" s="1"/>
      <c r="H491" s="73"/>
    </row>
    <row r="492" spans="1:8">
      <c r="A492" s="72"/>
      <c r="B492" s="1"/>
      <c r="C492" s="1"/>
      <c r="D492" s="73"/>
      <c r="E492" s="72"/>
      <c r="F492" s="1"/>
      <c r="G492" s="1"/>
      <c r="H492" s="73"/>
    </row>
    <row r="493" spans="1:8">
      <c r="A493" s="72"/>
      <c r="B493" s="1"/>
      <c r="C493" s="1"/>
      <c r="D493" s="73"/>
      <c r="E493" s="72"/>
      <c r="F493" s="1"/>
      <c r="G493" s="1"/>
      <c r="H493" s="73"/>
    </row>
    <row r="494" spans="1:8">
      <c r="A494" s="72"/>
      <c r="B494" s="1"/>
      <c r="C494" s="1"/>
      <c r="D494" s="73"/>
      <c r="E494" s="72"/>
      <c r="F494" s="1"/>
      <c r="G494" s="1"/>
      <c r="H494" s="73"/>
    </row>
    <row r="495" spans="1:8">
      <c r="A495" s="72"/>
      <c r="B495" s="1"/>
      <c r="C495" s="1"/>
      <c r="D495" s="73"/>
      <c r="E495" s="72"/>
      <c r="F495" s="1"/>
      <c r="G495" s="1"/>
      <c r="H495" s="73"/>
    </row>
    <row r="496" spans="1:8">
      <c r="A496" s="72"/>
      <c r="B496" s="1"/>
      <c r="C496" s="1"/>
      <c r="D496" s="73"/>
      <c r="E496" s="72"/>
      <c r="F496" s="1"/>
      <c r="G496" s="1"/>
      <c r="H496" s="73"/>
    </row>
    <row r="497" spans="1:8">
      <c r="A497" s="72"/>
      <c r="B497" s="1"/>
      <c r="C497" s="1"/>
      <c r="D497" s="73"/>
      <c r="E497" s="72"/>
      <c r="F497" s="1"/>
      <c r="G497" s="1"/>
      <c r="H497" s="73"/>
    </row>
    <row r="498" spans="1:8">
      <c r="A498" s="72"/>
      <c r="B498" s="1"/>
      <c r="C498" s="1"/>
      <c r="D498" s="73"/>
      <c r="E498" s="72"/>
      <c r="F498" s="1"/>
      <c r="G498" s="1"/>
      <c r="H498" s="73"/>
    </row>
    <row r="499" spans="1:8">
      <c r="A499" s="72"/>
      <c r="B499" s="1"/>
      <c r="C499" s="1"/>
      <c r="D499" s="73"/>
      <c r="E499" s="72"/>
      <c r="F499" s="1"/>
      <c r="G499" s="1"/>
      <c r="H499" s="73"/>
    </row>
    <row r="500" spans="1:8" ht="13.5" thickBot="1">
      <c r="A500" s="74"/>
      <c r="B500" s="75"/>
      <c r="C500" s="75"/>
      <c r="D500" s="76"/>
      <c r="E500" s="74"/>
      <c r="F500" s="75"/>
      <c r="G500" s="75"/>
      <c r="H500" s="76"/>
    </row>
    <row r="501" spans="1:8" ht="13.5" thickTop="1"/>
  </sheetData>
  <phoneticPr fontId="2" type="noConversion"/>
  <dataValidations count="7">
    <dataValidation type="list" allowBlank="1" showInputMessage="1" showErrorMessage="1" sqref="F11 C11" xr:uid="{00000000-0002-0000-0400-000000000000}">
      <formula1>Calendars</formula1>
    </dataValidation>
    <dataValidation type="list" allowBlank="1" showInputMessage="1" showErrorMessage="1" sqref="F9 C9" xr:uid="{00000000-0002-0000-0400-000001000000}">
      <formula1>ConfigRollFreq</formula1>
    </dataValidation>
    <dataValidation type="list" allowBlank="1" showInputMessage="1" showErrorMessage="1" sqref="C14 F14" xr:uid="{00000000-0002-0000-0400-000002000000}">
      <formula1>ListOfTodaysCurves</formula1>
    </dataValidation>
    <dataValidation type="list" allowBlank="1" showInputMessage="1" showErrorMessage="1" sqref="C12 F12" xr:uid="{00000000-0002-0000-0400-000003000000}">
      <formula1>ConfigBusinessDayConvention</formula1>
    </dataValidation>
    <dataValidation type="list" allowBlank="1" showInputMessage="1" showErrorMessage="1" sqref="C13 F13" xr:uid="{00000000-0002-0000-0400-000004000000}">
      <formula1>ConfigDayCounters</formula1>
    </dataValidation>
    <dataValidation type="list" allowBlank="1" showInputMessage="1" showErrorMessage="1" sqref="C8 F8" xr:uid="{00000000-0002-0000-0400-000005000000}">
      <formula1>ConfigRollDay</formula1>
    </dataValidation>
    <dataValidation type="list" allowBlank="1" showInputMessage="1" showErrorMessage="1" sqref="C7 F7" xr:uid="{00000000-0002-0000-0400-000006000000}">
      <formula1>ConfigRollDirection</formula1>
    </dataValidation>
  </dataValidations>
  <printOptions gridLines="1"/>
  <pageMargins left="0.70866141732283472" right="0.70866141732283472" top="0.74803149606299213" bottom="0.74803149606299213" header="0.31496062992125984" footer="0.31496062992125984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55" r:id="rId4" name="importFromFixedButton">
          <controlPr defaultSize="0" autoLine="0" r:id="rId5">
            <anchor moveWithCells="1">
              <from>
                <xdr:col>7</xdr:col>
                <xdr:colOff>19050</xdr:colOff>
                <xdr:row>15</xdr:row>
                <xdr:rowOff>0</xdr:rowOff>
              </from>
              <to>
                <xdr:col>8</xdr:col>
                <xdr:colOff>600075</xdr:colOff>
                <xdr:row>17</xdr:row>
                <xdr:rowOff>28575</xdr:rowOff>
              </to>
            </anchor>
          </controlPr>
        </control>
      </mc:Choice>
      <mc:Fallback>
        <control shapeId="6155" r:id="rId4" name="importFromFixedButton"/>
      </mc:Fallback>
    </mc:AlternateContent>
    <mc:AlternateContent xmlns:mc="http://schemas.openxmlformats.org/markup-compatibility/2006">
      <mc:Choice Requires="x14">
        <control shapeId="6150" r:id="rId6" name="CheckBox1">
          <controlPr defaultSize="0" autoLine="0" r:id="rId7">
            <anchor moveWithCells="1">
              <from>
                <xdr:col>7</xdr:col>
                <xdr:colOff>57150</xdr:colOff>
                <xdr:row>18</xdr:row>
                <xdr:rowOff>85725</xdr:rowOff>
              </from>
              <to>
                <xdr:col>8</xdr:col>
                <xdr:colOff>447675</xdr:colOff>
                <xdr:row>20</xdr:row>
                <xdr:rowOff>19050</xdr:rowOff>
              </to>
            </anchor>
          </controlPr>
        </control>
      </mc:Choice>
      <mc:Fallback>
        <control shapeId="6150" r:id="rId6" name="CheckBox1"/>
      </mc:Fallback>
    </mc:AlternateContent>
    <mc:AlternateContent xmlns:mc="http://schemas.openxmlformats.org/markup-compatibility/2006">
      <mc:Choice Requires="x14">
        <control shapeId="6149" r:id="rId8" name="CommandButton4">
          <controlPr defaultSize="0" autoLine="0" autoPict="0" r:id="rId9">
            <anchor moveWithCells="1">
              <from>
                <xdr:col>5</xdr:col>
                <xdr:colOff>219075</xdr:colOff>
                <xdr:row>14</xdr:row>
                <xdr:rowOff>161925</xdr:rowOff>
              </from>
              <to>
                <xdr:col>6</xdr:col>
                <xdr:colOff>619125</xdr:colOff>
                <xdr:row>17</xdr:row>
                <xdr:rowOff>28575</xdr:rowOff>
              </to>
            </anchor>
          </controlPr>
        </control>
      </mc:Choice>
      <mc:Fallback>
        <control shapeId="6149" r:id="rId8" name="CommandButton4"/>
      </mc:Fallback>
    </mc:AlternateContent>
    <mc:AlternateContent xmlns:mc="http://schemas.openxmlformats.org/markup-compatibility/2006">
      <mc:Choice Requires="x14">
        <control shapeId="6147" r:id="rId10" name="copyButton">
          <controlPr defaultSize="0" autoLine="0" r:id="rId11">
            <anchor moveWithCells="1">
              <from>
                <xdr:col>3</xdr:col>
                <xdr:colOff>133350</xdr:colOff>
                <xdr:row>9</xdr:row>
                <xdr:rowOff>38100</xdr:rowOff>
              </from>
              <to>
                <xdr:col>3</xdr:col>
                <xdr:colOff>1123950</xdr:colOff>
                <xdr:row>11</xdr:row>
                <xdr:rowOff>47625</xdr:rowOff>
              </to>
            </anchor>
          </controlPr>
        </control>
      </mc:Choice>
      <mc:Fallback>
        <control shapeId="6147" r:id="rId10" name="copyButton"/>
      </mc:Fallback>
    </mc:AlternateContent>
    <mc:AlternateContent xmlns:mc="http://schemas.openxmlformats.org/markup-compatibility/2006">
      <mc:Choice Requires="x14">
        <control shapeId="6146" r:id="rId12" name="amortisationButton">
          <controlPr defaultSize="0" autoLine="0" autoPict="0" r:id="rId13">
            <anchor moveWithCells="1">
              <from>
                <xdr:col>5</xdr:col>
                <xdr:colOff>219075</xdr:colOff>
                <xdr:row>28</xdr:row>
                <xdr:rowOff>0</xdr:rowOff>
              </from>
              <to>
                <xdr:col>6</xdr:col>
                <xdr:colOff>600075</xdr:colOff>
                <xdr:row>50</xdr:row>
                <xdr:rowOff>9525</xdr:rowOff>
              </to>
            </anchor>
          </controlPr>
        </control>
      </mc:Choice>
      <mc:Fallback>
        <control shapeId="6146" r:id="rId12" name="amortisationButton"/>
      </mc:Fallback>
    </mc:AlternateContent>
    <mc:AlternateContent xmlns:mc="http://schemas.openxmlformats.org/markup-compatibility/2006">
      <mc:Choice Requires="x14">
        <control shapeId="6145" r:id="rId14" name="CommandButton1">
          <controlPr defaultSize="0" autoLine="0" autoPict="0" r:id="rId15">
            <anchor moveWithCells="1">
              <from>
                <xdr:col>5</xdr:col>
                <xdr:colOff>219075</xdr:colOff>
                <xdr:row>18</xdr:row>
                <xdr:rowOff>57150</xdr:rowOff>
              </from>
              <to>
                <xdr:col>6</xdr:col>
                <xdr:colOff>647700</xdr:colOff>
                <xdr:row>20</xdr:row>
                <xdr:rowOff>85725</xdr:rowOff>
              </to>
            </anchor>
          </controlPr>
        </control>
      </mc:Choice>
      <mc:Fallback>
        <control shapeId="6145" r:id="rId1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D38"/>
  <sheetViews>
    <sheetView workbookViewId="0">
      <selection activeCell="C24" sqref="C24"/>
    </sheetView>
  </sheetViews>
  <sheetFormatPr defaultRowHeight="12.75"/>
  <cols>
    <col min="1" max="1" width="34.85546875" customWidth="1"/>
    <col min="2" max="2" width="31.85546875" customWidth="1"/>
    <col min="3" max="3" width="39" customWidth="1"/>
    <col min="4" max="4" width="28.42578125" customWidth="1"/>
    <col min="5" max="5" width="27.28515625" customWidth="1"/>
    <col min="8" max="8" width="21.5703125" customWidth="1"/>
  </cols>
  <sheetData>
    <row r="1" spans="1:4" ht="13.5" thickBot="1">
      <c r="A1" s="21" t="s">
        <v>41</v>
      </c>
      <c r="B1" s="13"/>
    </row>
    <row r="2" spans="1:4" ht="13.5" thickTop="1">
      <c r="A2" s="132" t="s">
        <v>177</v>
      </c>
    </row>
    <row r="3" spans="1:4">
      <c r="A3" s="133" t="s">
        <v>178</v>
      </c>
    </row>
    <row r="4" spans="1:4">
      <c r="A4" s="133" t="s">
        <v>176</v>
      </c>
    </row>
    <row r="5" spans="1:4">
      <c r="A5" s="133"/>
    </row>
    <row r="6" spans="1:4">
      <c r="A6" s="133"/>
    </row>
    <row r="7" spans="1:4">
      <c r="A7" s="133"/>
      <c r="D7" s="145"/>
    </row>
    <row r="8" spans="1:4">
      <c r="A8" s="133"/>
    </row>
    <row r="9" spans="1:4">
      <c r="A9" s="133"/>
    </row>
    <row r="10" spans="1:4">
      <c r="A10" s="133"/>
    </row>
    <row r="11" spans="1:4">
      <c r="A11" s="133"/>
    </row>
    <row r="12" spans="1:4">
      <c r="A12" s="133"/>
    </row>
    <row r="13" spans="1:4">
      <c r="A13" s="133"/>
    </row>
    <row r="14" spans="1:4">
      <c r="A14" s="133"/>
    </row>
    <row r="15" spans="1:4">
      <c r="A15" s="133"/>
    </row>
    <row r="16" spans="1:4">
      <c r="A16" s="133"/>
    </row>
    <row r="17" spans="1:1">
      <c r="A17" s="133"/>
    </row>
    <row r="18" spans="1:1">
      <c r="A18" s="133"/>
    </row>
    <row r="19" spans="1:1">
      <c r="A19" s="133"/>
    </row>
    <row r="20" spans="1:1">
      <c r="A20" s="133"/>
    </row>
    <row r="21" spans="1:1">
      <c r="A21" s="133"/>
    </row>
    <row r="22" spans="1:1">
      <c r="A22" s="133"/>
    </row>
    <row r="23" spans="1:1">
      <c r="A23" s="133"/>
    </row>
    <row r="24" spans="1:1">
      <c r="A24" s="133"/>
    </row>
    <row r="25" spans="1:1">
      <c r="A25" s="133"/>
    </row>
    <row r="26" spans="1:1">
      <c r="A26" s="133"/>
    </row>
    <row r="27" spans="1:1" ht="13.5" thickBot="1">
      <c r="A27" s="134"/>
    </row>
    <row r="28" spans="1:1" ht="13.5" thickTop="1"/>
    <row r="35" spans="1:4">
      <c r="A35" s="21"/>
    </row>
    <row r="38" spans="1:4">
      <c r="D38" s="3"/>
    </row>
  </sheetData>
  <phoneticPr fontId="2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266" r:id="rId4" name="reloadCurveButton">
          <controlPr defaultSize="0" autoLine="0" autoPict="0" r:id="rId5">
            <anchor moveWithCells="1">
              <from>
                <xdr:col>2</xdr:col>
                <xdr:colOff>47625</xdr:colOff>
                <xdr:row>0</xdr:row>
                <xdr:rowOff>161925</xdr:rowOff>
              </from>
              <to>
                <xdr:col>2</xdr:col>
                <xdr:colOff>1905000</xdr:colOff>
                <xdr:row>3</xdr:row>
                <xdr:rowOff>9525</xdr:rowOff>
              </to>
            </anchor>
          </controlPr>
        </control>
      </mc:Choice>
      <mc:Fallback>
        <control shapeId="11266" r:id="rId4" name="reloadCurveButt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B99"/>
  <sheetViews>
    <sheetView workbookViewId="0">
      <selection activeCell="B2" sqref="B2"/>
    </sheetView>
  </sheetViews>
  <sheetFormatPr defaultRowHeight="12.75"/>
  <cols>
    <col min="1" max="1" width="31.85546875" customWidth="1"/>
    <col min="2" max="2" width="10.140625" style="135" customWidth="1"/>
  </cols>
  <sheetData>
    <row r="1" spans="1:2" ht="13.5" thickBot="1">
      <c r="A1" s="21" t="s">
        <v>158</v>
      </c>
      <c r="B1" s="135" t="s">
        <v>175</v>
      </c>
    </row>
    <row r="2" spans="1:2">
      <c r="A2" s="129" t="s">
        <v>63</v>
      </c>
      <c r="B2" s="136">
        <v>7.2499999999999995E-2</v>
      </c>
    </row>
    <row r="3" spans="1:2">
      <c r="A3" s="130" t="s">
        <v>64</v>
      </c>
      <c r="B3" s="137">
        <v>7.5200000000000003E-2</v>
      </c>
    </row>
    <row r="4" spans="1:2">
      <c r="A4" s="130" t="s">
        <v>65</v>
      </c>
      <c r="B4" s="137">
        <v>7.6300000000000007E-2</v>
      </c>
    </row>
    <row r="5" spans="1:2">
      <c r="A5" s="130" t="s">
        <v>67</v>
      </c>
      <c r="B5" s="138">
        <v>92.155000000000001</v>
      </c>
    </row>
    <row r="6" spans="1:2">
      <c r="A6" s="130" t="s">
        <v>68</v>
      </c>
      <c r="B6" s="138">
        <v>92.135000000000005</v>
      </c>
    </row>
    <row r="7" spans="1:2">
      <c r="A7" s="130" t="s">
        <v>69</v>
      </c>
      <c r="B7" s="138">
        <v>92.185000000000002</v>
      </c>
    </row>
    <row r="8" spans="1:2">
      <c r="A8" s="130" t="s">
        <v>70</v>
      </c>
      <c r="B8" s="138">
        <v>92.234999999999999</v>
      </c>
    </row>
    <row r="9" spans="1:2">
      <c r="A9" s="130" t="s">
        <v>71</v>
      </c>
      <c r="B9" s="138">
        <v>92.29</v>
      </c>
    </row>
    <row r="10" spans="1:2">
      <c r="A10" s="130" t="s">
        <v>72</v>
      </c>
      <c r="B10" s="138">
        <v>92.364999999999995</v>
      </c>
    </row>
    <row r="11" spans="1:2">
      <c r="A11" s="130" t="s">
        <v>73</v>
      </c>
      <c r="B11" s="138">
        <v>92.44</v>
      </c>
    </row>
    <row r="12" spans="1:2">
      <c r="A12" s="130" t="s">
        <v>49</v>
      </c>
      <c r="B12" s="137">
        <v>7.6583333333333295E-2</v>
      </c>
    </row>
    <row r="13" spans="1:2">
      <c r="A13" s="130" t="s">
        <v>107</v>
      </c>
      <c r="B13" s="137">
        <v>7.6999896267361201E-2</v>
      </c>
    </row>
    <row r="14" spans="1:2">
      <c r="A14" s="130" t="s">
        <v>50</v>
      </c>
      <c r="B14" s="137">
        <v>7.6683333333333298E-2</v>
      </c>
    </row>
    <row r="15" spans="1:2">
      <c r="A15" s="130" t="s">
        <v>108</v>
      </c>
      <c r="B15" s="137">
        <v>7.5315416666666593E-2</v>
      </c>
    </row>
    <row r="16" spans="1:2">
      <c r="A16" s="130" t="s">
        <v>51</v>
      </c>
      <c r="B16" s="137">
        <v>7.3947499999999999E-2</v>
      </c>
    </row>
    <row r="17" spans="1:2">
      <c r="A17" s="130" t="s">
        <v>109</v>
      </c>
      <c r="B17" s="137">
        <v>7.4035624999999994E-2</v>
      </c>
    </row>
    <row r="18" spans="1:2">
      <c r="A18" s="130" t="s">
        <v>110</v>
      </c>
      <c r="B18" s="137">
        <v>7.4123750000000002E-2</v>
      </c>
    </row>
    <row r="19" spans="1:2">
      <c r="A19" s="130" t="s">
        <v>111</v>
      </c>
      <c r="B19" s="137">
        <v>7.4211874999999997E-2</v>
      </c>
    </row>
    <row r="20" spans="1:2">
      <c r="A20" s="130" t="s">
        <v>52</v>
      </c>
      <c r="B20" s="137">
        <v>7.4300000000000005E-2</v>
      </c>
    </row>
    <row r="21" spans="1:2">
      <c r="A21" s="130" t="s">
        <v>112</v>
      </c>
      <c r="B21" s="137">
        <v>7.4116666666666595E-2</v>
      </c>
    </row>
    <row r="22" spans="1:2">
      <c r="A22" s="130" t="s">
        <v>113</v>
      </c>
      <c r="B22" s="137">
        <v>7.3933333333333295E-2</v>
      </c>
    </row>
    <row r="23" spans="1:2">
      <c r="A23" s="130" t="s">
        <v>114</v>
      </c>
      <c r="B23" s="137">
        <v>7.3749999999999996E-2</v>
      </c>
    </row>
    <row r="24" spans="1:2">
      <c r="A24" s="130" t="s">
        <v>115</v>
      </c>
      <c r="B24" s="137">
        <v>7.35666666666666E-2</v>
      </c>
    </row>
    <row r="25" spans="1:2">
      <c r="A25" s="130" t="s">
        <v>116</v>
      </c>
      <c r="B25" s="137">
        <v>7.33833333333333E-2</v>
      </c>
    </row>
    <row r="26" spans="1:2">
      <c r="A26" s="130" t="s">
        <v>53</v>
      </c>
      <c r="B26" s="137">
        <v>7.3200000000000001E-2</v>
      </c>
    </row>
    <row r="27" spans="1:2">
      <c r="A27" s="130" t="s">
        <v>117</v>
      </c>
      <c r="B27" s="137">
        <v>7.3044999999999999E-2</v>
      </c>
    </row>
    <row r="28" spans="1:2">
      <c r="A28" s="130" t="s">
        <v>118</v>
      </c>
      <c r="B28" s="137">
        <v>7.2889999999999996E-2</v>
      </c>
    </row>
    <row r="29" spans="1:2">
      <c r="A29" s="130" t="s">
        <v>119</v>
      </c>
      <c r="B29" s="137">
        <v>7.2734999999999994E-2</v>
      </c>
    </row>
    <row r="30" spans="1:2">
      <c r="A30" s="130" t="s">
        <v>120</v>
      </c>
      <c r="B30" s="137">
        <v>7.2580000000000006E-2</v>
      </c>
    </row>
    <row r="31" spans="1:2">
      <c r="A31" s="130" t="s">
        <v>121</v>
      </c>
      <c r="B31" s="137">
        <v>7.2425000000000003E-2</v>
      </c>
    </row>
    <row r="32" spans="1:2">
      <c r="A32" s="130" t="s">
        <v>122</v>
      </c>
      <c r="B32" s="137">
        <v>7.2270000000000001E-2</v>
      </c>
    </row>
    <row r="33" spans="1:2">
      <c r="A33" s="130" t="s">
        <v>123</v>
      </c>
      <c r="B33" s="137">
        <v>7.2114999999999999E-2</v>
      </c>
    </row>
    <row r="34" spans="1:2">
      <c r="A34" s="130" t="s">
        <v>124</v>
      </c>
      <c r="B34" s="137">
        <v>7.1959999999999996E-2</v>
      </c>
    </row>
    <row r="35" spans="1:2">
      <c r="A35" s="130" t="s">
        <v>125</v>
      </c>
      <c r="B35" s="137">
        <v>7.1804999999999994E-2</v>
      </c>
    </row>
    <row r="36" spans="1:2">
      <c r="A36" s="130" t="s">
        <v>54</v>
      </c>
      <c r="B36" s="137">
        <v>7.1650000000000005E-2</v>
      </c>
    </row>
    <row r="37" spans="1:2">
      <c r="A37" s="130" t="s">
        <v>126</v>
      </c>
      <c r="B37" s="137">
        <v>7.152E-2</v>
      </c>
    </row>
    <row r="38" spans="1:2">
      <c r="A38" s="130" t="s">
        <v>127</v>
      </c>
      <c r="B38" s="137">
        <v>7.1389999999999995E-2</v>
      </c>
    </row>
    <row r="39" spans="1:2">
      <c r="A39" s="130" t="s">
        <v>128</v>
      </c>
      <c r="B39" s="137">
        <v>7.1260000000000004E-2</v>
      </c>
    </row>
    <row r="40" spans="1:2">
      <c r="A40" s="130" t="s">
        <v>129</v>
      </c>
      <c r="B40" s="137">
        <v>7.1129999999999999E-2</v>
      </c>
    </row>
    <row r="41" spans="1:2">
      <c r="A41" s="130" t="s">
        <v>130</v>
      </c>
      <c r="B41" s="137">
        <v>7.0999999999999994E-2</v>
      </c>
    </row>
    <row r="42" spans="1:2">
      <c r="A42" s="130" t="s">
        <v>131</v>
      </c>
      <c r="B42" s="137">
        <v>7.0870000000000002E-2</v>
      </c>
    </row>
    <row r="43" spans="1:2">
      <c r="A43" s="130" t="s">
        <v>132</v>
      </c>
      <c r="B43" s="137">
        <v>7.0739999999999997E-2</v>
      </c>
    </row>
    <row r="44" spans="1:2">
      <c r="A44" s="130" t="s">
        <v>133</v>
      </c>
      <c r="B44" s="137">
        <v>7.0610000000000006E-2</v>
      </c>
    </row>
    <row r="45" spans="1:2">
      <c r="A45" s="130" t="s">
        <v>134</v>
      </c>
      <c r="B45" s="137">
        <v>7.0480000000000001E-2</v>
      </c>
    </row>
    <row r="46" spans="1:2">
      <c r="A46" s="130" t="s">
        <v>74</v>
      </c>
      <c r="B46" s="137">
        <v>7.0349999999999996E-2</v>
      </c>
    </row>
    <row r="47" spans="1:2">
      <c r="A47" s="130" t="s">
        <v>135</v>
      </c>
      <c r="B47" s="137">
        <v>7.0177500000000004E-2</v>
      </c>
    </row>
    <row r="48" spans="1:2">
      <c r="A48" s="130" t="s">
        <v>136</v>
      </c>
      <c r="B48" s="137">
        <v>7.0004999999999998E-2</v>
      </c>
    </row>
    <row r="49" spans="1:2">
      <c r="A49" s="130" t="s">
        <v>137</v>
      </c>
      <c r="B49" s="137">
        <v>6.9832500000000006E-2</v>
      </c>
    </row>
    <row r="50" spans="1:2">
      <c r="A50" s="130" t="s">
        <v>138</v>
      </c>
      <c r="B50" s="137">
        <v>6.966E-2</v>
      </c>
    </row>
    <row r="51" spans="1:2">
      <c r="A51" s="130" t="s">
        <v>139</v>
      </c>
      <c r="B51" s="137">
        <v>6.9487499999999994E-2</v>
      </c>
    </row>
    <row r="52" spans="1:2">
      <c r="A52" s="130" t="s">
        <v>140</v>
      </c>
      <c r="B52" s="137">
        <v>6.9315000000000002E-2</v>
      </c>
    </row>
    <row r="53" spans="1:2">
      <c r="A53" s="130" t="s">
        <v>141</v>
      </c>
      <c r="B53" s="137">
        <v>6.9142499999999996E-2</v>
      </c>
    </row>
    <row r="54" spans="1:2">
      <c r="A54" s="130" t="s">
        <v>142</v>
      </c>
      <c r="B54" s="137">
        <v>6.8970000000000004E-2</v>
      </c>
    </row>
    <row r="55" spans="1:2">
      <c r="A55" s="130" t="s">
        <v>143</v>
      </c>
      <c r="B55" s="137">
        <v>6.8797499999999998E-2</v>
      </c>
    </row>
    <row r="56" spans="1:2">
      <c r="A56" s="130" t="s">
        <v>79</v>
      </c>
      <c r="B56" s="137">
        <v>6.8625000000000005E-2</v>
      </c>
    </row>
    <row r="57" spans="1:2">
      <c r="A57" s="130" t="s">
        <v>144</v>
      </c>
      <c r="B57" s="137">
        <v>6.8435833333333307E-2</v>
      </c>
    </row>
    <row r="58" spans="1:2">
      <c r="A58" s="130" t="s">
        <v>145</v>
      </c>
      <c r="B58" s="137">
        <v>6.8246666666666594E-2</v>
      </c>
    </row>
    <row r="59" spans="1:2">
      <c r="A59" s="130" t="s">
        <v>146</v>
      </c>
      <c r="B59" s="137">
        <v>6.8057500000000007E-2</v>
      </c>
    </row>
    <row r="60" spans="1:2">
      <c r="A60" s="130" t="s">
        <v>147</v>
      </c>
      <c r="B60" s="137">
        <v>6.7868333333333294E-2</v>
      </c>
    </row>
    <row r="61" spans="1:2">
      <c r="A61" s="130" t="s">
        <v>148</v>
      </c>
      <c r="B61" s="137">
        <v>6.7679166666666596E-2</v>
      </c>
    </row>
    <row r="62" spans="1:2">
      <c r="A62" s="130" t="s">
        <v>149</v>
      </c>
      <c r="B62" s="137">
        <v>6.7489999999999994E-2</v>
      </c>
    </row>
    <row r="63" spans="1:2">
      <c r="A63" s="130" t="s">
        <v>150</v>
      </c>
      <c r="B63" s="137">
        <v>6.7300833333333296E-2</v>
      </c>
    </row>
    <row r="64" spans="1:2">
      <c r="A64" s="130" t="s">
        <v>151</v>
      </c>
      <c r="B64" s="137">
        <v>6.7111666666666694E-2</v>
      </c>
    </row>
    <row r="65" spans="1:2">
      <c r="A65" s="130" t="s">
        <v>152</v>
      </c>
      <c r="B65" s="137">
        <v>6.6922499999999996E-2</v>
      </c>
    </row>
    <row r="66" spans="1:2">
      <c r="A66" s="130" t="s">
        <v>80</v>
      </c>
      <c r="B66" s="137">
        <v>6.6733333333333297E-2</v>
      </c>
    </row>
    <row r="67" spans="1:2">
      <c r="A67" s="125"/>
      <c r="B67" s="137"/>
    </row>
    <row r="68" spans="1:2">
      <c r="A68" s="125"/>
      <c r="B68" s="137"/>
    </row>
    <row r="69" spans="1:2">
      <c r="A69" s="125"/>
      <c r="B69" s="137"/>
    </row>
    <row r="70" spans="1:2">
      <c r="A70" s="125"/>
      <c r="B70" s="137"/>
    </row>
    <row r="71" spans="1:2">
      <c r="A71" s="125"/>
      <c r="B71" s="137"/>
    </row>
    <row r="72" spans="1:2">
      <c r="A72" s="125"/>
      <c r="B72" s="137"/>
    </row>
    <row r="73" spans="1:2">
      <c r="A73" s="125"/>
      <c r="B73" s="137"/>
    </row>
    <row r="74" spans="1:2">
      <c r="A74" s="125"/>
      <c r="B74" s="137"/>
    </row>
    <row r="75" spans="1:2">
      <c r="A75" s="125"/>
      <c r="B75" s="137"/>
    </row>
    <row r="76" spans="1:2">
      <c r="A76" s="125"/>
      <c r="B76" s="137"/>
    </row>
    <row r="77" spans="1:2">
      <c r="A77" s="125"/>
      <c r="B77" s="137"/>
    </row>
    <row r="78" spans="1:2">
      <c r="A78" s="125"/>
      <c r="B78" s="137"/>
    </row>
    <row r="79" spans="1:2">
      <c r="A79" s="125"/>
      <c r="B79" s="137"/>
    </row>
    <row r="80" spans="1:2">
      <c r="A80" s="125"/>
      <c r="B80" s="137"/>
    </row>
    <row r="81" spans="1:2">
      <c r="A81" s="125"/>
      <c r="B81" s="137"/>
    </row>
    <row r="82" spans="1:2">
      <c r="A82" s="125"/>
      <c r="B82" s="137"/>
    </row>
    <row r="83" spans="1:2">
      <c r="A83" s="125"/>
      <c r="B83" s="137"/>
    </row>
    <row r="84" spans="1:2">
      <c r="A84" s="125"/>
      <c r="B84" s="137"/>
    </row>
    <row r="85" spans="1:2">
      <c r="A85" s="125"/>
      <c r="B85" s="137"/>
    </row>
    <row r="86" spans="1:2">
      <c r="A86" s="125"/>
      <c r="B86" s="137"/>
    </row>
    <row r="87" spans="1:2">
      <c r="A87" s="125"/>
      <c r="B87" s="137"/>
    </row>
    <row r="88" spans="1:2">
      <c r="A88" s="125"/>
      <c r="B88" s="137"/>
    </row>
    <row r="89" spans="1:2">
      <c r="A89" s="125"/>
      <c r="B89" s="137"/>
    </row>
    <row r="90" spans="1:2">
      <c r="A90" s="125"/>
      <c r="B90" s="137"/>
    </row>
    <row r="91" spans="1:2">
      <c r="A91" s="125"/>
      <c r="B91" s="137"/>
    </row>
    <row r="92" spans="1:2">
      <c r="A92" s="125"/>
      <c r="B92" s="137"/>
    </row>
    <row r="93" spans="1:2">
      <c r="A93" s="125"/>
      <c r="B93" s="137"/>
    </row>
    <row r="94" spans="1:2">
      <c r="A94" s="125"/>
      <c r="B94" s="137"/>
    </row>
    <row r="95" spans="1:2">
      <c r="A95" s="125"/>
      <c r="B95" s="137"/>
    </row>
    <row r="96" spans="1:2">
      <c r="A96" s="125"/>
      <c r="B96" s="137"/>
    </row>
    <row r="97" spans="1:2">
      <c r="A97" s="125"/>
      <c r="B97" s="137"/>
    </row>
    <row r="98" spans="1:2">
      <c r="A98" s="125"/>
      <c r="B98" s="137"/>
    </row>
    <row r="99" spans="1:2" ht="13.5" thickBot="1">
      <c r="A99" s="126"/>
      <c r="B99" s="139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B99"/>
  <sheetViews>
    <sheetView workbookViewId="0">
      <selection activeCell="B2" sqref="B2"/>
    </sheetView>
  </sheetViews>
  <sheetFormatPr defaultRowHeight="12.75"/>
  <cols>
    <col min="1" max="1" width="32.42578125" customWidth="1"/>
    <col min="2" max="2" width="13.7109375" style="135" customWidth="1"/>
  </cols>
  <sheetData>
    <row r="1" spans="1:2">
      <c r="A1" s="21" t="s">
        <v>158</v>
      </c>
      <c r="B1" s="135" t="s">
        <v>171</v>
      </c>
    </row>
    <row r="2" spans="1:2">
      <c r="A2" s="101" t="s">
        <v>63</v>
      </c>
      <c r="B2" s="140">
        <v>7.2499999999999995E-2</v>
      </c>
    </row>
    <row r="3" spans="1:2">
      <c r="A3" s="101" t="s">
        <v>64</v>
      </c>
      <c r="B3" s="140">
        <v>7.5200000000000003E-2</v>
      </c>
    </row>
    <row r="4" spans="1:2">
      <c r="A4" s="101" t="s">
        <v>65</v>
      </c>
      <c r="B4" s="140">
        <v>7.6300000000000007E-2</v>
      </c>
    </row>
    <row r="5" spans="1:2">
      <c r="A5" s="101" t="s">
        <v>104</v>
      </c>
      <c r="B5" s="140">
        <v>7.8E-2</v>
      </c>
    </row>
    <row r="6" spans="1:2">
      <c r="A6" s="101" t="s">
        <v>67</v>
      </c>
      <c r="B6" s="141">
        <v>92.155000000000001</v>
      </c>
    </row>
    <row r="7" spans="1:2">
      <c r="A7" s="101" t="s">
        <v>68</v>
      </c>
      <c r="B7" s="141">
        <v>92.135000000000005</v>
      </c>
    </row>
    <row r="8" spans="1:2">
      <c r="A8" s="101" t="s">
        <v>69</v>
      </c>
      <c r="B8" s="141">
        <v>92.185000000000002</v>
      </c>
    </row>
    <row r="9" spans="1:2">
      <c r="A9" s="101" t="s">
        <v>70</v>
      </c>
      <c r="B9" s="141">
        <v>92.234999999999999</v>
      </c>
    </row>
    <row r="10" spans="1:2">
      <c r="A10" s="101" t="s">
        <v>71</v>
      </c>
      <c r="B10" s="141">
        <v>92.29</v>
      </c>
    </row>
    <row r="11" spans="1:2">
      <c r="A11" s="101" t="s">
        <v>72</v>
      </c>
      <c r="B11" s="141">
        <v>92.364999999999995</v>
      </c>
    </row>
    <row r="12" spans="1:2">
      <c r="A12" s="101" t="s">
        <v>73</v>
      </c>
      <c r="B12" s="141">
        <v>92.44</v>
      </c>
    </row>
    <row r="13" spans="1:2">
      <c r="A13" s="101" t="s">
        <v>105</v>
      </c>
      <c r="B13" s="141">
        <v>92.5</v>
      </c>
    </row>
    <row r="14" spans="1:2">
      <c r="A14" s="101" t="s">
        <v>49</v>
      </c>
      <c r="B14" s="140">
        <v>7.6583333333333295E-2</v>
      </c>
    </row>
    <row r="15" spans="1:2">
      <c r="A15" s="101" t="s">
        <v>107</v>
      </c>
      <c r="B15" s="140">
        <v>7.6999896267361201E-2</v>
      </c>
    </row>
    <row r="16" spans="1:2">
      <c r="A16" s="101" t="s">
        <v>50</v>
      </c>
      <c r="B16" s="140">
        <v>7.6683333333333298E-2</v>
      </c>
    </row>
    <row r="17" spans="1:2">
      <c r="A17" s="101" t="s">
        <v>108</v>
      </c>
      <c r="B17" s="140">
        <v>7.5315416666666593E-2</v>
      </c>
    </row>
    <row r="18" spans="1:2">
      <c r="A18" s="101" t="s">
        <v>51</v>
      </c>
      <c r="B18" s="140">
        <v>7.3947499999999999E-2</v>
      </c>
    </row>
    <row r="19" spans="1:2">
      <c r="A19" s="101" t="s">
        <v>109</v>
      </c>
      <c r="B19" s="140">
        <v>7.4035624999999994E-2</v>
      </c>
    </row>
    <row r="20" spans="1:2">
      <c r="A20" s="101" t="s">
        <v>110</v>
      </c>
      <c r="B20" s="140">
        <v>7.4123750000000002E-2</v>
      </c>
    </row>
    <row r="21" spans="1:2">
      <c r="A21" s="101" t="s">
        <v>111</v>
      </c>
      <c r="B21" s="140">
        <v>7.4211874999999997E-2</v>
      </c>
    </row>
    <row r="22" spans="1:2">
      <c r="A22" s="101" t="s">
        <v>52</v>
      </c>
      <c r="B22" s="140">
        <v>7.4300000000000005E-2</v>
      </c>
    </row>
    <row r="23" spans="1:2">
      <c r="A23" s="101" t="s">
        <v>112</v>
      </c>
      <c r="B23" s="140">
        <v>7.4116666666666595E-2</v>
      </c>
    </row>
    <row r="24" spans="1:2">
      <c r="A24" s="101" t="s">
        <v>113</v>
      </c>
      <c r="B24" s="140">
        <v>7.3933333333333295E-2</v>
      </c>
    </row>
    <row r="25" spans="1:2">
      <c r="A25" s="101" t="s">
        <v>114</v>
      </c>
      <c r="B25" s="140">
        <v>7.3749999999999996E-2</v>
      </c>
    </row>
    <row r="26" spans="1:2">
      <c r="A26" s="101" t="s">
        <v>115</v>
      </c>
      <c r="B26" s="140">
        <v>7.35666666666666E-2</v>
      </c>
    </row>
    <row r="27" spans="1:2">
      <c r="A27" s="101" t="s">
        <v>116</v>
      </c>
      <c r="B27" s="140">
        <v>7.33833333333333E-2</v>
      </c>
    </row>
    <row r="28" spans="1:2">
      <c r="A28" s="101" t="s">
        <v>53</v>
      </c>
      <c r="B28" s="140">
        <v>7.3200000000000001E-2</v>
      </c>
    </row>
    <row r="29" spans="1:2">
      <c r="A29" s="101" t="s">
        <v>117</v>
      </c>
      <c r="B29" s="140">
        <v>7.3044999999999999E-2</v>
      </c>
    </row>
    <row r="30" spans="1:2">
      <c r="A30" s="101" t="s">
        <v>118</v>
      </c>
      <c r="B30" s="140">
        <v>7.2889999999999996E-2</v>
      </c>
    </row>
    <row r="31" spans="1:2">
      <c r="A31" s="101" t="s">
        <v>119</v>
      </c>
      <c r="B31" s="140">
        <v>7.2734999999999994E-2</v>
      </c>
    </row>
    <row r="32" spans="1:2">
      <c r="A32" s="101" t="s">
        <v>120</v>
      </c>
      <c r="B32" s="140">
        <v>7.2580000000000006E-2</v>
      </c>
    </row>
    <row r="33" spans="1:2">
      <c r="A33" s="101" t="s">
        <v>121</v>
      </c>
      <c r="B33" s="140">
        <v>7.2425000000000003E-2</v>
      </c>
    </row>
    <row r="34" spans="1:2">
      <c r="A34" s="101" t="s">
        <v>122</v>
      </c>
      <c r="B34" s="140">
        <v>7.2270000000000001E-2</v>
      </c>
    </row>
    <row r="35" spans="1:2">
      <c r="A35" s="101" t="s">
        <v>123</v>
      </c>
      <c r="B35" s="140">
        <v>7.2114999999999999E-2</v>
      </c>
    </row>
    <row r="36" spans="1:2">
      <c r="A36" s="101" t="s">
        <v>124</v>
      </c>
      <c r="B36" s="140">
        <v>7.1959999999999996E-2</v>
      </c>
    </row>
    <row r="37" spans="1:2">
      <c r="A37" s="101" t="s">
        <v>125</v>
      </c>
      <c r="B37" s="140">
        <v>7.1804999999999994E-2</v>
      </c>
    </row>
    <row r="38" spans="1:2">
      <c r="A38" s="101" t="s">
        <v>54</v>
      </c>
      <c r="B38" s="140">
        <v>7.1650000000000005E-2</v>
      </c>
    </row>
    <row r="39" spans="1:2">
      <c r="A39" s="101" t="s">
        <v>126</v>
      </c>
      <c r="B39" s="140">
        <v>7.152E-2</v>
      </c>
    </row>
    <row r="40" spans="1:2">
      <c r="A40" s="101" t="s">
        <v>127</v>
      </c>
      <c r="B40" s="140">
        <v>7.1389999999999995E-2</v>
      </c>
    </row>
    <row r="41" spans="1:2">
      <c r="A41" s="101" t="s">
        <v>128</v>
      </c>
      <c r="B41" s="140">
        <v>7.1260000000000004E-2</v>
      </c>
    </row>
    <row r="42" spans="1:2">
      <c r="A42" s="101" t="s">
        <v>129</v>
      </c>
      <c r="B42" s="140">
        <v>7.1129999999999999E-2</v>
      </c>
    </row>
    <row r="43" spans="1:2">
      <c r="A43" s="101" t="s">
        <v>130</v>
      </c>
      <c r="B43" s="140">
        <v>7.0999999999999994E-2</v>
      </c>
    </row>
    <row r="44" spans="1:2">
      <c r="A44" s="101" t="s">
        <v>131</v>
      </c>
      <c r="B44" s="140">
        <v>7.0870000000000002E-2</v>
      </c>
    </row>
    <row r="45" spans="1:2">
      <c r="A45" s="101" t="s">
        <v>132</v>
      </c>
      <c r="B45" s="140">
        <v>7.0739999999999997E-2</v>
      </c>
    </row>
    <row r="46" spans="1:2">
      <c r="A46" s="101" t="s">
        <v>133</v>
      </c>
      <c r="B46" s="140">
        <v>7.0610000000000006E-2</v>
      </c>
    </row>
    <row r="47" spans="1:2">
      <c r="A47" s="101" t="s">
        <v>134</v>
      </c>
      <c r="B47" s="140">
        <v>7.0480000000000001E-2</v>
      </c>
    </row>
    <row r="48" spans="1:2">
      <c r="A48" s="101" t="s">
        <v>74</v>
      </c>
      <c r="B48" s="140">
        <v>7.0349999999999996E-2</v>
      </c>
    </row>
    <row r="49" spans="1:2">
      <c r="A49" s="101" t="s">
        <v>135</v>
      </c>
      <c r="B49" s="140">
        <v>7.0177500000000004E-2</v>
      </c>
    </row>
    <row r="50" spans="1:2">
      <c r="A50" s="101" t="s">
        <v>136</v>
      </c>
      <c r="B50" s="140">
        <v>7.0004999999999998E-2</v>
      </c>
    </row>
    <row r="51" spans="1:2">
      <c r="A51" s="101" t="s">
        <v>137</v>
      </c>
      <c r="B51" s="140">
        <v>6.9832500000000006E-2</v>
      </c>
    </row>
    <row r="52" spans="1:2">
      <c r="A52" s="101" t="s">
        <v>138</v>
      </c>
      <c r="B52" s="140">
        <v>6.966E-2</v>
      </c>
    </row>
    <row r="53" spans="1:2">
      <c r="A53" s="101" t="s">
        <v>139</v>
      </c>
      <c r="B53" s="140">
        <v>6.9487499999999994E-2</v>
      </c>
    </row>
    <row r="54" spans="1:2">
      <c r="A54" s="101" t="s">
        <v>140</v>
      </c>
      <c r="B54" s="140">
        <v>6.9315000000000002E-2</v>
      </c>
    </row>
    <row r="55" spans="1:2">
      <c r="A55" s="101" t="s">
        <v>141</v>
      </c>
      <c r="B55" s="140">
        <v>6.9142499999999996E-2</v>
      </c>
    </row>
    <row r="56" spans="1:2">
      <c r="A56" s="101" t="s">
        <v>142</v>
      </c>
      <c r="B56" s="140">
        <v>6.8970000000000004E-2</v>
      </c>
    </row>
    <row r="57" spans="1:2">
      <c r="A57" s="101" t="s">
        <v>143</v>
      </c>
      <c r="B57" s="140">
        <v>6.8797499999999998E-2</v>
      </c>
    </row>
    <row r="58" spans="1:2">
      <c r="A58" s="101" t="s">
        <v>79</v>
      </c>
      <c r="B58" s="140">
        <v>6.8625000000000005E-2</v>
      </c>
    </row>
    <row r="59" spans="1:2">
      <c r="A59" s="101" t="s">
        <v>144</v>
      </c>
      <c r="B59" s="140">
        <v>6.8435833333333307E-2</v>
      </c>
    </row>
    <row r="60" spans="1:2">
      <c r="A60" s="101" t="s">
        <v>145</v>
      </c>
      <c r="B60" s="140">
        <v>6.8246666666666594E-2</v>
      </c>
    </row>
    <row r="61" spans="1:2">
      <c r="A61" s="101" t="s">
        <v>146</v>
      </c>
      <c r="B61" s="140">
        <v>6.8057500000000007E-2</v>
      </c>
    </row>
    <row r="62" spans="1:2">
      <c r="A62" s="101" t="s">
        <v>147</v>
      </c>
      <c r="B62" s="140">
        <v>6.7868333333333294E-2</v>
      </c>
    </row>
    <row r="63" spans="1:2">
      <c r="A63" s="101" t="s">
        <v>148</v>
      </c>
      <c r="B63" s="140">
        <v>6.7679166666666596E-2</v>
      </c>
    </row>
    <row r="64" spans="1:2">
      <c r="A64" s="101" t="s">
        <v>149</v>
      </c>
      <c r="B64" s="140">
        <v>6.7489999999999994E-2</v>
      </c>
    </row>
    <row r="65" spans="1:2">
      <c r="A65" s="101" t="s">
        <v>150</v>
      </c>
      <c r="B65" s="140">
        <v>6.7300833333333296E-2</v>
      </c>
    </row>
    <row r="66" spans="1:2">
      <c r="A66" s="101" t="s">
        <v>151</v>
      </c>
      <c r="B66" s="140">
        <v>6.7111666666666694E-2</v>
      </c>
    </row>
    <row r="67" spans="1:2">
      <c r="A67" s="101" t="s">
        <v>152</v>
      </c>
      <c r="B67" s="140">
        <v>6.6922499999999996E-2</v>
      </c>
    </row>
    <row r="68" spans="1:2">
      <c r="A68" s="101" t="s">
        <v>80</v>
      </c>
      <c r="B68" s="140">
        <v>6.6733333333333297E-2</v>
      </c>
    </row>
    <row r="69" spans="1:2">
      <c r="A69" s="131"/>
      <c r="B69" s="140"/>
    </row>
    <row r="70" spans="1:2">
      <c r="A70" s="131"/>
      <c r="B70" s="140"/>
    </row>
    <row r="71" spans="1:2">
      <c r="A71" s="131"/>
      <c r="B71" s="140"/>
    </row>
    <row r="72" spans="1:2">
      <c r="A72" s="131"/>
      <c r="B72" s="140"/>
    </row>
    <row r="73" spans="1:2">
      <c r="A73" s="131"/>
      <c r="B73" s="140"/>
    </row>
    <row r="74" spans="1:2">
      <c r="A74" s="131"/>
      <c r="B74" s="140"/>
    </row>
    <row r="75" spans="1:2">
      <c r="A75" s="131"/>
      <c r="B75" s="140"/>
    </row>
    <row r="76" spans="1:2">
      <c r="A76" s="131"/>
      <c r="B76" s="140"/>
    </row>
    <row r="77" spans="1:2">
      <c r="A77" s="131"/>
      <c r="B77" s="140"/>
    </row>
    <row r="78" spans="1:2">
      <c r="A78" s="131"/>
      <c r="B78" s="140"/>
    </row>
    <row r="79" spans="1:2">
      <c r="A79" s="131"/>
      <c r="B79" s="140"/>
    </row>
    <row r="80" spans="1:2">
      <c r="A80" s="131"/>
      <c r="B80" s="140"/>
    </row>
    <row r="81" spans="1:2">
      <c r="A81" s="131"/>
      <c r="B81" s="140"/>
    </row>
    <row r="82" spans="1:2">
      <c r="A82" s="131"/>
      <c r="B82" s="140"/>
    </row>
    <row r="83" spans="1:2">
      <c r="A83" s="131"/>
      <c r="B83" s="140"/>
    </row>
    <row r="84" spans="1:2">
      <c r="A84" s="131"/>
      <c r="B84" s="140"/>
    </row>
    <row r="85" spans="1:2">
      <c r="A85" s="131"/>
      <c r="B85" s="140"/>
    </row>
    <row r="86" spans="1:2">
      <c r="A86" s="131"/>
      <c r="B86" s="140"/>
    </row>
    <row r="87" spans="1:2">
      <c r="A87" s="131"/>
      <c r="B87" s="140"/>
    </row>
    <row r="88" spans="1:2">
      <c r="A88" s="131"/>
      <c r="B88" s="140"/>
    </row>
    <row r="89" spans="1:2">
      <c r="A89" s="131"/>
      <c r="B89" s="140"/>
    </row>
    <row r="90" spans="1:2">
      <c r="A90" s="131"/>
      <c r="B90" s="140"/>
    </row>
    <row r="91" spans="1:2">
      <c r="A91" s="131"/>
      <c r="B91" s="140"/>
    </row>
    <row r="92" spans="1:2">
      <c r="A92" s="131"/>
      <c r="B92" s="140"/>
    </row>
    <row r="93" spans="1:2">
      <c r="A93" s="131"/>
      <c r="B93" s="140"/>
    </row>
    <row r="94" spans="1:2">
      <c r="A94" s="131"/>
      <c r="B94" s="140"/>
    </row>
    <row r="95" spans="1:2">
      <c r="A95" s="131"/>
      <c r="B95" s="140"/>
    </row>
    <row r="96" spans="1:2">
      <c r="A96" s="131"/>
      <c r="B96" s="140"/>
    </row>
    <row r="97" spans="1:2">
      <c r="A97" s="131"/>
      <c r="B97" s="140"/>
    </row>
    <row r="98" spans="1:2">
      <c r="A98" s="131"/>
      <c r="B98" s="140"/>
    </row>
    <row r="99" spans="1:2">
      <c r="A99" s="131"/>
      <c r="B99" s="140"/>
    </row>
  </sheetData>
  <phoneticPr fontId="2" type="noConversion"/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B99"/>
  <sheetViews>
    <sheetView workbookViewId="0">
      <selection activeCell="B2" sqref="B2"/>
    </sheetView>
  </sheetViews>
  <sheetFormatPr defaultRowHeight="12.75"/>
  <cols>
    <col min="1" max="1" width="27" customWidth="1"/>
    <col min="2" max="2" width="13.42578125" style="135" customWidth="1"/>
  </cols>
  <sheetData>
    <row r="1" spans="1:2">
      <c r="A1" s="21" t="s">
        <v>158</v>
      </c>
      <c r="B1" s="135" t="s">
        <v>174</v>
      </c>
    </row>
    <row r="2" spans="1:2">
      <c r="A2" s="101" t="s">
        <v>63</v>
      </c>
      <c r="B2" s="140">
        <v>7.2499999999999995E-2</v>
      </c>
    </row>
    <row r="3" spans="1:2">
      <c r="A3" s="101" t="s">
        <v>64</v>
      </c>
      <c r="B3" s="140">
        <v>7.5200000000000003E-2</v>
      </c>
    </row>
    <row r="4" spans="1:2">
      <c r="A4" s="101" t="s">
        <v>65</v>
      </c>
      <c r="B4" s="140">
        <v>7.6300000000000007E-2</v>
      </c>
    </row>
    <row r="5" spans="1:2">
      <c r="A5" s="101" t="s">
        <v>104</v>
      </c>
      <c r="B5" s="140">
        <v>7.8E-2</v>
      </c>
    </row>
    <row r="6" spans="1:2">
      <c r="A6" s="101" t="s">
        <v>67</v>
      </c>
      <c r="B6" s="141">
        <v>92.155000000000001</v>
      </c>
    </row>
    <row r="7" spans="1:2">
      <c r="A7" s="101" t="s">
        <v>68</v>
      </c>
      <c r="B7" s="141">
        <v>92.135000000000005</v>
      </c>
    </row>
    <row r="8" spans="1:2">
      <c r="A8" s="101" t="s">
        <v>69</v>
      </c>
      <c r="B8" s="141">
        <v>92.185000000000002</v>
      </c>
    </row>
    <row r="9" spans="1:2">
      <c r="A9" s="101" t="s">
        <v>70</v>
      </c>
      <c r="B9" s="141">
        <v>92.234999999999999</v>
      </c>
    </row>
    <row r="10" spans="1:2">
      <c r="A10" s="101" t="s">
        <v>71</v>
      </c>
      <c r="B10" s="141">
        <v>92.29</v>
      </c>
    </row>
    <row r="11" spans="1:2">
      <c r="A11" s="101" t="s">
        <v>72</v>
      </c>
      <c r="B11" s="141">
        <v>92.364999999999995</v>
      </c>
    </row>
    <row r="12" spans="1:2">
      <c r="A12" s="101" t="s">
        <v>73</v>
      </c>
      <c r="B12" s="141">
        <v>92.44</v>
      </c>
    </row>
    <row r="13" spans="1:2">
      <c r="A13" s="101" t="s">
        <v>105</v>
      </c>
      <c r="B13" s="141">
        <v>92.5</v>
      </c>
    </row>
    <row r="14" spans="1:2">
      <c r="A14" s="101" t="s">
        <v>49</v>
      </c>
      <c r="B14" s="140">
        <v>7.6583333333333295E-2</v>
      </c>
    </row>
    <row r="15" spans="1:2">
      <c r="A15" s="101" t="s">
        <v>107</v>
      </c>
      <c r="B15" s="140">
        <v>7.6999896267361201E-2</v>
      </c>
    </row>
    <row r="16" spans="1:2">
      <c r="A16" s="101" t="s">
        <v>50</v>
      </c>
      <c r="B16" s="140">
        <v>7.6683333333333298E-2</v>
      </c>
    </row>
    <row r="17" spans="1:2">
      <c r="A17" s="101" t="s">
        <v>108</v>
      </c>
      <c r="B17" s="140">
        <v>7.5315416666666593E-2</v>
      </c>
    </row>
    <row r="18" spans="1:2">
      <c r="A18" s="101" t="s">
        <v>51</v>
      </c>
      <c r="B18" s="140">
        <v>7.3947499999999999E-2</v>
      </c>
    </row>
    <row r="19" spans="1:2">
      <c r="A19" s="101" t="s">
        <v>109</v>
      </c>
      <c r="B19" s="140">
        <v>7.4035624999999994E-2</v>
      </c>
    </row>
    <row r="20" spans="1:2">
      <c r="A20" s="101" t="s">
        <v>110</v>
      </c>
      <c r="B20" s="140">
        <v>7.4123750000000002E-2</v>
      </c>
    </row>
    <row r="21" spans="1:2">
      <c r="A21" s="101" t="s">
        <v>111</v>
      </c>
      <c r="B21" s="140">
        <v>7.4211874999999997E-2</v>
      </c>
    </row>
    <row r="22" spans="1:2">
      <c r="A22" s="101" t="s">
        <v>52</v>
      </c>
      <c r="B22" s="140">
        <v>7.4300000000000005E-2</v>
      </c>
    </row>
    <row r="23" spans="1:2">
      <c r="A23" s="101" t="s">
        <v>112</v>
      </c>
      <c r="B23" s="140">
        <v>7.4116666666666595E-2</v>
      </c>
    </row>
    <row r="24" spans="1:2">
      <c r="A24" s="101" t="s">
        <v>113</v>
      </c>
      <c r="B24" s="140">
        <v>7.3933333333333295E-2</v>
      </c>
    </row>
    <row r="25" spans="1:2">
      <c r="A25" s="101" t="s">
        <v>114</v>
      </c>
      <c r="B25" s="140">
        <v>7.3749999999999996E-2</v>
      </c>
    </row>
    <row r="26" spans="1:2">
      <c r="A26" s="101" t="s">
        <v>115</v>
      </c>
      <c r="B26" s="140">
        <v>7.35666666666666E-2</v>
      </c>
    </row>
    <row r="27" spans="1:2">
      <c r="A27" s="101" t="s">
        <v>116</v>
      </c>
      <c r="B27" s="140">
        <v>7.33833333333333E-2</v>
      </c>
    </row>
    <row r="28" spans="1:2">
      <c r="A28" s="101" t="s">
        <v>53</v>
      </c>
      <c r="B28" s="140">
        <v>7.3200000000000001E-2</v>
      </c>
    </row>
    <row r="29" spans="1:2">
      <c r="A29" s="101" t="s">
        <v>117</v>
      </c>
      <c r="B29" s="140">
        <v>7.3044999999999999E-2</v>
      </c>
    </row>
    <row r="30" spans="1:2">
      <c r="A30" s="101" t="s">
        <v>118</v>
      </c>
      <c r="B30" s="140">
        <v>7.2889999999999996E-2</v>
      </c>
    </row>
    <row r="31" spans="1:2">
      <c r="A31" s="101" t="s">
        <v>119</v>
      </c>
      <c r="B31" s="140">
        <v>7.2734999999999994E-2</v>
      </c>
    </row>
    <row r="32" spans="1:2">
      <c r="A32" s="101" t="s">
        <v>120</v>
      </c>
      <c r="B32" s="140">
        <v>7.2580000000000006E-2</v>
      </c>
    </row>
    <row r="33" spans="1:2">
      <c r="A33" s="101" t="s">
        <v>121</v>
      </c>
      <c r="B33" s="140">
        <v>7.2425000000000003E-2</v>
      </c>
    </row>
    <row r="34" spans="1:2">
      <c r="A34" s="101" t="s">
        <v>122</v>
      </c>
      <c r="B34" s="140">
        <v>7.2270000000000001E-2</v>
      </c>
    </row>
    <row r="35" spans="1:2">
      <c r="A35" s="101" t="s">
        <v>123</v>
      </c>
      <c r="B35" s="140">
        <v>7.2114999999999999E-2</v>
      </c>
    </row>
    <row r="36" spans="1:2">
      <c r="A36" s="101" t="s">
        <v>124</v>
      </c>
      <c r="B36" s="140">
        <v>7.1959999999999996E-2</v>
      </c>
    </row>
    <row r="37" spans="1:2">
      <c r="A37" s="101" t="s">
        <v>125</v>
      </c>
      <c r="B37" s="140">
        <v>7.1804999999999994E-2</v>
      </c>
    </row>
    <row r="38" spans="1:2">
      <c r="A38" s="101" t="s">
        <v>54</v>
      </c>
      <c r="B38" s="140">
        <v>7.1650000000000005E-2</v>
      </c>
    </row>
    <row r="39" spans="1:2">
      <c r="A39" s="101" t="s">
        <v>126</v>
      </c>
      <c r="B39" s="140">
        <v>7.152E-2</v>
      </c>
    </row>
    <row r="40" spans="1:2">
      <c r="A40" s="101" t="s">
        <v>127</v>
      </c>
      <c r="B40" s="140">
        <v>7.1389999999999995E-2</v>
      </c>
    </row>
    <row r="41" spans="1:2">
      <c r="A41" s="101" t="s">
        <v>128</v>
      </c>
      <c r="B41" s="140">
        <v>7.1260000000000004E-2</v>
      </c>
    </row>
    <row r="42" spans="1:2">
      <c r="A42" s="101" t="s">
        <v>129</v>
      </c>
      <c r="B42" s="140">
        <v>7.1129999999999999E-2</v>
      </c>
    </row>
    <row r="43" spans="1:2">
      <c r="A43" s="101" t="s">
        <v>130</v>
      </c>
      <c r="B43" s="140">
        <v>7.0999999999999994E-2</v>
      </c>
    </row>
    <row r="44" spans="1:2">
      <c r="A44" s="101" t="s">
        <v>131</v>
      </c>
      <c r="B44" s="140">
        <v>7.0870000000000002E-2</v>
      </c>
    </row>
    <row r="45" spans="1:2">
      <c r="A45" s="101" t="s">
        <v>132</v>
      </c>
      <c r="B45" s="140">
        <v>7.0739999999999997E-2</v>
      </c>
    </row>
    <row r="46" spans="1:2">
      <c r="A46" s="101" t="s">
        <v>133</v>
      </c>
      <c r="B46" s="140">
        <v>7.0610000000000006E-2</v>
      </c>
    </row>
    <row r="47" spans="1:2">
      <c r="A47" s="101" t="s">
        <v>134</v>
      </c>
      <c r="B47" s="140">
        <v>7.0480000000000001E-2</v>
      </c>
    </row>
    <row r="48" spans="1:2">
      <c r="A48" s="101" t="s">
        <v>74</v>
      </c>
      <c r="B48" s="140">
        <v>7.0349999999999996E-2</v>
      </c>
    </row>
    <row r="49" spans="1:2">
      <c r="A49" s="101" t="s">
        <v>135</v>
      </c>
      <c r="B49" s="140">
        <v>7.0177500000000004E-2</v>
      </c>
    </row>
    <row r="50" spans="1:2">
      <c r="A50" s="101" t="s">
        <v>136</v>
      </c>
      <c r="B50" s="140">
        <v>7.0004999999999998E-2</v>
      </c>
    </row>
    <row r="51" spans="1:2">
      <c r="A51" s="101" t="s">
        <v>137</v>
      </c>
      <c r="B51" s="140">
        <v>6.9832500000000006E-2</v>
      </c>
    </row>
    <row r="52" spans="1:2">
      <c r="A52" s="101" t="s">
        <v>138</v>
      </c>
      <c r="B52" s="140">
        <v>6.966E-2</v>
      </c>
    </row>
    <row r="53" spans="1:2">
      <c r="A53" s="101" t="s">
        <v>139</v>
      </c>
      <c r="B53" s="140">
        <v>6.9487499999999994E-2</v>
      </c>
    </row>
    <row r="54" spans="1:2">
      <c r="A54" s="101" t="s">
        <v>140</v>
      </c>
      <c r="B54" s="140">
        <v>6.9315000000000002E-2</v>
      </c>
    </row>
    <row r="55" spans="1:2">
      <c r="A55" s="101" t="s">
        <v>141</v>
      </c>
      <c r="B55" s="140">
        <v>6.9142499999999996E-2</v>
      </c>
    </row>
    <row r="56" spans="1:2">
      <c r="A56" s="101" t="s">
        <v>142</v>
      </c>
      <c r="B56" s="140">
        <v>6.8970000000000004E-2</v>
      </c>
    </row>
    <row r="57" spans="1:2">
      <c r="A57" s="101" t="s">
        <v>143</v>
      </c>
      <c r="B57" s="140">
        <v>6.8797499999999998E-2</v>
      </c>
    </row>
    <row r="58" spans="1:2">
      <c r="A58" s="101" t="s">
        <v>79</v>
      </c>
      <c r="B58" s="140">
        <v>6.8625000000000005E-2</v>
      </c>
    </row>
    <row r="59" spans="1:2">
      <c r="A59" s="101" t="s">
        <v>144</v>
      </c>
      <c r="B59" s="140">
        <v>6.8435833333333307E-2</v>
      </c>
    </row>
    <row r="60" spans="1:2">
      <c r="A60" s="101" t="s">
        <v>145</v>
      </c>
      <c r="B60" s="140">
        <v>6.8246666666666594E-2</v>
      </c>
    </row>
    <row r="61" spans="1:2">
      <c r="A61" s="101" t="s">
        <v>146</v>
      </c>
      <c r="B61" s="140">
        <v>6.8057500000000007E-2</v>
      </c>
    </row>
    <row r="62" spans="1:2">
      <c r="A62" s="101" t="s">
        <v>147</v>
      </c>
      <c r="B62" s="140">
        <v>6.7868333333333294E-2</v>
      </c>
    </row>
    <row r="63" spans="1:2">
      <c r="A63" s="101" t="s">
        <v>148</v>
      </c>
      <c r="B63" s="140">
        <v>6.7679166666666596E-2</v>
      </c>
    </row>
    <row r="64" spans="1:2">
      <c r="A64" s="101" t="s">
        <v>149</v>
      </c>
      <c r="B64" s="140">
        <v>6.7489999999999994E-2</v>
      </c>
    </row>
    <row r="65" spans="1:2">
      <c r="A65" s="101" t="s">
        <v>150</v>
      </c>
      <c r="B65" s="140">
        <v>6.7300833333333296E-2</v>
      </c>
    </row>
    <row r="66" spans="1:2">
      <c r="A66" s="101" t="s">
        <v>151</v>
      </c>
      <c r="B66" s="140">
        <v>6.7111666666666694E-2</v>
      </c>
    </row>
    <row r="67" spans="1:2">
      <c r="A67" s="101" t="s">
        <v>152</v>
      </c>
      <c r="B67" s="140">
        <v>6.6922499999999996E-2</v>
      </c>
    </row>
    <row r="68" spans="1:2">
      <c r="A68" s="101" t="s">
        <v>80</v>
      </c>
      <c r="B68" s="140">
        <v>6.6733333333333297E-2</v>
      </c>
    </row>
    <row r="69" spans="1:2">
      <c r="A69" s="131"/>
      <c r="B69" s="140"/>
    </row>
    <row r="70" spans="1:2">
      <c r="A70" s="131"/>
      <c r="B70" s="140"/>
    </row>
    <row r="71" spans="1:2">
      <c r="A71" s="131"/>
      <c r="B71" s="140"/>
    </row>
    <row r="72" spans="1:2">
      <c r="A72" s="131"/>
      <c r="B72" s="140"/>
    </row>
    <row r="73" spans="1:2">
      <c r="A73" s="131"/>
      <c r="B73" s="140"/>
    </row>
    <row r="74" spans="1:2">
      <c r="A74" s="131"/>
      <c r="B74" s="140"/>
    </row>
    <row r="75" spans="1:2">
      <c r="A75" s="131"/>
      <c r="B75" s="140"/>
    </row>
    <row r="76" spans="1:2">
      <c r="A76" s="131"/>
      <c r="B76" s="140"/>
    </row>
    <row r="77" spans="1:2">
      <c r="A77" s="131"/>
      <c r="B77" s="140"/>
    </row>
    <row r="78" spans="1:2">
      <c r="A78" s="131"/>
      <c r="B78" s="140"/>
    </row>
    <row r="79" spans="1:2">
      <c r="A79" s="131"/>
      <c r="B79" s="140"/>
    </row>
    <row r="80" spans="1:2">
      <c r="A80" s="131"/>
      <c r="B80" s="140"/>
    </row>
    <row r="81" spans="1:2">
      <c r="A81" s="131"/>
      <c r="B81" s="140"/>
    </row>
    <row r="82" spans="1:2">
      <c r="A82" s="131"/>
      <c r="B82" s="140"/>
    </row>
    <row r="83" spans="1:2">
      <c r="A83" s="131"/>
      <c r="B83" s="140"/>
    </row>
    <row r="84" spans="1:2">
      <c r="A84" s="131"/>
      <c r="B84" s="140"/>
    </row>
    <row r="85" spans="1:2">
      <c r="A85" s="131"/>
      <c r="B85" s="140"/>
    </row>
    <row r="86" spans="1:2">
      <c r="A86" s="131"/>
      <c r="B86" s="140"/>
    </row>
    <row r="87" spans="1:2">
      <c r="A87" s="131"/>
      <c r="B87" s="140"/>
    </row>
    <row r="88" spans="1:2">
      <c r="A88" s="131"/>
      <c r="B88" s="140"/>
    </row>
    <row r="89" spans="1:2">
      <c r="A89" s="131"/>
      <c r="B89" s="140"/>
    </row>
    <row r="90" spans="1:2">
      <c r="A90" s="131"/>
      <c r="B90" s="140"/>
    </row>
    <row r="91" spans="1:2">
      <c r="A91" s="131"/>
      <c r="B91" s="140"/>
    </row>
    <row r="92" spans="1:2">
      <c r="A92" s="131"/>
      <c r="B92" s="140"/>
    </row>
    <row r="93" spans="1:2">
      <c r="A93" s="131"/>
      <c r="B93" s="140"/>
    </row>
    <row r="94" spans="1:2">
      <c r="A94" s="131"/>
      <c r="B94" s="140"/>
    </row>
    <row r="95" spans="1:2">
      <c r="A95" s="131"/>
      <c r="B95" s="140"/>
    </row>
    <row r="96" spans="1:2">
      <c r="A96" s="131"/>
      <c r="B96" s="140"/>
    </row>
    <row r="97" spans="1:2">
      <c r="A97" s="131"/>
      <c r="B97" s="140"/>
    </row>
    <row r="98" spans="1:2">
      <c r="A98" s="131"/>
      <c r="B98" s="140"/>
    </row>
    <row r="99" spans="1:2">
      <c r="A99" s="131"/>
      <c r="B99" s="140"/>
    </row>
  </sheetData>
  <phoneticPr fontId="2" type="noConversion"/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C6"/>
  <sheetViews>
    <sheetView workbookViewId="0">
      <selection activeCell="B2" sqref="B2"/>
    </sheetView>
  </sheetViews>
  <sheetFormatPr defaultRowHeight="12.75"/>
  <cols>
    <col min="1" max="1" width="28.85546875" customWidth="1"/>
    <col min="2" max="2" width="12.7109375" customWidth="1"/>
    <col min="3" max="3" width="10.7109375" customWidth="1"/>
  </cols>
  <sheetData>
    <row r="1" spans="1:3">
      <c r="A1" t="s">
        <v>163</v>
      </c>
      <c r="B1" t="s">
        <v>172</v>
      </c>
    </row>
    <row r="2" spans="1:3">
      <c r="A2" s="101" t="s">
        <v>67</v>
      </c>
      <c r="B2" s="142">
        <v>93.484999999999999</v>
      </c>
      <c r="C2" t="s">
        <v>159</v>
      </c>
    </row>
    <row r="3" spans="1:3">
      <c r="A3" s="101" t="s">
        <v>68</v>
      </c>
      <c r="B3" s="142">
        <v>93.674999999999997</v>
      </c>
      <c r="C3" t="s">
        <v>160</v>
      </c>
    </row>
    <row r="4" spans="1:3">
      <c r="A4" t="s">
        <v>161</v>
      </c>
      <c r="B4" t="s">
        <v>173</v>
      </c>
    </row>
    <row r="5" spans="1:3">
      <c r="A5" s="101" t="s">
        <v>67</v>
      </c>
      <c r="B5" s="142">
        <v>93.48</v>
      </c>
      <c r="C5" t="s">
        <v>159</v>
      </c>
    </row>
    <row r="6" spans="1:3">
      <c r="A6" s="101" t="s">
        <v>68</v>
      </c>
      <c r="B6" s="142">
        <v>93.67</v>
      </c>
      <c r="C6" t="s">
        <v>160</v>
      </c>
    </row>
  </sheetData>
  <phoneticPr fontId="2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:D77"/>
  <sheetViews>
    <sheetView workbookViewId="0">
      <selection activeCell="A38" sqref="A38"/>
    </sheetView>
  </sheetViews>
  <sheetFormatPr defaultRowHeight="12.75"/>
  <cols>
    <col min="1" max="1" width="16.85546875" customWidth="1"/>
    <col min="2" max="2" width="14.140625" customWidth="1"/>
    <col min="8" max="8" width="21.5703125" customWidth="1"/>
  </cols>
  <sheetData>
    <row r="1" spans="1:4" ht="13.5" thickBot="1">
      <c r="A1" s="25" t="s">
        <v>56</v>
      </c>
      <c r="B1" s="13"/>
    </row>
    <row r="2" spans="1:4">
      <c r="A2" s="50" t="s">
        <v>13</v>
      </c>
    </row>
    <row r="3" spans="1:4">
      <c r="A3" s="51" t="s">
        <v>16</v>
      </c>
    </row>
    <row r="4" spans="1:4">
      <c r="A4" s="51" t="s">
        <v>10</v>
      </c>
    </row>
    <row r="5" spans="1:4">
      <c r="A5" s="51" t="s">
        <v>15</v>
      </c>
    </row>
    <row r="6" spans="1:4">
      <c r="A6" s="51" t="s">
        <v>42</v>
      </c>
    </row>
    <row r="7" spans="1:4" ht="13.5" thickBot="1">
      <c r="A7" s="52" t="s">
        <v>27</v>
      </c>
    </row>
    <row r="8" spans="1:4" ht="13.5" thickBot="1">
      <c r="A8" s="25" t="s">
        <v>84</v>
      </c>
    </row>
    <row r="9" spans="1:4">
      <c r="A9" s="108" t="s">
        <v>9</v>
      </c>
      <c r="B9" t="s">
        <v>92</v>
      </c>
    </row>
    <row r="10" spans="1:4">
      <c r="A10" s="109" t="s">
        <v>26</v>
      </c>
      <c r="B10" t="s">
        <v>93</v>
      </c>
    </row>
    <row r="11" spans="1:4">
      <c r="A11" s="109" t="s">
        <v>83</v>
      </c>
      <c r="B11" t="s">
        <v>94</v>
      </c>
      <c r="C11" s="112"/>
      <c r="D11" s="112"/>
    </row>
    <row r="12" spans="1:4">
      <c r="A12" s="109" t="s">
        <v>156</v>
      </c>
      <c r="B12" t="s">
        <v>96</v>
      </c>
      <c r="C12" s="112" t="s">
        <v>97</v>
      </c>
      <c r="D12" s="112" t="s">
        <v>99</v>
      </c>
    </row>
    <row r="13" spans="1:4">
      <c r="A13" s="109" t="s">
        <v>82</v>
      </c>
      <c r="B13" t="s">
        <v>95</v>
      </c>
      <c r="C13" s="112" t="s">
        <v>98</v>
      </c>
      <c r="D13" s="112" t="s">
        <v>100</v>
      </c>
    </row>
    <row r="14" spans="1:4" ht="13.5" thickBot="1">
      <c r="A14" s="124" t="s">
        <v>157</v>
      </c>
      <c r="B14" t="s">
        <v>154</v>
      </c>
    </row>
    <row r="17" spans="1:1" ht="13.5" thickBot="1">
      <c r="A17" s="25" t="s">
        <v>85</v>
      </c>
    </row>
    <row r="18" spans="1:1">
      <c r="A18" s="50" t="s">
        <v>4</v>
      </c>
    </row>
    <row r="19" spans="1:1">
      <c r="A19" s="51" t="s">
        <v>86</v>
      </c>
    </row>
    <row r="20" spans="1:1">
      <c r="A20" s="51" t="s">
        <v>88</v>
      </c>
    </row>
    <row r="21" spans="1:1">
      <c r="A21" s="51" t="s">
        <v>87</v>
      </c>
    </row>
    <row r="22" spans="1:1" ht="13.5" thickBot="1">
      <c r="A22" s="52" t="s">
        <v>89</v>
      </c>
    </row>
    <row r="24" spans="1:1" ht="13.5" thickBot="1">
      <c r="A24" s="21" t="s">
        <v>90</v>
      </c>
    </row>
    <row r="25" spans="1:1">
      <c r="A25" s="50" t="s">
        <v>6</v>
      </c>
    </row>
    <row r="26" spans="1:1" ht="13.5" thickBot="1">
      <c r="A26" s="52" t="s">
        <v>91</v>
      </c>
    </row>
    <row r="28" spans="1:1" ht="13.5" thickBot="1">
      <c r="A28" s="21" t="s">
        <v>106</v>
      </c>
    </row>
    <row r="29" spans="1:1">
      <c r="A29" s="118">
        <v>1</v>
      </c>
    </row>
    <row r="30" spans="1:1">
      <c r="A30" s="119">
        <v>2</v>
      </c>
    </row>
    <row r="31" spans="1:1">
      <c r="A31" s="119">
        <v>3</v>
      </c>
    </row>
    <row r="32" spans="1:1">
      <c r="A32" s="119">
        <v>4</v>
      </c>
    </row>
    <row r="33" spans="1:1">
      <c r="A33" s="119">
        <v>5</v>
      </c>
    </row>
    <row r="34" spans="1:1">
      <c r="A34" s="119">
        <v>6</v>
      </c>
    </row>
    <row r="35" spans="1:1">
      <c r="A35" s="119">
        <v>7</v>
      </c>
    </row>
    <row r="36" spans="1:1">
      <c r="A36" s="119">
        <v>8</v>
      </c>
    </row>
    <row r="37" spans="1:1">
      <c r="A37" s="119">
        <v>9</v>
      </c>
    </row>
    <row r="38" spans="1:1">
      <c r="A38" s="119">
        <v>10</v>
      </c>
    </row>
    <row r="39" spans="1:1">
      <c r="A39" s="119">
        <v>11</v>
      </c>
    </row>
    <row r="40" spans="1:1">
      <c r="A40" s="119">
        <v>12</v>
      </c>
    </row>
    <row r="41" spans="1:1">
      <c r="A41" s="119">
        <v>13</v>
      </c>
    </row>
    <row r="42" spans="1:1">
      <c r="A42" s="119">
        <v>14</v>
      </c>
    </row>
    <row r="43" spans="1:1">
      <c r="A43" s="119">
        <v>15</v>
      </c>
    </row>
    <row r="44" spans="1:1">
      <c r="A44" s="119">
        <v>16</v>
      </c>
    </row>
    <row r="45" spans="1:1">
      <c r="A45" s="119">
        <v>17</v>
      </c>
    </row>
    <row r="46" spans="1:1">
      <c r="A46" s="119">
        <v>18</v>
      </c>
    </row>
    <row r="47" spans="1:1">
      <c r="A47" s="119">
        <v>19</v>
      </c>
    </row>
    <row r="48" spans="1:1">
      <c r="A48" s="119">
        <v>20</v>
      </c>
    </row>
    <row r="49" spans="1:1">
      <c r="A49" s="119">
        <v>21</v>
      </c>
    </row>
    <row r="50" spans="1:1">
      <c r="A50" s="119">
        <v>22</v>
      </c>
    </row>
    <row r="51" spans="1:1">
      <c r="A51" s="119">
        <v>23</v>
      </c>
    </row>
    <row r="52" spans="1:1">
      <c r="A52" s="120">
        <v>24</v>
      </c>
    </row>
    <row r="53" spans="1:1">
      <c r="A53" s="119">
        <v>25</v>
      </c>
    </row>
    <row r="54" spans="1:1">
      <c r="A54" s="119">
        <v>26</v>
      </c>
    </row>
    <row r="55" spans="1:1">
      <c r="A55" s="119">
        <v>27</v>
      </c>
    </row>
    <row r="56" spans="1:1">
      <c r="A56" s="119">
        <v>28</v>
      </c>
    </row>
    <row r="57" spans="1:1">
      <c r="A57" s="119">
        <v>29</v>
      </c>
    </row>
    <row r="58" spans="1:1">
      <c r="A58" s="119">
        <v>30</v>
      </c>
    </row>
    <row r="59" spans="1:1" ht="13.5" thickBot="1">
      <c r="A59" s="121" t="s">
        <v>28</v>
      </c>
    </row>
    <row r="61" spans="1:1" ht="13.5" thickBot="1">
      <c r="A61" s="21" t="s">
        <v>153</v>
      </c>
    </row>
    <row r="62" spans="1:1">
      <c r="A62" s="123" t="s">
        <v>30</v>
      </c>
    </row>
    <row r="63" spans="1:1" ht="13.5" thickBot="1">
      <c r="A63" s="52" t="s">
        <v>31</v>
      </c>
    </row>
    <row r="77" spans="1:1">
      <c r="A77" s="25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"/>
  <dimension ref="A1:M12"/>
  <sheetViews>
    <sheetView tabSelected="1" workbookViewId="0">
      <selection activeCell="C40" sqref="C40"/>
    </sheetView>
  </sheetViews>
  <sheetFormatPr defaultRowHeight="12.75"/>
  <cols>
    <col min="1" max="1" width="10.42578125" customWidth="1"/>
    <col min="2" max="2" width="24.85546875" customWidth="1"/>
    <col min="3" max="3" width="18.28515625" customWidth="1"/>
    <col min="4" max="4" width="14.42578125" customWidth="1"/>
    <col min="5" max="5" width="9.7109375" customWidth="1"/>
    <col min="7" max="7" width="8.7109375" customWidth="1"/>
    <col min="8" max="8" width="17.85546875" customWidth="1"/>
  </cols>
  <sheetData>
    <row r="1" spans="1:13" ht="13.5" thickBot="1"/>
    <row r="2" spans="1:13">
      <c r="B2" s="165" t="s">
        <v>55</v>
      </c>
      <c r="C2" s="166"/>
      <c r="D2" s="166"/>
      <c r="E2" s="166"/>
      <c r="F2" s="166"/>
      <c r="G2" s="166"/>
      <c r="H2" s="166"/>
      <c r="I2" s="166"/>
      <c r="J2" s="166"/>
      <c r="K2" s="166"/>
      <c r="L2" s="166"/>
      <c r="M2" s="167"/>
    </row>
    <row r="3" spans="1:13">
      <c r="B3" s="168"/>
      <c r="C3" s="169"/>
      <c r="D3" s="169"/>
      <c r="E3" s="169"/>
      <c r="F3" s="169"/>
      <c r="G3" s="169"/>
      <c r="H3" s="169"/>
      <c r="I3" s="169"/>
      <c r="J3" s="169"/>
      <c r="K3" s="169"/>
      <c r="L3" s="169"/>
      <c r="M3" s="170"/>
    </row>
    <row r="4" spans="1:13" ht="13.5" thickBot="1">
      <c r="B4" s="171"/>
      <c r="C4" s="172"/>
      <c r="D4" s="172"/>
      <c r="E4" s="172"/>
      <c r="F4" s="172"/>
      <c r="G4" s="172"/>
      <c r="H4" s="172"/>
      <c r="I4" s="172"/>
      <c r="J4" s="172"/>
      <c r="K4" s="172"/>
      <c r="L4" s="172"/>
      <c r="M4" s="173"/>
    </row>
    <row r="5" spans="1:13" ht="13.5" thickBot="1"/>
    <row r="6" spans="1:13">
      <c r="B6" s="174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6"/>
    </row>
    <row r="7" spans="1:13">
      <c r="B7" s="177"/>
      <c r="C7" s="178"/>
      <c r="D7" s="178"/>
      <c r="E7" s="178"/>
      <c r="F7" s="178"/>
      <c r="G7" s="178"/>
      <c r="H7" s="178"/>
      <c r="I7" s="178"/>
      <c r="J7" s="178"/>
      <c r="K7" s="178"/>
      <c r="L7" s="178"/>
      <c r="M7" s="179"/>
    </row>
    <row r="8" spans="1:13" ht="13.5" thickBot="1">
      <c r="B8" s="180"/>
      <c r="C8" s="181"/>
      <c r="D8" s="181"/>
      <c r="E8" s="181"/>
      <c r="F8" s="181"/>
      <c r="G8" s="181"/>
      <c r="H8" s="181"/>
      <c r="I8" s="181"/>
      <c r="J8" s="181"/>
      <c r="K8" s="181"/>
      <c r="L8" s="181"/>
      <c r="M8" s="182"/>
    </row>
    <row r="11" spans="1:13">
      <c r="A11" s="56"/>
    </row>
    <row r="12" spans="1:13">
      <c r="A12" s="56"/>
    </row>
  </sheetData>
  <dataConsolidate/>
  <mergeCells count="2">
    <mergeCell ref="B2:M4"/>
    <mergeCell ref="B6:M8"/>
  </mergeCells>
  <phoneticPr fontId="2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74" r:id="rId4" name="CheckBox4">
          <controlPr disabled="1" autoLine="0" autoPict="0" r:id="rId5">
            <anchor moveWithCells="1">
              <from>
                <xdr:col>7</xdr:col>
                <xdr:colOff>352425</xdr:colOff>
                <xdr:row>5</xdr:row>
                <xdr:rowOff>19050</xdr:rowOff>
              </from>
              <to>
                <xdr:col>9</xdr:col>
                <xdr:colOff>76200</xdr:colOff>
                <xdr:row>7</xdr:row>
                <xdr:rowOff>123825</xdr:rowOff>
              </to>
            </anchor>
          </controlPr>
        </control>
      </mc:Choice>
      <mc:Fallback>
        <control shapeId="7174" r:id="rId4" name="CheckBox4"/>
      </mc:Fallback>
    </mc:AlternateContent>
    <mc:AlternateContent xmlns:mc="http://schemas.openxmlformats.org/markup-compatibility/2006">
      <mc:Choice Requires="x14">
        <control shapeId="7173" r:id="rId6" name="CheckBox3">
          <controlPr disabled="1" autoLine="0" r:id="rId7">
            <anchor moveWithCells="1">
              <from>
                <xdr:col>5</xdr:col>
                <xdr:colOff>0</xdr:colOff>
                <xdr:row>5</xdr:row>
                <xdr:rowOff>19050</xdr:rowOff>
              </from>
              <to>
                <xdr:col>7</xdr:col>
                <xdr:colOff>142875</xdr:colOff>
                <xdr:row>7</xdr:row>
                <xdr:rowOff>123825</xdr:rowOff>
              </to>
            </anchor>
          </controlPr>
        </control>
      </mc:Choice>
      <mc:Fallback>
        <control shapeId="7173" r:id="rId6" name="CheckBox3"/>
      </mc:Fallback>
    </mc:AlternateContent>
    <mc:AlternateContent xmlns:mc="http://schemas.openxmlformats.org/markup-compatibility/2006">
      <mc:Choice Requires="x14">
        <control shapeId="7172" r:id="rId8" name="CommandButton1">
          <controlPr defaultSize="0" autoFill="0" autoLine="0" autoPict="0" r:id="rId9">
            <anchor moveWithCells="1">
              <from>
                <xdr:col>4</xdr:col>
                <xdr:colOff>9525</xdr:colOff>
                <xdr:row>9</xdr:row>
                <xdr:rowOff>0</xdr:rowOff>
              </from>
              <to>
                <xdr:col>7</xdr:col>
                <xdr:colOff>19050</xdr:colOff>
                <xdr:row>12</xdr:row>
                <xdr:rowOff>85725</xdr:rowOff>
              </to>
            </anchor>
          </controlPr>
        </control>
      </mc:Choice>
      <mc:Fallback>
        <control shapeId="7172" r:id="rId8" name="CommandButton1"/>
      </mc:Fallback>
    </mc:AlternateContent>
    <mc:AlternateContent xmlns:mc="http://schemas.openxmlformats.org/markup-compatibility/2006">
      <mc:Choice Requires="x14">
        <control shapeId="7171" r:id="rId10" name="CheckBox2">
          <controlPr autoLine="0" autoPict="0" r:id="rId11">
            <anchor moveWithCells="1">
              <from>
                <xdr:col>2</xdr:col>
                <xdr:colOff>276225</xdr:colOff>
                <xdr:row>5</xdr:row>
                <xdr:rowOff>19050</xdr:rowOff>
              </from>
              <to>
                <xdr:col>3</xdr:col>
                <xdr:colOff>847725</xdr:colOff>
                <xdr:row>7</xdr:row>
                <xdr:rowOff>123825</xdr:rowOff>
              </to>
            </anchor>
          </controlPr>
        </control>
      </mc:Choice>
      <mc:Fallback>
        <control shapeId="7171" r:id="rId10" name="CheckBox2"/>
      </mc:Fallback>
    </mc:AlternateContent>
    <mc:AlternateContent xmlns:mc="http://schemas.openxmlformats.org/markup-compatibility/2006">
      <mc:Choice Requires="x14">
        <control shapeId="7169" r:id="rId12" name="CheckBox1">
          <controlPr autoLine="0" autoPict="0" r:id="rId13">
            <anchor moveWithCells="1">
              <from>
                <xdr:col>1</xdr:col>
                <xdr:colOff>38100</xdr:colOff>
                <xdr:row>5</xdr:row>
                <xdr:rowOff>19050</xdr:rowOff>
              </from>
              <to>
                <xdr:col>1</xdr:col>
                <xdr:colOff>1590675</xdr:colOff>
                <xdr:row>7</xdr:row>
                <xdr:rowOff>123825</xdr:rowOff>
              </to>
            </anchor>
          </controlPr>
        </control>
      </mc:Choice>
      <mc:Fallback>
        <control shapeId="7169" r:id="rId12" name="Check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92</vt:i4>
      </vt:variant>
    </vt:vector>
  </HeadingPairs>
  <TitlesOfParts>
    <vt:vector size="104" baseType="lpstr">
      <vt:lpstr>Start page</vt:lpstr>
      <vt:lpstr>Market data</vt:lpstr>
      <vt:lpstr>Fixed Bills Pricer</vt:lpstr>
      <vt:lpstr>Fixed Bills Risk</vt:lpstr>
      <vt:lpstr>Floating Bills Pricer</vt:lpstr>
      <vt:lpstr>Curves List</vt:lpstr>
      <vt:lpstr>1M Curve</vt:lpstr>
      <vt:lpstr>3M Curve</vt:lpstr>
      <vt:lpstr>6M Curve</vt:lpstr>
      <vt:lpstr>3y&amp;10y prices</vt:lpstr>
      <vt:lpstr>Config</vt:lpstr>
      <vt:lpstr>Export to Calypso</vt:lpstr>
      <vt:lpstr>'Floating Bills Pricer'!a_name</vt:lpstr>
      <vt:lpstr>'Floating Bills Pricer'!AmortSchedule_ForHiding</vt:lpstr>
      <vt:lpstr>AmortSchedule_ForHiding</vt:lpstr>
      <vt:lpstr>'Floating Bills Pricer'!another_name</vt:lpstr>
      <vt:lpstr>Calendars</vt:lpstr>
      <vt:lpstr>ConfigBusinessDayConvention</vt:lpstr>
      <vt:lpstr>ConfigDayCounters</vt:lpstr>
      <vt:lpstr>ConfigRollDay</vt:lpstr>
      <vt:lpstr>ConfigRollDirection</vt:lpstr>
      <vt:lpstr>ConfigRollFreq</vt:lpstr>
      <vt:lpstr>Curve1MInstruments</vt:lpstr>
      <vt:lpstr>Curve1MName</vt:lpstr>
      <vt:lpstr>Curve310Pay10y</vt:lpstr>
      <vt:lpstr>Curve310Pay3y</vt:lpstr>
      <vt:lpstr>Curve310PayInstruments</vt:lpstr>
      <vt:lpstr>Curve310PayName</vt:lpstr>
      <vt:lpstr>Curve310Rec10y</vt:lpstr>
      <vt:lpstr>Curve310Rec3y</vt:lpstr>
      <vt:lpstr>Curve310ReceiveInstruments</vt:lpstr>
      <vt:lpstr>Curve310ReceiveName</vt:lpstr>
      <vt:lpstr>Curve3MInstruments</vt:lpstr>
      <vt:lpstr>Curve3MName</vt:lpstr>
      <vt:lpstr>Curve6MInstruments</vt:lpstr>
      <vt:lpstr>Curve6MName</vt:lpstr>
      <vt:lpstr>'Floating Bills Pricer'!CustomRolls_ForHiding</vt:lpstr>
      <vt:lpstr>CustomRolls_ForHiding</vt:lpstr>
      <vt:lpstr>'Floating Bills Pricer'!Fixed_Rate_Range</vt:lpstr>
      <vt:lpstr>FixedSwap_AmortisingSchedule</vt:lpstr>
      <vt:lpstr>FixedSwap_CustomRollSchedule</vt:lpstr>
      <vt:lpstr>FixedSwap_PayCashflows</vt:lpstr>
      <vt:lpstr>FixedSwap_PayTerms</vt:lpstr>
      <vt:lpstr>FixedSwap_ReceiveCashflows</vt:lpstr>
      <vt:lpstr>FixedSwap_ReceiveTerms</vt:lpstr>
      <vt:lpstr>FixedSwapActualRate</vt:lpstr>
      <vt:lpstr>FixedSwapBulletPaymentDate</vt:lpstr>
      <vt:lpstr>FixedSwapBulletPaymentValue</vt:lpstr>
      <vt:lpstr>FixedSwapCurve</vt:lpstr>
      <vt:lpstr>FixedSwapFloatingMargin</vt:lpstr>
      <vt:lpstr>FixedSwapPayBuildDates</vt:lpstr>
      <vt:lpstr>FixedSwapPayCalendar</vt:lpstr>
      <vt:lpstr>FixedSwapPayEndDate</vt:lpstr>
      <vt:lpstr>FixedSwapPayRollConvention</vt:lpstr>
      <vt:lpstr>FixedSwapPayRollDate</vt:lpstr>
      <vt:lpstr>FixedSwapPayRollFrequency</vt:lpstr>
      <vt:lpstr>FixedSwapPayStartDate</vt:lpstr>
      <vt:lpstr>FixedSwapReceiveBuildDates</vt:lpstr>
      <vt:lpstr>FixedSwapReceiveCalendar</vt:lpstr>
      <vt:lpstr>FixedSwapReceiveEndDate</vt:lpstr>
      <vt:lpstr>FixedSwapReceiveRollConvention</vt:lpstr>
      <vt:lpstr>FixedSwapReceiveRollDate</vt:lpstr>
      <vt:lpstr>FixedSwapReceiveStartDate</vt:lpstr>
      <vt:lpstr>FixedSwapRiskCurveInstrumentsInfo</vt:lpstr>
      <vt:lpstr>FixedSwapRiskCurveInstrumentsInfoBucketSensitivity</vt:lpstr>
      <vt:lpstr>FixedSwapRiskCurveQuotesInfo</vt:lpstr>
      <vt:lpstr>FixedSwapRiskDepositsDelta</vt:lpstr>
      <vt:lpstr>FixedSwapRiskFuturesDelta</vt:lpstr>
      <vt:lpstr>FixedSwapRiskPV</vt:lpstr>
      <vt:lpstr>FixedSwapRiskSwapsDelta</vt:lpstr>
      <vt:lpstr>FixedSwapRiskTotalDelta</vt:lpstr>
      <vt:lpstr>FixedSwapRiskValuationDate</vt:lpstr>
      <vt:lpstr>FixedSwapSalesMargin</vt:lpstr>
      <vt:lpstr>FixedSwapTraderMargin</vt:lpstr>
      <vt:lpstr>FixedSwapValuationTime</vt:lpstr>
      <vt:lpstr>'Floating Bills Pricer'!Floating_Margin</vt:lpstr>
      <vt:lpstr>FloatingSwap_AmortisingSchedule</vt:lpstr>
      <vt:lpstr>FloatingSwap_AmortSchedule_ForHiding</vt:lpstr>
      <vt:lpstr>FloatingSwap_CustomRolls_ForHiding</vt:lpstr>
      <vt:lpstr>FloatingSwap_CustomRollSchedule</vt:lpstr>
      <vt:lpstr>FloatingSwap_PayCashflows</vt:lpstr>
      <vt:lpstr>FloatingSwap_PayRollFrq</vt:lpstr>
      <vt:lpstr>FloatingSwap_PayTerms</vt:lpstr>
      <vt:lpstr>FloatingSwap_ReceiveCashflows</vt:lpstr>
      <vt:lpstr>FloatingSwap_ReceiveRollFrq</vt:lpstr>
      <vt:lpstr>FloatingSwap_ReceiveTerms</vt:lpstr>
      <vt:lpstr>FloatingSwapPayCurve</vt:lpstr>
      <vt:lpstr>FloatingSwapReceiveCurve</vt:lpstr>
      <vt:lpstr>'Floating Bills Pricer'!FRQ_CONFIG</vt:lpstr>
      <vt:lpstr>ListOfTodaysCurves</vt:lpstr>
      <vt:lpstr>MarketData10yFutures</vt:lpstr>
      <vt:lpstr>MarketData3yFutures</vt:lpstr>
      <vt:lpstr>MarketDataCurveInstruments</vt:lpstr>
      <vt:lpstr>'Floating Bills Pricer'!PAY_CURVE</vt:lpstr>
      <vt:lpstr>'Floating Bills Pricer'!PayRollFrq</vt:lpstr>
      <vt:lpstr>PayRollFrq</vt:lpstr>
      <vt:lpstr>'Fixed Bills Pricer'!Print_Area</vt:lpstr>
      <vt:lpstr>'Fixed Bills Risk'!Print_Area</vt:lpstr>
      <vt:lpstr>'Floating Bills Pricer'!Print_Area</vt:lpstr>
      <vt:lpstr>'Floating Bills Pricer'!Profit_Spread</vt:lpstr>
      <vt:lpstr>'Floating Bills Pricer'!RECEIVE_CURVE</vt:lpstr>
      <vt:lpstr>'Floating Bills Pricer'!ReceiveRollFrq</vt:lpstr>
      <vt:lpstr>ReceiveRollFrq</vt:lpstr>
      <vt:lpstr>'Floating Bills Pricer'!Roll_Type_Config</vt:lpstr>
    </vt:vector>
  </TitlesOfParts>
  <Company>National Australia Bank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Igor Sukhov</dc:creator>
  <cp:lastModifiedBy>Alex</cp:lastModifiedBy>
  <cp:lastPrinted>2008-06-06T06:29:45Z</cp:lastPrinted>
  <dcterms:created xsi:type="dcterms:W3CDTF">2008-04-22T05:51:52Z</dcterms:created>
  <dcterms:modified xsi:type="dcterms:W3CDTF">2018-02-24T05:11:56Z</dcterms:modified>
</cp:coreProperties>
</file>