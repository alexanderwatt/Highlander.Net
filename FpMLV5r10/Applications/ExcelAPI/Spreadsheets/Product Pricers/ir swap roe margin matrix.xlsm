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Product Pricers\"/>
    </mc:Choice>
  </mc:AlternateContent>
  <bookViews>
    <workbookView xWindow="120" yWindow="120" windowWidth="18960" windowHeight="11790" tabRatio="399" activeTab="4" xr2:uid="{00000000-000D-0000-FFFF-FFFF00000000}"/>
  </bookViews>
  <sheets>
    <sheet name="Trade" sheetId="1" r:id="rId1"/>
    <sheet name="Spreads" sheetId="6" r:id="rId2"/>
    <sheet name="Cashflows" sheetId="5" state="hidden" r:id="rId3"/>
    <sheet name="Market Vols" sheetId="4" state="hidden" r:id="rId4"/>
    <sheet name="Market Rates" sheetId="3" r:id="rId5"/>
    <sheet name="Reference" sheetId="2" state="hidden" r:id="rId6"/>
  </sheets>
  <functionGroups builtInGroupCount="19"/>
  <definedNames>
    <definedName name="Adjustment">Reference!$P$4:$P$9</definedName>
    <definedName name="AllMarketIndexTenors">Reference!$Y$4:$Y$6</definedName>
    <definedName name="AmortBasis">Reference!$AB$4:$AB$5</definedName>
    <definedName name="AUDCurve">'Market Rates'!$B$4</definedName>
    <definedName name="AUDCurveFilter">'Market Rates'!$B$6:$C$10</definedName>
    <definedName name="AUDCurveIndexTenor">'Market Rates'!$C$9</definedName>
    <definedName name="AUDCurveInputs">'Market Rates'!$B$24:$C$65</definedName>
    <definedName name="AUDCurveProperties">'Market Rates'!$B$6:$C$12</definedName>
    <definedName name="AUDFxCurve">'Market Rates'!$U$4</definedName>
    <definedName name="AUDFXRates">'Market Rates'!$U$24:$V$65</definedName>
    <definedName name="AUDGetRates">'Market Rates'!$B$23</definedName>
    <definedName name="AUDMarket">'Market Rates'!$C$2</definedName>
    <definedName name="AUDMarketFX">'Market Rates'!$V$2</definedName>
    <definedName name="AUDMarketRateIndex">'Market Rates'!$C$10</definedName>
    <definedName name="AUDPropertyNames">'Market Rates'!$B$6:$B$12</definedName>
    <definedName name="BasisNotional">Trade!$I$9</definedName>
    <definedName name="Bob">'Market Rates'!$Q$2</definedName>
    <definedName name="CapFloorType">Reference!$C$4:$C$5</definedName>
    <definedName name="CcyUSDSpotRates">'Market Rates'!$AD$24:$AE$27</definedName>
    <definedName name="CreditEcrs">Trade!#REF!</definedName>
    <definedName name="CreditLendingCategory">Trade!$G$29</definedName>
    <definedName name="CreditLgdCounterparty">Trade!$D$29</definedName>
    <definedName name="CreditRatings">Reference!$U$4:$U$29</definedName>
    <definedName name="CreditRegion">Reference!$AA$4</definedName>
    <definedName name="CreditSettings">Spreads!$S$70:$T$84</definedName>
    <definedName name="CreditTargetRoe">Trade!$M$29</definedName>
    <definedName name="CurrencyList">Reference!$D$4:$D$8</definedName>
    <definedName name="CurrencyRateIndex">'Market Rates'!$Q$6:$U$9</definedName>
    <definedName name="CurrencyTable">Reference!$D$5:$K$11</definedName>
    <definedName name="curve1">'Market Rates'!$B$24</definedName>
    <definedName name="DayCount">Reference!$Q$4:$Q$9</definedName>
    <definedName name="DefaultTradeHeader">Cashflows!$O$2:$P$8</definedName>
    <definedName name="DefaultTradeTerms">Cashflows!$R$2:$S$21</definedName>
    <definedName name="EcrsMatrix">Spreads!$D$6:$P$6</definedName>
    <definedName name="EODMarketIndexTenor">Reference!$Y$5</definedName>
    <definedName name="EURCurve">'Market Rates'!$N$4</definedName>
    <definedName name="EURCurveFilter">'Market Rates'!$N$6:$O$10</definedName>
    <definedName name="EURCurveIndexTenor">'Market Rates'!$O$9</definedName>
    <definedName name="EURCurveInputs">'Market Rates'!$N$24:$O$65</definedName>
    <definedName name="EURCurveProperties">'Market Rates'!$N$6:$O$12</definedName>
    <definedName name="EURFxCurve">'Market Rates'!$AA$4</definedName>
    <definedName name="EURFXRates">'Market Rates'!$AA$24:$AB$65</definedName>
    <definedName name="EURMarket">'Market Rates'!$O$2</definedName>
    <definedName name="EURMarketFX">'Market Rates'!$AB$2</definedName>
    <definedName name="EURMarketRateIndex">'Market Rates'!$O$10</definedName>
    <definedName name="EURPropertyNames">'Market Rates'!$N$6:$N$12</definedName>
    <definedName name="Fields">Reference!$S$4:$S$15</definedName>
    <definedName name="GBPCurve">'Market Rates'!$J$4</definedName>
    <definedName name="GBPCurveFilter">'Market Rates'!$J$6:$K$10</definedName>
    <definedName name="GBPCurveIndexTenor">'Market Rates'!$K$9</definedName>
    <definedName name="GBPCurveInputs">'Market Rates'!$J$24:$K$65</definedName>
    <definedName name="GBPCurveProperties">'Market Rates'!$J$6:$K$12</definedName>
    <definedName name="GBPFxCurve">'Market Rates'!$X$4</definedName>
    <definedName name="GBPFXRates">'Market Rates'!$X$24:$Y$65</definedName>
    <definedName name="GBPMarket">'Market Rates'!$K$2</definedName>
    <definedName name="GBPMarketFX">'Market Rates'!$Y$2</definedName>
    <definedName name="GBPMarketRateIndex">'Market Rates'!$K$10</definedName>
    <definedName name="GBPPropertyNames">'Market Rates'!$J$6:$J$12</definedName>
    <definedName name="LendingCategoryTypes">Reference!$W$4</definedName>
    <definedName name="LGDCounterParty">Reference!$V$4</definedName>
    <definedName name="LocalAUDCurveProperties">'Market Rates'!$B$14:$C$20</definedName>
    <definedName name="LocalEURCurveProperties">'Market Rates'!$N$14:$O$20</definedName>
    <definedName name="LocalGBPCurveProperties">'Market Rates'!$J$14:$K$20</definedName>
    <definedName name="LocalUSDCurveProperties">'Market Rates'!$F$14:$G$20</definedName>
    <definedName name="Markets">Reference!$X$4:$X$9</definedName>
    <definedName name="MaturityMatrix">Spreads!$C$7:$C$22</definedName>
    <definedName name="Metrics">Reference!$T$4:$T$5</definedName>
    <definedName name="PayAdjustment">Trade!$G$19</definedName>
    <definedName name="PayCurrency">Trade!$G$9</definedName>
    <definedName name="PayDayCount">Trade!$K$19</definedName>
    <definedName name="PayDiscountCurve">Spreads!$T$31</definedName>
    <definedName name="PayFixedRate">Trade!$G$15</definedName>
    <definedName name="PayInterval">Trade!$D$19</definedName>
    <definedName name="PaymentTenor">Reference!$O$4:$O$5</definedName>
    <definedName name="PaymentType">Reference!$R$4:$R$5</definedName>
    <definedName name="PayPaymentIn">Trade!$M$19</definedName>
    <definedName name="PayRateIndex">Trade!$I$13</definedName>
    <definedName name="PayRateIndexTenor">Trade!$K$13</definedName>
    <definedName name="PayRollDay">Spreads!$T$27</definedName>
    <definedName name="PaySpread">Trade!$M$13</definedName>
    <definedName name="PayStreamType">Trade!$D$13</definedName>
    <definedName name="PayTerms">Spreads!$S$21:$T$40</definedName>
    <definedName name="PricingData">Cashflows!$B$26:$M$45</definedName>
    <definedName name="RateIndex">Reference!$M$4</definedName>
    <definedName name="RatingsStart">Spreads!#REF!</definedName>
    <definedName name="ReceiveAdjustment">Trade!$T$19</definedName>
    <definedName name="ReceiveCurrency">Trade!$T$9</definedName>
    <definedName name="ReceiveDayCount">Trade!$W$19</definedName>
    <definedName name="ReceiveFixedRate">Trade!$T$15</definedName>
    <definedName name="ReceiveInterval">Trade!$R$19</definedName>
    <definedName name="ReceivePaymentIn">Trade!$Z$19</definedName>
    <definedName name="ReceiveRateIndex">Trade!$U$13</definedName>
    <definedName name="ReceiveRateIndexTenor">Trade!$W$13</definedName>
    <definedName name="ReceiveRollDay">Spreads!$T$49</definedName>
    <definedName name="ReceiveSpread">Trade!$Y$13</definedName>
    <definedName name="ReceiveStreamType">Trade!$R$13</definedName>
    <definedName name="ReceiveTerms">Spreads!$S$43:$T$62</definedName>
    <definedName name="ReportBy">Reference!$AC$4:$AC$5</definedName>
    <definedName name="ReportByType">Spreads!$P$3</definedName>
    <definedName name="SpreadMatrix">Spreads!$D$7:$P$22</definedName>
    <definedName name="StartDate">Trade!$G$5</definedName>
    <definedName name="StructuredTradeData">Cashflows!$B$48:$F$69</definedName>
    <definedName name="StructuredTradeHeader">Cashflows!$O$2:$P$5</definedName>
    <definedName name="StructuredTradeTerms">Cashflows!$U$2:$V$12</definedName>
    <definedName name="SwapMaturities">Reference!$Z$4:$Z$27</definedName>
    <definedName name="TargetRoeMtm">Reference!$T$6</definedName>
    <definedName name="Tenor">Reference!$N$4</definedName>
    <definedName name="TradeId">Cashflows!$P$4</definedName>
    <definedName name="TradeMarket">Spreads!$T$66</definedName>
    <definedName name="TradeRateIndexTenor">Trade!$W$15</definedName>
    <definedName name="TradeTerms">Spreads!$S$3:$T$18</definedName>
    <definedName name="USDCurve">'Market Rates'!$F$4</definedName>
    <definedName name="USDCurveFilter">'Market Rates'!$F$6:$G$10</definedName>
    <definedName name="USDCurveIndexTenor">'Market Rates'!$G$9</definedName>
    <definedName name="USDCurveInputs">'Market Rates'!$F$24:$G$65</definedName>
    <definedName name="USDCurveProperties">'Market Rates'!$F$6:$G$12</definedName>
    <definedName name="USDMarket">'Market Rates'!$G$2</definedName>
    <definedName name="USDMarketRateIndex">'Market Rates'!$G$10</definedName>
    <definedName name="USDPropertyNames">'Market Rates'!$F$6:$F$12</definedName>
    <definedName name="ValueDate">Trade!$M$5</definedName>
  </definedNames>
  <calcPr calcId="171027" calcMode="manual" calcCompleted="0" calcOnSave="0"/>
</workbook>
</file>

<file path=xl/calcChain.xml><?xml version="1.0" encoding="utf-8"?>
<calcChain xmlns="http://schemas.openxmlformats.org/spreadsheetml/2006/main">
  <c r="U14" i="3" l="1" a="1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4" i="3" a="1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T78" i="6" l="1"/>
  <c r="L3" i="6"/>
  <c r="C7" i="3"/>
  <c r="C9" i="3"/>
  <c r="C10" i="3"/>
  <c r="O9" i="3"/>
  <c r="K9" i="3"/>
  <c r="G9" i="3"/>
  <c r="AD24" i="3"/>
  <c r="G10" i="3"/>
  <c r="K10" i="3"/>
  <c r="AB7" i="3"/>
  <c r="Y7" i="3"/>
  <c r="V7" i="3"/>
  <c r="K26" i="1"/>
  <c r="T73" i="6"/>
  <c r="T75" i="6"/>
  <c r="T74" i="6"/>
  <c r="T72" i="6"/>
  <c r="Z19" i="1"/>
  <c r="W19" i="1"/>
  <c r="R19" i="1"/>
  <c r="T65" i="6"/>
  <c r="T83" i="6"/>
  <c r="T82" i="6"/>
  <c r="T81" i="6"/>
  <c r="T71" i="6"/>
  <c r="AD26" i="3"/>
  <c r="AD25" i="3"/>
  <c r="AA4" i="3"/>
  <c r="U4" i="3"/>
  <c r="X4" i="3"/>
  <c r="T19" i="1" l="1"/>
  <c r="T18" i="6"/>
  <c r="V31" i="6"/>
  <c r="V34" i="6" s="1"/>
  <c r="T76" i="6"/>
  <c r="T67" i="6"/>
  <c r="R9" i="3"/>
  <c r="R8" i="3"/>
  <c r="R7" i="3"/>
  <c r="R6" i="3"/>
  <c r="AA24" i="3" a="1"/>
  <c r="AA14" i="3" a="1"/>
  <c r="X24" i="3" a="1"/>
  <c r="X14" i="3" a="1"/>
  <c r="AB50" i="3" l="1"/>
  <c r="AB43" i="3"/>
  <c r="AA43" i="3"/>
  <c r="AA44" i="3"/>
  <c r="AB44" i="3"/>
  <c r="AB53" i="3"/>
  <c r="AA45" i="3"/>
  <c r="AA46" i="3"/>
  <c r="AB46" i="3"/>
  <c r="AB47" i="3"/>
  <c r="AB45" i="3"/>
  <c r="AB27" i="3"/>
  <c r="AA59" i="3"/>
  <c r="AA60" i="3"/>
  <c r="AB60" i="3"/>
  <c r="AA30" i="3"/>
  <c r="AA42" i="3"/>
  <c r="AB40" i="3"/>
  <c r="AB52" i="3"/>
  <c r="AA48" i="3"/>
  <c r="AB63" i="3"/>
  <c r="AA50" i="3"/>
  <c r="AB64" i="3"/>
  <c r="AA65" i="3"/>
  <c r="AA32" i="3"/>
  <c r="AB25" i="3"/>
  <c r="AA26" i="3"/>
  <c r="AA38" i="3"/>
  <c r="AB58" i="3"/>
  <c r="AB37" i="3"/>
  <c r="AB41" i="3"/>
  <c r="AB61" i="3"/>
  <c r="AA53" i="3"/>
  <c r="AA54" i="3"/>
  <c r="AB54" i="3"/>
  <c r="AB55" i="3"/>
  <c r="AA63" i="3"/>
  <c r="AA64" i="3"/>
  <c r="AB56" i="3"/>
  <c r="AB57" i="3"/>
  <c r="AA57" i="3"/>
  <c r="AA55" i="3"/>
  <c r="AA37" i="3"/>
  <c r="AA27" i="3"/>
  <c r="AA28" i="3"/>
  <c r="AB28" i="3"/>
  <c r="AA61" i="3"/>
  <c r="AB31" i="3"/>
  <c r="AA29" i="3"/>
  <c r="AA41" i="3"/>
  <c r="AB26" i="3"/>
  <c r="AA52" i="3"/>
  <c r="AB39" i="3"/>
  <c r="AA47" i="3"/>
  <c r="AA39" i="3"/>
  <c r="AA40" i="3"/>
  <c r="AB32" i="3"/>
  <c r="AB33" i="3"/>
  <c r="AA33" i="3"/>
  <c r="AA34" i="3"/>
  <c r="AB42" i="3"/>
  <c r="AB35" i="3"/>
  <c r="AA35" i="3"/>
  <c r="AA36" i="3"/>
  <c r="AB36" i="3"/>
  <c r="AA24" i="3"/>
  <c r="AB59" i="3"/>
  <c r="AB49" i="3"/>
  <c r="AA49" i="3"/>
  <c r="AA58" i="3"/>
  <c r="AA51" i="3"/>
  <c r="AB48" i="3"/>
  <c r="AA62" i="3"/>
  <c r="AB34" i="3"/>
  <c r="AB51" i="3"/>
  <c r="AB29" i="3"/>
  <c r="AB65" i="3"/>
  <c r="AA31" i="3"/>
  <c r="AB24" i="3"/>
  <c r="AE26" i="3" s="1"/>
  <c r="AA25" i="3"/>
  <c r="AA56" i="3"/>
  <c r="AB38" i="3"/>
  <c r="AB62" i="3"/>
  <c r="AB30" i="3"/>
  <c r="AE24" i="3"/>
  <c r="X51" i="3"/>
  <c r="Y49" i="3"/>
  <c r="X41" i="3"/>
  <c r="Y64" i="3"/>
  <c r="X65" i="3"/>
  <c r="Y53" i="3"/>
  <c r="X54" i="3"/>
  <c r="Y35" i="3"/>
  <c r="Y24" i="3"/>
  <c r="AE25" i="3" s="1"/>
  <c r="X26" i="3"/>
  <c r="Y45" i="3"/>
  <c r="X38" i="3"/>
  <c r="Y27" i="3"/>
  <c r="Y26" i="3"/>
  <c r="X61" i="3"/>
  <c r="X27" i="3"/>
  <c r="X31" i="3"/>
  <c r="Y63" i="3"/>
  <c r="Y31" i="3"/>
  <c r="X49" i="3"/>
  <c r="X63" i="3"/>
  <c r="Y52" i="3"/>
  <c r="Y30" i="3"/>
  <c r="X46" i="3"/>
  <c r="X24" i="3"/>
  <c r="Y39" i="3"/>
  <c r="X57" i="3"/>
  <c r="X52" i="3"/>
  <c r="Y61" i="3"/>
  <c r="Y34" i="3"/>
  <c r="Y43" i="3"/>
  <c r="Y32" i="3"/>
  <c r="X34" i="3"/>
  <c r="Y62" i="3"/>
  <c r="X64" i="3"/>
  <c r="Y44" i="3"/>
  <c r="X47" i="3"/>
  <c r="X37" i="3"/>
  <c r="Y54" i="3"/>
  <c r="X56" i="3"/>
  <c r="Y36" i="3"/>
  <c r="Y65" i="3"/>
  <c r="X29" i="3"/>
  <c r="X44" i="3"/>
  <c r="Y42" i="3"/>
  <c r="Y40" i="3"/>
  <c r="Y51" i="3"/>
  <c r="Y37" i="3"/>
  <c r="X53" i="3"/>
  <c r="Y59" i="3"/>
  <c r="X45" i="3"/>
  <c r="X36" i="3"/>
  <c r="Y57" i="3"/>
  <c r="X30" i="3"/>
  <c r="X48" i="3"/>
  <c r="Y41" i="3"/>
  <c r="Y38" i="3"/>
  <c r="X40" i="3"/>
  <c r="X60" i="3"/>
  <c r="X62" i="3"/>
  <c r="Y55" i="3"/>
  <c r="X39" i="3"/>
  <c r="X43" i="3"/>
  <c r="Y25" i="3"/>
  <c r="X33" i="3"/>
  <c r="Y56" i="3"/>
  <c r="X58" i="3"/>
  <c r="X35" i="3"/>
  <c r="Y58" i="3"/>
  <c r="X25" i="3"/>
  <c r="Y48" i="3"/>
  <c r="X50" i="3"/>
  <c r="X59" i="3"/>
  <c r="Y28" i="3"/>
  <c r="X42" i="3"/>
  <c r="Y50" i="3"/>
  <c r="Y60" i="3"/>
  <c r="Y29" i="3"/>
  <c r="X28" i="3"/>
  <c r="X32" i="3"/>
  <c r="Y47" i="3"/>
  <c r="X55" i="3"/>
  <c r="Y33" i="3"/>
  <c r="Y46" i="3"/>
  <c r="AA16" i="3"/>
  <c r="AA14" i="3"/>
  <c r="AA20" i="3"/>
  <c r="AB17" i="3"/>
  <c r="AA15" i="3"/>
  <c r="AB18" i="3"/>
  <c r="AB16" i="3"/>
  <c r="AB19" i="3"/>
  <c r="AA19" i="3"/>
  <c r="AA18" i="3"/>
  <c r="AB14" i="3"/>
  <c r="AA17" i="3"/>
  <c r="AB15" i="3"/>
  <c r="AB20" i="3"/>
  <c r="X14" i="3"/>
  <c r="X20" i="3"/>
  <c r="Y19" i="3"/>
  <c r="Y17" i="3"/>
  <c r="Y18" i="3"/>
  <c r="Y14" i="3"/>
  <c r="Y20" i="3"/>
  <c r="X18" i="3"/>
  <c r="X16" i="3"/>
  <c r="Y16" i="3"/>
  <c r="Y15" i="3"/>
  <c r="X17" i="3"/>
  <c r="X15" i="3"/>
  <c r="X19" i="3"/>
  <c r="K29" i="1"/>
  <c r="T70" i="6" s="1"/>
  <c r="Q9" i="3"/>
  <c r="Q8" i="3"/>
  <c r="Q7" i="3"/>
  <c r="Q6" i="3"/>
  <c r="O7" i="3"/>
  <c r="O10" i="3" s="1"/>
  <c r="K7" i="3"/>
  <c r="G7" i="3"/>
  <c r="T61" i="6"/>
  <c r="T52" i="6"/>
  <c r="T51" i="6"/>
  <c r="T50" i="6"/>
  <c r="T48" i="6"/>
  <c r="T44" i="6"/>
  <c r="T23" i="6"/>
  <c r="T22" i="6"/>
  <c r="T21" i="6"/>
  <c r="T40" i="6"/>
  <c r="T39" i="6"/>
  <c r="T35" i="6"/>
  <c r="T32" i="6"/>
  <c r="T30" i="6"/>
  <c r="T29" i="6"/>
  <c r="T28" i="6"/>
  <c r="T26" i="6"/>
  <c r="T25" i="6"/>
  <c r="G13" i="1"/>
  <c r="T17" i="6"/>
  <c r="T13" i="6"/>
  <c r="T14" i="6"/>
  <c r="T12" i="6"/>
  <c r="T11" i="6"/>
  <c r="T10" i="6"/>
  <c r="R13" i="1"/>
  <c r="J3" i="6" s="1"/>
  <c r="T9" i="1"/>
  <c r="T13" i="1" s="1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3" i="5"/>
  <c r="C11" i="4"/>
  <c r="V5" i="5"/>
  <c r="V3" i="5"/>
  <c r="V2" i="5"/>
  <c r="J4" i="5"/>
  <c r="D50" i="5" s="1"/>
  <c r="J5" i="5"/>
  <c r="D51" i="5" s="1"/>
  <c r="J6" i="5"/>
  <c r="D52" i="5" s="1"/>
  <c r="J7" i="5"/>
  <c r="D53" i="5" s="1"/>
  <c r="J8" i="5"/>
  <c r="D54" i="5" s="1"/>
  <c r="J9" i="5"/>
  <c r="D55" i="5" s="1"/>
  <c r="J10" i="5"/>
  <c r="D56" i="5" s="1"/>
  <c r="J11" i="5"/>
  <c r="D57" i="5" s="1"/>
  <c r="J12" i="5"/>
  <c r="D58" i="5" s="1"/>
  <c r="J13" i="5"/>
  <c r="D59" i="5" s="1"/>
  <c r="J14" i="5"/>
  <c r="D60" i="5" s="1"/>
  <c r="J15" i="5"/>
  <c r="D61" i="5" s="1"/>
  <c r="J16" i="5"/>
  <c r="D62" i="5" s="1"/>
  <c r="J17" i="5"/>
  <c r="D63" i="5" s="1"/>
  <c r="J18" i="5"/>
  <c r="D64" i="5" s="1"/>
  <c r="J19" i="5"/>
  <c r="D65" i="5" s="1"/>
  <c r="J20" i="5"/>
  <c r="D66" i="5" s="1"/>
  <c r="J21" i="5"/>
  <c r="D67" i="5" s="1"/>
  <c r="J22" i="5"/>
  <c r="D68" i="5" s="1"/>
  <c r="J23" i="5"/>
  <c r="D69" i="5" s="1"/>
  <c r="J3" i="5"/>
  <c r="D49" i="5" s="1"/>
  <c r="H4" i="5"/>
  <c r="C50" i="5" s="1"/>
  <c r="H5" i="5"/>
  <c r="C51" i="5" s="1"/>
  <c r="H6" i="5"/>
  <c r="C52" i="5" s="1"/>
  <c r="H7" i="5"/>
  <c r="C53" i="5" s="1"/>
  <c r="H8" i="5"/>
  <c r="C54" i="5" s="1"/>
  <c r="H9" i="5"/>
  <c r="C55" i="5" s="1"/>
  <c r="H10" i="5"/>
  <c r="C56" i="5" s="1"/>
  <c r="H11" i="5"/>
  <c r="C57" i="5" s="1"/>
  <c r="H12" i="5"/>
  <c r="C58" i="5" s="1"/>
  <c r="H13" i="5"/>
  <c r="C59" i="5" s="1"/>
  <c r="H14" i="5"/>
  <c r="C60" i="5" s="1"/>
  <c r="H15" i="5"/>
  <c r="C61" i="5" s="1"/>
  <c r="H16" i="5"/>
  <c r="C62" i="5" s="1"/>
  <c r="H17" i="5"/>
  <c r="C63" i="5" s="1"/>
  <c r="H18" i="5"/>
  <c r="C64" i="5" s="1"/>
  <c r="H19" i="5"/>
  <c r="C65" i="5" s="1"/>
  <c r="H20" i="5"/>
  <c r="C66" i="5" s="1"/>
  <c r="H21" i="5"/>
  <c r="C67" i="5" s="1"/>
  <c r="H22" i="5"/>
  <c r="C68" i="5" s="1"/>
  <c r="H23" i="5"/>
  <c r="C69" i="5" s="1"/>
  <c r="H3" i="5"/>
  <c r="C49" i="5" s="1"/>
  <c r="F4" i="5"/>
  <c r="F50" i="5" s="1"/>
  <c r="F5" i="5"/>
  <c r="F51" i="5" s="1"/>
  <c r="F6" i="5"/>
  <c r="F52" i="5" s="1"/>
  <c r="F7" i="5"/>
  <c r="F53" i="5" s="1"/>
  <c r="F8" i="5"/>
  <c r="F54" i="5" s="1"/>
  <c r="F9" i="5"/>
  <c r="F55" i="5" s="1"/>
  <c r="F10" i="5"/>
  <c r="F56" i="5" s="1"/>
  <c r="F11" i="5"/>
  <c r="F57" i="5" s="1"/>
  <c r="F12" i="5"/>
  <c r="F58" i="5" s="1"/>
  <c r="F13" i="5"/>
  <c r="F59" i="5" s="1"/>
  <c r="F14" i="5"/>
  <c r="F60" i="5" s="1"/>
  <c r="F15" i="5"/>
  <c r="F61" i="5" s="1"/>
  <c r="F16" i="5"/>
  <c r="F62" i="5" s="1"/>
  <c r="F17" i="5"/>
  <c r="F63" i="5" s="1"/>
  <c r="F18" i="5"/>
  <c r="F64" i="5" s="1"/>
  <c r="F19" i="5"/>
  <c r="F65" i="5" s="1"/>
  <c r="F20" i="5"/>
  <c r="F66" i="5" s="1"/>
  <c r="F21" i="5"/>
  <c r="F67" i="5" s="1"/>
  <c r="F22" i="5"/>
  <c r="F68" i="5" s="1"/>
  <c r="F23" i="5"/>
  <c r="F69" i="5" s="1"/>
  <c r="F3" i="5"/>
  <c r="F49" i="5" s="1"/>
  <c r="D4" i="5"/>
  <c r="E50" i="5" s="1"/>
  <c r="D5" i="5"/>
  <c r="E51" i="5" s="1"/>
  <c r="D6" i="5"/>
  <c r="E52" i="5" s="1"/>
  <c r="D7" i="5"/>
  <c r="E53" i="5" s="1"/>
  <c r="D8" i="5"/>
  <c r="E54" i="5" s="1"/>
  <c r="D9" i="5"/>
  <c r="E55" i="5" s="1"/>
  <c r="D10" i="5"/>
  <c r="E56" i="5" s="1"/>
  <c r="D11" i="5"/>
  <c r="E57" i="5" s="1"/>
  <c r="D12" i="5"/>
  <c r="E58" i="5" s="1"/>
  <c r="D13" i="5"/>
  <c r="E59" i="5" s="1"/>
  <c r="D14" i="5"/>
  <c r="E60" i="5" s="1"/>
  <c r="D15" i="5"/>
  <c r="E61" i="5" s="1"/>
  <c r="D16" i="5"/>
  <c r="E62" i="5" s="1"/>
  <c r="D17" i="5"/>
  <c r="E63" i="5" s="1"/>
  <c r="D18" i="5"/>
  <c r="E64" i="5" s="1"/>
  <c r="D19" i="5"/>
  <c r="E65" i="5" s="1"/>
  <c r="D20" i="5"/>
  <c r="E66" i="5" s="1"/>
  <c r="D21" i="5"/>
  <c r="E67" i="5" s="1"/>
  <c r="D22" i="5"/>
  <c r="E68" i="5" s="1"/>
  <c r="D23" i="5"/>
  <c r="E69" i="5" s="1"/>
  <c r="D3" i="5"/>
  <c r="E49" i="5" s="1"/>
  <c r="B4" i="5"/>
  <c r="B50" i="5" s="1"/>
  <c r="B5" i="5"/>
  <c r="B51" i="5" s="1"/>
  <c r="B6" i="5"/>
  <c r="B52" i="5" s="1"/>
  <c r="B7" i="5"/>
  <c r="B53" i="5" s="1"/>
  <c r="B8" i="5"/>
  <c r="B54" i="5" s="1"/>
  <c r="B9" i="5"/>
  <c r="B55" i="5" s="1"/>
  <c r="B10" i="5"/>
  <c r="B56" i="5" s="1"/>
  <c r="B11" i="5"/>
  <c r="B57" i="5" s="1"/>
  <c r="B12" i="5"/>
  <c r="B58" i="5" s="1"/>
  <c r="B13" i="5"/>
  <c r="B59" i="5" s="1"/>
  <c r="B14" i="5"/>
  <c r="B60" i="5" s="1"/>
  <c r="B15" i="5"/>
  <c r="B61" i="5" s="1"/>
  <c r="B16" i="5"/>
  <c r="B62" i="5" s="1"/>
  <c r="B17" i="5"/>
  <c r="B63" i="5" s="1"/>
  <c r="B18" i="5"/>
  <c r="B64" i="5" s="1"/>
  <c r="B19" i="5"/>
  <c r="B65" i="5" s="1"/>
  <c r="B20" i="5"/>
  <c r="B66" i="5" s="1"/>
  <c r="B21" i="5"/>
  <c r="B67" i="5" s="1"/>
  <c r="B22" i="5"/>
  <c r="B68" i="5" s="1"/>
  <c r="B23" i="5"/>
  <c r="B69" i="5" s="1"/>
  <c r="B3" i="5"/>
  <c r="B49" i="5" s="1"/>
  <c r="P2" i="5"/>
  <c r="E2" i="4"/>
  <c r="U13" i="1" l="1"/>
  <c r="T62" i="6"/>
  <c r="T54" i="6"/>
  <c r="AD13" i="1"/>
  <c r="AD12" i="1"/>
  <c r="T43" i="6"/>
  <c r="V53" i="6"/>
  <c r="V56" i="6" s="1"/>
  <c r="S6" i="3"/>
  <c r="I13" i="1"/>
  <c r="T66" i="6" s="1"/>
  <c r="T47" i="6"/>
  <c r="T57" i="6"/>
  <c r="T45" i="6"/>
  <c r="T9" i="6"/>
  <c r="T15" i="6"/>
  <c r="T16" i="6"/>
  <c r="S20" i="5"/>
  <c r="V12" i="5" s="1"/>
  <c r="S21" i="5"/>
  <c r="S19" i="5"/>
  <c r="S18" i="5"/>
  <c r="V11" i="5" s="1"/>
  <c r="S9" i="5"/>
  <c r="V6" i="5" s="1"/>
  <c r="S8" i="5"/>
  <c r="S6" i="5"/>
  <c r="S3" i="5"/>
  <c r="S5" i="5" s="1"/>
  <c r="S14" i="5" s="1"/>
  <c r="S2" i="5"/>
  <c r="P7" i="5"/>
  <c r="S9" i="3" l="1"/>
  <c r="S8" i="3"/>
  <c r="S7" i="3"/>
  <c r="U53" i="6"/>
  <c r="T53" i="6" s="1"/>
  <c r="T38" i="6"/>
  <c r="U31" i="6"/>
  <c r="T60" i="6"/>
  <c r="T27" i="6"/>
  <c r="T49" i="6"/>
  <c r="P6" i="5"/>
  <c r="S7" i="5" s="1"/>
  <c r="T4" i="6"/>
  <c r="S17" i="5"/>
  <c r="V9" i="5"/>
  <c r="V10" i="5"/>
  <c r="V8" i="5"/>
  <c r="S13" i="5"/>
  <c r="S11" i="5"/>
  <c r="P3" i="5"/>
  <c r="P4" i="5" s="1"/>
  <c r="U34" i="6" l="1"/>
  <c r="T34" i="6" s="1"/>
  <c r="T31" i="6"/>
  <c r="U56" i="6"/>
  <c r="T56" i="6" s="1"/>
</calcChain>
</file>

<file path=xl/sharedStrings.xml><?xml version="1.0" encoding="utf-8"?>
<sst xmlns="http://schemas.openxmlformats.org/spreadsheetml/2006/main" count="756" uniqueCount="416">
  <si>
    <t>Trade</t>
  </si>
  <si>
    <t>Index Table</t>
  </si>
  <si>
    <t>Currency</t>
  </si>
  <si>
    <t>BusinessCenter</t>
  </si>
  <si>
    <t>BaseIndex</t>
  </si>
  <si>
    <t>Index</t>
  </si>
  <si>
    <t>Forcast Index</t>
  </si>
  <si>
    <t>Day Count</t>
  </si>
  <si>
    <t>.</t>
  </si>
  <si>
    <t>AUD</t>
  </si>
  <si>
    <t>Sydney</t>
  </si>
  <si>
    <t>LIBOR-BBA</t>
  </si>
  <si>
    <t>ZERO-BANK</t>
  </si>
  <si>
    <t>XCCY-BASIS</t>
  </si>
  <si>
    <t>ACT/365.FIXED</t>
  </si>
  <si>
    <t>USD</t>
  </si>
  <si>
    <t>NewYork</t>
  </si>
  <si>
    <t>LIBOR-ISDA</t>
  </si>
  <si>
    <t>ACT/360</t>
  </si>
  <si>
    <t>EUR</t>
  </si>
  <si>
    <t>EURO</t>
  </si>
  <si>
    <t>GBP</t>
  </si>
  <si>
    <t>London</t>
  </si>
  <si>
    <t>SGD</t>
  </si>
  <si>
    <t>Singapore</t>
  </si>
  <si>
    <t>NZD</t>
  </si>
  <si>
    <t>Wellington</t>
  </si>
  <si>
    <t>JPY</t>
  </si>
  <si>
    <t>Tokyo</t>
  </si>
  <si>
    <t>Start</t>
  </si>
  <si>
    <t>Option</t>
  </si>
  <si>
    <t>PricingStructureType</t>
  </si>
  <si>
    <t>RateCurve</t>
  </si>
  <si>
    <t>MarketName</t>
  </si>
  <si>
    <t>IndexTenor</t>
  </si>
  <si>
    <t>3M</t>
  </si>
  <si>
    <t>6M</t>
  </si>
  <si>
    <t>EOD</t>
  </si>
  <si>
    <t>RateIndex</t>
  </si>
  <si>
    <t>Tenor</t>
  </si>
  <si>
    <t>+</t>
  </si>
  <si>
    <t>Strike</t>
  </si>
  <si>
    <t>Payment Tenor</t>
  </si>
  <si>
    <t>Ajustment</t>
  </si>
  <si>
    <t>FOLLOWING</t>
  </si>
  <si>
    <t>MODFOLLOWING</t>
  </si>
  <si>
    <t>FRN</t>
  </si>
  <si>
    <t>PRECEDING</t>
  </si>
  <si>
    <t>MODPRECEDING</t>
  </si>
  <si>
    <t>NONE</t>
  </si>
  <si>
    <t>DayCounts</t>
  </si>
  <si>
    <t>ACT/ACT.AFB</t>
  </si>
  <si>
    <t>ACT/ACT.ISDA</t>
  </si>
  <si>
    <t>ACT/ACT.ISMA</t>
  </si>
  <si>
    <t>30/360</t>
  </si>
  <si>
    <t>DealReferenceIdentifier</t>
  </si>
  <si>
    <t>BasePartyBuySellsInd</t>
  </si>
  <si>
    <t>CounterpartyName</t>
  </si>
  <si>
    <t>DealType</t>
  </si>
  <si>
    <t>ANZ</t>
  </si>
  <si>
    <t>EffectiveDate</t>
  </si>
  <si>
    <t>TerminationDate</t>
  </si>
  <si>
    <t>AdjustCalculationDates</t>
  </si>
  <si>
    <t>NotionalAmount</t>
  </si>
  <si>
    <t>ScheduleGeneration</t>
  </si>
  <si>
    <t>Forward</t>
  </si>
  <si>
    <t>BusinessCenters</t>
  </si>
  <si>
    <t>CouponPeriod</t>
  </si>
  <si>
    <t>RollDay</t>
  </si>
  <si>
    <t>CouponDateAdjustment</t>
  </si>
  <si>
    <t>DayCountConvention</t>
  </si>
  <si>
    <t>DiscountingType</t>
  </si>
  <si>
    <t>Standard</t>
  </si>
  <si>
    <t>DiscountCurveReference</t>
  </si>
  <si>
    <t>ObservedRateSpecified</t>
  </si>
  <si>
    <t>ForwardCurveReference</t>
  </si>
  <si>
    <t>FixingDateBusinessCenters</t>
  </si>
  <si>
    <t>FixingDateResetInterval</t>
  </si>
  <si>
    <t>0D</t>
  </si>
  <si>
    <t>FixingDateAdjustmentConvention</t>
  </si>
  <si>
    <t>RateIndexName</t>
  </si>
  <si>
    <t>RateIndexTenor</t>
  </si>
  <si>
    <t>Spread</t>
  </si>
  <si>
    <t>VolatilityCurveReference</t>
  </si>
  <si>
    <t>StrikePrice</t>
  </si>
  <si>
    <t>Parameters</t>
  </si>
  <si>
    <t>Name</t>
  </si>
  <si>
    <t>Value</t>
  </si>
  <si>
    <t>RateVolatilityCube</t>
  </si>
  <si>
    <t>CurveName</t>
  </si>
  <si>
    <t>BaseDate</t>
  </si>
  <si>
    <t>Instrument</t>
  </si>
  <si>
    <t>Algorithm</t>
  </si>
  <si>
    <t>Linear</t>
  </si>
  <si>
    <t>Volatility</t>
  </si>
  <si>
    <t>Update</t>
  </si>
  <si>
    <t>ResetDate</t>
  </si>
  <si>
    <t>Margin</t>
  </si>
  <si>
    <t>Rate</t>
  </si>
  <si>
    <t>AdjustedStartDate</t>
  </si>
  <si>
    <t>AdjustedEndDate</t>
  </si>
  <si>
    <t>PaymentDate</t>
  </si>
  <si>
    <t>Notional</t>
  </si>
  <si>
    <t>ForwardRate</t>
  </si>
  <si>
    <t>YearFraction</t>
  </si>
  <si>
    <t>ExpectedValue</t>
  </si>
  <si>
    <t>NPV</t>
  </si>
  <si>
    <t>Cashflow Fields</t>
  </si>
  <si>
    <t>Metrics</t>
  </si>
  <si>
    <t>End</t>
  </si>
  <si>
    <t>Reset</t>
  </si>
  <si>
    <t>Payment</t>
  </si>
  <si>
    <t>Vol</t>
  </si>
  <si>
    <t>Period</t>
  </si>
  <si>
    <t>Proj Amt</t>
  </si>
  <si>
    <t>PV</t>
  </si>
  <si>
    <t>Get Rates</t>
  </si>
  <si>
    <t>Override</t>
  </si>
  <si>
    <t>StartDate</t>
  </si>
  <si>
    <t>EndDate</t>
  </si>
  <si>
    <t>Market</t>
  </si>
  <si>
    <t>Expiry</t>
  </si>
  <si>
    <t>4D</t>
  </si>
  <si>
    <t>95D</t>
  </si>
  <si>
    <t>187D</t>
  </si>
  <si>
    <t>279D</t>
  </si>
  <si>
    <t>369D</t>
  </si>
  <si>
    <t>460D</t>
  </si>
  <si>
    <t>552D</t>
  </si>
  <si>
    <t>644D</t>
  </si>
  <si>
    <t>735D</t>
  </si>
  <si>
    <t>826D</t>
  </si>
  <si>
    <t>918D</t>
  </si>
  <si>
    <t>1012D</t>
  </si>
  <si>
    <t>1100D</t>
  </si>
  <si>
    <t>1191D</t>
  </si>
  <si>
    <t>1285D</t>
  </si>
  <si>
    <t>1376D</t>
  </si>
  <si>
    <t>1467D</t>
  </si>
  <si>
    <t>1558D</t>
  </si>
  <si>
    <t>1649D</t>
  </si>
  <si>
    <t>1740D</t>
  </si>
  <si>
    <t>1831D</t>
  </si>
  <si>
    <t>1922D</t>
  </si>
  <si>
    <t>2013D</t>
  </si>
  <si>
    <t>2105D</t>
  </si>
  <si>
    <t>2196D</t>
  </si>
  <si>
    <t>2287D</t>
  </si>
  <si>
    <t>2379D</t>
  </si>
  <si>
    <t>2471D</t>
  </si>
  <si>
    <t>2561D</t>
  </si>
  <si>
    <t>2652D</t>
  </si>
  <si>
    <t>2744D</t>
  </si>
  <si>
    <t>2836D</t>
  </si>
  <si>
    <t>2926D</t>
  </si>
  <si>
    <t>3017D</t>
  </si>
  <si>
    <t>3109D</t>
  </si>
  <si>
    <t>3203D</t>
  </si>
  <si>
    <t>3291D</t>
  </si>
  <si>
    <t>3382D</t>
  </si>
  <si>
    <t>3476D</t>
  </si>
  <si>
    <t>3567D</t>
  </si>
  <si>
    <t>3659D</t>
  </si>
  <si>
    <t>3749D</t>
  </si>
  <si>
    <t>3840D</t>
  </si>
  <si>
    <t>3932D</t>
  </si>
  <si>
    <t>4022D</t>
  </si>
  <si>
    <t>4113D</t>
  </si>
  <si>
    <t>4205D</t>
  </si>
  <si>
    <t>4297D</t>
  </si>
  <si>
    <t>4387D</t>
  </si>
  <si>
    <t>4478D</t>
  </si>
  <si>
    <t>4570D</t>
  </si>
  <si>
    <t>4662D</t>
  </si>
  <si>
    <t>4752D</t>
  </si>
  <si>
    <t>4843D</t>
  </si>
  <si>
    <t>4935D</t>
  </si>
  <si>
    <t>5027D</t>
  </si>
  <si>
    <t>5118D</t>
  </si>
  <si>
    <t>5209D</t>
  </si>
  <si>
    <t>5303D</t>
  </si>
  <si>
    <t>5394D</t>
  </si>
  <si>
    <t>Pay</t>
  </si>
  <si>
    <t>Receive</t>
  </si>
  <si>
    <t>Fixed</t>
  </si>
  <si>
    <t>Floating</t>
  </si>
  <si>
    <t>Target RoE (%)</t>
  </si>
  <si>
    <t>Large Corporate</t>
  </si>
  <si>
    <t>CreditRatings</t>
  </si>
  <si>
    <t>J</t>
  </si>
  <si>
    <t>Swap</t>
  </si>
  <si>
    <t>SwapReferenceIdentifier</t>
  </si>
  <si>
    <t>SWAP-1</t>
  </si>
  <si>
    <t>BasePartyPaysRecievesInd</t>
  </si>
  <si>
    <t>Pays</t>
  </si>
  <si>
    <t>Telstra</t>
  </si>
  <si>
    <t>QuotedCurrencyPair</t>
  </si>
  <si>
    <t>NotionalCurrency</t>
  </si>
  <si>
    <t>SpotRate</t>
  </si>
  <si>
    <t>PayReceiveSpotRate</t>
  </si>
  <si>
    <t>ReceivePaySpotRate</t>
  </si>
  <si>
    <t>hasInitialExchange</t>
  </si>
  <si>
    <t>hasFinallExchange</t>
  </si>
  <si>
    <t>principleExchangeBusinessCenters</t>
  </si>
  <si>
    <t>principleExchangeAdjustementConvention</t>
  </si>
  <si>
    <t>StreamType</t>
  </si>
  <si>
    <t>FixedOrObservedRate</t>
  </si>
  <si>
    <t>Valuation</t>
  </si>
  <si>
    <t>Date</t>
  </si>
  <si>
    <t>ATMBasis</t>
  </si>
  <si>
    <t>Credit Valuation Settings</t>
  </si>
  <si>
    <t>AUDToBaseCurrencySpotRate</t>
  </si>
  <si>
    <t>RoeAmortisedNotionalBasis</t>
  </si>
  <si>
    <t>Max</t>
  </si>
  <si>
    <t>RoeVASalesMargin</t>
  </si>
  <si>
    <t>RoeExecutionMargin</t>
  </si>
  <si>
    <t>RoeVaMtmOverride</t>
  </si>
  <si>
    <t>RoeExecutionCostOverride</t>
  </si>
  <si>
    <t>TargetRoe</t>
  </si>
  <si>
    <t>MarginSolverIntervalLowerBound</t>
  </si>
  <si>
    <t>MarginSolverIntervalUpperBound</t>
  </si>
  <si>
    <t>MarginSolverNumericalTolerance</t>
  </si>
  <si>
    <t>marginSolverMaxIterations</t>
  </si>
  <si>
    <t>Region</t>
  </si>
  <si>
    <t>Australia</t>
  </si>
  <si>
    <t>CounterPartyType</t>
  </si>
  <si>
    <t>LendingCategory</t>
  </si>
  <si>
    <t>ECRSRating</t>
  </si>
  <si>
    <t>Adjustment</t>
  </si>
  <si>
    <t>Advance</t>
  </si>
  <si>
    <t>Arrears</t>
  </si>
  <si>
    <t>Markets</t>
  </si>
  <si>
    <t>CorpBid</t>
  </si>
  <si>
    <t>CorpOffer</t>
  </si>
  <si>
    <t>RetailBid</t>
  </si>
  <si>
    <t>RetailOffer</t>
  </si>
  <si>
    <t>TraderMid</t>
  </si>
  <si>
    <t>Market Index tenor</t>
  </si>
  <si>
    <t>1M</t>
  </si>
  <si>
    <t>TARGETROEMTM</t>
  </si>
  <si>
    <t>Swap Maturities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</si>
  <si>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</si>
  <si>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</si>
  <si>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</si>
  <si>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</si>
  <si>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</si>
  <si>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</si>
  <si>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</si>
  <si>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</si>
  <si>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</si>
  <si>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</si>
  <si>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</si>
  <si>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</si>
  <si>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</si>
  <si>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</si>
  <si>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</si>
  <si>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</si>
  <si>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GBP-DEPOSIT-1M</t>
  </si>
  <si>
    <t>GBP-DEPOSIT-2M</t>
  </si>
  <si>
    <t>GBP-DEPOSIT-3M</t>
  </si>
  <si>
    <t>GBP-IRSWAP-3Y</t>
  </si>
  <si>
    <t>GBP-IRSWAP-4Y</t>
  </si>
  <si>
    <t>GBP-IRSWAP-5Y</t>
  </si>
  <si>
    <t>GBP-IRSWAP-6Y</t>
  </si>
  <si>
    <t>GBP-IRSWAP-7Y</t>
  </si>
  <si>
    <t>GBP-IRSWAP-8Y</t>
  </si>
  <si>
    <t>GBP-IRSWAP-9Y</t>
  </si>
  <si>
    <t>GBP-IRSWAP-10Y</t>
  </si>
  <si>
    <t>GBP-IRSWAP-12Y</t>
  </si>
  <si>
    <t>GBP-IRSWAP-15Y</t>
  </si>
  <si>
    <t>GBP-IRSWAP-20Y</t>
  </si>
  <si>
    <t>GBP-IRSWAP-25Y</t>
  </si>
  <si>
    <t>GBP-IRSWAP-30Y</t>
  </si>
  <si>
    <t>GBP-IRSWAP-40Y</t>
  </si>
  <si>
    <t>EUR-IRSWAP-4Y</t>
  </si>
  <si>
    <t>EUR-IRSWAP-5Y</t>
  </si>
  <si>
    <t>EUR-IRSWAP-6Y</t>
  </si>
  <si>
    <t>EUR-IRSWAP-7Y</t>
  </si>
  <si>
    <t>EUR-IRSWAP-8Y</t>
  </si>
  <si>
    <t>EUR-IRSWAP-9Y</t>
  </si>
  <si>
    <t>EUR-IRSWAP-10Y</t>
  </si>
  <si>
    <t>EUR-IRSWAP-11Y</t>
  </si>
  <si>
    <t>EUR-IRSWAP-12Y</t>
  </si>
  <si>
    <t>EUR-IRSWAP-13Y</t>
  </si>
  <si>
    <t>EUR-IRSWAP-14Y</t>
  </si>
  <si>
    <t>EUR-IRSWAP-15Y</t>
  </si>
  <si>
    <t>EUR-IRSWAP-20Y</t>
  </si>
  <si>
    <t>EUR-IRSWAP-25Y</t>
  </si>
  <si>
    <t>EUR-IRSWAP-30Y</t>
  </si>
  <si>
    <t>Calculate Margin</t>
  </si>
  <si>
    <t>LGD Cparty</t>
  </si>
  <si>
    <t>Lending  Cat</t>
  </si>
  <si>
    <t>Highlander IR Swap RoE Margin Calculator</t>
  </si>
  <si>
    <t>Stop</t>
  </si>
  <si>
    <t>FxCurve</t>
  </si>
  <si>
    <t>Value Date</t>
  </si>
  <si>
    <t>LGD</t>
  </si>
  <si>
    <t>Counterparty</t>
  </si>
  <si>
    <t>Lending</t>
  </si>
  <si>
    <t>Category</t>
  </si>
  <si>
    <t>Amortised
Basis</t>
  </si>
  <si>
    <t>Amort Basis</t>
  </si>
  <si>
    <t>Averaged</t>
  </si>
  <si>
    <t>Exec Margin
in bps</t>
  </si>
  <si>
    <t>Sales NPV 
(VA) Override</t>
  </si>
  <si>
    <t>Execution Cost
Override</t>
  </si>
  <si>
    <t>bps</t>
  </si>
  <si>
    <t xml:space="preserve">Margin 
(VA) in bps
</t>
  </si>
  <si>
    <t>Spot</t>
  </si>
  <si>
    <t>Conversion Rate</t>
  </si>
  <si>
    <t>EUR-XIBOR-1M</t>
  </si>
  <si>
    <t>EUR-XIBOR-2M</t>
  </si>
  <si>
    <t>EUR-XIBOR-3M</t>
  </si>
  <si>
    <t>ECRS Ratings</t>
  </si>
  <si>
    <t>Swap Maturity's</t>
  </si>
  <si>
    <t>* Margins shown in bps</t>
  </si>
  <si>
    <t>Clear</t>
  </si>
  <si>
    <t>GBP-IRSWAP-50Y</t>
  </si>
  <si>
    <t>EUR-IRSWAP-40Y</t>
  </si>
  <si>
    <t>RateCurve.GBP-ZERO-BANK-3M</t>
  </si>
  <si>
    <t>RateCurve.EUR-ZERO-BANK-3M</t>
  </si>
  <si>
    <t>LinearZero</t>
  </si>
  <si>
    <t>Reload Market</t>
  </si>
  <si>
    <t>11M</t>
  </si>
  <si>
    <t>10M</t>
  </si>
  <si>
    <t>5M</t>
  </si>
  <si>
    <t>7M</t>
  </si>
  <si>
    <t>8M</t>
  </si>
  <si>
    <t>9M</t>
  </si>
  <si>
    <t>VA ($)</t>
  </si>
  <si>
    <t>Report By</t>
  </si>
  <si>
    <t>AUD-DEPOSIT-1M</t>
  </si>
  <si>
    <t>AUD-DEPOSIT-2M</t>
  </si>
  <si>
    <t>AUD-DEPOSIT-3M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</si>
  <si>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</si>
  <si>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</si>
  <si>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</si>
  <si>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</si>
  <si>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</si>
  <si>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</si>
  <si>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</si>
  <si>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</si>
  <si>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AUD-IRSWAP-12Y</t>
  </si>
  <si>
    <t>AUD-IRSWAP-15Y</t>
  </si>
  <si>
    <t>AUD-IRSWAP-20Y</t>
  </si>
  <si>
    <t>AUD-IRSWAP-25Y</t>
  </si>
  <si>
    <t>AUD-IRSWAP-30Y</t>
  </si>
  <si>
    <t>AUD-IRSWAP-40Y</t>
  </si>
  <si>
    <t>QuoteCurrency</t>
  </si>
  <si>
    <t>AUD-DEPOSIT-ON</t>
  </si>
  <si>
    <t>AUD-IRFUTURE-IR-U0</t>
  </si>
  <si>
    <t>AUD-IRFUTURE-IR-Z0</t>
  </si>
  <si>
    <t>AUD-IRFUTURE-IR-H1</t>
  </si>
  <si>
    <t>AUD-IRFUTURE-IR-M1</t>
  </si>
  <si>
    <t>AUD-IRFUTURE-IR-U1</t>
  </si>
  <si>
    <t>AUD-IRFUTURE-IR-Z1</t>
  </si>
  <si>
    <t>AUD-IRFUTURE-IR-H2</t>
  </si>
  <si>
    <t>AUD-IRFUTURE-IR-M2</t>
  </si>
  <si>
    <t>RateCurve.USD-ZERO-BANK-3M</t>
  </si>
  <si>
    <t>USD-DEPOSIT-TN</t>
  </si>
  <si>
    <t>USD-DEPOSIT-ON</t>
  </si>
  <si>
    <t>USD-XIBOR-1M</t>
  </si>
  <si>
    <t>USD-XIBOR-2M</t>
  </si>
  <si>
    <t>USD-XIBOR-3M</t>
  </si>
  <si>
    <t>USD-IRFUTURE-ED-U0</t>
  </si>
  <si>
    <t>USD-IRFUTURE-ED-Z0</t>
  </si>
  <si>
    <t>USD-IRFUTURE-ED-H1</t>
  </si>
  <si>
    <t>USD-IRFUTURE-ED-M1</t>
  </si>
  <si>
    <t>USD-IRFUTURE-ED-U1</t>
  </si>
  <si>
    <t>USD-IRFUTURE-ED-Z1</t>
  </si>
  <si>
    <t>USD-IRFUTURE-ED-H2</t>
  </si>
  <si>
    <t>USD-IRFUTURE-ED-M2</t>
  </si>
  <si>
    <t>USD-IRFUTURE-ED-U2</t>
  </si>
  <si>
    <t>USD-IRFUTURE-ED-Z2</t>
  </si>
  <si>
    <t>USD-IRFUTURE-ED-H3</t>
  </si>
  <si>
    <t>USD-IRFUTURE-ED-M3</t>
  </si>
  <si>
    <t>USD-IRSWAP-4Y</t>
  </si>
  <si>
    <t>USD-IRSWAP-5Y</t>
  </si>
  <si>
    <t>USD-IRSWAP-6Y</t>
  </si>
  <si>
    <t>USD-IRSWAP-7Y</t>
  </si>
  <si>
    <t>USD-IRSWAP-8Y</t>
  </si>
  <si>
    <t>USD-IRSWAP-9Y</t>
  </si>
  <si>
    <t>USD-IRSWAP-10Y</t>
  </si>
  <si>
    <t>USD-IRSWAP-11Y</t>
  </si>
  <si>
    <t>USD-IRSWAP-12Y</t>
  </si>
  <si>
    <t>USD-IRSWAP-13Y</t>
  </si>
  <si>
    <t>USD-IRSWAP-14Y</t>
  </si>
  <si>
    <t>USD-IRSWAP-15Y</t>
  </si>
  <si>
    <t>USD-IRSWAP-20Y</t>
  </si>
  <si>
    <t>USD-IRSWAP-25Y</t>
  </si>
  <si>
    <t>USD-IRSWAP-30Y</t>
  </si>
  <si>
    <t>USD-IRSWAP-35Y</t>
  </si>
  <si>
    <t>USD-IRSWAP-40Y</t>
  </si>
  <si>
    <t>USD-IRSWAP-50Y</t>
  </si>
  <si>
    <t>GBP-DEPOSIT-ON</t>
  </si>
  <si>
    <t>GBP-IRFUTURE-L-U0</t>
  </si>
  <si>
    <t>GBP-IRFUTURE-L-Z0</t>
  </si>
  <si>
    <t>GBP-IRFUTURE-L-H1</t>
  </si>
  <si>
    <t>GBP-IRFUTURE-L-M1</t>
  </si>
  <si>
    <t>GBP-IRFUTURE-L-U1</t>
  </si>
  <si>
    <t>GBP-IRFUTURE-L-Z1</t>
  </si>
  <si>
    <t>GBP-IRFUTURE-L-H2</t>
  </si>
  <si>
    <t>GBP-IRFUTURE-L-M2</t>
  </si>
  <si>
    <t>EUR-XIBOR-ON</t>
  </si>
  <si>
    <t>EUR-IRFUTURE-ER-U0</t>
  </si>
  <si>
    <t>EUR-IRFUTURE-ER-Z0</t>
  </si>
  <si>
    <t>EUR-IRFUTURE-ER-H1</t>
  </si>
  <si>
    <t>EUR-IRFUTURE-ER-M1</t>
  </si>
  <si>
    <t>EUR-IRFUTURE-ER-U1</t>
  </si>
  <si>
    <t>EUR-IRFUTURE-ER-Z1</t>
  </si>
  <si>
    <t>EUR-IRFUTURE-ER-H2</t>
  </si>
  <si>
    <t>EUR-IRFUTURE-ER-M2</t>
  </si>
  <si>
    <t>EUR-IRFUTURE-ER-U2</t>
  </si>
  <si>
    <t>EUR-IRFUTURE-ER-Z2</t>
  </si>
  <si>
    <t>EUR-IRFUTURE-ER-H3</t>
  </si>
  <si>
    <t>EUR-IRFUTURE-ER-M3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</si>
</sst>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%"/>
    <numFmt numFmtId="165" formatCode="0.0%"/>
    <numFmt numFmtId="166" formatCode="#,##0.0_);[Red]\(#,##0.0\)"/>
    <numFmt numFmtId="167" formatCode="_(* #,##0.00_);_(* \(#,##0.00\);_(* &quot;-&quot;??_);_(@_)"/>
    <numFmt numFmtId="168" formatCode="m/d/yy_)"/>
    <numFmt numFmtId="169" formatCode="#,##0.0_);\(#,##0.0\)"/>
    <numFmt numFmtId="170" formatCode="#,##0.000_);\(#,##0.000\)"/>
    <numFmt numFmtId="171" formatCode="mmm\-yy_)"/>
    <numFmt numFmtId="172" formatCode="0.0%;\(0.0%\)"/>
    <numFmt numFmtId="173" formatCode="0.0%;[Red]\-0.0%"/>
    <numFmt numFmtId="174" formatCode="0.00%;[Red]\-0.00%"/>
    <numFmt numFmtId="175" formatCode="###0_)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&quot;$&quot;#,##0\ ;\(&quot;$&quot;#,##0\)"/>
    <numFmt numFmtId="180" formatCode="dd\-mmm\-yy"/>
    <numFmt numFmtId="181" formatCode="0.00_)"/>
    <numFmt numFmtId="182" formatCode="#,##0.0;#,##0.0"/>
    <numFmt numFmtId="183" formatCode="\+#,##0.00;\-#,##0.00"/>
    <numFmt numFmtId="184" formatCode="0.000000"/>
    <numFmt numFmtId="185" formatCode="0.0000%"/>
    <numFmt numFmtId="186" formatCode="0.00000%"/>
    <numFmt numFmtId="187" formatCode="0.000000%"/>
    <numFmt numFmtId="188" formatCode="#,##0.00_ ;\-#,##0.00\ "/>
    <numFmt numFmtId="189" formatCode="\+#,##0.000000;[Red]\-#,##0.000000"/>
    <numFmt numFmtId="190" formatCode="0.00000"/>
    <numFmt numFmtId="191" formatCode="\+#,##0.00000;[Red]\-#,##0.00000"/>
  </numFmts>
  <fonts count="106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theme="0"/>
      <name val="Arial"/>
      <family val="2"/>
    </font>
    <font>
      <b/>
      <u/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b/>
      <sz val="12"/>
      <color theme="0"/>
      <name val="Wingdings"/>
      <charset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12"/>
      <name val="Arial"/>
      <family val="2"/>
    </font>
    <font>
      <b/>
      <sz val="11"/>
      <name val="Arial"/>
      <family val="2"/>
    </font>
    <font>
      <sz val="10"/>
      <name val="Univers (WN)"/>
    </font>
    <font>
      <sz val="8"/>
      <name val="CG Times (E1)"/>
    </font>
    <font>
      <sz val="10"/>
      <name val="Helv"/>
    </font>
    <font>
      <sz val="8"/>
      <name val="Times New Roman"/>
      <family val="1"/>
    </font>
    <font>
      <b/>
      <sz val="9"/>
      <color indexed="23"/>
      <name val="Arial"/>
      <family val="2"/>
    </font>
    <font>
      <shadow/>
      <sz val="8"/>
      <color indexed="12"/>
      <name val="Times New Roman"/>
      <family val="1"/>
    </font>
    <font>
      <sz val="11"/>
      <name val="Arial"/>
      <family val="2"/>
    </font>
    <font>
      <b/>
      <sz val="9"/>
      <color indexed="52"/>
      <name val="Arial"/>
      <family val="2"/>
    </font>
    <font>
      <sz val="10"/>
      <name val="Univers (E1)"/>
    </font>
    <font>
      <b/>
      <sz val="8"/>
      <color indexed="12"/>
      <name val="Arial"/>
      <family val="2"/>
    </font>
    <font>
      <b/>
      <sz val="12"/>
      <name val="Univers (WN)"/>
    </font>
    <font>
      <b/>
      <sz val="10"/>
      <name val="Univers (WN)"/>
    </font>
    <font>
      <b/>
      <sz val="10"/>
      <name val="Arial"/>
      <family val="2"/>
    </font>
    <font>
      <b/>
      <sz val="9"/>
      <color indexed="12"/>
      <name val="Tahoma"/>
      <family val="2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b/>
      <sz val="9"/>
      <color rgb="FFFFC000"/>
      <name val="Calibri"/>
      <family val="2"/>
      <scheme val="minor"/>
    </font>
    <font>
      <sz val="9"/>
      <color rgb="FFFFC000"/>
      <name val="Calibri"/>
      <family val="2"/>
      <scheme val="minor"/>
    </font>
    <font>
      <sz val="9"/>
      <color theme="3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2"/>
      <color theme="0"/>
      <name val="Arial"/>
      <family val="2"/>
    </font>
    <font>
      <sz val="14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0"/>
      <name val="MS Sans Serif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Microsoft Sans Serif"/>
      <family val="2"/>
    </font>
    <font>
      <b/>
      <sz val="12"/>
      <color theme="3" tint="0.59999389629810485"/>
      <name val="Calibri"/>
      <family val="2"/>
      <scheme val="minor"/>
    </font>
    <font>
      <sz val="10"/>
      <color rgb="FFFFC000"/>
      <name val="Calibri"/>
      <family val="2"/>
      <scheme val="minor"/>
    </font>
    <font>
      <b/>
      <sz val="12"/>
      <color theme="3" tint="0.39997558519241921"/>
      <name val="Microsoft Sans Serif"/>
      <family val="2"/>
    </font>
    <font>
      <sz val="16"/>
      <color theme="0"/>
      <name val="Helvetica-Narrow"/>
      <family val="2"/>
    </font>
    <font>
      <sz val="8.5"/>
      <color indexed="12"/>
      <name val="MS Sans Serif"/>
      <family val="2"/>
    </font>
    <font>
      <b/>
      <sz val="10"/>
      <color rgb="FFFF0000"/>
      <name val="Calibri"/>
      <family val="2"/>
      <scheme val="minor"/>
    </font>
    <font>
      <sz val="14"/>
      <color rgb="FFFFC000"/>
      <name val="Calibri"/>
      <family val="2"/>
      <scheme val="minor"/>
    </font>
  </fonts>
  <fills count="9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gradientFill degree="90">
        <stop position="0">
          <color rgb="FF808080"/>
        </stop>
        <stop position="1">
          <color theme="1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5"/>
      </patternFill>
    </fill>
    <fill>
      <gradientFill degree="90">
        <stop position="0">
          <color rgb="FFFFC000"/>
        </stop>
        <stop position="1">
          <color rgb="FF806200"/>
        </stop>
      </gradient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1" tint="0.49803155613879818"/>
        </stop>
        <stop position="1">
          <color theme="1" tint="0.34900967436750391"/>
        </stop>
      </gradientFill>
    </fill>
    <fill>
      <patternFill patternType="solid">
        <fgColor indexed="3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1"/>
        <bgColor auto="1"/>
      </patternFill>
    </fill>
    <fill>
      <gradientFill>
        <stop position="0">
          <color theme="1"/>
        </stop>
        <stop position="1">
          <color theme="0"/>
        </stop>
      </gradientFill>
    </fill>
  </fills>
  <borders count="1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8" tint="-0.249977111117893"/>
      </right>
      <top/>
      <bottom/>
      <diagonal/>
    </border>
    <border>
      <left/>
      <right/>
      <top style="thin">
        <color theme="8" tint="-0.249977111117893"/>
      </top>
      <bottom/>
      <diagonal/>
    </border>
    <border>
      <left style="thin">
        <color theme="8" tint="-0.249977111117893"/>
      </left>
      <right/>
      <top style="thin">
        <color theme="8" tint="-0.249977111117893"/>
      </top>
      <bottom/>
      <diagonal/>
    </border>
    <border>
      <left/>
      <right style="thin">
        <color theme="8" tint="-0.249977111117893"/>
      </right>
      <top style="thin">
        <color theme="8" tint="-0.249977111117893"/>
      </top>
      <bottom/>
      <diagonal/>
    </border>
    <border>
      <left style="thin">
        <color theme="8" tint="-0.249977111117893"/>
      </left>
      <right/>
      <top/>
      <bottom/>
      <diagonal/>
    </border>
    <border>
      <left style="thin">
        <color theme="8" tint="-0.249977111117893"/>
      </left>
      <right/>
      <top/>
      <bottom style="thin">
        <color theme="8" tint="-0.249977111117893"/>
      </bottom>
      <diagonal/>
    </border>
    <border>
      <left/>
      <right/>
      <top/>
      <bottom style="thin">
        <color theme="8" tint="-0.249977111117893"/>
      </bottom>
      <diagonal/>
    </border>
    <border>
      <left/>
      <right style="thin">
        <color theme="8" tint="-0.249977111117893"/>
      </right>
      <top/>
      <bottom style="thin">
        <color theme="8" tint="-0.249977111117893"/>
      </bottom>
      <diagonal/>
    </border>
    <border>
      <left/>
      <right style="thin">
        <color indexed="64"/>
      </right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 style="thin">
        <color indexed="64"/>
      </right>
      <top style="thin">
        <color theme="8" tint="-0.249977111117893"/>
      </top>
      <bottom/>
      <diagonal/>
    </border>
    <border>
      <left style="thin">
        <color theme="8" tint="-0.249977111117893"/>
      </left>
      <right style="thin">
        <color indexed="64"/>
      </right>
      <top/>
      <bottom/>
      <diagonal/>
    </border>
    <border>
      <left style="thin">
        <color theme="8" tint="-0.249977111117893"/>
      </left>
      <right style="thin">
        <color indexed="64"/>
      </right>
      <top style="thin">
        <color indexed="64"/>
      </top>
      <bottom/>
      <diagonal/>
    </border>
    <border>
      <left style="thin">
        <color theme="8" tint="-0.249977111117893"/>
      </left>
      <right style="thin">
        <color indexed="64"/>
      </right>
      <top/>
      <bottom style="thin">
        <color theme="8" tint="-0.249977111117893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/>
      <diagonal/>
    </border>
    <border>
      <left style="thin">
        <color theme="8" tint="-0.249977111117893"/>
      </left>
      <right style="thin">
        <color theme="8" tint="-0.249977111117893"/>
      </right>
      <top/>
      <bottom/>
      <diagonal/>
    </border>
    <border>
      <left style="thin">
        <color theme="8" tint="-0.249977111117893"/>
      </left>
      <right style="thin">
        <color theme="8" tint="-0.249977111117893"/>
      </right>
      <top style="thin">
        <color indexed="64"/>
      </top>
      <bottom/>
      <diagonal/>
    </border>
    <border>
      <left style="thin">
        <color theme="8" tint="-0.249977111117893"/>
      </left>
      <right style="thin">
        <color theme="8" tint="-0.249977111117893"/>
      </right>
      <top/>
      <bottom style="thin">
        <color theme="8" tint="-0.249977111117893"/>
      </bottom>
      <diagonal/>
    </border>
    <border>
      <left style="thin">
        <color theme="8" tint="-0.249977111117893"/>
      </left>
      <right style="thin">
        <color indexed="64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indexed="64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medium">
        <color indexed="12"/>
      </left>
      <right style="hair">
        <color indexed="12"/>
      </right>
      <top style="medium">
        <color indexed="12"/>
      </top>
      <bottom style="hair">
        <color indexed="12"/>
      </bottom>
      <diagonal/>
    </border>
    <border>
      <left style="hair">
        <color indexed="12"/>
      </left>
      <right style="hair">
        <color indexed="12"/>
      </right>
      <top style="medium">
        <color indexed="12"/>
      </top>
      <bottom style="hair">
        <color indexed="12"/>
      </bottom>
      <diagonal/>
    </border>
    <border>
      <left style="hair">
        <color indexed="12"/>
      </left>
      <right style="medium">
        <color indexed="12"/>
      </right>
      <top style="medium">
        <color indexed="12"/>
      </top>
      <bottom style="hair">
        <color indexed="12"/>
      </bottom>
      <diagonal/>
    </border>
    <border>
      <left style="medium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hair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hair">
        <color indexed="12"/>
      </left>
      <right style="medium">
        <color indexed="12"/>
      </right>
      <top style="hair">
        <color indexed="12"/>
      </top>
      <bottom style="hair">
        <color indexed="12"/>
      </bottom>
      <diagonal/>
    </border>
    <border>
      <left style="medium">
        <color indexed="12"/>
      </left>
      <right style="hair">
        <color indexed="12"/>
      </right>
      <top style="hair">
        <color indexed="12"/>
      </top>
      <bottom style="medium">
        <color indexed="12"/>
      </bottom>
      <diagonal/>
    </border>
    <border>
      <left style="hair">
        <color indexed="12"/>
      </left>
      <right style="hair">
        <color indexed="12"/>
      </right>
      <top style="hair">
        <color indexed="12"/>
      </top>
      <bottom style="medium">
        <color indexed="12"/>
      </bottom>
      <diagonal/>
    </border>
    <border>
      <left style="hair">
        <color indexed="12"/>
      </left>
      <right style="medium">
        <color indexed="12"/>
      </right>
      <top style="hair">
        <color indexed="12"/>
      </top>
      <bottom style="medium">
        <color indexed="12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indexed="64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/>
      <bottom/>
      <diagonal/>
    </border>
    <border>
      <left/>
      <right style="thin">
        <color rgb="FF00B0F0"/>
      </right>
      <top/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rgb="FF00B0F0"/>
      </left>
      <right style="thin">
        <color indexed="64"/>
      </right>
      <top style="thin">
        <color rgb="FF00B0F0"/>
      </top>
      <bottom/>
      <diagonal/>
    </border>
    <border>
      <left style="thin">
        <color rgb="FF00B0F0"/>
      </left>
      <right style="thin">
        <color indexed="64"/>
      </right>
      <top/>
      <bottom/>
      <diagonal/>
    </border>
    <border>
      <left style="thin">
        <color rgb="FF00B0F0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B0F0"/>
      </right>
      <top/>
      <bottom style="thin">
        <color indexed="64"/>
      </bottom>
      <diagonal/>
    </border>
    <border>
      <left style="thin">
        <color rgb="FF00B0F0"/>
      </left>
      <right/>
      <top style="thin">
        <color indexed="64"/>
      </top>
      <bottom style="thin">
        <color rgb="FF00B0F0"/>
      </bottom>
      <diagonal/>
    </border>
    <border>
      <left/>
      <right style="thin">
        <color rgb="FF00B0F0"/>
      </right>
      <top style="thin">
        <color indexed="64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 style="double">
        <color indexed="63"/>
      </left>
      <right style="double">
        <color indexed="63"/>
      </right>
      <top/>
      <bottom style="double">
        <color indexed="63"/>
      </bottom>
      <diagonal/>
    </border>
    <border>
      <left style="thin">
        <color rgb="FF00B0F0"/>
      </left>
      <right/>
      <top style="thin">
        <color rgb="FF00B0F0"/>
      </top>
      <bottom style="thin">
        <color indexed="64"/>
      </bottom>
      <diagonal/>
    </border>
    <border>
      <left/>
      <right/>
      <top style="thin">
        <color rgb="FF00B0F0"/>
      </top>
      <bottom style="thin">
        <color indexed="64"/>
      </bottom>
      <diagonal/>
    </border>
    <border>
      <left/>
      <right style="thin">
        <color indexed="64"/>
      </right>
      <top style="thin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B0F0"/>
      </top>
      <bottom/>
      <diagonal/>
    </border>
    <border>
      <left/>
      <right style="thin">
        <color indexed="64"/>
      </right>
      <top/>
      <bottom style="thin">
        <color rgb="FF00B0F0"/>
      </bottom>
      <diagonal/>
    </border>
    <border>
      <left style="thin">
        <color indexed="64"/>
      </left>
      <right style="thin">
        <color indexed="64"/>
      </right>
      <top/>
      <bottom style="thin">
        <color rgb="FF00B0F0"/>
      </bottom>
      <diagonal/>
    </border>
    <border>
      <left style="thin">
        <color indexed="64"/>
      </left>
      <right/>
      <top style="thin">
        <color rgb="FF00B0F0"/>
      </top>
      <bottom/>
      <diagonal/>
    </border>
    <border>
      <left style="thin">
        <color indexed="64"/>
      </left>
      <right/>
      <top/>
      <bottom style="thin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thin">
        <color rgb="FF00B0F0"/>
      </bottom>
      <diagonal/>
    </border>
    <border>
      <left style="medium">
        <color rgb="FF00B0F0"/>
      </left>
      <right style="medium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 style="medium">
        <color rgb="FF00B0F0"/>
      </right>
      <top style="thin">
        <color rgb="FF00B0F0"/>
      </top>
      <bottom style="medium">
        <color rgb="FF00B0F0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/>
      <right style="medium">
        <color rgb="FF00B0F0"/>
      </right>
      <top/>
      <bottom/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</borders>
  <cellStyleXfs count="276">
    <xf numFmtId="0" fontId="0" fillId="0" borderId="0"/>
    <xf numFmtId="0" fontId="1" fillId="3" borderId="0"/>
    <xf numFmtId="0" fontId="4" fillId="5" borderId="10"/>
    <xf numFmtId="0" fontId="5" fillId="6" borderId="0" applyNumberFormat="0" applyBorder="0" applyProtection="0">
      <alignment horizontal="center" vertical="center"/>
      <protection locked="0"/>
    </xf>
    <xf numFmtId="0" fontId="4" fillId="7" borderId="0" applyNumberFormat="0" applyBorder="0" applyProtection="0">
      <alignment horizontal="center" vertical="center"/>
      <protection locked="0"/>
    </xf>
    <xf numFmtId="0" fontId="6" fillId="8" borderId="1"/>
    <xf numFmtId="0" fontId="4" fillId="9" borderId="1">
      <alignment vertical="top"/>
    </xf>
    <xf numFmtId="0" fontId="2" fillId="4" borderId="1">
      <alignment vertical="top"/>
    </xf>
    <xf numFmtId="0" fontId="4" fillId="11" borderId="1"/>
    <xf numFmtId="0" fontId="4" fillId="11" borderId="1" applyBorder="0"/>
    <xf numFmtId="0" fontId="8" fillId="5" borderId="10">
      <alignment horizontal="center" vertical="center"/>
    </xf>
    <xf numFmtId="0" fontId="1" fillId="3" borderId="0"/>
    <xf numFmtId="0" fontId="10" fillId="0" borderId="0"/>
    <xf numFmtId="0" fontId="2" fillId="12" borderId="0">
      <alignment horizontal="left"/>
    </xf>
    <xf numFmtId="2" fontId="11" fillId="3" borderId="19" applyProtection="0">
      <alignment horizontal="left"/>
      <protection locked="0"/>
    </xf>
    <xf numFmtId="166" fontId="12" fillId="0" borderId="0" applyNumberFormat="0" applyFill="0" applyBorder="0" applyAlignment="0"/>
    <xf numFmtId="164" fontId="26" fillId="13" borderId="0"/>
    <xf numFmtId="0" fontId="10" fillId="14" borderId="0" applyNumberFormat="0" applyBorder="0" applyAlignment="0" applyProtection="0"/>
    <xf numFmtId="15" fontId="27" fillId="15" borderId="0">
      <alignment horizontal="right"/>
    </xf>
    <xf numFmtId="0" fontId="28" fillId="16" borderId="20">
      <alignment horizontal="center"/>
      <protection locked="0"/>
    </xf>
    <xf numFmtId="168" fontId="13" fillId="0" borderId="0" applyFont="0" applyFill="0" applyBorder="0" applyAlignment="0" applyProtection="0"/>
    <xf numFmtId="0" fontId="3" fillId="3" borderId="0">
      <alignment horizontal="left"/>
    </xf>
    <xf numFmtId="169" fontId="14" fillId="0" borderId="0" applyFont="0" applyFill="0" applyBorder="0" applyAlignment="0" applyProtection="0">
      <protection locked="0"/>
    </xf>
    <xf numFmtId="39" fontId="15" fillId="0" borderId="0" applyFont="0" applyFill="0" applyBorder="0" applyAlignment="0" applyProtection="0"/>
    <xf numFmtId="170" fontId="16" fillId="0" borderId="0" applyFont="0" applyFill="0" applyBorder="0" applyAlignment="0"/>
    <xf numFmtId="2" fontId="17" fillId="3" borderId="19" applyProtection="0">
      <alignment horizontal="left"/>
      <protection locked="0"/>
    </xf>
    <xf numFmtId="37" fontId="18" fillId="0" borderId="0" applyFill="0" applyBorder="0" applyAlignment="0">
      <protection locked="0"/>
    </xf>
    <xf numFmtId="165" fontId="18" fillId="0" borderId="6" applyFill="0" applyBorder="0" applyAlignment="0">
      <alignment horizontal="center"/>
      <protection locked="0"/>
    </xf>
    <xf numFmtId="169" fontId="18" fillId="0" borderId="0" applyFill="0" applyBorder="0" applyAlignment="0">
      <protection locked="0"/>
    </xf>
    <xf numFmtId="170" fontId="18" fillId="0" borderId="0" applyFill="0" applyBorder="0" applyAlignment="0" applyProtection="0">
      <protection locked="0"/>
    </xf>
    <xf numFmtId="17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178" fontId="10" fillId="0" borderId="0" applyFont="0" applyFill="0" applyBorder="0" applyAlignment="0" applyProtection="0"/>
    <xf numFmtId="171" fontId="13" fillId="0" borderId="0" applyFont="0" applyFill="0" applyBorder="0" applyAlignment="0" applyProtection="0"/>
    <xf numFmtId="166" fontId="19" fillId="0" borderId="0" applyFill="0" applyBorder="0" applyAlignment="0"/>
    <xf numFmtId="0" fontId="10" fillId="0" borderId="0"/>
    <xf numFmtId="2" fontId="20" fillId="3" borderId="19">
      <alignment horizontal="left"/>
    </xf>
    <xf numFmtId="172" fontId="16" fillId="0" borderId="4" applyFont="0" applyFill="0" applyBorder="0" applyAlignment="0" applyProtection="0">
      <alignment horizontal="right"/>
    </xf>
    <xf numFmtId="173" fontId="21" fillId="0" borderId="0" applyFont="0" applyFill="0" applyBorder="0" applyAlignment="0" applyProtection="0"/>
    <xf numFmtId="174" fontId="21" fillId="0" borderId="0" applyFont="0" applyFill="0" applyBorder="0" applyAlignment="0" applyProtection="0"/>
    <xf numFmtId="0" fontId="22" fillId="0" borderId="0"/>
    <xf numFmtId="38" fontId="23" fillId="0" borderId="0" applyFill="0" applyBorder="0" applyAlignment="0" applyProtection="0"/>
    <xf numFmtId="173" fontId="24" fillId="0" borderId="0" applyFill="0" applyBorder="0" applyAlignment="0" applyProtection="0"/>
    <xf numFmtId="18" fontId="14" fillId="0" borderId="0" applyFont="0" applyFill="0" applyBorder="0" applyAlignment="0" applyProtection="0">
      <alignment horizontal="left"/>
    </xf>
    <xf numFmtId="10" fontId="21" fillId="0" borderId="21" applyNumberFormat="0" applyFont="0" applyFill="0" applyAlignment="0" applyProtection="0"/>
    <xf numFmtId="175" fontId="25" fillId="0" borderId="9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3" borderId="0"/>
    <xf numFmtId="0" fontId="1" fillId="3" borderId="0"/>
    <xf numFmtId="0" fontId="1" fillId="3" borderId="0"/>
    <xf numFmtId="0" fontId="1" fillId="3" borderId="0"/>
    <xf numFmtId="0" fontId="9" fillId="0" borderId="0"/>
    <xf numFmtId="0" fontId="1" fillId="3" borderId="0"/>
    <xf numFmtId="0" fontId="1" fillId="3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23" applyNumberFormat="0" applyFill="0" applyAlignment="0" applyProtection="0"/>
    <xf numFmtId="0" fontId="35" fillId="0" borderId="24" applyNumberFormat="0" applyFill="0" applyAlignment="0" applyProtection="0"/>
    <xf numFmtId="0" fontId="36" fillId="0" borderId="25" applyNumberFormat="0" applyFill="0" applyAlignment="0" applyProtection="0"/>
    <xf numFmtId="0" fontId="36" fillId="0" borderId="0" applyNumberFormat="0" applyFill="0" applyBorder="0" applyAlignment="0" applyProtection="0"/>
    <xf numFmtId="0" fontId="37" fillId="17" borderId="0" applyNumberFormat="0" applyBorder="0" applyAlignment="0" applyProtection="0"/>
    <xf numFmtId="0" fontId="38" fillId="18" borderId="0" applyNumberFormat="0" applyBorder="0" applyAlignment="0" applyProtection="0"/>
    <xf numFmtId="0" fontId="39" fillId="19" borderId="0" applyNumberFormat="0" applyBorder="0" applyAlignment="0" applyProtection="0"/>
    <xf numFmtId="0" fontId="40" fillId="20" borderId="26" applyNumberFormat="0" applyAlignment="0" applyProtection="0"/>
    <xf numFmtId="0" fontId="41" fillId="21" borderId="27" applyNumberFormat="0" applyAlignment="0" applyProtection="0"/>
    <xf numFmtId="0" fontId="42" fillId="21" borderId="26" applyNumberFormat="0" applyAlignment="0" applyProtection="0"/>
    <xf numFmtId="0" fontId="43" fillId="0" borderId="28" applyNumberFormat="0" applyFill="0" applyAlignment="0" applyProtection="0"/>
    <xf numFmtId="0" fontId="44" fillId="22" borderId="29" applyNumberFormat="0" applyAlignment="0" applyProtection="0"/>
    <xf numFmtId="0" fontId="45" fillId="0" borderId="0" applyNumberFormat="0" applyFill="0" applyBorder="0" applyAlignment="0" applyProtection="0"/>
    <xf numFmtId="0" fontId="9" fillId="23" borderId="30" applyNumberFormat="0" applyFont="0" applyAlignment="0" applyProtection="0"/>
    <xf numFmtId="0" fontId="46" fillId="0" borderId="0" applyNumberFormat="0" applyFill="0" applyBorder="0" applyAlignment="0" applyProtection="0"/>
    <xf numFmtId="0" fontId="47" fillId="0" borderId="31" applyNumberFormat="0" applyFill="0" applyAlignment="0" applyProtection="0"/>
    <xf numFmtId="0" fontId="48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48" fillId="27" borderId="0" applyNumberFormat="0" applyBorder="0" applyAlignment="0" applyProtection="0"/>
    <xf numFmtId="0" fontId="48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48" fillId="31" borderId="0" applyNumberFormat="0" applyBorder="0" applyAlignment="0" applyProtection="0"/>
    <xf numFmtId="0" fontId="48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48" fillId="35" borderId="0" applyNumberFormat="0" applyBorder="0" applyAlignment="0" applyProtection="0"/>
    <xf numFmtId="0" fontId="48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48" fillId="39" borderId="0" applyNumberFormat="0" applyBorder="0" applyAlignment="0" applyProtection="0"/>
    <xf numFmtId="0" fontId="48" fillId="40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48" fillId="43" borderId="0" applyNumberFormat="0" applyBorder="0" applyAlignment="0" applyProtection="0"/>
    <xf numFmtId="0" fontId="48" fillId="44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48" fillId="47" borderId="0" applyNumberFormat="0" applyBorder="0" applyAlignment="0" applyProtection="0"/>
    <xf numFmtId="44" fontId="49" fillId="3" borderId="0" applyFont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4" fillId="5" borderId="0" applyNumberFormat="0" applyBorder="0" applyAlignment="0" applyProtection="0">
      <alignment vertical="top"/>
      <protection locked="0"/>
    </xf>
    <xf numFmtId="0" fontId="39" fillId="19" borderId="0" applyNumberFormat="0" applyFont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49" fillId="48" borderId="0" applyNumberFormat="0" applyBorder="0" applyAlignment="0" applyProtection="0"/>
    <xf numFmtId="0" fontId="49" fillId="49" borderId="0" applyNumberFormat="0" applyBorder="0" applyAlignment="0" applyProtection="0"/>
    <xf numFmtId="0" fontId="49" fillId="50" borderId="0" applyNumberFormat="0" applyBorder="0" applyAlignment="0" applyProtection="0"/>
    <xf numFmtId="0" fontId="49" fillId="51" borderId="0" applyNumberFormat="0" applyBorder="0" applyAlignment="0" applyProtection="0"/>
    <xf numFmtId="0" fontId="49" fillId="52" borderId="0" applyNumberFormat="0" applyBorder="0" applyAlignment="0" applyProtection="0"/>
    <xf numFmtId="0" fontId="49" fillId="53" borderId="0" applyNumberFormat="0" applyBorder="0" applyAlignment="0" applyProtection="0"/>
    <xf numFmtId="0" fontId="49" fillId="54" borderId="0" applyNumberFormat="0" applyBorder="0" applyAlignment="0" applyProtection="0"/>
    <xf numFmtId="0" fontId="49" fillId="55" borderId="0" applyNumberFormat="0" applyBorder="0" applyAlignment="0" applyProtection="0"/>
    <xf numFmtId="0" fontId="49" fillId="56" borderId="0" applyNumberFormat="0" applyBorder="0" applyAlignment="0" applyProtection="0"/>
    <xf numFmtId="0" fontId="49" fillId="51" borderId="0" applyNumberFormat="0" applyBorder="0" applyAlignment="0" applyProtection="0"/>
    <xf numFmtId="0" fontId="49" fillId="54" borderId="0" applyNumberFormat="0" applyBorder="0" applyAlignment="0" applyProtection="0"/>
    <xf numFmtId="0" fontId="49" fillId="57" borderId="0" applyNumberFormat="0" applyBorder="0" applyAlignment="0" applyProtection="0"/>
    <xf numFmtId="0" fontId="50" fillId="58" borderId="0" applyNumberFormat="0" applyBorder="0" applyAlignment="0" applyProtection="0"/>
    <xf numFmtId="0" fontId="50" fillId="55" borderId="0" applyNumberFormat="0" applyBorder="0" applyAlignment="0" applyProtection="0"/>
    <xf numFmtId="0" fontId="50" fillId="56" borderId="0" applyNumberFormat="0" applyBorder="0" applyAlignment="0" applyProtection="0"/>
    <xf numFmtId="0" fontId="50" fillId="59" borderId="0" applyNumberFormat="0" applyBorder="0" applyAlignment="0" applyProtection="0"/>
    <xf numFmtId="0" fontId="50" fillId="60" borderId="0" applyNumberFormat="0" applyBorder="0" applyAlignment="0" applyProtection="0"/>
    <xf numFmtId="0" fontId="50" fillId="61" borderId="0" applyNumberFormat="0" applyBorder="0" applyAlignment="0" applyProtection="0"/>
    <xf numFmtId="0" fontId="50" fillId="62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59" borderId="0" applyNumberFormat="0" applyBorder="0" applyAlignment="0" applyProtection="0"/>
    <xf numFmtId="0" fontId="50" fillId="60" borderId="0" applyNumberFormat="0" applyBorder="0" applyAlignment="0" applyProtection="0"/>
    <xf numFmtId="0" fontId="50" fillId="65" borderId="0" applyNumberFormat="0" applyBorder="0" applyAlignment="0" applyProtection="0"/>
    <xf numFmtId="0" fontId="51" fillId="66" borderId="0" applyAlignment="0"/>
    <xf numFmtId="0" fontId="52" fillId="49" borderId="0" applyNumberFormat="0" applyBorder="0" applyAlignment="0" applyProtection="0"/>
    <xf numFmtId="0" fontId="53" fillId="67" borderId="32" applyNumberFormat="0" applyAlignment="0" applyProtection="0"/>
    <xf numFmtId="0" fontId="54" fillId="68" borderId="33" applyNumberFormat="0" applyAlignment="0" applyProtection="0"/>
    <xf numFmtId="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79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55" fillId="0" borderId="0" applyNumberFormat="0" applyFill="0" applyBorder="0" applyAlignment="0" applyProtection="0"/>
    <xf numFmtId="2" fontId="10" fillId="0" borderId="0" applyFont="0" applyFill="0" applyBorder="0" applyAlignment="0" applyProtection="0"/>
    <xf numFmtId="0" fontId="56" fillId="50" borderId="0" applyNumberFormat="0" applyBorder="0" applyAlignment="0" applyProtection="0"/>
    <xf numFmtId="0" fontId="57" fillId="0" borderId="34" applyNumberFormat="0" applyFill="0" applyAlignment="0" applyProtection="0"/>
    <xf numFmtId="0" fontId="58" fillId="0" borderId="35" applyNumberFormat="0" applyFill="0" applyAlignment="0" applyProtection="0"/>
    <xf numFmtId="0" fontId="59" fillId="0" borderId="36" applyNumberFormat="0" applyFill="0" applyAlignment="0" applyProtection="0"/>
    <xf numFmtId="0" fontId="59" fillId="0" borderId="0" applyNumberFormat="0" applyFill="0" applyBorder="0" applyAlignment="0" applyProtection="0"/>
    <xf numFmtId="0" fontId="60" fillId="69" borderId="0" applyNumberFormat="0" applyBorder="0">
      <alignment horizontal="right" vertical="center"/>
    </xf>
    <xf numFmtId="19" fontId="60" fillId="69" borderId="37" applyNumberFormat="0" applyBorder="0">
      <alignment horizontal="left" vertical="center"/>
    </xf>
    <xf numFmtId="2" fontId="61" fillId="70" borderId="0">
      <alignment horizontal="center" vertical="center"/>
    </xf>
    <xf numFmtId="2" fontId="61" fillId="70" borderId="38" applyBorder="0">
      <alignment horizontal="left" vertical="center"/>
    </xf>
    <xf numFmtId="0" fontId="60" fillId="69" borderId="0">
      <alignment horizontal="right" vertical="center"/>
    </xf>
    <xf numFmtId="19" fontId="62" fillId="69" borderId="3" applyNumberFormat="0" applyBorder="0">
      <alignment horizontal="left" vertical="center" indent="1"/>
    </xf>
    <xf numFmtId="2" fontId="63" fillId="70" borderId="6" applyBorder="0">
      <alignment horizontal="left" vertical="center" indent="1"/>
    </xf>
    <xf numFmtId="2" fontId="63" fillId="70" borderId="39" applyBorder="0">
      <alignment horizontal="center" vertical="center"/>
    </xf>
    <xf numFmtId="0" fontId="64" fillId="53" borderId="32" applyNumberFormat="0" applyAlignment="0" applyProtection="0"/>
    <xf numFmtId="2" fontId="10" fillId="71" borderId="22" applyBorder="0">
      <alignment horizontal="left" vertical="center" indent="1"/>
    </xf>
    <xf numFmtId="0" fontId="10" fillId="71" borderId="0">
      <alignment horizontal="right" vertical="center"/>
    </xf>
    <xf numFmtId="2" fontId="10" fillId="71" borderId="37" applyNumberFormat="0" applyBorder="0">
      <alignment horizontal="right" vertical="center"/>
    </xf>
    <xf numFmtId="2" fontId="65" fillId="72" borderId="3" applyBorder="0">
      <alignment horizontal="left" vertical="center" indent="1"/>
    </xf>
    <xf numFmtId="2" fontId="65" fillId="72" borderId="0">
      <alignment horizontal="right" vertical="center"/>
    </xf>
    <xf numFmtId="2" fontId="65" fillId="72" borderId="38" applyBorder="0">
      <alignment horizontal="left" vertical="center"/>
    </xf>
    <xf numFmtId="2" fontId="65" fillId="72" borderId="40" applyBorder="0">
      <alignment horizontal="center" vertical="center"/>
    </xf>
    <xf numFmtId="19" fontId="62" fillId="73" borderId="41" applyNumberFormat="0" applyBorder="0">
      <alignment horizontal="left" vertical="center"/>
    </xf>
    <xf numFmtId="180" fontId="62" fillId="73" borderId="39" applyNumberFormat="0" applyBorder="0">
      <alignment horizontal="right" vertical="center"/>
    </xf>
    <xf numFmtId="19" fontId="62" fillId="73" borderId="42" applyNumberFormat="0" applyBorder="0">
      <alignment horizontal="right" vertical="center"/>
    </xf>
    <xf numFmtId="2" fontId="63" fillId="74" borderId="43" applyBorder="0">
      <alignment horizontal="left" vertical="center" indent="1"/>
    </xf>
    <xf numFmtId="2" fontId="63" fillId="74" borderId="38" applyNumberFormat="0">
      <alignment horizontal="center" vertical="center"/>
    </xf>
    <xf numFmtId="2" fontId="63" fillId="74" borderId="38" applyNumberFormat="0" applyBorder="0">
      <alignment horizontal="left" vertical="center"/>
    </xf>
    <xf numFmtId="2" fontId="10" fillId="75" borderId="42" applyNumberFormat="0" applyBorder="0">
      <alignment horizontal="right" vertical="center"/>
    </xf>
    <xf numFmtId="0" fontId="66" fillId="0" borderId="44" applyNumberFormat="0" applyFill="0" applyAlignment="0" applyProtection="0"/>
    <xf numFmtId="0" fontId="67" fillId="76" borderId="0" applyNumberFormat="0" applyBorder="0" applyAlignment="0" applyProtection="0"/>
    <xf numFmtId="0" fontId="10" fillId="0" borderId="0" applyNumberFormat="0" applyFont="0" applyFill="0" applyBorder="0" applyAlignment="0"/>
    <xf numFmtId="181" fontId="68" fillId="0" borderId="0"/>
    <xf numFmtId="0" fontId="10" fillId="77" borderId="45" applyNumberFormat="0" applyFont="0" applyAlignment="0" applyProtection="0"/>
    <xf numFmtId="0" fontId="25" fillId="78" borderId="46" applyNumberFormat="0" applyBorder="0">
      <alignment horizontal="left" vertical="center"/>
    </xf>
    <xf numFmtId="2" fontId="25" fillId="78" borderId="38" applyNumberFormat="0" applyBorder="0">
      <alignment horizontal="left" vertical="center"/>
    </xf>
    <xf numFmtId="2" fontId="65" fillId="72" borderId="47" applyNumberFormat="0" applyBorder="0">
      <alignment horizontal="left" vertical="center"/>
    </xf>
    <xf numFmtId="2" fontId="65" fillId="72" borderId="38" applyNumberFormat="0" applyBorder="0">
      <alignment horizontal="left" vertical="center"/>
    </xf>
    <xf numFmtId="0" fontId="69" fillId="67" borderId="48" applyNumberFormat="0" applyAlignment="0" applyProtection="0"/>
    <xf numFmtId="19" fontId="10" fillId="79" borderId="2" applyNumberFormat="0" applyBorder="0">
      <alignment horizontal="left" vertical="center" indent="1"/>
    </xf>
    <xf numFmtId="0" fontId="10" fillId="79" borderId="0">
      <alignment horizontal="right" vertical="center"/>
    </xf>
    <xf numFmtId="19" fontId="10" fillId="79" borderId="42" applyNumberFormat="0" applyBorder="0">
      <alignment horizontal="right" vertical="center"/>
    </xf>
    <xf numFmtId="2" fontId="70" fillId="80" borderId="6" applyBorder="0">
      <alignment horizontal="left" vertical="center" indent="1"/>
    </xf>
    <xf numFmtId="2" fontId="70" fillId="80" borderId="0">
      <alignment horizontal="center" vertical="center"/>
    </xf>
    <xf numFmtId="2" fontId="70" fillId="80" borderId="49">
      <alignment horizontal="left" vertical="center"/>
    </xf>
    <xf numFmtId="0" fontId="71" fillId="81" borderId="4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164" fontId="72" fillId="82" borderId="0" applyNumberFormat="0" applyBorder="0">
      <alignment horizontal="right" vertical="center"/>
    </xf>
    <xf numFmtId="164" fontId="72" fillId="82" borderId="0" applyNumberFormat="0" applyBorder="0">
      <alignment horizontal="right" vertical="center"/>
    </xf>
    <xf numFmtId="0" fontId="73" fillId="83" borderId="40" applyNumberFormat="0">
      <alignment horizontal="center" vertical="center"/>
    </xf>
    <xf numFmtId="0" fontId="73" fillId="83" borderId="0" applyNumberFormat="0" applyBorder="0">
      <alignment horizontal="left" vertical="center" indent="1"/>
    </xf>
    <xf numFmtId="182" fontId="74" fillId="84" borderId="0">
      <alignment horizontal="center" vertical="center"/>
    </xf>
    <xf numFmtId="183" fontId="75" fillId="85" borderId="0">
      <alignment horizontal="center" vertical="center"/>
      <protection locked="0"/>
    </xf>
    <xf numFmtId="0" fontId="10" fillId="0" borderId="0">
      <alignment horizontal="left" wrapText="1"/>
    </xf>
    <xf numFmtId="2" fontId="76" fillId="86" borderId="46" applyNumberFormat="0" applyFill="0" applyBorder="0" applyAlignment="0">
      <alignment horizontal="center"/>
      <protection locked="0"/>
    </xf>
    <xf numFmtId="2" fontId="10" fillId="87" borderId="38" applyNumberFormat="0" applyBorder="0">
      <alignment horizontal="right" vertical="center"/>
    </xf>
    <xf numFmtId="2" fontId="10" fillId="87" borderId="0">
      <alignment horizontal="right" vertical="center"/>
    </xf>
    <xf numFmtId="2" fontId="65" fillId="88" borderId="40">
      <alignment horizontal="center" vertical="center"/>
    </xf>
    <xf numFmtId="2" fontId="65" fillId="88" borderId="0" applyNumberFormat="0" applyBorder="0">
      <alignment horizontal="left" vertical="center"/>
    </xf>
    <xf numFmtId="2" fontId="65" fillId="88" borderId="40">
      <alignment horizontal="center" vertical="center"/>
    </xf>
    <xf numFmtId="0" fontId="77" fillId="0" borderId="0" applyNumberFormat="0" applyFill="0" applyBorder="0" applyAlignment="0" applyProtection="0"/>
    <xf numFmtId="0" fontId="78" fillId="0" borderId="50" applyNumberFormat="0" applyFill="0" applyAlignment="0" applyProtection="0"/>
    <xf numFmtId="0" fontId="79" fillId="0" borderId="0" applyNumberFormat="0" applyFill="0" applyBorder="0" applyAlignment="0" applyProtection="0"/>
    <xf numFmtId="38" fontId="80" fillId="0" borderId="0" applyFont="0" applyFill="0" applyBorder="0" applyAlignment="0" applyProtection="0"/>
    <xf numFmtId="0" fontId="80" fillId="0" borderId="0"/>
    <xf numFmtId="44" fontId="49" fillId="3" borderId="0" applyFont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4" fillId="5" borderId="0" applyNumberFormat="0" applyBorder="0" applyAlignment="0" applyProtection="0">
      <alignment vertical="top"/>
      <protection locked="0"/>
    </xf>
    <xf numFmtId="0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53" fillId="67" borderId="32" applyNumberFormat="0" applyAlignment="0" applyProtection="0"/>
    <xf numFmtId="0" fontId="53" fillId="67" borderId="32" applyNumberFormat="0" applyAlignment="0" applyProtection="0"/>
    <xf numFmtId="0" fontId="53" fillId="67" borderId="32" applyNumberFormat="0" applyAlignment="0" applyProtection="0"/>
    <xf numFmtId="4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4" fillId="5" borderId="0" applyNumberFormat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64" fillId="53" borderId="32" applyNumberFormat="0" applyAlignment="0" applyProtection="0"/>
    <xf numFmtId="44" fontId="49" fillId="3" borderId="0" applyFont="0" applyBorder="0" applyAlignment="0" applyProtection="0"/>
    <xf numFmtId="9" fontId="10" fillId="0" borderId="0" applyFont="0" applyFill="0" applyBorder="0" applyAlignment="0" applyProtection="0"/>
    <xf numFmtId="0" fontId="4" fillId="5" borderId="0" applyNumberFormat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4" fontId="49" fillId="3" borderId="0" applyFont="0" applyBorder="0" applyAlignment="0" applyProtection="0"/>
    <xf numFmtId="0" fontId="64" fillId="53" borderId="32" applyNumberFormat="0" applyAlignment="0" applyProtection="0"/>
    <xf numFmtId="9" fontId="10" fillId="0" borderId="0" applyFont="0" applyFill="0" applyBorder="0" applyAlignment="0" applyProtection="0"/>
    <xf numFmtId="0" fontId="64" fillId="53" borderId="32" applyNumberFormat="0" applyAlignment="0" applyProtection="0"/>
    <xf numFmtId="9" fontId="10" fillId="0" borderId="0" applyFont="0" applyFill="0" applyBorder="0" applyAlignment="0" applyProtection="0"/>
    <xf numFmtId="0" fontId="10" fillId="0" borderId="0"/>
    <xf numFmtId="44" fontId="49" fillId="3" borderId="0" applyFont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4" fillId="5" borderId="0" applyNumberFormat="0" applyBorder="0" applyAlignment="0" applyProtection="0">
      <alignment vertical="top"/>
      <protection locked="0"/>
    </xf>
    <xf numFmtId="0" fontId="10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53" fillId="67" borderId="32" applyNumberFormat="0" applyAlignment="0" applyProtection="0"/>
    <xf numFmtId="4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64" fillId="53" borderId="32" applyNumberFormat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9" fontId="10" fillId="0" borderId="0" applyFont="0" applyFill="0" applyBorder="0" applyAlignment="0" applyProtection="0"/>
    <xf numFmtId="0" fontId="8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88" fillId="0" borderId="0"/>
    <xf numFmtId="0" fontId="88" fillId="0" borderId="0"/>
    <xf numFmtId="0" fontId="1" fillId="3" borderId="0"/>
    <xf numFmtId="0" fontId="1" fillId="3" borderId="0"/>
    <xf numFmtId="9" fontId="49" fillId="3" borderId="0" applyFont="0" applyBorder="0" applyAlignment="0" applyProtection="0"/>
    <xf numFmtId="0" fontId="1" fillId="3" borderId="0"/>
  </cellStyleXfs>
  <cellXfs count="397">
    <xf numFmtId="0" fontId="0" fillId="0" borderId="0" xfId="0"/>
    <xf numFmtId="0" fontId="7" fillId="2" borderId="2" xfId="1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14" fontId="29" fillId="2" borderId="0" xfId="0" applyNumberFormat="1" applyFont="1" applyFill="1" applyBorder="1" applyAlignment="1">
      <alignment horizontal="center" vertical="center"/>
    </xf>
    <xf numFmtId="0" fontId="31" fillId="2" borderId="0" xfId="9" applyFont="1" applyFill="1" applyBorder="1" applyAlignment="1">
      <alignment horizontal="center" vertical="center"/>
    </xf>
    <xf numFmtId="0" fontId="32" fillId="2" borderId="0" xfId="7" applyFont="1" applyFill="1" applyBorder="1" applyAlignment="1">
      <alignment horizontal="center" vertical="center"/>
    </xf>
    <xf numFmtId="0" fontId="30" fillId="2" borderId="0" xfId="1" applyFont="1" applyFill="1" applyBorder="1" applyAlignment="1">
      <alignment horizontal="center" vertical="center"/>
    </xf>
    <xf numFmtId="0" fontId="31" fillId="2" borderId="0" xfId="1" applyFont="1" applyFill="1" applyBorder="1" applyAlignment="1" applyProtection="1">
      <alignment horizontal="left" vertical="center"/>
    </xf>
    <xf numFmtId="0" fontId="31" fillId="2" borderId="0" xfId="9" applyFont="1" applyFill="1" applyBorder="1" applyAlignment="1">
      <alignment horizontal="left" vertical="center"/>
    </xf>
    <xf numFmtId="0" fontId="29" fillId="2" borderId="0" xfId="0" applyFont="1" applyFill="1" applyBorder="1" applyAlignment="1">
      <alignment horizontal="left" vertical="center"/>
    </xf>
    <xf numFmtId="0" fontId="81" fillId="2" borderId="0" xfId="9" applyFont="1" applyFill="1" applyBorder="1" applyAlignment="1">
      <alignment horizontal="left" vertical="center"/>
    </xf>
    <xf numFmtId="0" fontId="82" fillId="2" borderId="0" xfId="0" applyFont="1" applyFill="1" applyBorder="1" applyAlignment="1">
      <alignment horizontal="left" vertical="center"/>
    </xf>
    <xf numFmtId="0" fontId="83" fillId="2" borderId="0" xfId="0" applyFont="1" applyFill="1" applyBorder="1" applyAlignment="1">
      <alignment horizontal="left" vertical="center"/>
    </xf>
    <xf numFmtId="0" fontId="85" fillId="2" borderId="55" xfId="0" applyFont="1" applyFill="1" applyBorder="1"/>
    <xf numFmtId="0" fontId="86" fillId="2" borderId="16" xfId="0" applyFont="1" applyFill="1" applyBorder="1"/>
    <xf numFmtId="0" fontId="86" fillId="2" borderId="18" xfId="0" applyFont="1" applyFill="1" applyBorder="1"/>
    <xf numFmtId="0" fontId="86" fillId="2" borderId="15" xfId="0" applyFont="1" applyFill="1" applyBorder="1"/>
    <xf numFmtId="0" fontId="86" fillId="2" borderId="11" xfId="0" applyFont="1" applyFill="1" applyBorder="1"/>
    <xf numFmtId="0" fontId="86" fillId="2" borderId="13" xfId="0" applyFont="1" applyFill="1" applyBorder="1"/>
    <xf numFmtId="0" fontId="85" fillId="2" borderId="62" xfId="0" applyFont="1" applyFill="1" applyBorder="1"/>
    <xf numFmtId="0" fontId="85" fillId="2" borderId="61" xfId="0" applyFont="1" applyFill="1" applyBorder="1"/>
    <xf numFmtId="0" fontId="85" fillId="2" borderId="60" xfId="0" applyFont="1" applyFill="1" applyBorder="1"/>
    <xf numFmtId="0" fontId="85" fillId="2" borderId="59" xfId="0" applyFont="1" applyFill="1" applyBorder="1"/>
    <xf numFmtId="0" fontId="85" fillId="2" borderId="18" xfId="0" applyFont="1" applyFill="1" applyBorder="1" applyAlignment="1">
      <alignment horizontal="left"/>
    </xf>
    <xf numFmtId="0" fontId="85" fillId="2" borderId="58" xfId="0" applyFont="1" applyFill="1" applyBorder="1"/>
    <xf numFmtId="14" fontId="85" fillId="2" borderId="11" xfId="0" applyNumberFormat="1" applyFont="1" applyFill="1" applyBorder="1" applyAlignment="1">
      <alignment horizontal="left"/>
    </xf>
    <xf numFmtId="0" fontId="85" fillId="2" borderId="11" xfId="0" applyFont="1" applyFill="1" applyBorder="1" applyAlignment="1">
      <alignment horizontal="left"/>
    </xf>
    <xf numFmtId="0" fontId="85" fillId="2" borderId="56" xfId="0" applyFont="1" applyFill="1" applyBorder="1"/>
    <xf numFmtId="0" fontId="85" fillId="2" borderId="14" xfId="0" applyFont="1" applyFill="1" applyBorder="1" applyAlignment="1">
      <alignment horizontal="left"/>
    </xf>
    <xf numFmtId="0" fontId="86" fillId="2" borderId="62" xfId="0" applyFont="1" applyFill="1" applyBorder="1"/>
    <xf numFmtId="14" fontId="86" fillId="2" borderId="11" xfId="0" applyNumberFormat="1" applyFont="1" applyFill="1" applyBorder="1" applyAlignment="1">
      <alignment horizontal="left"/>
    </xf>
    <xf numFmtId="0" fontId="86" fillId="2" borderId="11" xfId="0" applyFont="1" applyFill="1" applyBorder="1" applyAlignment="1">
      <alignment horizontal="left"/>
    </xf>
    <xf numFmtId="0" fontId="86" fillId="2" borderId="60" xfId="0" applyFont="1" applyFill="1" applyBorder="1"/>
    <xf numFmtId="0" fontId="86" fillId="2" borderId="0" xfId="0" applyFont="1" applyFill="1"/>
    <xf numFmtId="4" fontId="85" fillId="2" borderId="14" xfId="0" applyNumberFormat="1" applyFont="1" applyFill="1" applyBorder="1" applyAlignment="1">
      <alignment horizontal="left"/>
    </xf>
    <xf numFmtId="0" fontId="85" fillId="2" borderId="0" xfId="0" applyFont="1" applyFill="1"/>
    <xf numFmtId="14" fontId="85" fillId="2" borderId="0" xfId="0" applyNumberFormat="1" applyFont="1" applyFill="1"/>
    <xf numFmtId="0" fontId="85" fillId="2" borderId="12" xfId="0" applyFont="1" applyFill="1" applyBorder="1" applyAlignment="1">
      <alignment horizontal="center"/>
    </xf>
    <xf numFmtId="0" fontId="85" fillId="2" borderId="14" xfId="0" applyFont="1" applyFill="1" applyBorder="1" applyAlignment="1">
      <alignment horizontal="center"/>
    </xf>
    <xf numFmtId="14" fontId="85" fillId="2" borderId="12" xfId="0" applyNumberFormat="1" applyFont="1" applyFill="1" applyBorder="1" applyAlignment="1">
      <alignment horizontal="center"/>
    </xf>
    <xf numFmtId="0" fontId="85" fillId="2" borderId="0" xfId="0" applyFont="1" applyFill="1" applyAlignment="1">
      <alignment horizontal="center"/>
    </xf>
    <xf numFmtId="0" fontId="85" fillId="2" borderId="13" xfId="0" applyFont="1" applyFill="1" applyBorder="1" applyAlignment="1">
      <alignment horizontal="center"/>
    </xf>
    <xf numFmtId="14" fontId="85" fillId="2" borderId="0" xfId="0" applyNumberFormat="1" applyFont="1" applyFill="1" applyAlignment="1">
      <alignment horizontal="center"/>
    </xf>
    <xf numFmtId="0" fontId="84" fillId="10" borderId="65" xfId="0" applyFont="1" applyFill="1" applyBorder="1" applyAlignment="1">
      <alignment horizontal="center"/>
    </xf>
    <xf numFmtId="0" fontId="84" fillId="10" borderId="66" xfId="0" applyFont="1" applyFill="1" applyBorder="1" applyAlignment="1">
      <alignment horizontal="center"/>
    </xf>
    <xf numFmtId="0" fontId="84" fillId="10" borderId="66" xfId="0" applyNumberFormat="1" applyFont="1" applyFill="1" applyBorder="1" applyAlignment="1">
      <alignment horizontal="center"/>
    </xf>
    <xf numFmtId="14" fontId="84" fillId="10" borderId="66" xfId="0" applyNumberFormat="1" applyFont="1" applyFill="1" applyBorder="1" applyAlignment="1">
      <alignment horizontal="center"/>
    </xf>
    <xf numFmtId="0" fontId="84" fillId="10" borderId="68" xfId="0" applyFont="1" applyFill="1" applyBorder="1" applyAlignment="1">
      <alignment horizontal="center"/>
    </xf>
    <xf numFmtId="0" fontId="84" fillId="10" borderId="69" xfId="0" applyFont="1" applyFill="1" applyBorder="1" applyAlignment="1">
      <alignment horizontal="center"/>
    </xf>
    <xf numFmtId="0" fontId="84" fillId="10" borderId="69" xfId="0" applyNumberFormat="1" applyFont="1" applyFill="1" applyBorder="1" applyAlignment="1">
      <alignment horizontal="center"/>
    </xf>
    <xf numFmtId="14" fontId="84" fillId="10" borderId="69" xfId="0" applyNumberFormat="1" applyFont="1" applyFill="1" applyBorder="1" applyAlignment="1">
      <alignment horizontal="center"/>
    </xf>
    <xf numFmtId="0" fontId="84" fillId="10" borderId="71" xfId="0" applyFont="1" applyFill="1" applyBorder="1" applyAlignment="1">
      <alignment horizontal="center"/>
    </xf>
    <xf numFmtId="0" fontId="84" fillId="10" borderId="72" xfId="0" applyFont="1" applyFill="1" applyBorder="1" applyAlignment="1">
      <alignment horizontal="center"/>
    </xf>
    <xf numFmtId="0" fontId="84" fillId="10" borderId="72" xfId="0" applyNumberFormat="1" applyFont="1" applyFill="1" applyBorder="1" applyAlignment="1">
      <alignment horizontal="center"/>
    </xf>
    <xf numFmtId="14" fontId="84" fillId="10" borderId="72" xfId="0" applyNumberFormat="1" applyFont="1" applyFill="1" applyBorder="1" applyAlignment="1">
      <alignment horizontal="center"/>
    </xf>
    <xf numFmtId="187" fontId="84" fillId="10" borderId="66" xfId="69" applyNumberFormat="1" applyFont="1" applyFill="1" applyBorder="1" applyAlignment="1">
      <alignment horizontal="center"/>
    </xf>
    <xf numFmtId="187" fontId="84" fillId="10" borderId="69" xfId="69" applyNumberFormat="1" applyFont="1" applyFill="1" applyBorder="1" applyAlignment="1">
      <alignment horizontal="center"/>
    </xf>
    <xf numFmtId="187" fontId="84" fillId="10" borderId="72" xfId="69" applyNumberFormat="1" applyFont="1" applyFill="1" applyBorder="1" applyAlignment="1">
      <alignment horizontal="center"/>
    </xf>
    <xf numFmtId="43" fontId="84" fillId="10" borderId="67" xfId="68" applyFont="1" applyFill="1" applyBorder="1" applyAlignment="1">
      <alignment horizontal="center"/>
    </xf>
    <xf numFmtId="43" fontId="84" fillId="10" borderId="70" xfId="68" applyFont="1" applyFill="1" applyBorder="1" applyAlignment="1">
      <alignment horizontal="center"/>
    </xf>
    <xf numFmtId="43" fontId="84" fillId="10" borderId="73" xfId="68" applyFont="1" applyFill="1" applyBorder="1" applyAlignment="1">
      <alignment horizontal="center"/>
    </xf>
    <xf numFmtId="43" fontId="84" fillId="10" borderId="66" xfId="68" applyFont="1" applyFill="1" applyBorder="1" applyAlignment="1">
      <alignment horizontal="center"/>
    </xf>
    <xf numFmtId="43" fontId="84" fillId="10" borderId="69" xfId="68" applyFont="1" applyFill="1" applyBorder="1" applyAlignment="1">
      <alignment horizontal="center"/>
    </xf>
    <xf numFmtId="43" fontId="84" fillId="10" borderId="72" xfId="68" applyFont="1" applyFill="1" applyBorder="1" applyAlignment="1">
      <alignment horizontal="center"/>
    </xf>
    <xf numFmtId="184" fontId="84" fillId="10" borderId="66" xfId="0" applyNumberFormat="1" applyFont="1" applyFill="1" applyBorder="1" applyAlignment="1">
      <alignment horizontal="center"/>
    </xf>
    <xf numFmtId="184" fontId="84" fillId="10" borderId="69" xfId="0" applyNumberFormat="1" applyFont="1" applyFill="1" applyBorder="1" applyAlignment="1">
      <alignment horizontal="center"/>
    </xf>
    <xf numFmtId="184" fontId="84" fillId="10" borderId="72" xfId="0" applyNumberFormat="1" applyFont="1" applyFill="1" applyBorder="1" applyAlignment="1">
      <alignment horizontal="center"/>
    </xf>
    <xf numFmtId="0" fontId="86" fillId="2" borderId="51" xfId="0" applyFont="1" applyFill="1" applyBorder="1"/>
    <xf numFmtId="0" fontId="86" fillId="2" borderId="51" xfId="0" applyFont="1" applyFill="1" applyBorder="1" applyAlignment="1">
      <alignment horizontal="center"/>
    </xf>
    <xf numFmtId="0" fontId="86" fillId="2" borderId="0" xfId="0" applyFont="1" applyFill="1" applyAlignment="1">
      <alignment horizontal="center"/>
    </xf>
    <xf numFmtId="0" fontId="85" fillId="2" borderId="13" xfId="0" applyFont="1" applyFill="1" applyBorder="1"/>
    <xf numFmtId="0" fontId="85" fillId="2" borderId="12" xfId="0" applyFont="1" applyFill="1" applyBorder="1"/>
    <xf numFmtId="0" fontId="85" fillId="2" borderId="14" xfId="0" applyFont="1" applyFill="1" applyBorder="1"/>
    <xf numFmtId="0" fontId="85" fillId="2" borderId="15" xfId="0" applyFont="1" applyFill="1" applyBorder="1"/>
    <xf numFmtId="0" fontId="85" fillId="2" borderId="0" xfId="0" applyFont="1" applyFill="1" applyBorder="1"/>
    <xf numFmtId="0" fontId="85" fillId="2" borderId="11" xfId="0" applyFont="1" applyFill="1" applyBorder="1"/>
    <xf numFmtId="0" fontId="85" fillId="2" borderId="16" xfId="0" applyFont="1" applyFill="1" applyBorder="1"/>
    <xf numFmtId="0" fontId="85" fillId="2" borderId="17" xfId="0" applyFont="1" applyFill="1" applyBorder="1"/>
    <xf numFmtId="0" fontId="85" fillId="2" borderId="18" xfId="0" applyFont="1" applyFill="1" applyBorder="1"/>
    <xf numFmtId="14" fontId="85" fillId="2" borderId="0" xfId="0" applyNumberFormat="1" applyFont="1" applyFill="1" applyBorder="1"/>
    <xf numFmtId="14" fontId="85" fillId="2" borderId="17" xfId="0" applyNumberFormat="1" applyFont="1" applyFill="1" applyBorder="1"/>
    <xf numFmtId="0" fontId="4" fillId="2" borderId="0" xfId="4" applyFill="1" applyBorder="1" applyAlignment="1" applyProtection="1">
      <alignment vertical="center"/>
    </xf>
    <xf numFmtId="0" fontId="84" fillId="10" borderId="14" xfId="0" applyFont="1" applyFill="1" applyBorder="1"/>
    <xf numFmtId="0" fontId="84" fillId="10" borderId="11" xfId="0" applyFont="1" applyFill="1" applyBorder="1"/>
    <xf numFmtId="0" fontId="84" fillId="10" borderId="18" xfId="0" applyFont="1" applyFill="1" applyBorder="1"/>
    <xf numFmtId="0" fontId="87" fillId="2" borderId="59" xfId="0" applyNumberFormat="1" applyFont="1" applyFill="1" applyBorder="1" applyAlignment="1">
      <alignment horizontal="center"/>
    </xf>
    <xf numFmtId="0" fontId="87" fillId="2" borderId="60" xfId="0" applyNumberFormat="1" applyFont="1" applyFill="1" applyBorder="1" applyAlignment="1">
      <alignment horizontal="center"/>
    </xf>
    <xf numFmtId="0" fontId="87" fillId="2" borderId="62" xfId="0" applyNumberFormat="1" applyFont="1" applyFill="1" applyBorder="1" applyAlignment="1">
      <alignment horizontal="center"/>
    </xf>
    <xf numFmtId="14" fontId="87" fillId="2" borderId="59" xfId="0" applyNumberFormat="1" applyFont="1" applyFill="1" applyBorder="1"/>
    <xf numFmtId="14" fontId="87" fillId="2" borderId="60" xfId="0" applyNumberFormat="1" applyFont="1" applyFill="1" applyBorder="1"/>
    <xf numFmtId="14" fontId="87" fillId="2" borderId="62" xfId="0" applyNumberFormat="1" applyFont="1" applyFill="1" applyBorder="1"/>
    <xf numFmtId="0" fontId="87" fillId="2" borderId="59" xfId="0" applyFont="1" applyFill="1" applyBorder="1"/>
    <xf numFmtId="0" fontId="87" fillId="2" borderId="60" xfId="0" applyFont="1" applyFill="1" applyBorder="1"/>
    <xf numFmtId="0" fontId="87" fillId="2" borderId="62" xfId="0" applyFont="1" applyFill="1" applyBorder="1"/>
    <xf numFmtId="14" fontId="85" fillId="2" borderId="14" xfId="0" applyNumberFormat="1" applyFont="1" applyFill="1" applyBorder="1" applyAlignment="1">
      <alignment horizontal="center"/>
    </xf>
    <xf numFmtId="14" fontId="85" fillId="2" borderId="13" xfId="0" applyNumberFormat="1" applyFont="1" applyFill="1" applyBorder="1" applyAlignment="1">
      <alignment horizontal="center"/>
    </xf>
    <xf numFmtId="14" fontId="84" fillId="10" borderId="14" xfId="0" applyNumberFormat="1" applyFont="1" applyFill="1" applyBorder="1"/>
    <xf numFmtId="14" fontId="84" fillId="10" borderId="11" xfId="0" applyNumberFormat="1" applyFont="1" applyFill="1" applyBorder="1"/>
    <xf numFmtId="0" fontId="86" fillId="2" borderId="60" xfId="0" applyFont="1" applyFill="1" applyBorder="1" applyAlignment="1">
      <alignment horizontal="center"/>
    </xf>
    <xf numFmtId="0" fontId="86" fillId="2" borderId="22" xfId="0" applyFont="1" applyFill="1" applyBorder="1"/>
    <xf numFmtId="0" fontId="86" fillId="2" borderId="64" xfId="0" applyFont="1" applyFill="1" applyBorder="1"/>
    <xf numFmtId="0" fontId="86" fillId="2" borderId="63" xfId="0" applyFont="1" applyFill="1" applyBorder="1"/>
    <xf numFmtId="0" fontId="86" fillId="2" borderId="59" xfId="0" applyFont="1" applyFill="1" applyBorder="1" applyAlignment="1">
      <alignment horizontal="center"/>
    </xf>
    <xf numFmtId="0" fontId="86" fillId="2" borderId="62" xfId="0" applyFont="1" applyFill="1" applyBorder="1" applyAlignment="1">
      <alignment horizontal="center"/>
    </xf>
    <xf numFmtId="0" fontId="86" fillId="2" borderId="14" xfId="0" applyFont="1" applyFill="1" applyBorder="1" applyAlignment="1">
      <alignment horizontal="center"/>
    </xf>
    <xf numFmtId="0" fontId="86" fillId="2" borderId="75" xfId="0" applyFont="1" applyFill="1" applyBorder="1"/>
    <xf numFmtId="0" fontId="86" fillId="2" borderId="74" xfId="0" applyFont="1" applyFill="1" applyBorder="1"/>
    <xf numFmtId="0" fontId="86" fillId="2" borderId="12" xfId="0" applyFont="1" applyFill="1" applyBorder="1"/>
    <xf numFmtId="0" fontId="86" fillId="2" borderId="57" xfId="0" applyFont="1" applyFill="1" applyBorder="1"/>
    <xf numFmtId="0" fontId="86" fillId="2" borderId="5" xfId="0" applyFont="1" applyFill="1" applyBorder="1"/>
    <xf numFmtId="0" fontId="85" fillId="2" borderId="52" xfId="0" applyFont="1" applyFill="1" applyBorder="1" applyAlignment="1">
      <alignment horizontal="center"/>
    </xf>
    <xf numFmtId="0" fontId="85" fillId="2" borderId="54" xfId="0" applyFont="1" applyFill="1" applyBorder="1" applyAlignment="1">
      <alignment horizontal="center"/>
    </xf>
    <xf numFmtId="43" fontId="85" fillId="2" borderId="13" xfId="0" applyNumberFormat="1" applyFont="1" applyFill="1" applyBorder="1" applyAlignment="1">
      <alignment horizontal="right"/>
    </xf>
    <xf numFmtId="43" fontId="85" fillId="2" borderId="15" xfId="0" applyNumberFormat="1" applyFont="1" applyFill="1" applyBorder="1" applyAlignment="1">
      <alignment horizontal="right"/>
    </xf>
    <xf numFmtId="43" fontId="85" fillId="2" borderId="16" xfId="0" applyNumberFormat="1" applyFont="1" applyFill="1" applyBorder="1" applyAlignment="1">
      <alignment horizontal="right"/>
    </xf>
    <xf numFmtId="43" fontId="85" fillId="2" borderId="14" xfId="0" applyNumberFormat="1" applyFont="1" applyFill="1" applyBorder="1" applyAlignment="1">
      <alignment horizontal="center"/>
    </xf>
    <xf numFmtId="43" fontId="85" fillId="2" borderId="11" xfId="0" applyNumberFormat="1" applyFont="1" applyFill="1" applyBorder="1" applyAlignment="1">
      <alignment horizontal="center"/>
    </xf>
    <xf numFmtId="43" fontId="85" fillId="2" borderId="18" xfId="0" applyNumberFormat="1" applyFont="1" applyFill="1" applyBorder="1" applyAlignment="1">
      <alignment horizontal="center"/>
    </xf>
    <xf numFmtId="0" fontId="4" fillId="2" borderId="0" xfId="4" applyFill="1" applyBorder="1" applyProtection="1">
      <alignment horizontal="center" vertical="center"/>
    </xf>
    <xf numFmtId="0" fontId="89" fillId="2" borderId="0" xfId="9" applyFont="1" applyFill="1" applyBorder="1" applyAlignment="1">
      <alignment horizontal="center" vertical="center"/>
    </xf>
    <xf numFmtId="0" fontId="29" fillId="2" borderId="0" xfId="1" applyFont="1" applyFill="1" applyBorder="1" applyAlignment="1">
      <alignment horizontal="center" vertical="center"/>
    </xf>
    <xf numFmtId="0" fontId="4" fillId="2" borderId="0" xfId="36" applyFont="1" applyFill="1" applyBorder="1" applyAlignment="1">
      <alignment horizontal="center"/>
    </xf>
    <xf numFmtId="0" fontId="7" fillId="2" borderId="0" xfId="12" applyFont="1" applyFill="1"/>
    <xf numFmtId="0" fontId="4" fillId="2" borderId="0" xfId="36" applyNumberFormat="1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Border="1"/>
    <xf numFmtId="0" fontId="7" fillId="2" borderId="0" xfId="12" applyFont="1" applyFill="1" applyBorder="1" applyAlignment="1">
      <alignment horizontal="left" vertical="top"/>
    </xf>
    <xf numFmtId="0" fontId="7" fillId="2" borderId="0" xfId="36" applyFont="1" applyFill="1" applyBorder="1" applyAlignment="1"/>
    <xf numFmtId="0" fontId="7" fillId="2" borderId="13" xfId="0" applyFont="1" applyFill="1" applyBorder="1"/>
    <xf numFmtId="0" fontId="7" fillId="2" borderId="15" xfId="0" applyFont="1" applyFill="1" applyBorder="1"/>
    <xf numFmtId="0" fontId="7" fillId="2" borderId="16" xfId="0" applyFont="1" applyFill="1" applyBorder="1"/>
    <xf numFmtId="188" fontId="29" fillId="2" borderId="0" xfId="68" applyNumberFormat="1" applyFont="1" applyFill="1" applyBorder="1" applyAlignment="1">
      <alignment horizontal="left" vertical="center"/>
    </xf>
    <xf numFmtId="0" fontId="85" fillId="2" borderId="19" xfId="0" applyFont="1" applyFill="1" applyBorder="1"/>
    <xf numFmtId="0" fontId="85" fillId="2" borderId="8" xfId="0" applyFont="1" applyFill="1" applyBorder="1"/>
    <xf numFmtId="0" fontId="85" fillId="2" borderId="4" xfId="0" applyFont="1" applyFill="1" applyBorder="1"/>
    <xf numFmtId="0" fontId="91" fillId="2" borderId="22" xfId="273" applyFont="1" applyFill="1" applyBorder="1" applyAlignment="1">
      <alignment horizontal="left"/>
    </xf>
    <xf numFmtId="0" fontId="91" fillId="2" borderId="0" xfId="273" applyFont="1" applyFill="1"/>
    <xf numFmtId="0" fontId="91" fillId="2" borderId="0" xfId="273" applyFont="1" applyFill="1" applyAlignment="1">
      <alignment horizontal="left"/>
    </xf>
    <xf numFmtId="0" fontId="30" fillId="2" borderId="0" xfId="0" applyFont="1" applyFill="1"/>
    <xf numFmtId="0" fontId="30" fillId="2" borderId="0" xfId="0" applyFont="1" applyFill="1" applyAlignment="1">
      <alignment horizontal="left"/>
    </xf>
    <xf numFmtId="0" fontId="85" fillId="2" borderId="0" xfId="0" applyFont="1" applyFill="1" applyBorder="1" applyAlignment="1">
      <alignment horizontal="center"/>
    </xf>
    <xf numFmtId="0" fontId="85" fillId="2" borderId="6" xfId="0" applyFont="1" applyFill="1" applyBorder="1" applyAlignment="1">
      <alignment horizontal="center"/>
    </xf>
    <xf numFmtId="0" fontId="85" fillId="2" borderId="7" xfId="0" applyFont="1" applyFill="1" applyBorder="1" applyAlignment="1">
      <alignment horizontal="center"/>
    </xf>
    <xf numFmtId="0" fontId="30" fillId="2" borderId="0" xfId="0" applyFont="1" applyFill="1" applyAlignment="1">
      <alignment horizontal="center" vertical="center"/>
    </xf>
    <xf numFmtId="0" fontId="29" fillId="2" borderId="0" xfId="0" applyFont="1" applyFill="1" applyBorder="1" applyAlignment="1">
      <alignment horizontal="center" vertical="top"/>
    </xf>
    <xf numFmtId="0" fontId="7" fillId="2" borderId="0" xfId="11" applyFont="1" applyFill="1" applyBorder="1"/>
    <xf numFmtId="0" fontId="7" fillId="2" borderId="6" xfId="11" applyFont="1" applyFill="1" applyBorder="1" applyAlignment="1">
      <alignment horizontal="center"/>
    </xf>
    <xf numFmtId="0" fontId="7" fillId="2" borderId="60" xfId="66" applyFont="1" applyFill="1" applyBorder="1"/>
    <xf numFmtId="0" fontId="7" fillId="2" borderId="62" xfId="66" applyFont="1" applyFill="1" applyBorder="1"/>
    <xf numFmtId="0" fontId="86" fillId="2" borderId="59" xfId="0" applyFont="1" applyFill="1" applyBorder="1"/>
    <xf numFmtId="0" fontId="7" fillId="2" borderId="0" xfId="239" applyFont="1" applyFill="1" applyAlignment="1"/>
    <xf numFmtId="0" fontId="7" fillId="2" borderId="59" xfId="67" applyFont="1" applyFill="1" applyBorder="1" applyAlignment="1">
      <alignment horizontal="left"/>
    </xf>
    <xf numFmtId="0" fontId="7" fillId="2" borderId="60" xfId="67" applyFont="1" applyFill="1" applyBorder="1"/>
    <xf numFmtId="0" fontId="7" fillId="2" borderId="62" xfId="67" applyFont="1" applyFill="1" applyBorder="1"/>
    <xf numFmtId="0" fontId="86" fillId="2" borderId="14" xfId="0" applyFont="1" applyFill="1" applyBorder="1"/>
    <xf numFmtId="0" fontId="86" fillId="2" borderId="17" xfId="0" applyFont="1" applyFill="1" applyBorder="1"/>
    <xf numFmtId="0" fontId="7" fillId="2" borderId="60" xfId="239" applyFont="1" applyFill="1" applyBorder="1" applyAlignment="1"/>
    <xf numFmtId="0" fontId="7" fillId="2" borderId="62" xfId="239" applyFont="1" applyFill="1" applyBorder="1" applyAlignment="1"/>
    <xf numFmtId="0" fontId="7" fillId="2" borderId="0" xfId="272" applyFont="1" applyFill="1" applyBorder="1"/>
    <xf numFmtId="0" fontId="7" fillId="2" borderId="60" xfId="272" applyFont="1" applyFill="1" applyBorder="1"/>
    <xf numFmtId="0" fontId="7" fillId="2" borderId="62" xfId="272" applyFont="1" applyFill="1" applyBorder="1"/>
    <xf numFmtId="0" fontId="7" fillId="2" borderId="51" xfId="272" applyFont="1" applyFill="1" applyBorder="1"/>
    <xf numFmtId="0" fontId="94" fillId="2" borderId="0" xfId="0" applyFont="1" applyFill="1" applyAlignment="1">
      <alignment vertical="center"/>
    </xf>
    <xf numFmtId="0" fontId="29" fillId="10" borderId="0" xfId="0" applyFont="1" applyFill="1" applyAlignment="1">
      <alignment horizontal="center" vertical="center"/>
    </xf>
    <xf numFmtId="0" fontId="85" fillId="2" borderId="0" xfId="0" applyFont="1" applyFill="1" applyBorder="1" applyAlignment="1">
      <alignment horizontal="center" vertical="center"/>
    </xf>
    <xf numFmtId="0" fontId="92" fillId="89" borderId="0" xfId="9" applyFont="1" applyFill="1" applyBorder="1" applyAlignment="1">
      <alignment horizontal="center" vertical="center"/>
    </xf>
    <xf numFmtId="189" fontId="75" fillId="2" borderId="0" xfId="202" applyNumberFormat="1" applyFill="1" applyBorder="1" applyProtection="1">
      <alignment horizontal="center" vertical="center"/>
    </xf>
    <xf numFmtId="0" fontId="94" fillId="10" borderId="0" xfId="0" applyFont="1" applyFill="1" applyAlignment="1">
      <alignment vertical="center"/>
    </xf>
    <xf numFmtId="0" fontId="4" fillId="89" borderId="0" xfId="113" applyFill="1" applyBorder="1" applyAlignment="1" applyProtection="1">
      <alignment vertical="center"/>
    </xf>
    <xf numFmtId="0" fontId="95" fillId="2" borderId="0" xfId="9" applyFont="1" applyFill="1" applyBorder="1" applyAlignment="1">
      <alignment horizontal="left" vertical="center"/>
    </xf>
    <xf numFmtId="0" fontId="30" fillId="2" borderId="0" xfId="0" applyFont="1" applyFill="1" applyBorder="1" applyAlignment="1">
      <alignment vertical="top" wrapText="1"/>
    </xf>
    <xf numFmtId="0" fontId="95" fillId="2" borderId="0" xfId="0" applyFont="1" applyFill="1" applyBorder="1" applyAlignment="1">
      <alignment horizontal="left" vertical="center"/>
    </xf>
    <xf numFmtId="0" fontId="7" fillId="2" borderId="14" xfId="0" applyFont="1" applyFill="1" applyBorder="1"/>
    <xf numFmtId="0" fontId="7" fillId="2" borderId="11" xfId="0" applyFont="1" applyFill="1" applyBorder="1"/>
    <xf numFmtId="0" fontId="7" fillId="2" borderId="18" xfId="0" applyFont="1" applyFill="1" applyBorder="1"/>
    <xf numFmtId="0" fontId="97" fillId="2" borderId="0" xfId="1" applyFont="1" applyFill="1" applyBorder="1" applyAlignment="1" applyProtection="1">
      <alignment horizontal="left" vertical="center"/>
    </xf>
    <xf numFmtId="0" fontId="7" fillId="2" borderId="52" xfId="0" applyFont="1" applyFill="1" applyBorder="1"/>
    <xf numFmtId="0" fontId="7" fillId="2" borderId="54" xfId="0" applyFont="1" applyFill="1" applyBorder="1"/>
    <xf numFmtId="0" fontId="54" fillId="68" borderId="33" xfId="143" applyAlignment="1">
      <alignment vertical="top"/>
    </xf>
    <xf numFmtId="0" fontId="54" fillId="68" borderId="33" xfId="143" applyAlignment="1" applyProtection="1">
      <alignment vertical="top"/>
    </xf>
    <xf numFmtId="0" fontId="54" fillId="68" borderId="33" xfId="143" applyAlignment="1">
      <alignment horizontal="left" vertical="top"/>
    </xf>
    <xf numFmtId="14" fontId="54" fillId="68" borderId="33" xfId="143" applyNumberFormat="1" applyAlignment="1">
      <alignment horizontal="left" vertical="top"/>
    </xf>
    <xf numFmtId="0" fontId="30" fillId="2" borderId="0" xfId="0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center" vertical="top"/>
    </xf>
    <xf numFmtId="43" fontId="29" fillId="2" borderId="0" xfId="68" applyFont="1" applyFill="1" applyBorder="1" applyAlignment="1">
      <alignment horizontal="right" vertical="center"/>
    </xf>
    <xf numFmtId="0" fontId="30" fillId="2" borderId="0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186" fontId="30" fillId="2" borderId="0" xfId="69" applyNumberFormat="1" applyFont="1" applyFill="1" applyBorder="1" applyAlignment="1">
      <alignment horizontal="left" vertical="center"/>
    </xf>
    <xf numFmtId="0" fontId="29" fillId="2" borderId="78" xfId="0" applyFont="1" applyFill="1" applyBorder="1" applyAlignment="1">
      <alignment horizontal="center" vertical="center"/>
    </xf>
    <xf numFmtId="0" fontId="29" fillId="2" borderId="83" xfId="0" applyFont="1" applyFill="1" applyBorder="1" applyAlignment="1">
      <alignment horizontal="center" vertical="center"/>
    </xf>
    <xf numFmtId="0" fontId="29" fillId="2" borderId="84" xfId="0" applyFont="1" applyFill="1" applyBorder="1" applyAlignment="1">
      <alignment horizontal="center" vertical="center"/>
    </xf>
    <xf numFmtId="0" fontId="29" fillId="2" borderId="85" xfId="0" applyFont="1" applyFill="1" applyBorder="1" applyAlignment="1">
      <alignment horizontal="center" vertical="center"/>
    </xf>
    <xf numFmtId="0" fontId="29" fillId="2" borderId="86" xfId="0" applyFont="1" applyFill="1" applyBorder="1" applyAlignment="1">
      <alignment horizontal="center" vertical="center"/>
    </xf>
    <xf numFmtId="0" fontId="29" fillId="2" borderId="80" xfId="0" applyFont="1" applyFill="1" applyBorder="1" applyAlignment="1">
      <alignment horizontal="center" vertical="center"/>
    </xf>
    <xf numFmtId="0" fontId="31" fillId="2" borderId="81" xfId="9" applyFont="1" applyFill="1" applyBorder="1" applyAlignment="1">
      <alignment horizontal="left" vertical="center"/>
    </xf>
    <xf numFmtId="0" fontId="31" fillId="2" borderId="81" xfId="9" applyFont="1" applyFill="1" applyBorder="1" applyAlignment="1">
      <alignment horizontal="center" vertical="center"/>
    </xf>
    <xf numFmtId="0" fontId="32" fillId="2" borderId="81" xfId="7" applyFont="1" applyFill="1" applyBorder="1" applyAlignment="1">
      <alignment horizontal="center" vertical="center"/>
    </xf>
    <xf numFmtId="0" fontId="30" fillId="2" borderId="81" xfId="1" applyFont="1" applyFill="1" applyBorder="1" applyAlignment="1">
      <alignment horizontal="center" vertical="center"/>
    </xf>
    <xf numFmtId="0" fontId="29" fillId="2" borderId="81" xfId="0" applyFont="1" applyFill="1" applyBorder="1" applyAlignment="1">
      <alignment horizontal="center" vertical="center"/>
    </xf>
    <xf numFmtId="0" fontId="29" fillId="2" borderId="82" xfId="0" applyFont="1" applyFill="1" applyBorder="1" applyAlignment="1">
      <alignment horizontal="center" vertical="center"/>
    </xf>
    <xf numFmtId="0" fontId="30" fillId="2" borderId="78" xfId="0" applyFont="1" applyFill="1" applyBorder="1" applyAlignment="1">
      <alignment horizontal="left" vertical="center"/>
    </xf>
    <xf numFmtId="14" fontId="29" fillId="2" borderId="78" xfId="0" applyNumberFormat="1" applyFont="1" applyFill="1" applyBorder="1" applyAlignment="1">
      <alignment horizontal="center" vertical="center"/>
    </xf>
    <xf numFmtId="0" fontId="30" fillId="2" borderId="78" xfId="0" applyFont="1" applyFill="1" applyBorder="1" applyAlignment="1">
      <alignment horizontal="center" vertical="center"/>
    </xf>
    <xf numFmtId="0" fontId="31" fillId="2" borderId="78" xfId="9" applyFont="1" applyFill="1" applyBorder="1" applyAlignment="1">
      <alignment horizontal="left" vertical="center"/>
    </xf>
    <xf numFmtId="0" fontId="31" fillId="2" borderId="78" xfId="9" applyFont="1" applyFill="1" applyBorder="1" applyAlignment="1">
      <alignment horizontal="center" vertical="center"/>
    </xf>
    <xf numFmtId="0" fontId="31" fillId="2" borderId="78" xfId="1" applyFont="1" applyFill="1" applyBorder="1" applyAlignment="1" applyProtection="1">
      <alignment horizontal="left" vertical="center"/>
    </xf>
    <xf numFmtId="0" fontId="30" fillId="2" borderId="78" xfId="1" applyFont="1" applyFill="1" applyBorder="1" applyAlignment="1">
      <alignment horizontal="center" vertical="center"/>
    </xf>
    <xf numFmtId="0" fontId="29" fillId="2" borderId="78" xfId="0" applyFont="1" applyFill="1" applyBorder="1" applyAlignment="1">
      <alignment horizontal="left" vertical="center"/>
    </xf>
    <xf numFmtId="0" fontId="89" fillId="2" borderId="81" xfId="9" applyFont="1" applyFill="1" applyBorder="1" applyAlignment="1">
      <alignment horizontal="left" vertical="center"/>
    </xf>
    <xf numFmtId="0" fontId="89" fillId="2" borderId="81" xfId="9" applyFont="1" applyFill="1" applyBorder="1" applyAlignment="1">
      <alignment horizontal="center" vertical="center"/>
    </xf>
    <xf numFmtId="0" fontId="89" fillId="2" borderId="81" xfId="7" applyFont="1" applyFill="1" applyBorder="1" applyAlignment="1">
      <alignment horizontal="center" vertical="center"/>
    </xf>
    <xf numFmtId="0" fontId="29" fillId="2" borderId="81" xfId="1" applyFont="1" applyFill="1" applyBorder="1" applyAlignment="1">
      <alignment horizontal="center" vertical="center"/>
    </xf>
    <xf numFmtId="0" fontId="89" fillId="2" borderId="78" xfId="9" applyFont="1" applyFill="1" applyBorder="1" applyAlignment="1">
      <alignment horizontal="left" vertical="center"/>
    </xf>
    <xf numFmtId="0" fontId="89" fillId="2" borderId="78" xfId="9" applyFont="1" applyFill="1" applyBorder="1" applyAlignment="1">
      <alignment horizontal="center" vertical="center"/>
    </xf>
    <xf numFmtId="0" fontId="89" fillId="2" borderId="78" xfId="1" applyFont="1" applyFill="1" applyBorder="1" applyAlignment="1" applyProtection="1">
      <alignment horizontal="left" vertical="center"/>
    </xf>
    <xf numFmtId="0" fontId="29" fillId="2" borderId="78" xfId="1" applyFont="1" applyFill="1" applyBorder="1" applyAlignment="1">
      <alignment horizontal="center" vertical="center"/>
    </xf>
    <xf numFmtId="0" fontId="30" fillId="2" borderId="81" xfId="0" applyFont="1" applyFill="1" applyBorder="1" applyAlignment="1">
      <alignment horizontal="left" vertical="center"/>
    </xf>
    <xf numFmtId="14" fontId="29" fillId="2" borderId="81" xfId="0" applyNumberFormat="1" applyFont="1" applyFill="1" applyBorder="1" applyAlignment="1">
      <alignment horizontal="center" vertical="center"/>
    </xf>
    <xf numFmtId="0" fontId="30" fillId="2" borderId="81" xfId="0" applyFont="1" applyFill="1" applyBorder="1" applyAlignment="1">
      <alignment horizontal="center" vertical="center"/>
    </xf>
    <xf numFmtId="43" fontId="30" fillId="2" borderId="81" xfId="0" applyNumberFormat="1" applyFont="1" applyFill="1" applyBorder="1" applyAlignment="1">
      <alignment horizontal="center" vertical="center"/>
    </xf>
    <xf numFmtId="0" fontId="30" fillId="2" borderId="81" xfId="0" applyFont="1" applyFill="1" applyBorder="1" applyAlignment="1">
      <alignment horizontal="center" vertical="top"/>
    </xf>
    <xf numFmtId="0" fontId="4" fillId="5" borderId="79" xfId="113" applyBorder="1" applyAlignment="1" applyProtection="1">
      <alignment horizontal="center" vertical="center"/>
    </xf>
    <xf numFmtId="0" fontId="7" fillId="2" borderId="89" xfId="0" applyFont="1" applyFill="1" applyBorder="1" applyAlignment="1">
      <alignment horizontal="center" vertical="center"/>
    </xf>
    <xf numFmtId="0" fontId="1" fillId="10" borderId="90" xfId="0" applyFont="1" applyFill="1" applyBorder="1" applyAlignment="1">
      <alignment horizontal="center" vertical="center"/>
    </xf>
    <xf numFmtId="0" fontId="4" fillId="2" borderId="91" xfId="12" applyFont="1" applyFill="1" applyBorder="1" applyAlignment="1">
      <alignment vertical="top"/>
    </xf>
    <xf numFmtId="0" fontId="7" fillId="2" borderId="82" xfId="12" applyFont="1" applyFill="1" applyBorder="1" applyAlignment="1">
      <alignment horizontal="left" vertical="top"/>
    </xf>
    <xf numFmtId="0" fontId="4" fillId="2" borderId="92" xfId="12" applyFont="1" applyFill="1" applyBorder="1" applyAlignment="1">
      <alignment vertical="top"/>
    </xf>
    <xf numFmtId="0" fontId="7" fillId="2" borderId="84" xfId="12" applyFont="1" applyFill="1" applyBorder="1" applyAlignment="1">
      <alignment horizontal="left" vertical="top"/>
    </xf>
    <xf numFmtId="0" fontId="4" fillId="2" borderId="93" xfId="12" applyFont="1" applyFill="1" applyBorder="1" applyAlignment="1">
      <alignment vertical="top"/>
    </xf>
    <xf numFmtId="0" fontId="7" fillId="2" borderId="94" xfId="12" applyFont="1" applyFill="1" applyBorder="1" applyAlignment="1">
      <alignment horizontal="left" vertical="top"/>
    </xf>
    <xf numFmtId="0" fontId="4" fillId="2" borderId="83" xfId="12" applyFont="1" applyFill="1" applyBorder="1" applyAlignment="1">
      <alignment vertical="top"/>
    </xf>
    <xf numFmtId="0" fontId="7" fillId="2" borderId="95" xfId="36" applyFont="1" applyFill="1" applyBorder="1" applyAlignment="1"/>
    <xf numFmtId="0" fontId="7" fillId="2" borderId="96" xfId="36" applyFont="1" applyFill="1" applyBorder="1" applyAlignment="1"/>
    <xf numFmtId="0" fontId="7" fillId="2" borderId="80" xfId="36" applyFont="1" applyFill="1" applyBorder="1" applyAlignment="1"/>
    <xf numFmtId="0" fontId="7" fillId="2" borderId="82" xfId="36" applyFont="1" applyFill="1" applyBorder="1" applyAlignment="1">
      <alignment horizontal="left"/>
    </xf>
    <xf numFmtId="0" fontId="7" fillId="2" borderId="83" xfId="36" applyFont="1" applyFill="1" applyBorder="1" applyAlignment="1"/>
    <xf numFmtId="0" fontId="7" fillId="2" borderId="84" xfId="36" applyFont="1" applyFill="1" applyBorder="1" applyAlignment="1">
      <alignment horizontal="left"/>
    </xf>
    <xf numFmtId="14" fontId="7" fillId="2" borderId="84" xfId="36" applyNumberFormat="1" applyFont="1" applyFill="1" applyBorder="1" applyAlignment="1">
      <alignment horizontal="left"/>
    </xf>
    <xf numFmtId="0" fontId="7" fillId="2" borderId="85" xfId="36" applyFont="1" applyFill="1" applyBorder="1" applyAlignment="1"/>
    <xf numFmtId="14" fontId="7" fillId="2" borderId="86" xfId="36" applyNumberFormat="1" applyFont="1" applyFill="1" applyBorder="1" applyAlignment="1">
      <alignment horizontal="left"/>
    </xf>
    <xf numFmtId="14" fontId="7" fillId="2" borderId="97" xfId="0" applyNumberFormat="1" applyFont="1" applyFill="1" applyBorder="1" applyAlignment="1">
      <alignment horizontal="center"/>
    </xf>
    <xf numFmtId="14" fontId="7" fillId="2" borderId="98" xfId="0" applyNumberFormat="1" applyFont="1" applyFill="1" applyBorder="1" applyAlignment="1">
      <alignment horizontal="center"/>
    </xf>
    <xf numFmtId="0" fontId="7" fillId="2" borderId="98" xfId="0" applyNumberFormat="1" applyFont="1" applyFill="1" applyBorder="1" applyAlignment="1">
      <alignment horizontal="center"/>
    </xf>
    <xf numFmtId="0" fontId="7" fillId="2" borderId="99" xfId="0" applyNumberFormat="1" applyFont="1" applyFill="1" applyBorder="1" applyAlignment="1">
      <alignment horizontal="center"/>
    </xf>
    <xf numFmtId="0" fontId="1" fillId="10" borderId="97" xfId="0" applyFont="1" applyFill="1" applyBorder="1"/>
    <xf numFmtId="0" fontId="1" fillId="10" borderId="98" xfId="0" applyFont="1" applyFill="1" applyBorder="1"/>
    <xf numFmtId="0" fontId="1" fillId="10" borderId="99" xfId="0" applyFont="1" applyFill="1" applyBorder="1"/>
    <xf numFmtId="14" fontId="7" fillId="2" borderId="80" xfId="0" applyNumberFormat="1" applyFont="1" applyFill="1" applyBorder="1" applyAlignment="1">
      <alignment horizontal="center"/>
    </xf>
    <xf numFmtId="0" fontId="1" fillId="10" borderId="82" xfId="0" applyFont="1" applyFill="1" applyBorder="1"/>
    <xf numFmtId="14" fontId="7" fillId="2" borderId="83" xfId="0" applyNumberFormat="1" applyFont="1" applyFill="1" applyBorder="1" applyAlignment="1">
      <alignment horizontal="center"/>
    </xf>
    <xf numFmtId="0" fontId="1" fillId="10" borderId="84" xfId="0" applyFont="1" applyFill="1" applyBorder="1"/>
    <xf numFmtId="14" fontId="7" fillId="2" borderId="85" xfId="0" applyNumberFormat="1" applyFont="1" applyFill="1" applyBorder="1" applyAlignment="1">
      <alignment horizontal="center"/>
    </xf>
    <xf numFmtId="0" fontId="1" fillId="10" borderId="86" xfId="0" applyFont="1" applyFill="1" applyBorder="1"/>
    <xf numFmtId="0" fontId="7" fillId="2" borderId="80" xfId="0" applyFont="1" applyFill="1" applyBorder="1"/>
    <xf numFmtId="0" fontId="7" fillId="2" borderId="83" xfId="0" applyFont="1" applyFill="1" applyBorder="1"/>
    <xf numFmtId="0" fontId="7" fillId="2" borderId="85" xfId="0" applyFont="1" applyFill="1" applyBorder="1"/>
    <xf numFmtId="0" fontId="7" fillId="2" borderId="82" xfId="0" applyFont="1" applyFill="1" applyBorder="1"/>
    <xf numFmtId="0" fontId="7" fillId="2" borderId="84" xfId="0" applyFont="1" applyFill="1" applyBorder="1"/>
    <xf numFmtId="0" fontId="7" fillId="2" borderId="86" xfId="0" applyFont="1" applyFill="1" applyBorder="1"/>
    <xf numFmtId="0" fontId="99" fillId="2" borderId="0" xfId="0" applyFont="1" applyFill="1" applyBorder="1" applyAlignment="1">
      <alignment horizontal="left" vertical="center"/>
    </xf>
    <xf numFmtId="190" fontId="100" fillId="66" borderId="0" xfId="140" applyNumberFormat="1" applyFont="1" applyBorder="1" applyAlignment="1">
      <alignment horizontal="center" vertical="center"/>
    </xf>
    <xf numFmtId="0" fontId="30" fillId="2" borderId="78" xfId="0" applyFont="1" applyFill="1" applyBorder="1" applyAlignment="1">
      <alignment vertical="center"/>
    </xf>
    <xf numFmtId="0" fontId="4" fillId="89" borderId="0" xfId="9" applyFont="1" applyFill="1" applyBorder="1" applyAlignment="1">
      <alignment horizontal="center" vertical="center" textRotation="90"/>
    </xf>
    <xf numFmtId="0" fontId="89" fillId="2" borderId="0" xfId="0" applyFont="1" applyFill="1" applyBorder="1" applyAlignment="1">
      <alignment horizontal="center" vertical="center"/>
    </xf>
    <xf numFmtId="0" fontId="89" fillId="2" borderId="84" xfId="0" applyFont="1" applyFill="1" applyBorder="1" applyAlignment="1">
      <alignment horizontal="center" vertical="center"/>
    </xf>
    <xf numFmtId="0" fontId="89" fillId="2" borderId="86" xfId="0" applyFont="1" applyFill="1" applyBorder="1" applyAlignment="1">
      <alignment horizontal="center" vertical="center"/>
    </xf>
    <xf numFmtId="0" fontId="89" fillId="2" borderId="78" xfId="0" applyFont="1" applyFill="1" applyBorder="1" applyAlignment="1">
      <alignment horizontal="center" vertical="center"/>
    </xf>
    <xf numFmtId="0" fontId="0" fillId="2" borderId="78" xfId="0" applyFont="1" applyFill="1" applyBorder="1" applyAlignment="1">
      <alignment vertical="center"/>
    </xf>
    <xf numFmtId="0" fontId="54" fillId="68" borderId="100" xfId="143" applyBorder="1" applyAlignment="1">
      <alignment vertical="top"/>
    </xf>
    <xf numFmtId="0" fontId="90" fillId="2" borderId="79" xfId="273" applyFont="1" applyFill="1" applyBorder="1"/>
    <xf numFmtId="0" fontId="90" fillId="2" borderId="79" xfId="273" applyFont="1" applyFill="1" applyBorder="1" applyAlignment="1">
      <alignment vertical="top"/>
    </xf>
    <xf numFmtId="0" fontId="54" fillId="68" borderId="100" xfId="143" applyBorder="1" applyAlignment="1" applyProtection="1">
      <alignment vertical="top"/>
    </xf>
    <xf numFmtId="0" fontId="91" fillId="2" borderId="79" xfId="273" applyFont="1" applyFill="1" applyBorder="1" applyAlignment="1">
      <alignment vertical="top"/>
    </xf>
    <xf numFmtId="0" fontId="86" fillId="2" borderId="0" xfId="0" applyFont="1" applyFill="1" applyBorder="1"/>
    <xf numFmtId="0" fontId="1" fillId="2" borderId="0" xfId="66" applyFont="1" applyFill="1" applyBorder="1"/>
    <xf numFmtId="0" fontId="1" fillId="2" borderId="0" xfId="66" applyFont="1" applyFill="1" applyBorder="1" applyAlignment="1">
      <alignment horizontal="center"/>
    </xf>
    <xf numFmtId="0" fontId="1" fillId="2" borderId="0" xfId="66" applyFill="1" applyBorder="1" applyAlignment="1">
      <alignment horizontal="center"/>
    </xf>
    <xf numFmtId="0" fontId="1" fillId="2" borderId="0" xfId="66" applyFill="1" applyBorder="1"/>
    <xf numFmtId="0" fontId="4" fillId="2" borderId="97" xfId="11" applyFont="1" applyFill="1" applyBorder="1" applyAlignment="1">
      <alignment horizontal="center"/>
    </xf>
    <xf numFmtId="0" fontId="7" fillId="2" borderId="98" xfId="11" applyFont="1" applyFill="1" applyBorder="1" applyAlignment="1">
      <alignment horizontal="center"/>
    </xf>
    <xf numFmtId="0" fontId="7" fillId="2" borderId="99" xfId="11" applyFont="1" applyFill="1" applyBorder="1" applyAlignment="1">
      <alignment horizontal="center"/>
    </xf>
    <xf numFmtId="0" fontId="4" fillId="2" borderId="104" xfId="11" applyFont="1" applyFill="1" applyBorder="1" applyAlignment="1">
      <alignment horizontal="center"/>
    </xf>
    <xf numFmtId="0" fontId="4" fillId="2" borderId="82" xfId="11" applyFont="1" applyFill="1" applyBorder="1" applyAlignment="1">
      <alignment horizontal="center"/>
    </xf>
    <xf numFmtId="0" fontId="7" fillId="2" borderId="85" xfId="11" applyFont="1" applyFill="1" applyBorder="1"/>
    <xf numFmtId="0" fontId="7" fillId="2" borderId="78" xfId="11" applyFont="1" applyFill="1" applyBorder="1"/>
    <xf numFmtId="0" fontId="7" fillId="2" borderId="105" xfId="11" applyFont="1" applyFill="1" applyBorder="1" applyAlignment="1">
      <alignment horizontal="center"/>
    </xf>
    <xf numFmtId="0" fontId="7" fillId="2" borderId="106" xfId="11" applyFont="1" applyFill="1" applyBorder="1" applyAlignment="1">
      <alignment horizontal="center"/>
    </xf>
    <xf numFmtId="0" fontId="7" fillId="2" borderId="86" xfId="11" applyFont="1" applyFill="1" applyBorder="1" applyAlignment="1">
      <alignment horizontal="center"/>
    </xf>
    <xf numFmtId="0" fontId="7" fillId="2" borderId="80" xfId="11" applyFont="1" applyFill="1" applyBorder="1"/>
    <xf numFmtId="0" fontId="7" fillId="2" borderId="81" xfId="11" applyFont="1" applyFill="1" applyBorder="1"/>
    <xf numFmtId="0" fontId="7" fillId="2" borderId="104" xfId="11" applyFont="1" applyFill="1" applyBorder="1" applyAlignment="1">
      <alignment horizontal="center"/>
    </xf>
    <xf numFmtId="0" fontId="7" fillId="2" borderId="107" xfId="11" applyFont="1" applyFill="1" applyBorder="1" applyAlignment="1">
      <alignment horizontal="center"/>
    </xf>
    <xf numFmtId="0" fontId="7" fillId="2" borderId="82" xfId="11" applyFont="1" applyFill="1" applyBorder="1" applyAlignment="1">
      <alignment horizontal="center"/>
    </xf>
    <xf numFmtId="0" fontId="7" fillId="2" borderId="83" xfId="11" applyFont="1" applyFill="1" applyBorder="1"/>
    <xf numFmtId="0" fontId="7" fillId="2" borderId="84" xfId="11" applyFont="1" applyFill="1" applyBorder="1" applyAlignment="1">
      <alignment horizontal="center"/>
    </xf>
    <xf numFmtId="0" fontId="7" fillId="2" borderId="108" xfId="11" applyFont="1" applyFill="1" applyBorder="1" applyAlignment="1">
      <alignment horizontal="center"/>
    </xf>
    <xf numFmtId="0" fontId="86" fillId="2" borderId="97" xfId="0" applyFont="1" applyFill="1" applyBorder="1"/>
    <xf numFmtId="0" fontId="86" fillId="2" borderId="98" xfId="0" applyFont="1" applyFill="1" applyBorder="1"/>
    <xf numFmtId="0" fontId="86" fillId="2" borderId="99" xfId="0" applyFont="1" applyFill="1" applyBorder="1"/>
    <xf numFmtId="0" fontId="98" fillId="89" borderId="0" xfId="9" applyFont="1" applyFill="1" applyBorder="1" applyAlignment="1">
      <alignment vertical="center"/>
    </xf>
    <xf numFmtId="0" fontId="4" fillId="89" borderId="0" xfId="113" applyFill="1" applyBorder="1" applyAlignment="1" applyProtection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30" fillId="2" borderId="78" xfId="0" applyFont="1" applyFill="1" applyBorder="1" applyAlignment="1">
      <alignment horizontal="center" vertical="center"/>
    </xf>
    <xf numFmtId="188" fontId="54" fillId="68" borderId="33" xfId="143" applyNumberFormat="1" applyAlignment="1">
      <alignment horizontal="left" vertical="top"/>
    </xf>
    <xf numFmtId="0" fontId="8" fillId="89" borderId="0" xfId="10" applyFill="1" applyBorder="1">
      <alignment horizontal="center" vertical="center"/>
    </xf>
    <xf numFmtId="0" fontId="93" fillId="2" borderId="113" xfId="0" applyFont="1" applyFill="1" applyBorder="1" applyAlignment="1" applyProtection="1">
      <alignment horizontal="center" vertical="center"/>
      <protection locked="0"/>
    </xf>
    <xf numFmtId="0" fontId="93" fillId="2" borderId="114" xfId="0" applyFont="1" applyFill="1" applyBorder="1" applyAlignment="1" applyProtection="1">
      <alignment horizontal="center" vertical="center"/>
      <protection locked="0"/>
    </xf>
    <xf numFmtId="0" fontId="93" fillId="2" borderId="115" xfId="0" applyFont="1" applyFill="1" applyBorder="1" applyAlignment="1" applyProtection="1">
      <alignment horizontal="center" vertical="center"/>
      <protection locked="0"/>
    </xf>
    <xf numFmtId="0" fontId="93" fillId="2" borderId="116" xfId="0" applyFont="1" applyFill="1" applyBorder="1" applyAlignment="1" applyProtection="1">
      <alignment horizontal="center" vertical="center"/>
      <protection locked="0"/>
    </xf>
    <xf numFmtId="0" fontId="93" fillId="2" borderId="117" xfId="0" applyFont="1" applyFill="1" applyBorder="1" applyAlignment="1" applyProtection="1">
      <alignment horizontal="center" vertical="center"/>
      <protection locked="0"/>
    </xf>
    <xf numFmtId="0" fontId="93" fillId="2" borderId="118" xfId="0" applyFont="1" applyFill="1" applyBorder="1" applyAlignment="1" applyProtection="1">
      <alignment horizontal="center" vertical="center"/>
      <protection locked="0"/>
    </xf>
    <xf numFmtId="14" fontId="29" fillId="10" borderId="0" xfId="0" applyNumberFormat="1" applyFont="1" applyFill="1" applyBorder="1" applyAlignment="1" applyProtection="1">
      <alignment horizontal="right" vertical="center"/>
      <protection locked="0"/>
    </xf>
    <xf numFmtId="0" fontId="95" fillId="2" borderId="0" xfId="9" applyFont="1" applyFill="1" applyBorder="1" applyAlignment="1" applyProtection="1">
      <alignment horizontal="left" vertical="center"/>
      <protection locked="0"/>
    </xf>
    <xf numFmtId="0" fontId="97" fillId="2" borderId="0" xfId="1" applyFont="1" applyFill="1" applyBorder="1" applyAlignment="1" applyProtection="1">
      <alignment horizontal="left" vertical="center"/>
      <protection locked="0"/>
    </xf>
    <xf numFmtId="0" fontId="95" fillId="2" borderId="0" xfId="0" applyFont="1" applyFill="1" applyBorder="1" applyAlignment="1" applyProtection="1">
      <alignment horizontal="left" vertical="center"/>
      <protection locked="0"/>
    </xf>
    <xf numFmtId="184" fontId="29" fillId="10" borderId="0" xfId="69" applyNumberFormat="1" applyFont="1" applyFill="1" applyBorder="1" applyAlignment="1" applyProtection="1">
      <alignment horizontal="right" vertical="center"/>
      <protection locked="0"/>
    </xf>
    <xf numFmtId="0" fontId="30" fillId="2" borderId="0" xfId="0" applyFont="1" applyFill="1" applyBorder="1" applyAlignment="1" applyProtection="1">
      <alignment horizontal="left" vertical="center"/>
      <protection locked="0"/>
    </xf>
    <xf numFmtId="186" fontId="29" fillId="10" borderId="0" xfId="69" applyNumberFormat="1" applyFont="1" applyFill="1" applyBorder="1" applyAlignment="1" applyProtection="1">
      <alignment horizontal="right" vertical="center"/>
      <protection locked="0"/>
    </xf>
    <xf numFmtId="185" fontId="29" fillId="10" borderId="0" xfId="69" applyNumberFormat="1" applyFont="1" applyFill="1" applyBorder="1" applyAlignment="1" applyProtection="1">
      <alignment horizontal="left" vertical="center"/>
      <protection locked="0"/>
    </xf>
    <xf numFmtId="0" fontId="30" fillId="2" borderId="0" xfId="0" applyFont="1" applyFill="1" applyBorder="1" applyAlignment="1" applyProtection="1">
      <alignment vertical="center"/>
      <protection locked="0"/>
    </xf>
    <xf numFmtId="0" fontId="81" fillId="2" borderId="1" xfId="0" applyFont="1" applyFill="1" applyBorder="1" applyAlignment="1" applyProtection="1">
      <alignment horizontal="center" vertical="center"/>
      <protection locked="0"/>
    </xf>
    <xf numFmtId="0" fontId="96" fillId="66" borderId="0" xfId="140" applyFont="1" applyBorder="1" applyAlignment="1" applyProtection="1">
      <alignment horizontal="center" vertical="center"/>
      <protection locked="0"/>
    </xf>
    <xf numFmtId="190" fontId="29" fillId="10" borderId="1" xfId="0" applyNumberFormat="1" applyFont="1" applyFill="1" applyBorder="1" applyAlignment="1" applyProtection="1">
      <alignment horizontal="center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0" fontId="4" fillId="5" borderId="79" xfId="113" applyBorder="1" applyAlignment="1" applyProtection="1">
      <alignment horizontal="center" vertical="center"/>
      <protection locked="0"/>
    </xf>
    <xf numFmtId="0" fontId="30" fillId="2" borderId="0" xfId="0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86" fillId="2" borderId="97" xfId="0" applyFont="1" applyFill="1" applyBorder="1" applyAlignment="1">
      <alignment horizontal="center"/>
    </xf>
    <xf numFmtId="0" fontId="86" fillId="2" borderId="99" xfId="0" applyFont="1" applyFill="1" applyBorder="1" applyAlignment="1">
      <alignment horizontal="center"/>
    </xf>
    <xf numFmtId="0" fontId="86" fillId="2" borderId="79" xfId="0" applyFont="1" applyFill="1" applyBorder="1"/>
    <xf numFmtId="0" fontId="85" fillId="2" borderId="0" xfId="0" applyFont="1" applyFill="1" applyAlignment="1">
      <alignment horizontal="center" vertical="center"/>
    </xf>
    <xf numFmtId="189" fontId="103" fillId="0" borderId="122" xfId="202" applyNumberFormat="1" applyFont="1" applyFill="1" applyBorder="1" applyProtection="1">
      <alignment horizontal="center" vertical="center"/>
      <protection locked="0"/>
    </xf>
    <xf numFmtId="191" fontId="103" fillId="0" borderId="119" xfId="202" quotePrefix="1" applyNumberFormat="1" applyFont="1" applyFill="1" applyBorder="1" applyProtection="1">
      <alignment horizontal="center" vertical="center"/>
      <protection locked="0"/>
    </xf>
    <xf numFmtId="191" fontId="103" fillId="0" borderId="119" xfId="202" applyNumberFormat="1" applyFont="1" applyFill="1" applyBorder="1" applyProtection="1">
      <alignment horizontal="center" vertical="center"/>
      <protection locked="0"/>
    </xf>
    <xf numFmtId="191" fontId="103" fillId="0" borderId="120" xfId="202" applyNumberFormat="1" applyFont="1" applyFill="1" applyBorder="1" applyProtection="1">
      <alignment horizontal="center" vertical="center"/>
      <protection locked="0"/>
    </xf>
    <xf numFmtId="191" fontId="103" fillId="0" borderId="0" xfId="202" applyNumberFormat="1" applyFont="1" applyFill="1" applyBorder="1" applyProtection="1">
      <alignment horizontal="center" vertical="center"/>
      <protection locked="0"/>
    </xf>
    <xf numFmtId="191" fontId="103" fillId="0" borderId="121" xfId="202" applyNumberFormat="1" applyFont="1" applyFill="1" applyBorder="1" applyProtection="1">
      <alignment horizontal="center" vertical="center"/>
      <protection locked="0"/>
    </xf>
    <xf numFmtId="191" fontId="103" fillId="0" borderId="122" xfId="202" applyNumberFormat="1" applyFont="1" applyFill="1" applyBorder="1" applyProtection="1">
      <alignment horizontal="center" vertical="center"/>
      <protection locked="0"/>
    </xf>
    <xf numFmtId="191" fontId="103" fillId="0" borderId="123" xfId="202" applyNumberFormat="1" applyFont="1" applyFill="1" applyBorder="1" applyProtection="1">
      <alignment horizontal="center" vertical="center"/>
      <protection locked="0"/>
    </xf>
    <xf numFmtId="0" fontId="104" fillId="10" borderId="0" xfId="0" applyFont="1" applyFill="1" applyAlignment="1">
      <alignment horizontal="center" vertical="center"/>
    </xf>
    <xf numFmtId="2" fontId="54" fillId="68" borderId="33" xfId="143" applyNumberFormat="1" applyAlignment="1">
      <alignment horizontal="left" vertical="top"/>
    </xf>
    <xf numFmtId="43" fontId="30" fillId="2" borderId="76" xfId="0" applyNumberFormat="1" applyFont="1" applyFill="1" applyBorder="1" applyAlignment="1" applyProtection="1">
      <alignment horizontal="center" vertical="center"/>
      <protection locked="0"/>
    </xf>
    <xf numFmtId="43" fontId="30" fillId="2" borderId="77" xfId="0" applyNumberFormat="1" applyFont="1" applyFill="1" applyBorder="1" applyAlignment="1" applyProtection="1">
      <alignment horizontal="center" vertical="center"/>
      <protection locked="0"/>
    </xf>
    <xf numFmtId="0" fontId="30" fillId="2" borderId="0" xfId="0" applyFont="1" applyFill="1" applyBorder="1" applyAlignment="1" applyProtection="1">
      <alignment horizontal="left" vertical="center"/>
      <protection locked="0"/>
    </xf>
    <xf numFmtId="0" fontId="30" fillId="2" borderId="0" xfId="0" applyFont="1" applyFill="1" applyBorder="1" applyAlignment="1">
      <alignment horizontal="center" vertical="center" wrapText="1"/>
    </xf>
    <xf numFmtId="0" fontId="30" fillId="2" borderId="78" xfId="0" applyFont="1" applyFill="1" applyBorder="1" applyAlignment="1">
      <alignment horizontal="center" vertical="center" wrapText="1"/>
    </xf>
    <xf numFmtId="0" fontId="30" fillId="2" borderId="19" xfId="0" applyFont="1" applyFill="1" applyBorder="1" applyAlignment="1" applyProtection="1">
      <alignment horizontal="left" vertical="center"/>
      <protection locked="0"/>
    </xf>
    <xf numFmtId="175" fontId="102" fillId="2" borderId="0" xfId="46" applyFont="1" applyFill="1" applyBorder="1" applyAlignment="1">
      <alignment vertical="center"/>
    </xf>
    <xf numFmtId="0" fontId="29" fillId="2" borderId="80" xfId="0" applyFont="1" applyFill="1" applyBorder="1" applyAlignment="1">
      <alignment horizontal="center" vertical="center"/>
    </xf>
    <xf numFmtId="0" fontId="29" fillId="2" borderId="81" xfId="0" applyFont="1" applyFill="1" applyBorder="1" applyAlignment="1">
      <alignment horizontal="center" vertical="center"/>
    </xf>
    <xf numFmtId="0" fontId="29" fillId="2" borderId="8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top"/>
    </xf>
    <xf numFmtId="0" fontId="30" fillId="2" borderId="0" xfId="0" applyFont="1" applyFill="1" applyBorder="1" applyAlignment="1">
      <alignment horizontal="left" vertical="center" wrapText="1"/>
    </xf>
    <xf numFmtId="0" fontId="30" fillId="2" borderId="78" xfId="0" applyFont="1" applyFill="1" applyBorder="1" applyAlignment="1">
      <alignment horizontal="left" vertical="center" wrapText="1"/>
    </xf>
    <xf numFmtId="43" fontId="29" fillId="2" borderId="0" xfId="68" applyFont="1" applyFill="1" applyBorder="1" applyAlignment="1">
      <alignment horizontal="right" vertical="center"/>
    </xf>
    <xf numFmtId="0" fontId="30" fillId="2" borderId="0" xfId="0" applyFont="1" applyFill="1" applyBorder="1" applyAlignment="1">
      <alignment horizontal="left" vertical="center"/>
    </xf>
    <xf numFmtId="0" fontId="4" fillId="2" borderId="0" xfId="4" applyFill="1" applyBorder="1" applyAlignment="1" applyProtection="1">
      <alignment horizontal="center" vertical="center"/>
    </xf>
    <xf numFmtId="14" fontId="29" fillId="10" borderId="0" xfId="0" applyNumberFormat="1" applyFont="1" applyFill="1" applyBorder="1" applyAlignment="1" applyProtection="1">
      <alignment horizontal="left" vertical="center"/>
      <protection locked="0"/>
    </xf>
    <xf numFmtId="188" fontId="29" fillId="10" borderId="0" xfId="68" applyNumberFormat="1" applyFont="1" applyFill="1" applyBorder="1" applyAlignment="1" applyProtection="1">
      <alignment horizontal="right" vertical="center"/>
      <protection locked="0"/>
    </xf>
    <xf numFmtId="186" fontId="29" fillId="10" borderId="76" xfId="69" applyNumberFormat="1" applyFont="1" applyFill="1" applyBorder="1" applyAlignment="1" applyProtection="1">
      <alignment horizontal="left" vertical="center"/>
      <protection locked="0"/>
    </xf>
    <xf numFmtId="186" fontId="29" fillId="10" borderId="77" xfId="69" applyNumberFormat="1" applyFont="1" applyFill="1" applyBorder="1" applyAlignment="1" applyProtection="1">
      <alignment horizontal="left" vertical="center"/>
      <protection locked="0"/>
    </xf>
    <xf numFmtId="0" fontId="30" fillId="2" borderId="0" xfId="0" applyFont="1" applyFill="1" applyBorder="1" applyAlignment="1">
      <alignment horizontal="center" vertical="center"/>
    </xf>
    <xf numFmtId="0" fontId="30" fillId="2" borderId="78" xfId="0" applyFont="1" applyFill="1" applyBorder="1" applyAlignment="1">
      <alignment horizontal="center" vertical="center"/>
    </xf>
    <xf numFmtId="0" fontId="29" fillId="90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43" fontId="29" fillId="10" borderId="76" xfId="68" applyFont="1" applyFill="1" applyBorder="1" applyAlignment="1" applyProtection="1">
      <alignment horizontal="center" vertical="center"/>
      <protection locked="0"/>
    </xf>
    <xf numFmtId="43" fontId="29" fillId="10" borderId="77" xfId="68" applyFont="1" applyFill="1" applyBorder="1" applyAlignment="1" applyProtection="1">
      <alignment horizontal="center" vertical="center"/>
      <protection locked="0"/>
    </xf>
    <xf numFmtId="10" fontId="29" fillId="10" borderId="76" xfId="0" applyNumberFormat="1" applyFont="1" applyFill="1" applyBorder="1" applyAlignment="1" applyProtection="1">
      <alignment horizontal="center" vertical="center"/>
      <protection locked="0"/>
    </xf>
    <xf numFmtId="10" fontId="29" fillId="10" borderId="77" xfId="0" applyNumberFormat="1" applyFont="1" applyFill="1" applyBorder="1" applyAlignment="1" applyProtection="1">
      <alignment horizontal="center" vertical="center"/>
      <protection locked="0"/>
    </xf>
    <xf numFmtId="0" fontId="94" fillId="89" borderId="0" xfId="0" applyFont="1" applyFill="1" applyAlignment="1">
      <alignment horizontal="center" vertical="center"/>
    </xf>
    <xf numFmtId="0" fontId="4" fillId="2" borderId="0" xfId="36" applyFont="1" applyFill="1" applyBorder="1" applyAlignment="1">
      <alignment horizontal="center"/>
    </xf>
    <xf numFmtId="0" fontId="102" fillId="2" borderId="0" xfId="0" applyFont="1" applyFill="1" applyAlignment="1">
      <alignment horizontal="left" vertical="center"/>
    </xf>
    <xf numFmtId="0" fontId="94" fillId="90" borderId="0" xfId="0" applyFont="1" applyFill="1" applyAlignment="1">
      <alignment horizontal="center" vertical="center"/>
    </xf>
    <xf numFmtId="0" fontId="4" fillId="5" borderId="87" xfId="113" applyBorder="1" applyAlignment="1" applyProtection="1">
      <alignment horizontal="center" vertical="center"/>
      <protection locked="0"/>
    </xf>
    <xf numFmtId="0" fontId="4" fillId="5" borderId="88" xfId="113" applyBorder="1" applyAlignment="1" applyProtection="1">
      <alignment horizontal="center" vertical="center"/>
      <protection locked="0"/>
    </xf>
    <xf numFmtId="0" fontId="98" fillId="89" borderId="89" xfId="9" applyFont="1" applyFill="1" applyBorder="1" applyAlignment="1">
      <alignment horizontal="center" vertical="center"/>
    </xf>
    <xf numFmtId="0" fontId="98" fillId="89" borderId="109" xfId="9" applyFont="1" applyFill="1" applyBorder="1" applyAlignment="1">
      <alignment horizontal="center" vertical="center"/>
    </xf>
    <xf numFmtId="0" fontId="98" fillId="89" borderId="90" xfId="9" applyFont="1" applyFill="1" applyBorder="1" applyAlignment="1">
      <alignment horizontal="center" vertical="center"/>
    </xf>
    <xf numFmtId="0" fontId="98" fillId="89" borderId="110" xfId="9" applyFont="1" applyFill="1" applyBorder="1" applyAlignment="1">
      <alignment horizontal="center" vertical="center" textRotation="90"/>
    </xf>
    <xf numFmtId="0" fontId="98" fillId="89" borderId="111" xfId="9" applyFont="1" applyFill="1" applyBorder="1" applyAlignment="1">
      <alignment horizontal="center" vertical="center" textRotation="90"/>
    </xf>
    <xf numFmtId="0" fontId="98" fillId="89" borderId="112" xfId="9" applyFont="1" applyFill="1" applyBorder="1" applyAlignment="1">
      <alignment horizontal="center" vertical="center" textRotation="90"/>
    </xf>
    <xf numFmtId="0" fontId="101" fillId="89" borderId="0" xfId="9" applyFont="1" applyFill="1" applyBorder="1" applyAlignment="1">
      <alignment horizontal="left" vertical="center"/>
    </xf>
    <xf numFmtId="0" fontId="105" fillId="2" borderId="83" xfId="0" applyFont="1" applyFill="1" applyBorder="1" applyAlignment="1">
      <alignment horizontal="center"/>
    </xf>
    <xf numFmtId="0" fontId="0" fillId="0" borderId="0" xfId="0"/>
    <xf numFmtId="4" fontId="105" fillId="2" borderId="0" xfId="0" applyNumberFormat="1" applyFont="1" applyFill="1" applyAlignment="1">
      <alignment horizontal="left"/>
    </xf>
    <xf numFmtId="0" fontId="86" fillId="2" borderId="52" xfId="0" applyFont="1" applyFill="1" applyBorder="1" applyAlignment="1">
      <alignment horizontal="center" vertical="center"/>
    </xf>
    <xf numFmtId="0" fontId="86" fillId="2" borderId="53" xfId="0" applyFont="1" applyFill="1" applyBorder="1" applyAlignment="1">
      <alignment horizontal="center" vertical="center"/>
    </xf>
    <xf numFmtId="0" fontId="86" fillId="2" borderId="54" xfId="0" applyFont="1" applyFill="1" applyBorder="1" applyAlignment="1">
      <alignment horizontal="center" vertical="center"/>
    </xf>
    <xf numFmtId="0" fontId="4" fillId="2" borderId="87" xfId="36" applyNumberFormat="1" applyFont="1" applyFill="1" applyBorder="1" applyAlignment="1">
      <alignment horizontal="center" vertical="center"/>
    </xf>
    <xf numFmtId="0" fontId="4" fillId="2" borderId="88" xfId="36" applyNumberFormat="1" applyFont="1" applyFill="1" applyBorder="1" applyAlignment="1">
      <alignment horizontal="center" vertical="center"/>
    </xf>
    <xf numFmtId="0" fontId="4" fillId="2" borderId="87" xfId="36" applyFont="1" applyFill="1" applyBorder="1" applyAlignment="1">
      <alignment horizontal="center" vertical="center"/>
    </xf>
    <xf numFmtId="0" fontId="4" fillId="2" borderId="88" xfId="36" applyFont="1" applyFill="1" applyBorder="1" applyAlignment="1">
      <alignment horizontal="center" vertical="center"/>
    </xf>
    <xf numFmtId="0" fontId="4" fillId="2" borderId="101" xfId="11" applyFont="1" applyFill="1" applyBorder="1" applyAlignment="1">
      <alignment horizontal="center"/>
    </xf>
    <xf numFmtId="0" fontId="4" fillId="2" borderId="102" xfId="11" applyFont="1" applyFill="1" applyBorder="1" applyAlignment="1">
      <alignment horizontal="center"/>
    </xf>
    <xf numFmtId="0" fontId="4" fillId="2" borderId="103" xfId="11" applyFont="1" applyFill="1" applyBorder="1" applyAlignment="1">
      <alignment horizontal="center"/>
    </xf>
  </cellXfs>
  <cellStyles count="276">
    <cellStyle name="_Copy of Portfolios to Archeus 6-3-04 (2)" xfId="115" xr:uid="{00000000-0005-0000-0000-000000000000}"/>
    <cellStyle name="20% - Accent1" xfId="88" builtinId="30" customBuiltin="1"/>
    <cellStyle name="20% - Accent1 2" xfId="116" xr:uid="{00000000-0005-0000-0000-000002000000}"/>
    <cellStyle name="20% - Accent2" xfId="92" builtinId="34" customBuiltin="1"/>
    <cellStyle name="20% - Accent2 2" xfId="117" xr:uid="{00000000-0005-0000-0000-000004000000}"/>
    <cellStyle name="20% - Accent3" xfId="96" builtinId="38" customBuiltin="1"/>
    <cellStyle name="20% - Accent3 2" xfId="118" xr:uid="{00000000-0005-0000-0000-000006000000}"/>
    <cellStyle name="20% - Accent4" xfId="100" builtinId="42" customBuiltin="1"/>
    <cellStyle name="20% - Accent4 2" xfId="119" xr:uid="{00000000-0005-0000-0000-000008000000}"/>
    <cellStyle name="20% - Accent5" xfId="104" builtinId="46" customBuiltin="1"/>
    <cellStyle name="20% - Accent5 2" xfId="120" xr:uid="{00000000-0005-0000-0000-00000A000000}"/>
    <cellStyle name="20% - Accent6" xfId="108" builtinId="50" customBuiltin="1"/>
    <cellStyle name="20% - Accent6 2" xfId="121" xr:uid="{00000000-0005-0000-0000-00000C000000}"/>
    <cellStyle name="40% - Accent1" xfId="89" builtinId="31" customBuiltin="1"/>
    <cellStyle name="40% - Accent1 2" xfId="122" xr:uid="{00000000-0005-0000-0000-00000E000000}"/>
    <cellStyle name="40% - Accent2" xfId="93" builtinId="35" customBuiltin="1"/>
    <cellStyle name="40% - Accent2 2" xfId="123" xr:uid="{00000000-0005-0000-0000-000010000000}"/>
    <cellStyle name="40% - Accent3" xfId="97" builtinId="39" customBuiltin="1"/>
    <cellStyle name="40% - Accent3 2" xfId="124" xr:uid="{00000000-0005-0000-0000-000012000000}"/>
    <cellStyle name="40% - Accent4" xfId="101" builtinId="43" customBuiltin="1"/>
    <cellStyle name="40% - Accent4 2" xfId="125" xr:uid="{00000000-0005-0000-0000-000014000000}"/>
    <cellStyle name="40% - Accent5" xfId="105" builtinId="47" customBuiltin="1"/>
    <cellStyle name="40% - Accent5 2" xfId="126" xr:uid="{00000000-0005-0000-0000-000016000000}"/>
    <cellStyle name="40% - Accent6" xfId="109" builtinId="51" customBuiltin="1"/>
    <cellStyle name="40% - Accent6 2" xfId="127" xr:uid="{00000000-0005-0000-0000-000018000000}"/>
    <cellStyle name="60% - Accent1" xfId="90" builtinId="32" customBuiltin="1"/>
    <cellStyle name="60% - Accent1 2" xfId="128" xr:uid="{00000000-0005-0000-0000-00001A000000}"/>
    <cellStyle name="60% - Accent2" xfId="94" builtinId="36" customBuiltin="1"/>
    <cellStyle name="60% - Accent2 2" xfId="129" xr:uid="{00000000-0005-0000-0000-00001C000000}"/>
    <cellStyle name="60% - Accent3" xfId="98" builtinId="40" customBuiltin="1"/>
    <cellStyle name="60% - Accent3 2" xfId="130" xr:uid="{00000000-0005-0000-0000-00001E000000}"/>
    <cellStyle name="60% - Accent4" xfId="102" builtinId="44" customBuiltin="1"/>
    <cellStyle name="60% - Accent4 2" xfId="131" xr:uid="{00000000-0005-0000-0000-000020000000}"/>
    <cellStyle name="60% - Accent5" xfId="106" builtinId="48" customBuiltin="1"/>
    <cellStyle name="60% - Accent5 2" xfId="132" xr:uid="{00000000-0005-0000-0000-000022000000}"/>
    <cellStyle name="60% - Accent6" xfId="110" builtinId="52" customBuiltin="1"/>
    <cellStyle name="60% - Accent6 2" xfId="133" xr:uid="{00000000-0005-0000-0000-000024000000}"/>
    <cellStyle name="Accent1" xfId="87" builtinId="29" customBuiltin="1"/>
    <cellStyle name="Accent1 2" xfId="134" xr:uid="{00000000-0005-0000-0000-000026000000}"/>
    <cellStyle name="Accent2" xfId="91" builtinId="33" customBuiltin="1"/>
    <cellStyle name="Accent2 2" xfId="135" xr:uid="{00000000-0005-0000-0000-000028000000}"/>
    <cellStyle name="Accent3" xfId="95" builtinId="37" customBuiltin="1"/>
    <cellStyle name="Accent3 2" xfId="136" xr:uid="{00000000-0005-0000-0000-00002A000000}"/>
    <cellStyle name="Accent4" xfId="99" builtinId="41" customBuiltin="1"/>
    <cellStyle name="Accent4 2" xfId="137" xr:uid="{00000000-0005-0000-0000-00002C000000}"/>
    <cellStyle name="Accent5" xfId="103" builtinId="45" customBuiltin="1"/>
    <cellStyle name="Accent5 2" xfId="138" xr:uid="{00000000-0005-0000-0000-00002E000000}"/>
    <cellStyle name="Accent6" xfId="107" builtinId="49" customBuiltin="1"/>
    <cellStyle name="Accent6 2" xfId="139" xr:uid="{00000000-0005-0000-0000-000030000000}"/>
    <cellStyle name="back" xfId="140" xr:uid="{00000000-0005-0000-0000-000031000000}"/>
    <cellStyle name="Bad" xfId="76" builtinId="27" customBuiltin="1"/>
    <cellStyle name="Bad 2" xfId="141" xr:uid="{00000000-0005-0000-0000-000033000000}"/>
    <cellStyle name="blue axis cells" xfId="13" xr:uid="{00000000-0005-0000-0000-000034000000}"/>
    <cellStyle name="blue text cells" xfId="14" xr:uid="{00000000-0005-0000-0000-000035000000}"/>
    <cellStyle name="Bold 11" xfId="15" xr:uid="{00000000-0005-0000-0000-000036000000}"/>
    <cellStyle name="Button" xfId="2" xr:uid="{00000000-0005-0000-0000-000037000000}"/>
    <cellStyle name="calc" xfId="16" xr:uid="{00000000-0005-0000-0000-000038000000}"/>
    <cellStyle name="Calculation" xfId="80" builtinId="22" customBuiltin="1"/>
    <cellStyle name="Calculation 2" xfId="17" xr:uid="{00000000-0005-0000-0000-00003A000000}"/>
    <cellStyle name="Calculation 2 2" xfId="142" xr:uid="{00000000-0005-0000-0000-00003B000000}"/>
    <cellStyle name="Calculation 2 3" xfId="221" xr:uid="{00000000-0005-0000-0000-00003C000000}"/>
    <cellStyle name="Calculation 2 4" xfId="220" xr:uid="{00000000-0005-0000-0000-00003D000000}"/>
    <cellStyle name="Calculation 2 5" xfId="222" xr:uid="{00000000-0005-0000-0000-00003E000000}"/>
    <cellStyle name="Calculation 2 6" xfId="248" xr:uid="{00000000-0005-0000-0000-00003F000000}"/>
    <cellStyle name="Check Cell" xfId="82" builtinId="23" customBuiltin="1"/>
    <cellStyle name="Check Cell 2" xfId="143" xr:uid="{00000000-0005-0000-0000-000041000000}"/>
    <cellStyle name="ColumnHead" xfId="9" xr:uid="{00000000-0005-0000-0000-000042000000}"/>
    <cellStyle name="Comma" xfId="68" builtinId="3"/>
    <cellStyle name="Comma 10" xfId="60" xr:uid="{00000000-0005-0000-0000-000044000000}"/>
    <cellStyle name="Comma 2 2" xfId="50" xr:uid="{00000000-0005-0000-0000-000045000000}"/>
    <cellStyle name="Comma0" xfId="144" xr:uid="{00000000-0005-0000-0000-000046000000}"/>
    <cellStyle name="Currency 2" xfId="49" xr:uid="{00000000-0005-0000-0000-000047000000}"/>
    <cellStyle name="Currency 2 2" xfId="111" xr:uid="{00000000-0005-0000-0000-000048000000}"/>
    <cellStyle name="Currency 2 2 2" xfId="145" xr:uid="{00000000-0005-0000-0000-000049000000}"/>
    <cellStyle name="Currency 2 2 3" xfId="223" xr:uid="{00000000-0005-0000-0000-00004A000000}"/>
    <cellStyle name="Currency 2 2 4" xfId="219" xr:uid="{00000000-0005-0000-0000-00004B000000}"/>
    <cellStyle name="Currency 2 2 5" xfId="225" xr:uid="{00000000-0005-0000-0000-00004C000000}"/>
    <cellStyle name="Currency 2 2 6" xfId="249" xr:uid="{00000000-0005-0000-0000-00004D000000}"/>
    <cellStyle name="Currency 2 3" xfId="215" xr:uid="{00000000-0005-0000-0000-00004E000000}"/>
    <cellStyle name="Currency 2 4" xfId="230" xr:uid="{00000000-0005-0000-0000-00004F000000}"/>
    <cellStyle name="Currency 2 5" xfId="234" xr:uid="{00000000-0005-0000-0000-000050000000}"/>
    <cellStyle name="Currency 2 6" xfId="240" xr:uid="{00000000-0005-0000-0000-000051000000}"/>
    <cellStyle name="Currency0" xfId="146" xr:uid="{00000000-0005-0000-0000-000052000000}"/>
    <cellStyle name="Data1" xfId="18" xr:uid="{00000000-0005-0000-0000-000053000000}"/>
    <cellStyle name="Data5" xfId="19" xr:uid="{00000000-0005-0000-0000-000054000000}"/>
    <cellStyle name="Date" xfId="20" xr:uid="{00000000-0005-0000-0000-000055000000}"/>
    <cellStyle name="Date 2" xfId="147" xr:uid="{00000000-0005-0000-0000-000056000000}"/>
    <cellStyle name="Date 3" xfId="224" xr:uid="{00000000-0005-0000-0000-000057000000}"/>
    <cellStyle name="Date 4" xfId="218" xr:uid="{00000000-0005-0000-0000-000058000000}"/>
    <cellStyle name="Date 5" xfId="226" xr:uid="{00000000-0005-0000-0000-000059000000}"/>
    <cellStyle name="Date 6" xfId="250" xr:uid="{00000000-0005-0000-0000-00005A000000}"/>
    <cellStyle name="date title" xfId="21" xr:uid="{00000000-0005-0000-0000-00005B000000}"/>
    <cellStyle name="Decimal 1" xfId="22" xr:uid="{00000000-0005-0000-0000-00005C000000}"/>
    <cellStyle name="Decimal 2" xfId="23" xr:uid="{00000000-0005-0000-0000-00005D000000}"/>
    <cellStyle name="Decimal 3" xfId="24" xr:uid="{00000000-0005-0000-0000-00005E000000}"/>
    <cellStyle name="Explanatory Text" xfId="85" builtinId="53" customBuiltin="1"/>
    <cellStyle name="Explanatory Text 2" xfId="148" xr:uid="{00000000-0005-0000-0000-000060000000}"/>
    <cellStyle name="Fixed" xfId="149" xr:uid="{00000000-0005-0000-0000-000061000000}"/>
    <cellStyle name="Followed Hyperlink" xfId="3" builtinId="9" customBuiltin="1"/>
    <cellStyle name="Followed Hyperlink 2" xfId="112" xr:uid="{00000000-0005-0000-0000-000063000000}"/>
    <cellStyle name="Followed Hyperlink 3" xfId="216" xr:uid="{00000000-0005-0000-0000-000064000000}"/>
    <cellStyle name="Followed Hyperlink 4" xfId="228" xr:uid="{00000000-0005-0000-0000-000065000000}"/>
    <cellStyle name="Followed Hyperlink 5" xfId="233" xr:uid="{00000000-0005-0000-0000-000066000000}"/>
    <cellStyle name="Followed Hyperlink 6" xfId="241" xr:uid="{00000000-0005-0000-0000-000067000000}"/>
    <cellStyle name="Good" xfId="75" builtinId="26" customBuiltin="1"/>
    <cellStyle name="Good 2" xfId="150" xr:uid="{00000000-0005-0000-0000-000069000000}"/>
    <cellStyle name="gray text cells" xfId="25" xr:uid="{00000000-0005-0000-0000-00006A000000}"/>
    <cellStyle name="Heading 1" xfId="71" builtinId="16" customBuiltin="1"/>
    <cellStyle name="Heading 1 2" xfId="151" xr:uid="{00000000-0005-0000-0000-00006C000000}"/>
    <cellStyle name="Heading 2" xfId="72" builtinId="17" customBuiltin="1"/>
    <cellStyle name="Heading 2 2" xfId="152" xr:uid="{00000000-0005-0000-0000-00006E000000}"/>
    <cellStyle name="Heading 3" xfId="73" builtinId="18" customBuiltin="1"/>
    <cellStyle name="Heading 3 2" xfId="153" xr:uid="{00000000-0005-0000-0000-000070000000}"/>
    <cellStyle name="Heading 4" xfId="74" builtinId="19" customBuiltin="1"/>
    <cellStyle name="Heading 4 2" xfId="154" xr:uid="{00000000-0005-0000-0000-000072000000}"/>
    <cellStyle name="Hyperlink" xfId="4" builtinId="8" customBuiltin="1"/>
    <cellStyle name="Hyperlink 2" xfId="113" xr:uid="{00000000-0005-0000-0000-000074000000}"/>
    <cellStyle name="Hyperlink 3" xfId="217" xr:uid="{00000000-0005-0000-0000-000075000000}"/>
    <cellStyle name="Hyperlink 4" xfId="227" xr:uid="{00000000-0005-0000-0000-000076000000}"/>
    <cellStyle name="Hyperlink 5" xfId="232" xr:uid="{00000000-0005-0000-0000-000077000000}"/>
    <cellStyle name="Hyperlink 6" xfId="242" xr:uid="{00000000-0005-0000-0000-000078000000}"/>
    <cellStyle name="InfoDataColumn" xfId="155" xr:uid="{00000000-0005-0000-0000-000079000000}"/>
    <cellStyle name="InfoDataRow" xfId="156" xr:uid="{00000000-0005-0000-0000-00007A000000}"/>
    <cellStyle name="InfoLabelColumn" xfId="157" xr:uid="{00000000-0005-0000-0000-00007B000000}"/>
    <cellStyle name="InfoLabelRow" xfId="158" xr:uid="{00000000-0005-0000-0000-00007C000000}"/>
    <cellStyle name="InfolDataColumn" xfId="159" xr:uid="{00000000-0005-0000-0000-00007D000000}"/>
    <cellStyle name="InformationalData" xfId="160" xr:uid="{00000000-0005-0000-0000-00007E000000}"/>
    <cellStyle name="InformationalLabel" xfId="161" xr:uid="{00000000-0005-0000-0000-00007F000000}"/>
    <cellStyle name="InformationalLabelTop" xfId="162" xr:uid="{00000000-0005-0000-0000-000080000000}"/>
    <cellStyle name="Input" xfId="78" builtinId="20" customBuiltin="1"/>
    <cellStyle name="Input %" xfId="27" xr:uid="{00000000-0005-0000-0000-000082000000}"/>
    <cellStyle name="Input 1" xfId="28" xr:uid="{00000000-0005-0000-0000-000083000000}"/>
    <cellStyle name="Input 2" xfId="26" xr:uid="{00000000-0005-0000-0000-000084000000}"/>
    <cellStyle name="Input 2 2" xfId="163" xr:uid="{00000000-0005-0000-0000-000085000000}"/>
    <cellStyle name="Input 2 3" xfId="229" xr:uid="{00000000-0005-0000-0000-000086000000}"/>
    <cellStyle name="Input 2 4" xfId="235" xr:uid="{00000000-0005-0000-0000-000087000000}"/>
    <cellStyle name="Input 2 5" xfId="237" xr:uid="{00000000-0005-0000-0000-000088000000}"/>
    <cellStyle name="Input 2 6" xfId="251" xr:uid="{00000000-0005-0000-0000-000089000000}"/>
    <cellStyle name="Input 3" xfId="29" xr:uid="{00000000-0005-0000-0000-00008A000000}"/>
    <cellStyle name="InputData" xfId="164" xr:uid="{00000000-0005-0000-0000-00008B000000}"/>
    <cellStyle name="InputDataColumn" xfId="165" xr:uid="{00000000-0005-0000-0000-00008C000000}"/>
    <cellStyle name="InputDataRow" xfId="166" xr:uid="{00000000-0005-0000-0000-00008D000000}"/>
    <cellStyle name="InputLabel" xfId="167" xr:uid="{00000000-0005-0000-0000-00008E000000}"/>
    <cellStyle name="InputLabelColumn" xfId="168" xr:uid="{00000000-0005-0000-0000-00008F000000}"/>
    <cellStyle name="InputLabelRow" xfId="169" xr:uid="{00000000-0005-0000-0000-000090000000}"/>
    <cellStyle name="InputLabelTop" xfId="170" xr:uid="{00000000-0005-0000-0000-000091000000}"/>
    <cellStyle name="IntermediateData" xfId="171" xr:uid="{00000000-0005-0000-0000-000092000000}"/>
    <cellStyle name="IntermediateDataColumn" xfId="172" xr:uid="{00000000-0005-0000-0000-000093000000}"/>
    <cellStyle name="IntermediateDataRow" xfId="173" xr:uid="{00000000-0005-0000-0000-000094000000}"/>
    <cellStyle name="IntermediateLabel" xfId="174" xr:uid="{00000000-0005-0000-0000-000095000000}"/>
    <cellStyle name="IntermediateLabelColumn" xfId="175" xr:uid="{00000000-0005-0000-0000-000096000000}"/>
    <cellStyle name="IntermediateLabelRow" xfId="176" xr:uid="{00000000-0005-0000-0000-000097000000}"/>
    <cellStyle name="InvalidCell" xfId="177" xr:uid="{00000000-0005-0000-0000-000098000000}"/>
    <cellStyle name="Linked Cell" xfId="81" builtinId="24" customBuiltin="1"/>
    <cellStyle name="Linked Cell 2" xfId="178" xr:uid="{00000000-0005-0000-0000-00009A000000}"/>
    <cellStyle name="Milliers [0]_Open&amp;Close" xfId="30" xr:uid="{00000000-0005-0000-0000-00009B000000}"/>
    <cellStyle name="Milliers_Open&amp;Close" xfId="31" xr:uid="{00000000-0005-0000-0000-00009C000000}"/>
    <cellStyle name="Monétaire [0]_Open&amp;Close" xfId="32" xr:uid="{00000000-0005-0000-0000-00009D000000}"/>
    <cellStyle name="Monétaire_Open&amp;Close" xfId="33" xr:uid="{00000000-0005-0000-0000-00009E000000}"/>
    <cellStyle name="Month" xfId="34" xr:uid="{00000000-0005-0000-0000-00009F000000}"/>
    <cellStyle name="Neutral" xfId="77" builtinId="28" customBuiltin="1"/>
    <cellStyle name="Neutral 2" xfId="114" xr:uid="{00000000-0005-0000-0000-0000A1000000}"/>
    <cellStyle name="Neutral 3" xfId="179" xr:uid="{00000000-0005-0000-0000-0000A2000000}"/>
    <cellStyle name="NewSheet" xfId="180" xr:uid="{00000000-0005-0000-0000-0000A3000000}"/>
    <cellStyle name="Normal" xfId="0" builtinId="0"/>
    <cellStyle name="Normal - Style1" xfId="181" xr:uid="{00000000-0005-0000-0000-0000A5000000}"/>
    <cellStyle name="Normal 10" xfId="58" xr:uid="{00000000-0005-0000-0000-0000A6000000}"/>
    <cellStyle name="Normal 10 2" xfId="262" xr:uid="{00000000-0005-0000-0000-0000A7000000}"/>
    <cellStyle name="Normal 10 3" xfId="264" xr:uid="{00000000-0005-0000-0000-0000A8000000}"/>
    <cellStyle name="Normal 11" xfId="35" xr:uid="{00000000-0005-0000-0000-0000A9000000}"/>
    <cellStyle name="Normal 11 2" xfId="243" xr:uid="{00000000-0005-0000-0000-0000AA000000}"/>
    <cellStyle name="Normal 11 3" xfId="265" xr:uid="{00000000-0005-0000-0000-0000AB000000}"/>
    <cellStyle name="Normal 12" xfId="62" xr:uid="{00000000-0005-0000-0000-0000AC000000}"/>
    <cellStyle name="Normal 12 2" xfId="261" xr:uid="{00000000-0005-0000-0000-0000AD000000}"/>
    <cellStyle name="Normal 12 3" xfId="266" xr:uid="{00000000-0005-0000-0000-0000AE000000}"/>
    <cellStyle name="Normal 13" xfId="63" xr:uid="{00000000-0005-0000-0000-0000AF000000}"/>
    <cellStyle name="Normal 13 2" xfId="260" xr:uid="{00000000-0005-0000-0000-0000B0000000}"/>
    <cellStyle name="Normal 13 3" xfId="267" xr:uid="{00000000-0005-0000-0000-0000B1000000}"/>
    <cellStyle name="Normal 14" xfId="64" xr:uid="{00000000-0005-0000-0000-0000B2000000}"/>
    <cellStyle name="Normal 14 2" xfId="259" xr:uid="{00000000-0005-0000-0000-0000B3000000}"/>
    <cellStyle name="Normal 14 3" xfId="268" xr:uid="{00000000-0005-0000-0000-0000B4000000}"/>
    <cellStyle name="Normal 15" xfId="65" xr:uid="{00000000-0005-0000-0000-0000B5000000}"/>
    <cellStyle name="Normal 15 2" xfId="258" xr:uid="{00000000-0005-0000-0000-0000B6000000}"/>
    <cellStyle name="Normal 15 3" xfId="269" xr:uid="{00000000-0005-0000-0000-0000B7000000}"/>
    <cellStyle name="Normal 16" xfId="66" xr:uid="{00000000-0005-0000-0000-0000B8000000}"/>
    <cellStyle name="Normal 17" xfId="67" xr:uid="{00000000-0005-0000-0000-0000B9000000}"/>
    <cellStyle name="Normal 18" xfId="272" xr:uid="{00000000-0005-0000-0000-0000BA000000}"/>
    <cellStyle name="Normal 19" xfId="273" xr:uid="{00000000-0005-0000-0000-0000BB000000}"/>
    <cellStyle name="Normal 2" xfId="1" xr:uid="{00000000-0005-0000-0000-0000BC000000}"/>
    <cellStyle name="Normal 2 2" xfId="47" xr:uid="{00000000-0005-0000-0000-0000BD000000}"/>
    <cellStyle name="Normal 20" xfId="239" xr:uid="{00000000-0005-0000-0000-0000BE000000}"/>
    <cellStyle name="Normal 21" xfId="275" xr:uid="{00000000-0005-0000-0000-0000BF000000}"/>
    <cellStyle name="Normal 3" xfId="11" xr:uid="{00000000-0005-0000-0000-0000C0000000}"/>
    <cellStyle name="Normal 3 2" xfId="51" xr:uid="{00000000-0005-0000-0000-0000C1000000}"/>
    <cellStyle name="Normal 3 3" xfId="257" xr:uid="{00000000-0005-0000-0000-0000C2000000}"/>
    <cellStyle name="Normal 3 4" xfId="247" xr:uid="{00000000-0005-0000-0000-0000C3000000}"/>
    <cellStyle name="Normal 4" xfId="12" xr:uid="{00000000-0005-0000-0000-0000C4000000}"/>
    <cellStyle name="Normal 4 2" xfId="52" xr:uid="{00000000-0005-0000-0000-0000C5000000}"/>
    <cellStyle name="Normal 4 3" xfId="256" xr:uid="{00000000-0005-0000-0000-0000C6000000}"/>
    <cellStyle name="Normal 4 4" xfId="246" xr:uid="{00000000-0005-0000-0000-0000C7000000}"/>
    <cellStyle name="Normal 5" xfId="53" xr:uid="{00000000-0005-0000-0000-0000C8000000}"/>
    <cellStyle name="Normal 5 2" xfId="255" xr:uid="{00000000-0005-0000-0000-0000C9000000}"/>
    <cellStyle name="Normal 5 3" xfId="245" xr:uid="{00000000-0005-0000-0000-0000CA000000}"/>
    <cellStyle name="Normal 6" xfId="54" xr:uid="{00000000-0005-0000-0000-0000CB000000}"/>
    <cellStyle name="Normal 7" xfId="55" xr:uid="{00000000-0005-0000-0000-0000CC000000}"/>
    <cellStyle name="Normal 7 2" xfId="254" xr:uid="{00000000-0005-0000-0000-0000CD000000}"/>
    <cellStyle name="Normal 7 3" xfId="244" xr:uid="{00000000-0005-0000-0000-0000CE000000}"/>
    <cellStyle name="Normal 8" xfId="61" xr:uid="{00000000-0005-0000-0000-0000CF000000}"/>
    <cellStyle name="Normal 8 2" xfId="253" xr:uid="{00000000-0005-0000-0000-0000D0000000}"/>
    <cellStyle name="Normal 8 3" xfId="270" xr:uid="{00000000-0005-0000-0000-0000D1000000}"/>
    <cellStyle name="Normal 9" xfId="56" xr:uid="{00000000-0005-0000-0000-0000D2000000}"/>
    <cellStyle name="Normal 9 2" xfId="252" xr:uid="{00000000-0005-0000-0000-0000D3000000}"/>
    <cellStyle name="Normal 9 3" xfId="271" xr:uid="{00000000-0005-0000-0000-0000D4000000}"/>
    <cellStyle name="Normal_RMS Pricer" xfId="36" xr:uid="{00000000-0005-0000-0000-0000D5000000}"/>
    <cellStyle name="Note" xfId="84" builtinId="10" customBuiltin="1"/>
    <cellStyle name="Note 2" xfId="182" xr:uid="{00000000-0005-0000-0000-0000D7000000}"/>
    <cellStyle name="ObjectDataColumn" xfId="183" xr:uid="{00000000-0005-0000-0000-0000D8000000}"/>
    <cellStyle name="ObjectDataRow" xfId="184" xr:uid="{00000000-0005-0000-0000-0000D9000000}"/>
    <cellStyle name="ObjectLabelColumn" xfId="185" xr:uid="{00000000-0005-0000-0000-0000DA000000}"/>
    <cellStyle name="ObjectLabelRow" xfId="186" xr:uid="{00000000-0005-0000-0000-0000DB000000}"/>
    <cellStyle name="orange text cell" xfId="37" xr:uid="{00000000-0005-0000-0000-0000DC000000}"/>
    <cellStyle name="Output" xfId="79" builtinId="21" customBuiltin="1"/>
    <cellStyle name="Output 2" xfId="187" xr:uid="{00000000-0005-0000-0000-0000DE000000}"/>
    <cellStyle name="OutputData" xfId="188" xr:uid="{00000000-0005-0000-0000-0000DF000000}"/>
    <cellStyle name="OutputDataColumn" xfId="189" xr:uid="{00000000-0005-0000-0000-0000E0000000}"/>
    <cellStyle name="OutputDataRow" xfId="190" xr:uid="{00000000-0005-0000-0000-0000E1000000}"/>
    <cellStyle name="OutputLabel" xfId="191" xr:uid="{00000000-0005-0000-0000-0000E2000000}"/>
    <cellStyle name="OutputLabelColumn" xfId="192" xr:uid="{00000000-0005-0000-0000-0000E3000000}"/>
    <cellStyle name="OutputLabelRow" xfId="193" xr:uid="{00000000-0005-0000-0000-0000E4000000}"/>
    <cellStyle name="PanelLabel" xfId="194" xr:uid="{00000000-0005-0000-0000-0000E5000000}"/>
    <cellStyle name="Percent" xfId="69" builtinId="5"/>
    <cellStyle name="Percent ()" xfId="38" xr:uid="{00000000-0005-0000-0000-0000E7000000}"/>
    <cellStyle name="Percent 1" xfId="39" xr:uid="{00000000-0005-0000-0000-0000E8000000}"/>
    <cellStyle name="Percent 10" xfId="57" xr:uid="{00000000-0005-0000-0000-0000E9000000}"/>
    <cellStyle name="Percent 11" xfId="59" xr:uid="{00000000-0005-0000-0000-0000EA000000}"/>
    <cellStyle name="Percent 2" xfId="195" xr:uid="{00000000-0005-0000-0000-0000EB000000}"/>
    <cellStyle name="Percent 2 2" xfId="40" xr:uid="{00000000-0005-0000-0000-0000EC000000}"/>
    <cellStyle name="Percent 2 2 2" xfId="196" xr:uid="{00000000-0005-0000-0000-0000ED000000}"/>
    <cellStyle name="Percent 2 2 3" xfId="231" xr:uid="{00000000-0005-0000-0000-0000EE000000}"/>
    <cellStyle name="Percent 2 2 4" xfId="236" xr:uid="{00000000-0005-0000-0000-0000EF000000}"/>
    <cellStyle name="Percent 2 2 5" xfId="238" xr:uid="{00000000-0005-0000-0000-0000F0000000}"/>
    <cellStyle name="Percent 2 2 6" xfId="263" xr:uid="{00000000-0005-0000-0000-0000F1000000}"/>
    <cellStyle name="Percent 3" xfId="48" xr:uid="{00000000-0005-0000-0000-0000F2000000}"/>
    <cellStyle name="Percent 5" xfId="274" xr:uid="{00000000-0005-0000-0000-0000F3000000}"/>
    <cellStyle name="PersonalDataColumn" xfId="197" xr:uid="{00000000-0005-0000-0000-0000F4000000}"/>
    <cellStyle name="PersonalDataRow" xfId="198" xr:uid="{00000000-0005-0000-0000-0000F5000000}"/>
    <cellStyle name="PersonalLabelColumn" xfId="199" xr:uid="{00000000-0005-0000-0000-0000F6000000}"/>
    <cellStyle name="PersonalLabelRow" xfId="200" xr:uid="{00000000-0005-0000-0000-0000F7000000}"/>
    <cellStyle name="result" xfId="201" xr:uid="{00000000-0005-0000-0000-0000F8000000}"/>
    <cellStyle name="RowHead" xfId="5" xr:uid="{00000000-0005-0000-0000-0000F9000000}"/>
    <cellStyle name="RowHeadTrade" xfId="8" xr:uid="{00000000-0005-0000-0000-0000FA000000}"/>
    <cellStyle name="spreads" xfId="202" xr:uid="{00000000-0005-0000-0000-0000FB000000}"/>
    <cellStyle name="Style 1" xfId="203" xr:uid="{00000000-0005-0000-0000-0000FC000000}"/>
    <cellStyle name="subtitle" xfId="41" xr:uid="{00000000-0005-0000-0000-0000FD000000}"/>
    <cellStyle name="Sum" xfId="42" xr:uid="{00000000-0005-0000-0000-0000FE000000}"/>
    <cellStyle name="Sum %of HV" xfId="43" xr:uid="{00000000-0005-0000-0000-0000FF000000}"/>
    <cellStyle name="swaptn" xfId="204" xr:uid="{00000000-0005-0000-0000-000000010000}"/>
    <cellStyle name="TableDataColumn" xfId="205" xr:uid="{00000000-0005-0000-0000-000001010000}"/>
    <cellStyle name="TableDataRow" xfId="206" xr:uid="{00000000-0005-0000-0000-000002010000}"/>
    <cellStyle name="TableHead" xfId="6" xr:uid="{00000000-0005-0000-0000-000003010000}"/>
    <cellStyle name="TableHead_Swap" xfId="7" xr:uid="{00000000-0005-0000-0000-000004010000}"/>
    <cellStyle name="TableLabelColumn" xfId="207" xr:uid="{00000000-0005-0000-0000-000005010000}"/>
    <cellStyle name="TableLabelRow" xfId="208" xr:uid="{00000000-0005-0000-0000-000006010000}"/>
    <cellStyle name="TableLabelTop" xfId="209" xr:uid="{00000000-0005-0000-0000-000007010000}"/>
    <cellStyle name="time" xfId="44" xr:uid="{00000000-0005-0000-0000-000008010000}"/>
    <cellStyle name="Title" xfId="70" builtinId="15" customBuiltin="1"/>
    <cellStyle name="Title 2" xfId="210" xr:uid="{00000000-0005-0000-0000-00000A010000}"/>
    <cellStyle name="Total" xfId="86" builtinId="25" customBuiltin="1"/>
    <cellStyle name="Total 2" xfId="211" xr:uid="{00000000-0005-0000-0000-00000C010000}"/>
    <cellStyle name="TradeSelection" xfId="10" xr:uid="{00000000-0005-0000-0000-00000D010000}"/>
    <cellStyle name="Underline 2" xfId="45" xr:uid="{00000000-0005-0000-0000-00000E010000}"/>
    <cellStyle name="Warning Text" xfId="83" builtinId="11" customBuiltin="1"/>
    <cellStyle name="Warning Text 2" xfId="212" xr:uid="{00000000-0005-0000-0000-000010010000}"/>
    <cellStyle name="Year" xfId="46" xr:uid="{00000000-0005-0000-0000-000011010000}"/>
    <cellStyle name="桁区切り_NewDemo" xfId="213" xr:uid="{00000000-0005-0000-0000-000012010000}"/>
    <cellStyle name="標準_NewDemo" xfId="214" xr:uid="{00000000-0005-0000-0000-000013010000}"/>
  </cellStyles>
  <dxfs count="5">
    <dxf>
      <fill>
        <patternFill>
          <bgColor theme="2" tint="-9.9948118533890809E-2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123825</xdr:colOff>
      <xdr:row>0</xdr:row>
      <xdr:rowOff>19050</xdr:rowOff>
    </xdr:from>
    <xdr:to>
      <xdr:col>32</xdr:col>
      <xdr:colOff>356716</xdr:colOff>
      <xdr:row>1</xdr:row>
      <xdr:rowOff>2774</xdr:rowOff>
    </xdr:to>
    <xdr:pic>
      <xdr:nvPicPr>
        <xdr:cNvPr id="3" name="Picture 2" descr="National-Australia-Bank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06000" y="19050"/>
          <a:ext cx="1833091" cy="393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0</xdr:row>
      <xdr:rowOff>19050</xdr:rowOff>
    </xdr:from>
    <xdr:to>
      <xdr:col>16</xdr:col>
      <xdr:colOff>204316</xdr:colOff>
      <xdr:row>0</xdr:row>
      <xdr:rowOff>412349</xdr:rowOff>
    </xdr:to>
    <xdr:pic>
      <xdr:nvPicPr>
        <xdr:cNvPr id="3" name="Picture 2" descr="National-Australia-Bank-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15525" y="19050"/>
          <a:ext cx="1833091" cy="393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38"/>
  <sheetViews>
    <sheetView workbookViewId="0">
      <selection activeCell="K29" sqref="K29"/>
    </sheetView>
  </sheetViews>
  <sheetFormatPr defaultRowHeight="12"/>
  <cols>
    <col min="1" max="1" width="2.85546875" style="3" customWidth="1"/>
    <col min="2" max="3" width="2.28515625" style="3" customWidth="1"/>
    <col min="4" max="4" width="9.7109375" style="3" customWidth="1"/>
    <col min="5" max="5" width="2.85546875" style="3" customWidth="1"/>
    <col min="6" max="6" width="2.7109375" style="3" customWidth="1"/>
    <col min="7" max="7" width="7.42578125" style="3" customWidth="1"/>
    <col min="8" max="8" width="1.85546875" style="3" customWidth="1"/>
    <col min="9" max="9" width="8.85546875" style="3" customWidth="1"/>
    <col min="10" max="10" width="8.5703125" style="3" customWidth="1"/>
    <col min="11" max="11" width="10.85546875" style="3" customWidth="1"/>
    <col min="12" max="12" width="1.85546875" style="3" bestFit="1" customWidth="1"/>
    <col min="13" max="13" width="9.28515625" style="3" customWidth="1"/>
    <col min="14" max="14" width="3" style="3" customWidth="1"/>
    <col min="15" max="15" width="1.140625" style="3" customWidth="1"/>
    <col min="16" max="16" width="3" style="3" customWidth="1"/>
    <col min="17" max="17" width="2.28515625" style="3" customWidth="1"/>
    <col min="18" max="18" width="9.140625" style="3"/>
    <col min="19" max="19" width="2.5703125" style="3" customWidth="1"/>
    <col min="20" max="20" width="11.140625" style="3" customWidth="1"/>
    <col min="21" max="21" width="12.7109375" style="3" bestFit="1" customWidth="1"/>
    <col min="22" max="22" width="0.42578125" style="3" hidden="1" customWidth="1"/>
    <col min="23" max="23" width="9.7109375" style="3" customWidth="1"/>
    <col min="24" max="24" width="3" style="3" customWidth="1"/>
    <col min="25" max="25" width="10" style="3" bestFit="1" customWidth="1"/>
    <col min="26" max="26" width="7" style="3" customWidth="1"/>
    <col min="27" max="27" width="0.5703125" style="3" customWidth="1"/>
    <col min="28" max="28" width="3.42578125" style="3" customWidth="1"/>
    <col min="29" max="29" width="2.28515625" style="3" customWidth="1"/>
    <col min="30" max="30" width="17.85546875" style="3" hidden="1" customWidth="1"/>
    <col min="31" max="33" width="9.140625" style="3"/>
    <col min="34" max="34" width="11.7109375" style="3" customWidth="1"/>
    <col min="35" max="16384" width="9.140625" style="3"/>
  </cols>
  <sheetData>
    <row r="1" spans="1:34" ht="32.25" customHeight="1">
      <c r="A1" s="163"/>
      <c r="B1" s="349" t="s">
        <v>292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01"/>
      <c r="T1" s="365"/>
      <c r="U1" s="365"/>
      <c r="V1" s="365"/>
      <c r="W1" s="365"/>
      <c r="X1" s="365"/>
      <c r="Y1" s="365"/>
      <c r="Z1" s="365"/>
      <c r="AA1" s="365"/>
      <c r="AB1" s="365"/>
      <c r="AC1" s="365"/>
      <c r="AE1" s="164"/>
      <c r="AF1" s="164"/>
      <c r="AG1" s="164"/>
      <c r="AH1" s="164"/>
    </row>
    <row r="2" spans="1:34" ht="11.25" customHeight="1"/>
    <row r="3" spans="1:34" ht="14.25" customHeight="1">
      <c r="B3" s="350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1"/>
      <c r="R3" s="351"/>
      <c r="S3" s="351"/>
      <c r="T3" s="351"/>
      <c r="U3" s="351"/>
      <c r="V3" s="351"/>
      <c r="W3" s="351"/>
      <c r="X3" s="351"/>
      <c r="Y3" s="351"/>
      <c r="Z3" s="351"/>
      <c r="AA3" s="351"/>
      <c r="AB3" s="351"/>
      <c r="AC3" s="352"/>
    </row>
    <row r="4" spans="1:34" ht="6" customHeight="1">
      <c r="B4" s="190"/>
      <c r="C4" s="194"/>
      <c r="D4" s="195"/>
      <c r="E4" s="195"/>
      <c r="F4" s="196"/>
      <c r="G4" s="197"/>
      <c r="H4" s="197"/>
      <c r="I4" s="198"/>
      <c r="J4" s="198"/>
      <c r="K4" s="199"/>
      <c r="L4" s="199"/>
      <c r="M4" s="199"/>
      <c r="N4" s="199"/>
      <c r="O4" s="200"/>
      <c r="P4" s="2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191"/>
    </row>
    <row r="5" spans="1:34" ht="14.25" customHeight="1">
      <c r="B5" s="190"/>
      <c r="C5" s="190"/>
      <c r="D5" s="260" t="s">
        <v>29</v>
      </c>
      <c r="E5" s="13"/>
      <c r="F5" s="2"/>
      <c r="G5" s="359">
        <v>40417</v>
      </c>
      <c r="H5" s="359"/>
      <c r="I5" s="2"/>
      <c r="J5" s="2"/>
      <c r="K5" s="222" t="s">
        <v>295</v>
      </c>
      <c r="L5" s="2"/>
      <c r="M5" s="312">
        <v>40415</v>
      </c>
      <c r="N5" s="2"/>
      <c r="O5" s="191"/>
      <c r="P5" s="2"/>
      <c r="Q5" s="366"/>
      <c r="R5" s="366"/>
      <c r="S5" s="366"/>
      <c r="T5" s="366"/>
      <c r="U5" s="366"/>
      <c r="V5" s="366"/>
      <c r="W5" s="366"/>
      <c r="X5" s="366"/>
      <c r="Y5" s="366"/>
      <c r="Z5" s="366"/>
      <c r="AA5" s="366"/>
      <c r="AB5" s="366"/>
      <c r="AC5" s="191"/>
    </row>
    <row r="6" spans="1:34" ht="6.75" customHeight="1">
      <c r="B6" s="190"/>
      <c r="C6" s="192"/>
      <c r="D6" s="201"/>
      <c r="E6" s="201"/>
      <c r="F6" s="189"/>
      <c r="G6" s="202"/>
      <c r="H6" s="202"/>
      <c r="I6" s="202"/>
      <c r="J6" s="202"/>
      <c r="K6" s="203"/>
      <c r="L6" s="202"/>
      <c r="M6" s="202"/>
      <c r="N6" s="189"/>
      <c r="O6" s="193"/>
      <c r="P6" s="2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191"/>
    </row>
    <row r="7" spans="1:34" ht="14.25" customHeight="1">
      <c r="B7" s="190"/>
      <c r="C7" s="2"/>
      <c r="D7" s="9"/>
      <c r="E7" s="9"/>
      <c r="F7" s="5"/>
      <c r="G7" s="6"/>
      <c r="H7" s="6"/>
      <c r="I7" s="7"/>
      <c r="J7" s="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191"/>
    </row>
    <row r="8" spans="1:34" ht="6" customHeight="1">
      <c r="B8" s="190"/>
      <c r="C8" s="194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200"/>
      <c r="P8" s="2"/>
      <c r="Q8" s="194"/>
      <c r="R8" s="209"/>
      <c r="S8" s="210"/>
      <c r="T8" s="211"/>
      <c r="U8" s="212"/>
      <c r="V8" s="212"/>
      <c r="W8" s="199"/>
      <c r="X8" s="199"/>
      <c r="Y8" s="199"/>
      <c r="Z8" s="199"/>
      <c r="AA8" s="199"/>
      <c r="AB8" s="200"/>
      <c r="AC8" s="191"/>
    </row>
    <row r="9" spans="1:34" ht="14.25" customHeight="1">
      <c r="B9" s="190"/>
      <c r="C9" s="190"/>
      <c r="D9" s="313" t="s">
        <v>182</v>
      </c>
      <c r="E9" s="11"/>
      <c r="F9" s="5"/>
      <c r="G9" s="314" t="s">
        <v>9</v>
      </c>
      <c r="H9" s="8"/>
      <c r="I9" s="360">
        <v>100000000</v>
      </c>
      <c r="J9" s="360"/>
      <c r="K9" s="132"/>
      <c r="L9" s="132"/>
      <c r="M9" s="185"/>
      <c r="N9" s="2"/>
      <c r="O9" s="191"/>
      <c r="P9" s="2"/>
      <c r="Q9" s="190"/>
      <c r="R9" s="170" t="s">
        <v>183</v>
      </c>
      <c r="S9" s="120"/>
      <c r="T9" s="176" t="str">
        <f>G9</f>
        <v>AUD</v>
      </c>
      <c r="U9" s="121"/>
      <c r="V9" s="121"/>
      <c r="W9" s="356">
        <v>1000000</v>
      </c>
      <c r="X9" s="356"/>
      <c r="Y9" s="356"/>
      <c r="Z9" s="185"/>
      <c r="AA9" s="2"/>
      <c r="AB9" s="191"/>
      <c r="AC9" s="191"/>
    </row>
    <row r="10" spans="1:34" ht="5.25" customHeight="1">
      <c r="B10" s="190"/>
      <c r="C10" s="192"/>
      <c r="D10" s="204"/>
      <c r="E10" s="204"/>
      <c r="F10" s="205"/>
      <c r="G10" s="206"/>
      <c r="H10" s="206"/>
      <c r="I10" s="207"/>
      <c r="J10" s="207"/>
      <c r="K10" s="208"/>
      <c r="L10" s="208"/>
      <c r="M10" s="189"/>
      <c r="N10" s="189"/>
      <c r="O10" s="193"/>
      <c r="P10" s="2"/>
      <c r="Q10" s="192"/>
      <c r="R10" s="213"/>
      <c r="S10" s="214"/>
      <c r="T10" s="215"/>
      <c r="U10" s="216"/>
      <c r="V10" s="216"/>
      <c r="W10" s="208"/>
      <c r="X10" s="208"/>
      <c r="Y10" s="189"/>
      <c r="Z10" s="189"/>
      <c r="AA10" s="189"/>
      <c r="AB10" s="193"/>
      <c r="AC10" s="191"/>
    </row>
    <row r="11" spans="1:34" ht="13.5" customHeight="1">
      <c r="B11" s="190"/>
      <c r="C11" s="2"/>
      <c r="D11" s="183"/>
      <c r="E11" s="183"/>
      <c r="F11" s="2"/>
      <c r="G11" s="4"/>
      <c r="H11" s="4"/>
      <c r="I11" s="4"/>
      <c r="J11" s="4"/>
      <c r="K11" s="187"/>
      <c r="L11" s="4"/>
      <c r="M11" s="4"/>
      <c r="N11" s="2"/>
      <c r="O11" s="2"/>
      <c r="P11" s="2"/>
      <c r="Q11" s="2"/>
      <c r="R11" s="183"/>
      <c r="S11" s="2"/>
      <c r="T11" s="4"/>
      <c r="U11" s="4"/>
      <c r="V11" s="4"/>
      <c r="W11" s="187"/>
      <c r="X11" s="4"/>
      <c r="Y11" s="4"/>
      <c r="Z11" s="4"/>
      <c r="AA11" s="2"/>
      <c r="AB11" s="2"/>
      <c r="AC11" s="191"/>
    </row>
    <row r="12" spans="1:34" ht="6" customHeight="1">
      <c r="B12" s="190"/>
      <c r="C12" s="194"/>
      <c r="D12" s="217"/>
      <c r="E12" s="217"/>
      <c r="F12" s="199"/>
      <c r="G12" s="218"/>
      <c r="H12" s="218"/>
      <c r="I12" s="218"/>
      <c r="J12" s="218"/>
      <c r="K12" s="219"/>
      <c r="L12" s="218"/>
      <c r="M12" s="199"/>
      <c r="N12" s="199"/>
      <c r="O12" s="200"/>
      <c r="P12" s="2"/>
      <c r="Q12" s="194"/>
      <c r="R12" s="217"/>
      <c r="S12" s="199"/>
      <c r="T12" s="218"/>
      <c r="U12" s="218"/>
      <c r="V12" s="218"/>
      <c r="W12" s="219"/>
      <c r="X12" s="218"/>
      <c r="Y12" s="199"/>
      <c r="Z12" s="199"/>
      <c r="AA12" s="199"/>
      <c r="AB12" s="200"/>
      <c r="AC12" s="191"/>
      <c r="AD12" s="144" t="str">
        <f>IF(VLOOKUP(PayCurrency, 'Market Rates'!Q6:S9, 2, FALSE) = "EOD", "EODMarketIndexTenor", "AllMarketIndexTenors")</f>
        <v>EODMarketIndexTenor</v>
      </c>
    </row>
    <row r="13" spans="1:34" ht="15" customHeight="1">
      <c r="B13" s="190"/>
      <c r="C13" s="190"/>
      <c r="D13" s="315" t="s">
        <v>184</v>
      </c>
      <c r="E13" s="12"/>
      <c r="F13" s="2"/>
      <c r="G13" s="8" t="str">
        <f>PayCurrency</f>
        <v>AUD</v>
      </c>
      <c r="H13" s="8"/>
      <c r="I13" s="183" t="str">
        <f>VLOOKUP(G13,CurrencyRateIndex,2,FALSE)</f>
        <v>EOD</v>
      </c>
      <c r="J13" s="187"/>
      <c r="K13" s="317" t="s">
        <v>35</v>
      </c>
      <c r="L13" s="187" t="s">
        <v>40</v>
      </c>
      <c r="M13" s="318">
        <v>0.03</v>
      </c>
      <c r="N13" s="302" t="s">
        <v>306</v>
      </c>
      <c r="O13" s="191"/>
      <c r="P13" s="2"/>
      <c r="Q13" s="190"/>
      <c r="R13" s="172" t="str">
        <f>IF(D13="Fixed", "Floating", "Fixed")</f>
        <v>Floating</v>
      </c>
      <c r="S13" s="2"/>
      <c r="T13" s="8" t="str">
        <f>ReceiveCurrency</f>
        <v>AUD</v>
      </c>
      <c r="U13" s="187" t="str">
        <f>VLOOKUP(T13,CurrencyRateIndex,2,FALSE)</f>
        <v>EOD</v>
      </c>
      <c r="V13" s="187"/>
      <c r="W13" s="326" t="s">
        <v>35</v>
      </c>
      <c r="X13" s="187" t="s">
        <v>40</v>
      </c>
      <c r="Y13" s="316">
        <v>0</v>
      </c>
      <c r="Z13" s="188" t="s">
        <v>306</v>
      </c>
      <c r="AA13" s="2"/>
      <c r="AB13" s="191"/>
      <c r="AC13" s="191"/>
      <c r="AD13" s="144" t="str">
        <f>IF(VLOOKUP(ReceiveCurrency, 'Market Rates'!Q6:S9, 2, FALSE) = "EOD", "EODMarketIndexTenor", "AllMarketIndexTenors")</f>
        <v>EODMarketIndexTenor</v>
      </c>
    </row>
    <row r="14" spans="1:34" ht="2.25" customHeight="1">
      <c r="B14" s="190"/>
      <c r="C14" s="190"/>
      <c r="D14" s="10"/>
      <c r="E14" s="10"/>
      <c r="F14" s="2"/>
      <c r="G14" s="2"/>
      <c r="H14" s="2"/>
      <c r="I14" s="2"/>
      <c r="J14" s="2"/>
      <c r="K14" s="2"/>
      <c r="L14" s="2"/>
      <c r="M14" s="2"/>
      <c r="N14" s="2"/>
      <c r="O14" s="191"/>
      <c r="P14" s="2"/>
      <c r="Q14" s="190"/>
      <c r="R14" s="10"/>
      <c r="S14" s="2"/>
      <c r="T14" s="2"/>
      <c r="U14" s="2"/>
      <c r="V14" s="2"/>
      <c r="W14" s="2"/>
      <c r="X14" s="2"/>
      <c r="Y14" s="2"/>
      <c r="Z14" s="2"/>
      <c r="AA14" s="2"/>
      <c r="AB14" s="191"/>
      <c r="AC14" s="191"/>
    </row>
    <row r="15" spans="1:34" ht="14.25" customHeight="1">
      <c r="B15" s="190"/>
      <c r="C15" s="190"/>
      <c r="D15" s="183" t="s">
        <v>98</v>
      </c>
      <c r="E15" s="183"/>
      <c r="F15" s="2"/>
      <c r="G15" s="361">
        <v>0.04</v>
      </c>
      <c r="H15" s="362"/>
      <c r="I15" s="2"/>
      <c r="J15" s="2"/>
      <c r="K15" s="2"/>
      <c r="L15" s="2"/>
      <c r="M15" s="2"/>
      <c r="N15" s="2"/>
      <c r="O15" s="191"/>
      <c r="P15" s="2"/>
      <c r="Q15" s="190"/>
      <c r="R15" s="183" t="s">
        <v>98</v>
      </c>
      <c r="S15" s="2"/>
      <c r="T15" s="319">
        <v>0.04</v>
      </c>
      <c r="U15" s="2"/>
      <c r="V15" s="2"/>
      <c r="W15" s="327" t="s">
        <v>35</v>
      </c>
      <c r="X15" s="2"/>
      <c r="Y15" s="2"/>
      <c r="Z15" s="2"/>
      <c r="AA15" s="2"/>
      <c r="AB15" s="191"/>
      <c r="AC15" s="191"/>
    </row>
    <row r="16" spans="1:34" ht="7.5" customHeight="1">
      <c r="B16" s="190"/>
      <c r="C16" s="192"/>
      <c r="D16" s="189"/>
      <c r="E16" s="189"/>
      <c r="F16" s="189"/>
      <c r="G16" s="189"/>
      <c r="H16" s="189"/>
      <c r="I16" s="189"/>
      <c r="J16" s="189"/>
      <c r="K16" s="189"/>
      <c r="L16" s="189"/>
      <c r="M16" s="189"/>
      <c r="N16" s="189"/>
      <c r="O16" s="193"/>
      <c r="P16" s="2"/>
      <c r="Q16" s="192"/>
      <c r="R16" s="189"/>
      <c r="S16" s="189"/>
      <c r="T16" s="189"/>
      <c r="U16" s="189"/>
      <c r="V16" s="189"/>
      <c r="W16" s="189"/>
      <c r="X16" s="189"/>
      <c r="Y16" s="189"/>
      <c r="Z16" s="189"/>
      <c r="AA16" s="189"/>
      <c r="AB16" s="193"/>
      <c r="AC16" s="191"/>
    </row>
    <row r="17" spans="2:29" ht="14.25" customHeight="1">
      <c r="B17" s="190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191"/>
    </row>
    <row r="18" spans="2:29" ht="6" customHeight="1">
      <c r="B18" s="190"/>
      <c r="C18" s="194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200"/>
      <c r="P18" s="2"/>
      <c r="Q18" s="194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200"/>
      <c r="AC18" s="191"/>
    </row>
    <row r="19" spans="2:29" ht="14.25" customHeight="1">
      <c r="B19" s="190"/>
      <c r="C19" s="190"/>
      <c r="D19" s="317" t="s">
        <v>36</v>
      </c>
      <c r="E19" s="183"/>
      <c r="F19" s="2"/>
      <c r="G19" s="345" t="s">
        <v>45</v>
      </c>
      <c r="H19" s="345"/>
      <c r="I19" s="345"/>
      <c r="J19" s="2"/>
      <c r="K19" s="320" t="s">
        <v>14</v>
      </c>
      <c r="L19" s="186"/>
      <c r="M19" s="320" t="s">
        <v>230</v>
      </c>
      <c r="N19" s="2"/>
      <c r="O19" s="191"/>
      <c r="P19" s="2"/>
      <c r="Q19" s="190"/>
      <c r="R19" s="183" t="str">
        <f>PayInterval</f>
        <v>6M</v>
      </c>
      <c r="S19" s="2"/>
      <c r="T19" s="357" t="str">
        <f>PayAdjustment</f>
        <v>MODFOLLOWING</v>
      </c>
      <c r="U19" s="357"/>
      <c r="V19" s="2"/>
      <c r="W19" s="357" t="str">
        <f>PayDayCount</f>
        <v>ACT/365.FIXED</v>
      </c>
      <c r="X19" s="357"/>
      <c r="Y19" s="186"/>
      <c r="Z19" s="186" t="str">
        <f>PayPaymentIn</f>
        <v>Arrears</v>
      </c>
      <c r="AA19" s="2"/>
      <c r="AB19" s="191"/>
      <c r="AC19" s="191"/>
    </row>
    <row r="20" spans="2:29" ht="7.5" customHeight="1">
      <c r="B20" s="190"/>
      <c r="C20" s="192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93"/>
      <c r="P20" s="2"/>
      <c r="Q20" s="192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93"/>
      <c r="AC20" s="191"/>
    </row>
    <row r="21" spans="2:29" ht="6.75" customHeight="1">
      <c r="B21" s="190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191"/>
    </row>
    <row r="22" spans="2:29" ht="5.25" customHeight="1">
      <c r="B22" s="190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191"/>
    </row>
    <row r="23" spans="2:29" ht="4.5" customHeight="1">
      <c r="B23" s="190"/>
      <c r="C23" s="2"/>
      <c r="D23" s="82"/>
      <c r="E23" s="82"/>
      <c r="F23" s="2"/>
      <c r="G23" s="2"/>
      <c r="H23" s="2"/>
      <c r="I23" s="119"/>
      <c r="J23" s="2"/>
      <c r="K23" s="2"/>
      <c r="L23" s="2"/>
      <c r="M23" s="358"/>
      <c r="N23" s="358"/>
      <c r="O23" s="358"/>
      <c r="P23" s="2"/>
      <c r="Q23" s="2"/>
      <c r="R23" s="82"/>
      <c r="S23" s="2"/>
      <c r="T23" s="2"/>
      <c r="U23" s="119"/>
      <c r="V23" s="2"/>
      <c r="W23" s="2"/>
      <c r="X23" s="2"/>
      <c r="Y23" s="358"/>
      <c r="Z23" s="358"/>
      <c r="AA23" s="358"/>
      <c r="AB23" s="2"/>
      <c r="AC23" s="191"/>
    </row>
    <row r="24" spans="2:29" ht="6" customHeight="1">
      <c r="B24" s="190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191"/>
    </row>
    <row r="25" spans="2:29" ht="3.75" customHeight="1">
      <c r="B25" s="190"/>
      <c r="C25" s="194"/>
      <c r="D25" s="219"/>
      <c r="E25" s="219"/>
      <c r="F25" s="199"/>
      <c r="G25" s="199"/>
      <c r="H25" s="217"/>
      <c r="I25" s="217"/>
      <c r="J25" s="199"/>
      <c r="K25" s="219"/>
      <c r="L25" s="199"/>
      <c r="M25" s="199"/>
      <c r="N25" s="199"/>
      <c r="O25" s="200"/>
      <c r="P25" s="2"/>
      <c r="Q25" s="194"/>
      <c r="R25" s="199"/>
      <c r="S25" s="199"/>
      <c r="T25" s="199"/>
      <c r="U25" s="199"/>
      <c r="V25" s="199"/>
      <c r="W25" s="199"/>
      <c r="X25" s="199"/>
      <c r="Y25" s="219"/>
      <c r="Z25" s="199"/>
      <c r="AA25" s="199"/>
      <c r="AB25" s="200"/>
      <c r="AC25" s="191"/>
    </row>
    <row r="26" spans="2:29" ht="12.75" customHeight="1">
      <c r="B26" s="190"/>
      <c r="C26" s="190"/>
      <c r="D26" s="171" t="s">
        <v>296</v>
      </c>
      <c r="E26" s="171"/>
      <c r="F26" s="145"/>
      <c r="G26" s="171" t="s">
        <v>298</v>
      </c>
      <c r="H26" s="171"/>
      <c r="I26" s="184" t="s">
        <v>223</v>
      </c>
      <c r="J26" s="2"/>
      <c r="K26" s="184" t="str">
        <f>"AUD to "&amp;PayCurrency</f>
        <v>AUD to AUD</v>
      </c>
      <c r="L26" s="2"/>
      <c r="M26" s="353" t="s">
        <v>186</v>
      </c>
      <c r="N26" s="353"/>
      <c r="O26" s="191"/>
      <c r="P26" s="2"/>
      <c r="Q26" s="190"/>
      <c r="R26" s="354" t="s">
        <v>300</v>
      </c>
      <c r="S26" s="354"/>
      <c r="T26" s="346" t="s">
        <v>307</v>
      </c>
      <c r="U26" s="346" t="s">
        <v>303</v>
      </c>
      <c r="V26" s="346"/>
      <c r="W26" s="346" t="s">
        <v>304</v>
      </c>
      <c r="X26" s="363"/>
      <c r="Y26" s="346" t="s">
        <v>305</v>
      </c>
      <c r="Z26" s="363"/>
      <c r="AA26" s="264"/>
      <c r="AB26" s="265"/>
      <c r="AC26" s="191"/>
    </row>
    <row r="27" spans="2:29" ht="15.75" customHeight="1">
      <c r="B27" s="190"/>
      <c r="C27" s="192"/>
      <c r="D27" s="262" t="s">
        <v>297</v>
      </c>
      <c r="E27" s="268"/>
      <c r="F27" s="203"/>
      <c r="G27" s="203" t="s">
        <v>299</v>
      </c>
      <c r="H27" s="268"/>
      <c r="I27" s="203"/>
      <c r="J27" s="203"/>
      <c r="K27" s="303" t="s">
        <v>309</v>
      </c>
      <c r="L27" s="203"/>
      <c r="M27" s="203"/>
      <c r="N27" s="203"/>
      <c r="O27" s="193"/>
      <c r="P27" s="2"/>
      <c r="Q27" s="192"/>
      <c r="R27" s="355"/>
      <c r="S27" s="355"/>
      <c r="T27" s="347"/>
      <c r="U27" s="347"/>
      <c r="V27" s="347"/>
      <c r="W27" s="364"/>
      <c r="X27" s="364"/>
      <c r="Y27" s="364"/>
      <c r="Z27" s="364"/>
      <c r="AA27" s="267"/>
      <c r="AB27" s="266"/>
      <c r="AC27" s="191"/>
    </row>
    <row r="28" spans="2:29" ht="13.5" customHeight="1">
      <c r="B28" s="190"/>
      <c r="C28" s="194"/>
      <c r="D28" s="220"/>
      <c r="E28" s="220"/>
      <c r="F28" s="219"/>
      <c r="G28" s="219"/>
      <c r="H28" s="219"/>
      <c r="I28" s="221"/>
      <c r="J28" s="219"/>
      <c r="K28" s="219"/>
      <c r="L28" s="219"/>
      <c r="M28" s="219"/>
      <c r="N28" s="219"/>
      <c r="O28" s="200"/>
      <c r="P28" s="2"/>
      <c r="Q28" s="194"/>
      <c r="R28" s="220"/>
      <c r="S28" s="219"/>
      <c r="T28" s="219"/>
      <c r="U28" s="219"/>
      <c r="V28" s="219"/>
      <c r="W28" s="219"/>
      <c r="X28" s="219"/>
      <c r="Y28" s="219"/>
      <c r="Z28" s="199"/>
      <c r="AA28" s="199"/>
      <c r="AB28" s="200"/>
      <c r="AC28" s="191"/>
    </row>
    <row r="29" spans="2:29" ht="14.25" customHeight="1">
      <c r="B29" s="190"/>
      <c r="C29" s="190"/>
      <c r="D29" s="343" t="s">
        <v>187</v>
      </c>
      <c r="E29" s="344"/>
      <c r="F29" s="187"/>
      <c r="G29" s="321" t="s">
        <v>189</v>
      </c>
      <c r="H29" s="2"/>
      <c r="I29" s="322" t="s">
        <v>224</v>
      </c>
      <c r="J29" s="2"/>
      <c r="K29" s="261" t="e">
        <f ca="1">VLOOKUP("AUD",CcyUSDSpotRates,2, FALSE)/VLOOKUP(PayCurrency,CcyUSDSpotRates,2,FALSE)</f>
        <v>#NAME?</v>
      </c>
      <c r="L29" s="2"/>
      <c r="M29" s="369">
        <v>0.2</v>
      </c>
      <c r="N29" s="370"/>
      <c r="O29" s="191"/>
      <c r="P29" s="2"/>
      <c r="Q29" s="190"/>
      <c r="R29" s="345" t="s">
        <v>213</v>
      </c>
      <c r="S29" s="348"/>
      <c r="T29" s="323">
        <v>0</v>
      </c>
      <c r="U29" s="323">
        <v>0</v>
      </c>
      <c r="V29" s="324"/>
      <c r="W29" s="367">
        <v>0</v>
      </c>
      <c r="X29" s="368"/>
      <c r="Y29" s="367">
        <v>0</v>
      </c>
      <c r="Z29" s="368"/>
      <c r="AA29" s="2"/>
      <c r="AB29" s="191"/>
      <c r="AC29" s="191"/>
    </row>
    <row r="30" spans="2:29">
      <c r="B30" s="190"/>
      <c r="C30" s="192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93"/>
      <c r="P30" s="2"/>
      <c r="Q30" s="192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93"/>
      <c r="AC30" s="191"/>
    </row>
    <row r="31" spans="2:29">
      <c r="B31" s="192"/>
      <c r="C31" s="189"/>
      <c r="D31" s="189"/>
      <c r="E31" s="189"/>
      <c r="F31" s="189"/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89"/>
      <c r="W31" s="189"/>
      <c r="X31" s="189"/>
      <c r="Y31" s="189"/>
      <c r="Z31" s="189"/>
      <c r="AA31" s="189"/>
      <c r="AB31" s="189"/>
      <c r="AC31" s="193"/>
    </row>
    <row r="37" spans="18:18">
      <c r="R37" s="2"/>
    </row>
    <row r="38" spans="18:18">
      <c r="R38" s="2"/>
    </row>
  </sheetData>
  <sheetProtection sheet="1" objects="1" scenarios="1"/>
  <mergeCells count="24">
    <mergeCell ref="W29:X29"/>
    <mergeCell ref="Y26:Z27"/>
    <mergeCell ref="Y29:Z29"/>
    <mergeCell ref="M23:O23"/>
    <mergeCell ref="M29:N29"/>
    <mergeCell ref="B1:R1"/>
    <mergeCell ref="B3:AC3"/>
    <mergeCell ref="M26:N26"/>
    <mergeCell ref="R26:S27"/>
    <mergeCell ref="W9:Y9"/>
    <mergeCell ref="T19:U19"/>
    <mergeCell ref="Y23:AA23"/>
    <mergeCell ref="W19:X19"/>
    <mergeCell ref="G5:H5"/>
    <mergeCell ref="I9:J9"/>
    <mergeCell ref="G15:H15"/>
    <mergeCell ref="W26:X27"/>
    <mergeCell ref="T1:AC1"/>
    <mergeCell ref="Q4:AB6"/>
    <mergeCell ref="D29:E29"/>
    <mergeCell ref="G19:I19"/>
    <mergeCell ref="T26:T27"/>
    <mergeCell ref="U26:V27"/>
    <mergeCell ref="R29:S29"/>
  </mergeCells>
  <conditionalFormatting sqref="G13:N13">
    <cfRule type="expression" dxfId="4" priority="6">
      <formula>$D$13="Fixed"</formula>
    </cfRule>
  </conditionalFormatting>
  <conditionalFormatting sqref="D15:H15">
    <cfRule type="expression" dxfId="3" priority="4">
      <formula>$D$13="Floating"</formula>
    </cfRule>
  </conditionalFormatting>
  <conditionalFormatting sqref="R15:T15">
    <cfRule type="expression" dxfId="2" priority="3">
      <formula>$R$13="Floating"</formula>
    </cfRule>
  </conditionalFormatting>
  <conditionalFormatting sqref="T13:Z13">
    <cfRule type="expression" dxfId="1" priority="1">
      <formula>$R$13="Fixed"</formula>
    </cfRule>
  </conditionalFormatting>
  <dataValidations count="15">
    <dataValidation type="list" allowBlank="1" showInputMessage="1" showErrorMessage="1" sqref="K13" xr:uid="{00000000-0002-0000-0000-000000000000}">
      <formula1>INDIRECT(AD12)</formula1>
    </dataValidation>
    <dataValidation type="list" allowBlank="1" showInputMessage="1" showErrorMessage="1" sqref="W13" xr:uid="{00000000-0002-0000-0000-000001000000}">
      <formula1>INDIRECT(AD13)</formula1>
    </dataValidation>
    <dataValidation type="list" allowBlank="1" showInputMessage="1" showErrorMessage="1" sqref="T10 G9:H10 H13" xr:uid="{00000000-0002-0000-0000-000002000000}">
      <formula1>CurrencyList</formula1>
    </dataValidation>
    <dataValidation type="list" allowBlank="1" showInputMessage="1" showErrorMessage="1" sqref="D13:E13" xr:uid="{00000000-0002-0000-0000-000003000000}">
      <formula1>CapFloorType</formula1>
    </dataValidation>
    <dataValidation type="list" allowBlank="1" showInputMessage="1" showErrorMessage="1" sqref="D19:E19" xr:uid="{00000000-0002-0000-0000-000004000000}">
      <formula1>PaymentTenor</formula1>
    </dataValidation>
    <dataValidation type="list" allowBlank="1" showInputMessage="1" showErrorMessage="1" sqref="G19:H19" xr:uid="{00000000-0002-0000-0000-000005000000}">
      <formula1>Adjustment</formula1>
    </dataValidation>
    <dataValidation type="list" allowBlank="1" showInputMessage="1" showErrorMessage="1" sqref="K19" xr:uid="{00000000-0002-0000-0000-000006000000}">
      <formula1>DayCount</formula1>
    </dataValidation>
    <dataValidation type="list" allowBlank="1" showInputMessage="1" showErrorMessage="1" sqref="S9:S10 D10:E10 R10 F9:F10" xr:uid="{00000000-0002-0000-0000-000007000000}">
      <formula1>BuySellType</formula1>
    </dataValidation>
    <dataValidation type="list" allowBlank="1" showInputMessage="1" showErrorMessage="1" sqref="H29" xr:uid="{00000000-0002-0000-0000-000008000000}">
      <formula1>CreditRatings</formula1>
    </dataValidation>
    <dataValidation type="list" allowBlank="1" showInputMessage="1" showErrorMessage="1" sqref="M19" xr:uid="{00000000-0002-0000-0000-000009000000}">
      <formula1>PaymentType</formula1>
    </dataValidation>
    <dataValidation type="list" allowBlank="1" showInputMessage="1" showErrorMessage="1" sqref="Y25" xr:uid="{00000000-0002-0000-0000-00000A000000}">
      <formula1>EODMarketIndexTenor</formula1>
    </dataValidation>
    <dataValidation type="list" allowBlank="1" showInputMessage="1" showErrorMessage="1" sqref="D29:E29" xr:uid="{00000000-0002-0000-0000-00000B000000}">
      <formula1>LGDCounterParty</formula1>
    </dataValidation>
    <dataValidation type="list" allowBlank="1" showInputMessage="1" showErrorMessage="1" sqref="G29" xr:uid="{00000000-0002-0000-0000-00000C000000}">
      <formula1>LendingCategoryTypes</formula1>
    </dataValidation>
    <dataValidation type="list" allowBlank="1" showInputMessage="1" showErrorMessage="1" sqref="I29" xr:uid="{00000000-0002-0000-0000-00000D000000}">
      <formula1>CreditRegion</formula1>
    </dataValidation>
    <dataValidation type="list" allowBlank="1" showInputMessage="1" showErrorMessage="1" sqref="R29" xr:uid="{00000000-0002-0000-0000-00000E000000}">
      <formula1>AmortBasis</formula1>
    </dataValidation>
  </dataValidations>
  <hyperlinks>
    <hyperlink ref="K5" location="Trade!A1" display="Value Date" xr:uid="{00000000-0004-0000-0000-000000000000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H85"/>
  <sheetViews>
    <sheetView workbookViewId="0">
      <selection activeCell="I3" sqref="I3"/>
    </sheetView>
  </sheetViews>
  <sheetFormatPr defaultRowHeight="12.75"/>
  <cols>
    <col min="1" max="1" width="1.140625" style="36" customWidth="1"/>
    <col min="2" max="2" width="5" style="41" customWidth="1"/>
    <col min="3" max="3" width="5.42578125" style="36" bestFit="1" customWidth="1"/>
    <col min="4" max="16" width="12.42578125" style="36" customWidth="1"/>
    <col min="17" max="17" width="6.7109375" style="139" customWidth="1"/>
    <col min="18" max="18" width="5.7109375" style="140" customWidth="1"/>
    <col min="19" max="19" width="36.140625" style="36" hidden="1" customWidth="1"/>
    <col min="20" max="20" width="29.7109375" style="36" hidden="1" customWidth="1"/>
    <col min="21" max="16384" width="9.140625" style="36"/>
  </cols>
  <sheetData>
    <row r="1" spans="1:34" ht="33" customHeight="1">
      <c r="A1" s="163"/>
      <c r="B1" s="373" t="s">
        <v>292</v>
      </c>
      <c r="C1" s="373"/>
      <c r="D1" s="373"/>
      <c r="E1" s="373"/>
      <c r="F1" s="373"/>
      <c r="G1" s="373"/>
      <c r="H1" s="373"/>
      <c r="I1" s="373"/>
      <c r="J1" s="374"/>
      <c r="K1" s="374"/>
      <c r="L1" s="374"/>
      <c r="M1" s="374"/>
      <c r="N1" s="168"/>
      <c r="O1" s="168"/>
      <c r="P1" s="168"/>
      <c r="Q1" s="168"/>
      <c r="R1" s="163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"/>
      <c r="AE1" s="3"/>
      <c r="AF1" s="3"/>
      <c r="AG1" s="3"/>
      <c r="AH1" s="3"/>
    </row>
    <row r="2" spans="1:34" ht="9.75" customHeight="1" thickBot="1">
      <c r="B2" s="36"/>
      <c r="C2" s="41"/>
      <c r="E2" s="75"/>
      <c r="Q2" s="75"/>
      <c r="R2" s="36"/>
      <c r="S2" s="270" t="s">
        <v>190</v>
      </c>
      <c r="T2" s="136"/>
    </row>
    <row r="3" spans="1:34" ht="18" customHeight="1" thickTop="1" thickBot="1">
      <c r="B3" s="36"/>
      <c r="D3" s="375" t="s">
        <v>289</v>
      </c>
      <c r="E3" s="376"/>
      <c r="F3" s="169"/>
      <c r="G3" s="325" t="s">
        <v>293</v>
      </c>
      <c r="H3" s="169"/>
      <c r="I3" s="325" t="s">
        <v>316</v>
      </c>
      <c r="J3" s="384" t="str">
        <f>PayCurrency&amp;" "&amp;PayStreamType&amp;"-"&amp;ReceiveStreamType</f>
        <v>AUD Fixed-Floating</v>
      </c>
      <c r="K3" s="385"/>
      <c r="L3" s="386">
        <f>BasisNotional</f>
        <v>100000000</v>
      </c>
      <c r="M3" s="386"/>
      <c r="N3" s="386"/>
      <c r="O3" s="332" t="s">
        <v>330</v>
      </c>
      <c r="P3" s="341" t="s">
        <v>97</v>
      </c>
      <c r="Q3" s="36"/>
      <c r="R3" s="75"/>
      <c r="S3" s="269" t="s">
        <v>191</v>
      </c>
      <c r="T3" s="179" t="s">
        <v>192</v>
      </c>
    </row>
    <row r="4" spans="1:34" ht="14.25" customHeight="1" thickTop="1" thickBot="1">
      <c r="B4" s="36"/>
      <c r="C4" s="41"/>
      <c r="D4" s="41"/>
      <c r="E4" s="41"/>
      <c r="F4" s="41"/>
      <c r="G4" s="75"/>
      <c r="Q4" s="75"/>
      <c r="R4" s="36"/>
      <c r="S4" s="179" t="s">
        <v>60</v>
      </c>
      <c r="T4" s="182">
        <f>StartDate</f>
        <v>40417</v>
      </c>
    </row>
    <row r="5" spans="1:34" ht="18.75" customHeight="1" thickTop="1" thickBot="1">
      <c r="B5" s="300"/>
      <c r="C5" s="300"/>
      <c r="D5" s="377" t="s">
        <v>313</v>
      </c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9"/>
      <c r="Q5" s="166"/>
      <c r="R5" s="36"/>
      <c r="S5" s="179" t="s">
        <v>61</v>
      </c>
      <c r="T5" s="181"/>
    </row>
    <row r="6" spans="1:34" ht="29.25" customHeight="1" thickTop="1" thickBot="1">
      <c r="C6" s="263"/>
      <c r="D6" s="309">
        <v>1</v>
      </c>
      <c r="E6" s="310">
        <v>10</v>
      </c>
      <c r="F6" s="310"/>
      <c r="G6" s="310"/>
      <c r="H6" s="310"/>
      <c r="I6" s="310"/>
      <c r="J6" s="310"/>
      <c r="K6" s="310"/>
      <c r="L6" s="310"/>
      <c r="M6" s="310"/>
      <c r="N6" s="310"/>
      <c r="O6" s="310"/>
      <c r="P6" s="311"/>
      <c r="Q6" s="165"/>
      <c r="R6" s="36"/>
      <c r="S6" s="179" t="s">
        <v>62</v>
      </c>
      <c r="T6" s="181" t="b">
        <v>1</v>
      </c>
    </row>
    <row r="7" spans="1:34" ht="26.25" customHeight="1" thickTop="1" thickBot="1">
      <c r="B7" s="380" t="s">
        <v>314</v>
      </c>
      <c r="C7" s="306" t="s">
        <v>36</v>
      </c>
      <c r="D7" s="334"/>
      <c r="E7" s="334"/>
      <c r="F7" s="334"/>
      <c r="G7" s="334"/>
      <c r="H7" s="334"/>
      <c r="I7" s="335"/>
      <c r="J7" s="335"/>
      <c r="K7" s="335"/>
      <c r="L7" s="335"/>
      <c r="M7" s="335"/>
      <c r="N7" s="335"/>
      <c r="O7" s="335"/>
      <c r="P7" s="336"/>
      <c r="Q7" s="167"/>
      <c r="R7" s="36"/>
      <c r="S7" s="179" t="s">
        <v>193</v>
      </c>
      <c r="T7" s="181" t="s">
        <v>194</v>
      </c>
    </row>
    <row r="8" spans="1:34" ht="26.25" customHeight="1" thickTop="1" thickBot="1">
      <c r="B8" s="381"/>
      <c r="C8" s="307" t="s">
        <v>241</v>
      </c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8"/>
      <c r="Q8" s="167"/>
      <c r="R8" s="36"/>
      <c r="S8" s="179" t="s">
        <v>57</v>
      </c>
      <c r="T8" s="181" t="s">
        <v>195</v>
      </c>
    </row>
    <row r="9" spans="1:34" ht="26.25" customHeight="1" thickTop="1" thickBot="1">
      <c r="B9" s="381"/>
      <c r="C9" s="307" t="s">
        <v>246</v>
      </c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8"/>
      <c r="Q9" s="167"/>
      <c r="R9" s="36"/>
      <c r="S9" s="179" t="s">
        <v>196</v>
      </c>
      <c r="T9" s="181" t="str">
        <f>Trade!G9&amp;"-"&amp;Trade!T9</f>
        <v>AUD-AUD</v>
      </c>
    </row>
    <row r="10" spans="1:34" ht="26.25" customHeight="1" thickTop="1" thickBot="1">
      <c r="B10" s="381"/>
      <c r="C10" s="307" t="s">
        <v>252</v>
      </c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8"/>
      <c r="Q10" s="167"/>
      <c r="R10" s="36"/>
      <c r="S10" s="179" t="s">
        <v>63</v>
      </c>
      <c r="T10" s="181">
        <f>Trade!I9</f>
        <v>100000000</v>
      </c>
    </row>
    <row r="11" spans="1:34" ht="26.25" customHeight="1" thickTop="1" thickBot="1">
      <c r="B11" s="381"/>
      <c r="C11" s="307" t="s">
        <v>256</v>
      </c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8"/>
      <c r="Q11" s="167"/>
      <c r="R11" s="36"/>
      <c r="S11" s="179" t="s">
        <v>197</v>
      </c>
      <c r="T11" s="181" t="str">
        <f>PayCurrency</f>
        <v>AUD</v>
      </c>
    </row>
    <row r="12" spans="1:34" ht="26.25" customHeight="1" thickTop="1" thickBot="1">
      <c r="B12" s="381"/>
      <c r="C12" s="307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8"/>
      <c r="Q12" s="167"/>
      <c r="R12" s="36"/>
      <c r="S12" s="179" t="s">
        <v>198</v>
      </c>
      <c r="T12" s="181">
        <f>Trade!$I$9/Trade!$I$9</f>
        <v>1</v>
      </c>
    </row>
    <row r="13" spans="1:34" ht="26.25" customHeight="1" thickTop="1" thickBot="1">
      <c r="B13" s="381"/>
      <c r="C13" s="30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8"/>
      <c r="Q13" s="167"/>
      <c r="R13" s="36"/>
      <c r="S13" s="179" t="s">
        <v>199</v>
      </c>
      <c r="T13" s="181">
        <f>Trade!$I$9/Trade!$I$9</f>
        <v>1</v>
      </c>
    </row>
    <row r="14" spans="1:34" ht="26.25" customHeight="1" thickTop="1" thickBot="1">
      <c r="B14" s="381"/>
      <c r="C14" s="307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8"/>
      <c r="Q14" s="167"/>
      <c r="R14" s="36"/>
      <c r="S14" s="179" t="s">
        <v>200</v>
      </c>
      <c r="T14" s="181">
        <f>Trade!$I$9/Trade!$I$9</f>
        <v>1</v>
      </c>
    </row>
    <row r="15" spans="1:34" ht="26.25" customHeight="1" thickTop="1" thickBot="1">
      <c r="B15" s="381"/>
      <c r="C15" s="307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8"/>
      <c r="Q15" s="167"/>
      <c r="R15" s="36"/>
      <c r="S15" s="179" t="s">
        <v>201</v>
      </c>
      <c r="T15" s="181" t="b">
        <f>IF(PayCurrency=ReceiveCurrency, FALSE, TRUE)</f>
        <v>0</v>
      </c>
    </row>
    <row r="16" spans="1:34" ht="26.25" customHeight="1" thickTop="1" thickBot="1">
      <c r="B16" s="381"/>
      <c r="C16" s="307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8"/>
      <c r="Q16" s="167"/>
      <c r="R16" s="36"/>
      <c r="S16" s="179" t="s">
        <v>202</v>
      </c>
      <c r="T16" s="181" t="b">
        <f>IF(PayCurrency=ReceiveCurrency, FALSE, TRUE)</f>
        <v>0</v>
      </c>
    </row>
    <row r="17" spans="2:22" ht="26.25" customHeight="1" thickTop="1" thickBot="1">
      <c r="B17" s="381"/>
      <c r="C17" s="307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8"/>
      <c r="Q17" s="167"/>
      <c r="R17" s="36"/>
      <c r="S17" s="179" t="s">
        <v>203</v>
      </c>
      <c r="T17" s="181" t="str">
        <f>VLOOKUP(PayCurrency,CurrencyTable,2,FALSE)</f>
        <v>Sydney</v>
      </c>
    </row>
    <row r="18" spans="2:22" ht="26.25" customHeight="1" thickTop="1" thickBot="1">
      <c r="B18" s="381"/>
      <c r="C18" s="307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8"/>
      <c r="Q18" s="167"/>
      <c r="R18" s="36"/>
      <c r="S18" s="179" t="s">
        <v>204</v>
      </c>
      <c r="T18" s="181" t="str">
        <f>PayAdjustment</f>
        <v>MODFOLLOWING</v>
      </c>
    </row>
    <row r="19" spans="2:22" ht="26.25" customHeight="1" thickTop="1">
      <c r="B19" s="381"/>
      <c r="C19" s="307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8"/>
      <c r="Q19" s="167"/>
      <c r="R19" s="36"/>
      <c r="S19" s="137"/>
      <c r="T19" s="138"/>
    </row>
    <row r="20" spans="2:22" ht="26.25" customHeight="1" thickBot="1">
      <c r="B20" s="381"/>
      <c r="C20" s="307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8"/>
      <c r="Q20" s="167"/>
      <c r="R20" s="36"/>
      <c r="S20" s="271" t="s">
        <v>182</v>
      </c>
      <c r="T20" s="136"/>
    </row>
    <row r="21" spans="2:22" ht="26.25" customHeight="1" thickTop="1" thickBot="1">
      <c r="B21" s="381"/>
      <c r="C21" s="307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8"/>
      <c r="Q21" s="167"/>
      <c r="R21" s="36"/>
      <c r="S21" s="269" t="s">
        <v>205</v>
      </c>
      <c r="T21" s="181" t="str">
        <f>PayStreamType</f>
        <v>Fixed</v>
      </c>
    </row>
    <row r="22" spans="2:22" ht="26.25" customHeight="1" thickTop="1" thickBot="1">
      <c r="B22" s="382"/>
      <c r="C22" s="308"/>
      <c r="D22" s="333"/>
      <c r="E22" s="339"/>
      <c r="F22" s="339"/>
      <c r="G22" s="339"/>
      <c r="H22" s="339"/>
      <c r="I22" s="339"/>
      <c r="J22" s="339"/>
      <c r="K22" s="339"/>
      <c r="L22" s="339"/>
      <c r="M22" s="339"/>
      <c r="N22" s="339"/>
      <c r="O22" s="339"/>
      <c r="P22" s="340"/>
      <c r="Q22" s="167"/>
      <c r="R22" s="36"/>
      <c r="S22" s="180" t="s">
        <v>63</v>
      </c>
      <c r="T22" s="181">
        <f>Trade!I9</f>
        <v>100000000</v>
      </c>
    </row>
    <row r="23" spans="2:22" ht="16.5" thickTop="1" thickBot="1">
      <c r="B23" s="36"/>
      <c r="C23" s="141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36"/>
      <c r="S23" s="180" t="s">
        <v>2</v>
      </c>
      <c r="T23" s="181" t="str">
        <f>PayCurrency</f>
        <v>AUD</v>
      </c>
    </row>
    <row r="24" spans="2:22" ht="17.25" thickTop="1" thickBot="1">
      <c r="B24" s="36"/>
      <c r="C24" s="141"/>
      <c r="D24" s="383" t="s">
        <v>315</v>
      </c>
      <c r="E24" s="383"/>
      <c r="F24" s="383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36"/>
      <c r="S24" s="180" t="s">
        <v>64</v>
      </c>
      <c r="T24" s="181" t="s">
        <v>65</v>
      </c>
    </row>
    <row r="25" spans="2:22" ht="16.5" thickTop="1" thickBot="1">
      <c r="B25" s="36"/>
      <c r="C25" s="141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36"/>
      <c r="S25" s="180" t="s">
        <v>66</v>
      </c>
      <c r="T25" s="181" t="str">
        <f>VLOOKUP(PayCurrency,CurrencyTable,2,FALSE)</f>
        <v>Sydney</v>
      </c>
    </row>
    <row r="26" spans="2:22" ht="16.5" thickTop="1" thickBot="1">
      <c r="B26" s="36"/>
      <c r="C26" s="141"/>
      <c r="D26" s="30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36"/>
      <c r="S26" s="180" t="s">
        <v>67</v>
      </c>
      <c r="T26" s="181" t="str">
        <f>PayInterval</f>
        <v>6M</v>
      </c>
    </row>
    <row r="27" spans="2:22" ht="16.5" thickTop="1" thickBot="1">
      <c r="B27" s="36"/>
      <c r="C27" s="141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36"/>
      <c r="S27" s="180" t="s">
        <v>68</v>
      </c>
      <c r="T27" s="181">
        <f>DAY(StartDate)</f>
        <v>27</v>
      </c>
    </row>
    <row r="28" spans="2:22" ht="16.5" thickTop="1" thickBot="1">
      <c r="B28" s="36"/>
      <c r="C28" s="141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36"/>
      <c r="S28" s="180" t="s">
        <v>69</v>
      </c>
      <c r="T28" s="181" t="str">
        <f>PayAdjustment</f>
        <v>MODFOLLOWING</v>
      </c>
    </row>
    <row r="29" spans="2:22" ht="16.5" thickTop="1" thickBot="1">
      <c r="B29" s="36"/>
      <c r="C29" s="141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36"/>
      <c r="S29" s="180" t="s">
        <v>70</v>
      </c>
      <c r="T29" s="181" t="str">
        <f>PayDayCount</f>
        <v>ACT/365.FIXED</v>
      </c>
    </row>
    <row r="30" spans="2:22" ht="16.5" thickTop="1" thickBot="1">
      <c r="B30" s="36"/>
      <c r="C30" s="141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36"/>
      <c r="S30" s="180" t="s">
        <v>71</v>
      </c>
      <c r="T30" s="181" t="str">
        <f>IF(PayPaymentIn="Advance", "FRA", "Standard")</f>
        <v>Standard</v>
      </c>
    </row>
    <row r="31" spans="2:22" ht="16.5" thickTop="1" thickBot="1">
      <c r="B31" s="36"/>
      <c r="C31" s="141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36"/>
      <c r="S31" s="180" t="s">
        <v>73</v>
      </c>
      <c r="T31" s="181" t="str">
        <f>"RateCurve."&amp;Trade!G13&amp;"-"&amp;U31&amp;"-"&amp;V31</f>
        <v>RateCurve.AUD-ZERO-BANK-3M</v>
      </c>
      <c r="U31" s="36" t="str">
        <f>IF(PayStreamType="Floating",VLOOKUP(PayRateIndex,'Market Rates'!R6:S9,2,FALSE), VLOOKUP(ReceiveRateIndex,'Market Rates'!R6:S9,2,FALSE))</f>
        <v>ZERO-BANK</v>
      </c>
      <c r="V31" s="36" t="str">
        <f>IF(PayStreamType="Floating",PayRateIndexTenor, ReceiveRateIndexTenor)</f>
        <v>3M</v>
      </c>
    </row>
    <row r="32" spans="2:22" ht="16.5" thickTop="1" thickBot="1">
      <c r="B32" s="36"/>
      <c r="C32" s="141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36"/>
      <c r="S32" s="180" t="s">
        <v>206</v>
      </c>
      <c r="T32" s="181">
        <f>IF(PayStreamType="Fixed",PayFixedRate,0)</f>
        <v>0.04</v>
      </c>
      <c r="U32" s="372"/>
      <c r="V32" s="372"/>
    </row>
    <row r="33" spans="2:22" ht="16.5" thickTop="1" thickBot="1">
      <c r="B33" s="36"/>
      <c r="C33" s="141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36"/>
      <c r="S33" s="180" t="s">
        <v>74</v>
      </c>
      <c r="T33" s="181" t="b">
        <v>0</v>
      </c>
    </row>
    <row r="34" spans="2:22" ht="16.5" thickTop="1" thickBot="1">
      <c r="B34" s="36"/>
      <c r="C34" s="141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36"/>
      <c r="S34" s="180" t="s">
        <v>75</v>
      </c>
      <c r="T34" s="181" t="str">
        <f>"RateCurve."&amp;Trade!G13&amp;"-"&amp;U34&amp;"-"&amp;V34</f>
        <v>RateCurve.AUD-ZERO-BANK-3M</v>
      </c>
      <c r="U34" s="36" t="str">
        <f>U31</f>
        <v>ZERO-BANK</v>
      </c>
      <c r="V34" s="36" t="str">
        <f>V31</f>
        <v>3M</v>
      </c>
    </row>
    <row r="35" spans="2:22" ht="16.5" thickTop="1" thickBot="1">
      <c r="B35" s="36"/>
      <c r="C35" s="141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36"/>
      <c r="S35" s="180" t="s">
        <v>76</v>
      </c>
      <c r="T35" s="181" t="str">
        <f>VLOOKUP(PayCurrency,CurrencyTable,2,FALSE)</f>
        <v>Sydney</v>
      </c>
    </row>
    <row r="36" spans="2:22" ht="16.5" thickTop="1" thickBot="1">
      <c r="B36" s="36"/>
      <c r="C36" s="141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36"/>
      <c r="S36" s="180" t="s">
        <v>77</v>
      </c>
      <c r="T36" s="181" t="s">
        <v>78</v>
      </c>
    </row>
    <row r="37" spans="2:22" ht="16.5" thickTop="1" thickBot="1">
      <c r="B37" s="36"/>
      <c r="C37" s="141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36"/>
      <c r="S37" s="180" t="s">
        <v>79</v>
      </c>
      <c r="T37" s="181" t="s">
        <v>49</v>
      </c>
    </row>
    <row r="38" spans="2:22" ht="16.5" thickTop="1" thickBot="1">
      <c r="B38" s="36"/>
      <c r="C38" s="141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36"/>
      <c r="S38" s="180" t="s">
        <v>80</v>
      </c>
      <c r="T38" s="181" t="str">
        <f>PayRateIndex</f>
        <v>EOD</v>
      </c>
    </row>
    <row r="39" spans="2:22" ht="16.5" thickTop="1" thickBot="1">
      <c r="B39" s="36"/>
      <c r="C39" s="141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36"/>
      <c r="S39" s="180" t="s">
        <v>81</v>
      </c>
      <c r="T39" s="181" t="str">
        <f>PayRateIndexTenor</f>
        <v>3M</v>
      </c>
    </row>
    <row r="40" spans="2:22" ht="16.5" thickTop="1" thickBot="1">
      <c r="B40" s="36"/>
      <c r="C40" s="141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36"/>
      <c r="S40" s="180" t="s">
        <v>82</v>
      </c>
      <c r="T40" s="181">
        <f>IF(PayStreamType="Floating",PaySpread,0)</f>
        <v>0</v>
      </c>
    </row>
    <row r="41" spans="2:22" ht="13.5" thickTop="1">
      <c r="B41" s="36"/>
      <c r="C41" s="141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36"/>
      <c r="S41" s="137"/>
      <c r="T41" s="138"/>
    </row>
    <row r="42" spans="2:22" ht="13.5" thickBot="1">
      <c r="B42" s="36"/>
      <c r="C42" s="141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36"/>
      <c r="S42" s="271" t="s">
        <v>183</v>
      </c>
      <c r="T42" s="136"/>
    </row>
    <row r="43" spans="2:22" ht="16.5" thickTop="1" thickBot="1">
      <c r="B43" s="36"/>
      <c r="C43" s="141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36"/>
      <c r="S43" s="272" t="s">
        <v>205</v>
      </c>
      <c r="T43" s="181" t="str">
        <f>ReceiveStreamType</f>
        <v>Floating</v>
      </c>
    </row>
    <row r="44" spans="2:22" ht="16.5" thickTop="1" thickBot="1">
      <c r="B44" s="36"/>
      <c r="C44" s="141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36"/>
      <c r="S44" s="180" t="s">
        <v>63</v>
      </c>
      <c r="T44" s="181">
        <f>Trade!I9</f>
        <v>100000000</v>
      </c>
    </row>
    <row r="45" spans="2:22" ht="16.5" thickTop="1" thickBot="1">
      <c r="B45" s="36"/>
      <c r="C45" s="142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133"/>
      <c r="Q45" s="75"/>
      <c r="R45" s="36"/>
      <c r="S45" s="180" t="s">
        <v>2</v>
      </c>
      <c r="T45" s="181" t="str">
        <f>ReceiveCurrency</f>
        <v>AUD</v>
      </c>
    </row>
    <row r="46" spans="2:22" ht="16.5" thickTop="1" thickBot="1">
      <c r="B46" s="36"/>
      <c r="C46" s="143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5"/>
      <c r="Q46" s="75"/>
      <c r="R46" s="36"/>
      <c r="S46" s="180" t="s">
        <v>64</v>
      </c>
      <c r="T46" s="181" t="s">
        <v>65</v>
      </c>
    </row>
    <row r="47" spans="2:22" ht="16.5" thickTop="1" thickBot="1">
      <c r="B47" s="36"/>
      <c r="C47" s="41"/>
      <c r="Q47" s="36"/>
      <c r="R47" s="36"/>
      <c r="S47" s="180" t="s">
        <v>66</v>
      </c>
      <c r="T47" s="181" t="str">
        <f>VLOOKUP(ReceiveCurrency,CurrencyTable,2,FALSE)</f>
        <v>Sydney</v>
      </c>
    </row>
    <row r="48" spans="2:22" ht="16.5" thickTop="1" thickBot="1">
      <c r="B48" s="36"/>
      <c r="C48" s="41"/>
      <c r="Q48" s="36"/>
      <c r="R48" s="36"/>
      <c r="S48" s="180" t="s">
        <v>67</v>
      </c>
      <c r="T48" s="181" t="str">
        <f>ReceiveInterval</f>
        <v>6M</v>
      </c>
    </row>
    <row r="49" spans="2:22" ht="16.5" thickTop="1" thickBot="1">
      <c r="B49" s="36"/>
      <c r="C49" s="41"/>
      <c r="Q49" s="36"/>
      <c r="R49" s="36"/>
      <c r="S49" s="180" t="s">
        <v>68</v>
      </c>
      <c r="T49" s="181">
        <f>DAY(StartDate)</f>
        <v>27</v>
      </c>
    </row>
    <row r="50" spans="2:22" ht="16.5" thickTop="1" thickBot="1">
      <c r="B50" s="36"/>
      <c r="C50" s="41"/>
      <c r="Q50" s="36"/>
      <c r="R50" s="36"/>
      <c r="S50" s="180" t="s">
        <v>69</v>
      </c>
      <c r="T50" s="181" t="str">
        <f>ReceiveAdjustment</f>
        <v>MODFOLLOWING</v>
      </c>
    </row>
    <row r="51" spans="2:22" ht="16.5" thickTop="1" thickBot="1">
      <c r="B51" s="36"/>
      <c r="C51" s="41"/>
      <c r="Q51" s="36"/>
      <c r="R51" s="36"/>
      <c r="S51" s="180" t="s">
        <v>70</v>
      </c>
      <c r="T51" s="181" t="str">
        <f>ReceiveDayCount</f>
        <v>ACT/365.FIXED</v>
      </c>
    </row>
    <row r="52" spans="2:22" ht="16.5" thickTop="1" thickBot="1">
      <c r="B52" s="36"/>
      <c r="C52" s="41"/>
      <c r="Q52" s="36"/>
      <c r="R52" s="36"/>
      <c r="S52" s="180" t="s">
        <v>71</v>
      </c>
      <c r="T52" s="181" t="str">
        <f>IF(ReceivePaymentIn="Advance", "FRA", "Standard")</f>
        <v>Standard</v>
      </c>
    </row>
    <row r="53" spans="2:22" ht="16.5" thickTop="1" thickBot="1">
      <c r="B53" s="36"/>
      <c r="C53" s="41"/>
      <c r="Q53" s="36"/>
      <c r="R53" s="36"/>
      <c r="S53" s="180" t="s">
        <v>73</v>
      </c>
      <c r="T53" s="181" t="str">
        <f>"RateCurve."&amp;Trade!T13&amp;"-"&amp;U53&amp;"-"&amp;V53</f>
        <v>RateCurve.AUD-ZERO-BANK-3M</v>
      </c>
      <c r="U53" s="36" t="str">
        <f>IF(ReceiveStreamType="Floating",VLOOKUP(ReceiveRateIndex,'Market Rates'!R6:S9,2,FALSE), VLOOKUP(PayRateIndex,'Market Rates'!R6:S9,2,FALSE))</f>
        <v>ZERO-BANK</v>
      </c>
      <c r="V53" s="36" t="str">
        <f>IF(ReceiveStreamType="Floating",ReceiveRateIndexTenor, PayRateIndexTenor)</f>
        <v>3M</v>
      </c>
    </row>
    <row r="54" spans="2:22" ht="16.5" thickTop="1" thickBot="1">
      <c r="B54" s="36"/>
      <c r="C54" s="41"/>
      <c r="Q54" s="36"/>
      <c r="R54" s="36"/>
      <c r="S54" s="180" t="s">
        <v>206</v>
      </c>
      <c r="T54" s="181">
        <f>IF(ReceiveStreamType="Fixed",ReceiveFixedRate,0)</f>
        <v>0</v>
      </c>
    </row>
    <row r="55" spans="2:22" ht="16.5" thickTop="1" thickBot="1">
      <c r="B55" s="36"/>
      <c r="C55" s="41"/>
      <c r="Q55" s="36"/>
      <c r="R55" s="36"/>
      <c r="S55" s="180" t="s">
        <v>74</v>
      </c>
      <c r="T55" s="181" t="b">
        <v>0</v>
      </c>
    </row>
    <row r="56" spans="2:22" ht="16.5" thickTop="1" thickBot="1">
      <c r="B56" s="36"/>
      <c r="C56" s="41"/>
      <c r="Q56" s="36"/>
      <c r="R56" s="36"/>
      <c r="S56" s="180" t="s">
        <v>75</v>
      </c>
      <c r="T56" s="181" t="str">
        <f>"RateCurve."&amp;Trade!T13&amp;"-"&amp;U56&amp;"-"&amp;V56</f>
        <v>RateCurve.AUD-ZERO-BANK-3M</v>
      </c>
      <c r="U56" s="36" t="str">
        <f>U53</f>
        <v>ZERO-BANK</v>
      </c>
      <c r="V56" s="36" t="str">
        <f>V53</f>
        <v>3M</v>
      </c>
    </row>
    <row r="57" spans="2:22" ht="16.5" thickTop="1" thickBot="1">
      <c r="B57" s="36"/>
      <c r="C57" s="41"/>
      <c r="Q57" s="36"/>
      <c r="R57" s="36"/>
      <c r="S57" s="180" t="s">
        <v>76</v>
      </c>
      <c r="T57" s="181" t="str">
        <f>VLOOKUP(ReceiveCurrency,CurrencyTable,2,FALSE)</f>
        <v>Sydney</v>
      </c>
    </row>
    <row r="58" spans="2:22" ht="16.5" thickTop="1" thickBot="1">
      <c r="B58" s="36"/>
      <c r="C58" s="41"/>
      <c r="Q58" s="36"/>
      <c r="R58" s="36"/>
      <c r="S58" s="180" t="s">
        <v>77</v>
      </c>
      <c r="T58" s="181" t="s">
        <v>78</v>
      </c>
    </row>
    <row r="59" spans="2:22" ht="16.5" thickTop="1" thickBot="1">
      <c r="B59" s="36"/>
      <c r="C59" s="41"/>
      <c r="Q59" s="36"/>
      <c r="R59" s="36"/>
      <c r="S59" s="180" t="s">
        <v>79</v>
      </c>
      <c r="T59" s="181" t="s">
        <v>49</v>
      </c>
    </row>
    <row r="60" spans="2:22" ht="16.5" thickTop="1" thickBot="1">
      <c r="B60" s="36"/>
      <c r="C60" s="41"/>
      <c r="Q60" s="36"/>
      <c r="R60" s="36"/>
      <c r="S60" s="180" t="s">
        <v>80</v>
      </c>
      <c r="T60" s="181" t="str">
        <f>ReceiveRateIndex</f>
        <v>EOD</v>
      </c>
    </row>
    <row r="61" spans="2:22" ht="16.5" thickTop="1" thickBot="1">
      <c r="B61" s="36"/>
      <c r="C61" s="41"/>
      <c r="Q61" s="36"/>
      <c r="R61" s="36"/>
      <c r="S61" s="180" t="s">
        <v>81</v>
      </c>
      <c r="T61" s="181" t="str">
        <f>ReceiveRateIndexTenor</f>
        <v>3M</v>
      </c>
    </row>
    <row r="62" spans="2:22" ht="16.5" thickTop="1" thickBot="1">
      <c r="B62" s="36"/>
      <c r="C62" s="41"/>
      <c r="Q62" s="36"/>
      <c r="R62" s="36"/>
      <c r="S62" s="180" t="s">
        <v>82</v>
      </c>
      <c r="T62" s="181">
        <f>IF(ReceiveStreamType="Floating",ReceiveSpread,0)</f>
        <v>0</v>
      </c>
    </row>
    <row r="63" spans="2:22" ht="13.5" thickTop="1">
      <c r="B63" s="36"/>
      <c r="C63" s="41"/>
      <c r="Q63" s="36"/>
      <c r="R63" s="36"/>
      <c r="S63" s="137"/>
      <c r="T63" s="138"/>
    </row>
    <row r="64" spans="2:22" ht="13.5" thickBot="1">
      <c r="B64" s="36"/>
      <c r="C64" s="41"/>
      <c r="Q64" s="36"/>
      <c r="R64" s="36"/>
      <c r="S64" s="273" t="s">
        <v>207</v>
      </c>
      <c r="T64" s="136"/>
    </row>
    <row r="65" spans="2:20" ht="16.5" thickTop="1" thickBot="1">
      <c r="B65" s="36"/>
      <c r="C65" s="41"/>
      <c r="Q65" s="36"/>
      <c r="R65" s="36"/>
      <c r="S65" s="272" t="s">
        <v>208</v>
      </c>
      <c r="T65" s="182">
        <f>Trade!M5</f>
        <v>40415</v>
      </c>
    </row>
    <row r="66" spans="2:20" ht="16.5" thickTop="1" thickBot="1">
      <c r="B66" s="36"/>
      <c r="C66" s="41"/>
      <c r="Q66" s="36"/>
      <c r="R66" s="36"/>
      <c r="S66" s="180" t="s">
        <v>33</v>
      </c>
      <c r="T66" s="181" t="str">
        <f>PayRateIndex</f>
        <v>EOD</v>
      </c>
    </row>
    <row r="67" spans="2:20" ht="16.5" thickTop="1" thickBot="1">
      <c r="B67" s="36"/>
      <c r="C67" s="41"/>
      <c r="Q67" s="36"/>
      <c r="R67" s="36"/>
      <c r="S67" s="180" t="s">
        <v>209</v>
      </c>
      <c r="T67" s="181" t="str">
        <f>IF(PayStreamType="Fixed", "Pay", "Receive")</f>
        <v>Pay</v>
      </c>
    </row>
    <row r="68" spans="2:20" ht="13.5" thickTop="1">
      <c r="B68" s="36"/>
      <c r="C68" s="41"/>
      <c r="Q68" s="36"/>
      <c r="R68" s="36"/>
      <c r="S68" s="137"/>
      <c r="T68" s="138"/>
    </row>
    <row r="69" spans="2:20" ht="13.5" thickBot="1">
      <c r="B69" s="36"/>
      <c r="C69" s="41"/>
      <c r="Q69" s="36"/>
      <c r="R69" s="36"/>
      <c r="S69" s="273" t="s">
        <v>210</v>
      </c>
      <c r="T69" s="136"/>
    </row>
    <row r="70" spans="2:20" ht="16.5" thickTop="1" thickBot="1">
      <c r="B70" s="36"/>
      <c r="C70" s="41"/>
      <c r="Q70" s="36"/>
      <c r="R70" s="36"/>
      <c r="S70" s="272" t="s">
        <v>211</v>
      </c>
      <c r="T70" s="181" t="e">
        <f ca="1">Trade!K29</f>
        <v>#NAME?</v>
      </c>
    </row>
    <row r="71" spans="2:20" ht="16.5" thickTop="1" thickBot="1">
      <c r="B71" s="36"/>
      <c r="C71" s="41"/>
      <c r="Q71" s="36"/>
      <c r="R71" s="36"/>
      <c r="S71" s="180" t="s">
        <v>212</v>
      </c>
      <c r="T71" s="181" t="str">
        <f>Trade!R29</f>
        <v>Max</v>
      </c>
    </row>
    <row r="72" spans="2:20" ht="16.5" thickTop="1" thickBot="1">
      <c r="B72" s="36"/>
      <c r="C72" s="41"/>
      <c r="Q72" s="36"/>
      <c r="R72" s="36"/>
      <c r="S72" s="180" t="s">
        <v>214</v>
      </c>
      <c r="T72" s="181">
        <f>Trade!T29</f>
        <v>0</v>
      </c>
    </row>
    <row r="73" spans="2:20" ht="16.5" thickTop="1" thickBot="1">
      <c r="B73" s="36"/>
      <c r="C73" s="41"/>
      <c r="Q73" s="36"/>
      <c r="R73" s="36"/>
      <c r="S73" s="180" t="s">
        <v>215</v>
      </c>
      <c r="T73" s="181">
        <f>Trade!U29</f>
        <v>0</v>
      </c>
    </row>
    <row r="74" spans="2:20" ht="16.5" thickTop="1" thickBot="1">
      <c r="B74" s="36"/>
      <c r="C74" s="41"/>
      <c r="Q74" s="36"/>
      <c r="R74" s="36"/>
      <c r="S74" s="180" t="s">
        <v>216</v>
      </c>
      <c r="T74" s="304">
        <f>Trade!W29</f>
        <v>0</v>
      </c>
    </row>
    <row r="75" spans="2:20" ht="16.5" thickTop="1" thickBot="1">
      <c r="B75" s="36"/>
      <c r="C75" s="41"/>
      <c r="Q75" s="36"/>
      <c r="R75" s="36"/>
      <c r="S75" s="180" t="s">
        <v>217</v>
      </c>
      <c r="T75" s="304">
        <f>Trade!Y29</f>
        <v>0</v>
      </c>
    </row>
    <row r="76" spans="2:20" ht="16.5" thickTop="1" thickBot="1">
      <c r="B76" s="36"/>
      <c r="C76" s="41"/>
      <c r="Q76" s="36"/>
      <c r="R76" s="36"/>
      <c r="S76" s="180" t="s">
        <v>218</v>
      </c>
      <c r="T76" s="181">
        <f>CreditTargetRoe</f>
        <v>0.2</v>
      </c>
    </row>
    <row r="77" spans="2:20" ht="16.5" thickTop="1" thickBot="1">
      <c r="B77" s="36"/>
      <c r="C77" s="41"/>
      <c r="Q77" s="36"/>
      <c r="R77" s="36"/>
      <c r="S77" s="180" t="s">
        <v>219</v>
      </c>
      <c r="T77" s="181">
        <v>0</v>
      </c>
    </row>
    <row r="78" spans="2:20" ht="16.5" thickTop="1" thickBot="1">
      <c r="B78" s="36"/>
      <c r="C78" s="41"/>
      <c r="Q78" s="36"/>
      <c r="R78" s="36"/>
      <c r="S78" s="180" t="s">
        <v>220</v>
      </c>
      <c r="T78" s="342">
        <f>BasisNotional</f>
        <v>100000000</v>
      </c>
    </row>
    <row r="79" spans="2:20" ht="16.5" thickTop="1" thickBot="1">
      <c r="B79" s="36"/>
      <c r="C79" s="41"/>
      <c r="Q79" s="36"/>
      <c r="R79" s="36"/>
      <c r="S79" s="180" t="s">
        <v>221</v>
      </c>
      <c r="T79" s="181">
        <v>0.1</v>
      </c>
    </row>
    <row r="80" spans="2:20" ht="16.5" thickTop="1" thickBot="1">
      <c r="B80" s="36"/>
      <c r="C80" s="41"/>
      <c r="Q80" s="36"/>
      <c r="R80" s="36"/>
      <c r="S80" s="180" t="s">
        <v>222</v>
      </c>
      <c r="T80" s="181">
        <v>1000</v>
      </c>
    </row>
    <row r="81" spans="2:20" ht="16.5" thickTop="1" thickBot="1">
      <c r="B81" s="36"/>
      <c r="C81" s="41"/>
      <c r="Q81" s="36"/>
      <c r="R81" s="36"/>
      <c r="S81" s="180" t="s">
        <v>223</v>
      </c>
      <c r="T81" s="181" t="str">
        <f>Trade!I29</f>
        <v>Australia</v>
      </c>
    </row>
    <row r="82" spans="2:20" ht="16.5" thickTop="1" thickBot="1">
      <c r="B82" s="36"/>
      <c r="C82" s="41"/>
      <c r="Q82" s="36"/>
      <c r="R82" s="36"/>
      <c r="S82" s="180" t="s">
        <v>225</v>
      </c>
      <c r="T82" s="181" t="str">
        <f>CreditLgdCounterparty</f>
        <v>Large Corporate</v>
      </c>
    </row>
    <row r="83" spans="2:20" ht="16.5" thickTop="1" thickBot="1">
      <c r="B83" s="36"/>
      <c r="C83" s="41"/>
      <c r="Q83" s="36"/>
      <c r="R83" s="36"/>
      <c r="S83" s="180" t="s">
        <v>226</v>
      </c>
      <c r="T83" s="181" t="str">
        <f>CreditLendingCategory</f>
        <v>J</v>
      </c>
    </row>
    <row r="84" spans="2:20" ht="16.5" thickTop="1" thickBot="1">
      <c r="B84" s="36"/>
      <c r="C84" s="41"/>
      <c r="Q84" s="36"/>
      <c r="R84" s="36"/>
      <c r="S84" s="180" t="s">
        <v>227</v>
      </c>
      <c r="T84" s="181"/>
    </row>
    <row r="85" spans="2:20" ht="13.5" thickTop="1">
      <c r="B85" s="36"/>
      <c r="C85" s="41"/>
      <c r="Q85" s="36"/>
      <c r="R85" s="139"/>
      <c r="S85" s="140"/>
    </row>
  </sheetData>
  <mergeCells count="10">
    <mergeCell ref="S1:AC1"/>
    <mergeCell ref="U32:V32"/>
    <mergeCell ref="B1:I1"/>
    <mergeCell ref="J1:M1"/>
    <mergeCell ref="D3:E3"/>
    <mergeCell ref="D5:P5"/>
    <mergeCell ref="B7:B22"/>
    <mergeCell ref="D24:F24"/>
    <mergeCell ref="J3:K3"/>
    <mergeCell ref="L3:N3"/>
  </mergeCells>
  <conditionalFormatting sqref="D7">
    <cfRule type="expression" dxfId="0" priority="2">
      <formula>AND(IsEmpty($D$6), IsEmpty($C$7))</formula>
    </cfRule>
  </conditionalFormatting>
  <dataValidations count="3">
    <dataValidation type="list" allowBlank="1" showInputMessage="1" showErrorMessage="1" sqref="D6:P6" xr:uid="{00000000-0002-0000-0100-000000000000}">
      <formula1>CreditRatings</formula1>
    </dataValidation>
    <dataValidation type="list" allowBlank="1" showInputMessage="1" showErrorMessage="1" sqref="C7:C44" xr:uid="{00000000-0002-0000-0100-000001000000}">
      <formula1>SwapMaturities</formula1>
    </dataValidation>
    <dataValidation type="list" allowBlank="1" showInputMessage="1" showErrorMessage="1" sqref="P3" xr:uid="{00000000-0002-0000-0100-000002000000}">
      <formula1>ReportBy</formula1>
    </dataValidation>
  </dataValidations>
  <hyperlinks>
    <hyperlink ref="D3" location="Spreads!A1" display="Calculate Margin" xr:uid="{00000000-0004-0000-0100-000000000000}"/>
    <hyperlink ref="G3" location="Spreads!A1" display="Stop" xr:uid="{00000000-0004-0000-0100-000001000000}"/>
    <hyperlink ref="I3" location="Spreads!A1" display="Clear" xr:uid="{00000000-0004-0000-0100-000002000000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AD69"/>
  <sheetViews>
    <sheetView workbookViewId="0">
      <selection activeCell="I86" sqref="I86"/>
    </sheetView>
  </sheetViews>
  <sheetFormatPr defaultRowHeight="12.75"/>
  <cols>
    <col min="1" max="1" width="4.5703125" style="36" customWidth="1"/>
    <col min="2" max="2" width="8" style="36" bestFit="1" customWidth="1"/>
    <col min="3" max="3" width="12" style="36" bestFit="1" customWidth="1"/>
    <col min="4" max="4" width="10.42578125" style="36" bestFit="1" customWidth="1"/>
    <col min="5" max="5" width="9.42578125" style="36" bestFit="1" customWidth="1"/>
    <col min="6" max="10" width="10.42578125" style="36" bestFit="1" customWidth="1"/>
    <col min="11" max="12" width="12" style="36" bestFit="1" customWidth="1"/>
    <col min="13" max="13" width="10.42578125" style="36" bestFit="1" customWidth="1"/>
    <col min="14" max="14" width="4.140625" style="36" customWidth="1"/>
    <col min="15" max="15" width="19.85546875" style="36" bestFit="1" customWidth="1"/>
    <col min="16" max="16" width="10.42578125" style="36" bestFit="1" customWidth="1"/>
    <col min="17" max="17" width="5" style="36" customWidth="1"/>
    <col min="18" max="18" width="27.5703125" style="36" bestFit="1" customWidth="1"/>
    <col min="19" max="20" width="39.28515625" style="36" bestFit="1" customWidth="1"/>
    <col min="21" max="21" width="9.140625" style="36" customWidth="1"/>
    <col min="22" max="22" width="26.85546875" style="36" customWidth="1"/>
    <col min="23" max="23" width="25.5703125" style="36" customWidth="1"/>
    <col min="24" max="16384" width="9.140625" style="36"/>
  </cols>
  <sheetData>
    <row r="2" spans="1:22">
      <c r="B2" s="42" t="s">
        <v>102</v>
      </c>
      <c r="C2" s="39" t="s">
        <v>117</v>
      </c>
      <c r="D2" s="96" t="s">
        <v>82</v>
      </c>
      <c r="E2" s="95" t="s">
        <v>117</v>
      </c>
      <c r="F2" s="96" t="s">
        <v>41</v>
      </c>
      <c r="G2" s="95" t="s">
        <v>117</v>
      </c>
      <c r="H2" s="42" t="s">
        <v>29</v>
      </c>
      <c r="I2" s="39" t="s">
        <v>117</v>
      </c>
      <c r="J2" s="42" t="s">
        <v>109</v>
      </c>
      <c r="K2" s="38" t="s">
        <v>117</v>
      </c>
      <c r="L2" s="111" t="s">
        <v>114</v>
      </c>
      <c r="M2" s="112" t="s">
        <v>115</v>
      </c>
      <c r="O2" s="23" t="s">
        <v>56</v>
      </c>
      <c r="P2" s="29" t="str">
        <f>Trade!D9&amp;"s"</f>
        <v>Pays</v>
      </c>
      <c r="R2" s="14" t="s">
        <v>63</v>
      </c>
      <c r="S2" s="35">
        <f>Trade!I9</f>
        <v>100000000</v>
      </c>
      <c r="U2" s="14" t="s">
        <v>63</v>
      </c>
      <c r="V2" s="35">
        <f>Trade!N9</f>
        <v>0</v>
      </c>
    </row>
    <row r="3" spans="1:22">
      <c r="A3" s="41"/>
      <c r="B3" s="92">
        <f>B26</f>
        <v>1000000</v>
      </c>
      <c r="C3" s="83"/>
      <c r="D3" s="86">
        <f>D26</f>
        <v>0.03</v>
      </c>
      <c r="E3" s="97"/>
      <c r="F3" s="86">
        <f>E26</f>
        <v>0.04</v>
      </c>
      <c r="G3" s="97"/>
      <c r="H3" s="89">
        <f>G26</f>
        <v>40287</v>
      </c>
      <c r="I3" s="83"/>
      <c r="J3" s="89">
        <f>H26</f>
        <v>40378</v>
      </c>
      <c r="K3" s="83"/>
      <c r="L3" s="113">
        <f>L26</f>
        <v>8727.2732420164066</v>
      </c>
      <c r="M3" s="116">
        <f>M26</f>
        <v>8630.436090407602</v>
      </c>
      <c r="O3" s="22" t="s">
        <v>58</v>
      </c>
      <c r="P3" s="27" t="str">
        <f>Trade!D13</f>
        <v>Fixed</v>
      </c>
      <c r="R3" s="28" t="s">
        <v>2</v>
      </c>
      <c r="S3" s="27" t="str">
        <f>Trade!G9</f>
        <v>AUD</v>
      </c>
      <c r="U3" s="28" t="s">
        <v>2</v>
      </c>
      <c r="V3" s="27">
        <f>Trade!I9</f>
        <v>100000000</v>
      </c>
    </row>
    <row r="4" spans="1:22">
      <c r="A4" s="41"/>
      <c r="B4" s="93">
        <f t="shared" ref="B4:B23" si="0">B27</f>
        <v>1000000</v>
      </c>
      <c r="C4" s="84"/>
      <c r="D4" s="87">
        <f t="shared" ref="D4:D23" si="1">D27</f>
        <v>0.03</v>
      </c>
      <c r="E4" s="98"/>
      <c r="F4" s="87">
        <f t="shared" ref="F4:F23" si="2">E27</f>
        <v>0.04</v>
      </c>
      <c r="G4" s="98"/>
      <c r="H4" s="90">
        <f t="shared" ref="H4:H23" si="3">G27</f>
        <v>40378</v>
      </c>
      <c r="I4" s="84"/>
      <c r="J4" s="90">
        <f t="shared" ref="J4:J23" si="4">H27</f>
        <v>40470</v>
      </c>
      <c r="K4" s="84"/>
      <c r="L4" s="114">
        <f t="shared" ref="L4:M23" si="5">L27</f>
        <v>9512.9837800555761</v>
      </c>
      <c r="M4" s="117">
        <f t="shared" si="5"/>
        <v>9295.5699094324827</v>
      </c>
      <c r="O4" s="21" t="s">
        <v>55</v>
      </c>
      <c r="P4" s="27" t="str">
        <f>P3&amp;"1"</f>
        <v>Fixed1</v>
      </c>
      <c r="R4" s="28" t="s">
        <v>64</v>
      </c>
      <c r="S4" s="27" t="s">
        <v>65</v>
      </c>
      <c r="U4" s="28" t="s">
        <v>64</v>
      </c>
      <c r="V4" s="27" t="s">
        <v>65</v>
      </c>
    </row>
    <row r="5" spans="1:22">
      <c r="A5" s="41"/>
      <c r="B5" s="93">
        <f t="shared" si="0"/>
        <v>1000000</v>
      </c>
      <c r="C5" s="84"/>
      <c r="D5" s="87">
        <f t="shared" si="1"/>
        <v>0.03</v>
      </c>
      <c r="E5" s="98"/>
      <c r="F5" s="87">
        <f t="shared" si="2"/>
        <v>0.04</v>
      </c>
      <c r="G5" s="98"/>
      <c r="H5" s="90">
        <f t="shared" si="3"/>
        <v>40470</v>
      </c>
      <c r="I5" s="84"/>
      <c r="J5" s="90">
        <f t="shared" si="4"/>
        <v>40562</v>
      </c>
      <c r="K5" s="84"/>
      <c r="L5" s="114">
        <f t="shared" si="5"/>
        <v>10180.179385766147</v>
      </c>
      <c r="M5" s="117">
        <f t="shared" si="5"/>
        <v>9822.7609285822109</v>
      </c>
      <c r="O5" s="22" t="s">
        <v>57</v>
      </c>
      <c r="P5" s="27" t="s">
        <v>59</v>
      </c>
      <c r="R5" s="28" t="s">
        <v>66</v>
      </c>
      <c r="S5" s="27" t="str">
        <f>VLOOKUP(S3,CurrencyTable,2,FALSE)</f>
        <v>Sydney</v>
      </c>
      <c r="U5" s="28" t="s">
        <v>69</v>
      </c>
      <c r="V5" s="27" t="str">
        <f>Trade!K19</f>
        <v>ACT/365.FIXED</v>
      </c>
    </row>
    <row r="6" spans="1:22">
      <c r="A6" s="41"/>
      <c r="B6" s="93">
        <f t="shared" si="0"/>
        <v>1000000</v>
      </c>
      <c r="C6" s="84"/>
      <c r="D6" s="87">
        <f t="shared" si="1"/>
        <v>0.03</v>
      </c>
      <c r="E6" s="98"/>
      <c r="F6" s="87">
        <f t="shared" si="2"/>
        <v>0.04</v>
      </c>
      <c r="G6" s="98"/>
      <c r="H6" s="90">
        <f t="shared" si="3"/>
        <v>40562</v>
      </c>
      <c r="I6" s="84"/>
      <c r="J6" s="90">
        <f t="shared" si="4"/>
        <v>40652</v>
      </c>
      <c r="K6" s="84"/>
      <c r="L6" s="114">
        <f t="shared" si="5"/>
        <v>10524.986295497933</v>
      </c>
      <c r="M6" s="117">
        <f t="shared" si="5"/>
        <v>10025.226820683265</v>
      </c>
      <c r="O6" s="22" t="s">
        <v>60</v>
      </c>
      <c r="P6" s="26">
        <f>StartDate</f>
        <v>40417</v>
      </c>
      <c r="R6" s="28" t="s">
        <v>67</v>
      </c>
      <c r="S6" s="27" t="str">
        <f>Trade!D19</f>
        <v>6M</v>
      </c>
      <c r="U6" s="28" t="s">
        <v>70</v>
      </c>
      <c r="V6" s="27" t="str">
        <f>S9</f>
        <v>ACT/365.FIXED</v>
      </c>
    </row>
    <row r="7" spans="1:22">
      <c r="A7" s="41"/>
      <c r="B7" s="93">
        <f t="shared" si="0"/>
        <v>1000000</v>
      </c>
      <c r="C7" s="84"/>
      <c r="D7" s="87">
        <f t="shared" si="1"/>
        <v>0.03</v>
      </c>
      <c r="E7" s="98"/>
      <c r="F7" s="87">
        <f t="shared" si="2"/>
        <v>0.04</v>
      </c>
      <c r="G7" s="98"/>
      <c r="H7" s="90">
        <f t="shared" si="3"/>
        <v>40652</v>
      </c>
      <c r="I7" s="84"/>
      <c r="J7" s="90">
        <f t="shared" si="4"/>
        <v>40743</v>
      </c>
      <c r="K7" s="84"/>
      <c r="L7" s="114">
        <f t="shared" si="5"/>
        <v>11163.638982061982</v>
      </c>
      <c r="M7" s="117">
        <f t="shared" si="5"/>
        <v>10490.290591150888</v>
      </c>
      <c r="O7" s="22" t="s">
        <v>61</v>
      </c>
      <c r="P7" s="26" t="e">
        <f>MaturityDate</f>
        <v>#NAME?</v>
      </c>
      <c r="R7" s="28" t="s">
        <v>68</v>
      </c>
      <c r="S7" s="27">
        <f>DAY(P6)</f>
        <v>27</v>
      </c>
      <c r="U7" s="28" t="s">
        <v>71</v>
      </c>
      <c r="V7" s="27" t="s">
        <v>72</v>
      </c>
    </row>
    <row r="8" spans="1:22">
      <c r="A8" s="41"/>
      <c r="B8" s="93">
        <f t="shared" si="0"/>
        <v>1000000</v>
      </c>
      <c r="C8" s="84"/>
      <c r="D8" s="87">
        <f t="shared" si="1"/>
        <v>0.03</v>
      </c>
      <c r="E8" s="98"/>
      <c r="F8" s="87">
        <f t="shared" si="2"/>
        <v>0.04</v>
      </c>
      <c r="G8" s="98"/>
      <c r="H8" s="90">
        <f t="shared" si="3"/>
        <v>40743</v>
      </c>
      <c r="I8" s="84"/>
      <c r="J8" s="90">
        <f t="shared" si="4"/>
        <v>40835</v>
      </c>
      <c r="K8" s="84"/>
      <c r="L8" s="114">
        <f t="shared" si="5"/>
        <v>11758.6072409194</v>
      </c>
      <c r="M8" s="117">
        <f t="shared" si="5"/>
        <v>10893.818115632766</v>
      </c>
      <c r="O8" s="20" t="s">
        <v>62</v>
      </c>
      <c r="P8" s="24" t="b">
        <v>1</v>
      </c>
      <c r="R8" s="28" t="s">
        <v>69</v>
      </c>
      <c r="S8" s="27" t="str">
        <f>Trade!G19</f>
        <v>MODFOLLOWING</v>
      </c>
      <c r="U8" s="28" t="s">
        <v>73</v>
      </c>
      <c r="V8" s="27" t="str">
        <f>"RateCurve."&amp;Trade!$G$13&amp;"-"&amp;Trade!$I$13&amp;"-"&amp;Trade!$K$13</f>
        <v>RateCurve.AUD-EOD-3M</v>
      </c>
    </row>
    <row r="9" spans="1:22">
      <c r="A9" s="41"/>
      <c r="B9" s="93">
        <f t="shared" si="0"/>
        <v>1000000</v>
      </c>
      <c r="C9" s="84"/>
      <c r="D9" s="87">
        <f t="shared" si="1"/>
        <v>0.03</v>
      </c>
      <c r="E9" s="98"/>
      <c r="F9" s="87">
        <f t="shared" si="2"/>
        <v>0.04</v>
      </c>
      <c r="G9" s="98"/>
      <c r="H9" s="90">
        <f t="shared" si="3"/>
        <v>40835</v>
      </c>
      <c r="I9" s="84"/>
      <c r="J9" s="90">
        <f t="shared" si="4"/>
        <v>40927</v>
      </c>
      <c r="K9" s="84"/>
      <c r="L9" s="114">
        <f t="shared" si="5"/>
        <v>12133.96010853287</v>
      </c>
      <c r="M9" s="117">
        <f t="shared" si="5"/>
        <v>11079.205300145701</v>
      </c>
      <c r="R9" s="28" t="s">
        <v>70</v>
      </c>
      <c r="S9" s="27" t="str">
        <f>Trade!K19</f>
        <v>ACT/365.FIXED</v>
      </c>
      <c r="U9" s="28" t="s">
        <v>75</v>
      </c>
      <c r="V9" s="27" t="str">
        <f>"RateCurve."&amp;Trade!$G$13&amp;"-"&amp;Trade!$I$13&amp;"-"&amp;Trade!$K$13</f>
        <v>RateCurve.AUD-EOD-3M</v>
      </c>
    </row>
    <row r="10" spans="1:22">
      <c r="A10" s="41"/>
      <c r="B10" s="93">
        <f t="shared" si="0"/>
        <v>1000000</v>
      </c>
      <c r="C10" s="84"/>
      <c r="D10" s="87">
        <f t="shared" si="1"/>
        <v>0.03</v>
      </c>
      <c r="E10" s="98"/>
      <c r="F10" s="87">
        <f t="shared" si="2"/>
        <v>0.04</v>
      </c>
      <c r="G10" s="98"/>
      <c r="H10" s="90">
        <f t="shared" si="3"/>
        <v>40927</v>
      </c>
      <c r="I10" s="84"/>
      <c r="J10" s="90">
        <f t="shared" si="4"/>
        <v>41018</v>
      </c>
      <c r="K10" s="84"/>
      <c r="L10" s="114">
        <f t="shared" si="5"/>
        <v>12271.73386163698</v>
      </c>
      <c r="M10" s="117">
        <f t="shared" si="5"/>
        <v>11041.969671689954</v>
      </c>
      <c r="R10" s="28" t="s">
        <v>71</v>
      </c>
      <c r="S10" s="27" t="s">
        <v>72</v>
      </c>
      <c r="U10" s="28" t="s">
        <v>80</v>
      </c>
      <c r="V10" s="27" t="str">
        <f>Trade!$G$13&amp;"-"&amp;Trade!$I$13</f>
        <v>AUD-EOD</v>
      </c>
    </row>
    <row r="11" spans="1:22">
      <c r="A11" s="41"/>
      <c r="B11" s="93">
        <f t="shared" si="0"/>
        <v>1000000</v>
      </c>
      <c r="C11" s="84"/>
      <c r="D11" s="87">
        <f t="shared" si="1"/>
        <v>0.03</v>
      </c>
      <c r="E11" s="98"/>
      <c r="F11" s="87">
        <f t="shared" si="2"/>
        <v>0.04</v>
      </c>
      <c r="G11" s="98"/>
      <c r="H11" s="90">
        <f t="shared" si="3"/>
        <v>41018</v>
      </c>
      <c r="I11" s="84"/>
      <c r="J11" s="90">
        <f t="shared" si="4"/>
        <v>41109</v>
      </c>
      <c r="K11" s="84"/>
      <c r="L11" s="114">
        <f t="shared" si="5"/>
        <v>12299.23785398938</v>
      </c>
      <c r="M11" s="117">
        <f t="shared" si="5"/>
        <v>10905.402343500591</v>
      </c>
      <c r="R11" s="28" t="s">
        <v>73</v>
      </c>
      <c r="S11" s="27" t="str">
        <f>"RateCurve."&amp;Trade!$G$13&amp;"-"&amp;Trade!$I$13&amp;"-"&amp;Trade!$K$13</f>
        <v>RateCurve.AUD-EOD-3M</v>
      </c>
      <c r="U11" s="28" t="s">
        <v>81</v>
      </c>
      <c r="V11" s="27" t="str">
        <f>S18</f>
        <v>3M</v>
      </c>
    </row>
    <row r="12" spans="1:22">
      <c r="A12" s="41"/>
      <c r="B12" s="93">
        <f t="shared" si="0"/>
        <v>1000000</v>
      </c>
      <c r="C12" s="84"/>
      <c r="D12" s="87">
        <f t="shared" si="1"/>
        <v>0.03</v>
      </c>
      <c r="E12" s="98"/>
      <c r="F12" s="87">
        <f t="shared" si="2"/>
        <v>0.04</v>
      </c>
      <c r="G12" s="98"/>
      <c r="H12" s="90">
        <f t="shared" si="3"/>
        <v>41109</v>
      </c>
      <c r="I12" s="84"/>
      <c r="J12" s="90">
        <f t="shared" si="4"/>
        <v>41201</v>
      </c>
      <c r="K12" s="84"/>
      <c r="L12" s="114">
        <f t="shared" si="5"/>
        <v>12370.50341213616</v>
      </c>
      <c r="M12" s="117">
        <f t="shared" si="5"/>
        <v>10807.666734277427</v>
      </c>
      <c r="R12" s="28" t="s">
        <v>74</v>
      </c>
      <c r="S12" s="27" t="b">
        <v>0</v>
      </c>
      <c r="U12" s="25" t="s">
        <v>83</v>
      </c>
      <c r="V12" s="24" t="e">
        <f ca="1">S20</f>
        <v>#NAME?</v>
      </c>
    </row>
    <row r="13" spans="1:22">
      <c r="A13" s="41"/>
      <c r="B13" s="93">
        <f t="shared" si="0"/>
        <v>1000000</v>
      </c>
      <c r="C13" s="84"/>
      <c r="D13" s="87">
        <f t="shared" si="1"/>
        <v>0.03</v>
      </c>
      <c r="E13" s="98"/>
      <c r="F13" s="87">
        <f t="shared" si="2"/>
        <v>0.04</v>
      </c>
      <c r="G13" s="98"/>
      <c r="H13" s="90">
        <f t="shared" si="3"/>
        <v>41201</v>
      </c>
      <c r="I13" s="84"/>
      <c r="J13" s="90">
        <f t="shared" si="4"/>
        <v>41295</v>
      </c>
      <c r="K13" s="84"/>
      <c r="L13" s="114">
        <f t="shared" si="5"/>
        <v>12921.838531193487</v>
      </c>
      <c r="M13" s="117">
        <f t="shared" si="5"/>
        <v>11117.098814611123</v>
      </c>
      <c r="R13" s="28" t="s">
        <v>75</v>
      </c>
      <c r="S13" s="27" t="str">
        <f>"RateCurve."&amp;Trade!$G$13&amp;"-"&amp;Trade!$I$13&amp;"-"&amp;Trade!$K$13</f>
        <v>RateCurve.AUD-EOD-3M</v>
      </c>
    </row>
    <row r="14" spans="1:22">
      <c r="A14" s="41"/>
      <c r="B14" s="93">
        <f t="shared" si="0"/>
        <v>1000000</v>
      </c>
      <c r="C14" s="84"/>
      <c r="D14" s="87">
        <f t="shared" si="1"/>
        <v>0.03</v>
      </c>
      <c r="E14" s="98"/>
      <c r="F14" s="87">
        <f t="shared" si="2"/>
        <v>0.04</v>
      </c>
      <c r="G14" s="98"/>
      <c r="H14" s="90">
        <f t="shared" si="3"/>
        <v>41295</v>
      </c>
      <c r="I14" s="84"/>
      <c r="J14" s="90">
        <f t="shared" si="4"/>
        <v>41383</v>
      </c>
      <c r="K14" s="84"/>
      <c r="L14" s="114">
        <f t="shared" si="5"/>
        <v>12344.940929269924</v>
      </c>
      <c r="M14" s="117">
        <f t="shared" si="5"/>
        <v>10466.368777617461</v>
      </c>
      <c r="R14" s="28" t="s">
        <v>76</v>
      </c>
      <c r="S14" s="27" t="str">
        <f>S5</f>
        <v>Sydney</v>
      </c>
    </row>
    <row r="15" spans="1:22">
      <c r="A15" s="41"/>
      <c r="B15" s="93">
        <f t="shared" si="0"/>
        <v>1000000</v>
      </c>
      <c r="C15" s="84"/>
      <c r="D15" s="87">
        <f t="shared" si="1"/>
        <v>0.03</v>
      </c>
      <c r="E15" s="98"/>
      <c r="F15" s="87">
        <f t="shared" si="2"/>
        <v>0.04</v>
      </c>
      <c r="G15" s="98"/>
      <c r="H15" s="90">
        <f t="shared" si="3"/>
        <v>41383</v>
      </c>
      <c r="I15" s="84"/>
      <c r="J15" s="90">
        <f t="shared" si="4"/>
        <v>41474</v>
      </c>
      <c r="K15" s="84"/>
      <c r="L15" s="114">
        <f t="shared" si="5"/>
        <v>13063.156328789384</v>
      </c>
      <c r="M15" s="117">
        <f t="shared" si="5"/>
        <v>10905.668618474523</v>
      </c>
      <c r="R15" s="28" t="s">
        <v>77</v>
      </c>
      <c r="S15" s="27" t="s">
        <v>78</v>
      </c>
    </row>
    <row r="16" spans="1:22">
      <c r="A16" s="41"/>
      <c r="B16" s="93">
        <f t="shared" si="0"/>
        <v>1000000</v>
      </c>
      <c r="C16" s="84"/>
      <c r="D16" s="87">
        <f t="shared" si="1"/>
        <v>0.03</v>
      </c>
      <c r="E16" s="98"/>
      <c r="F16" s="87">
        <f t="shared" si="2"/>
        <v>0.04</v>
      </c>
      <c r="G16" s="98"/>
      <c r="H16" s="90">
        <f t="shared" si="3"/>
        <v>41474</v>
      </c>
      <c r="I16" s="84"/>
      <c r="J16" s="90">
        <f t="shared" si="4"/>
        <v>41568</v>
      </c>
      <c r="K16" s="84"/>
      <c r="L16" s="114">
        <f t="shared" si="5"/>
        <v>13781.427935784182</v>
      </c>
      <c r="M16" s="117">
        <f t="shared" si="5"/>
        <v>11320.179965733727</v>
      </c>
      <c r="R16" s="28" t="s">
        <v>79</v>
      </c>
      <c r="S16" s="27" t="s">
        <v>49</v>
      </c>
    </row>
    <row r="17" spans="1:30">
      <c r="A17" s="41"/>
      <c r="B17" s="93">
        <f t="shared" si="0"/>
        <v>1000000</v>
      </c>
      <c r="C17" s="84"/>
      <c r="D17" s="87">
        <f t="shared" si="1"/>
        <v>0.03</v>
      </c>
      <c r="E17" s="98"/>
      <c r="F17" s="87">
        <f t="shared" si="2"/>
        <v>0.04</v>
      </c>
      <c r="G17" s="98"/>
      <c r="H17" s="90">
        <f t="shared" si="3"/>
        <v>41568</v>
      </c>
      <c r="I17" s="84"/>
      <c r="J17" s="90">
        <f t="shared" si="4"/>
        <v>41659</v>
      </c>
      <c r="K17" s="84"/>
      <c r="L17" s="114">
        <f t="shared" si="5"/>
        <v>13610.855503517943</v>
      </c>
      <c r="M17" s="117">
        <f t="shared" si="5"/>
        <v>11002.907033006453</v>
      </c>
      <c r="R17" s="28" t="s">
        <v>80</v>
      </c>
      <c r="S17" s="27" t="str">
        <f>Trade!$G$13&amp;"-"&amp;Trade!$I$13</f>
        <v>AUD-EOD</v>
      </c>
    </row>
    <row r="18" spans="1:30">
      <c r="A18" s="41"/>
      <c r="B18" s="93">
        <f t="shared" si="0"/>
        <v>1000000</v>
      </c>
      <c r="C18" s="84"/>
      <c r="D18" s="87">
        <f t="shared" si="1"/>
        <v>0.03</v>
      </c>
      <c r="E18" s="98"/>
      <c r="F18" s="87">
        <f t="shared" si="2"/>
        <v>0.04</v>
      </c>
      <c r="G18" s="98"/>
      <c r="H18" s="90">
        <f t="shared" si="3"/>
        <v>41659</v>
      </c>
      <c r="I18" s="84"/>
      <c r="J18" s="90">
        <f t="shared" si="4"/>
        <v>41751</v>
      </c>
      <c r="K18" s="84"/>
      <c r="L18" s="114">
        <f t="shared" si="5"/>
        <v>14035.510618063023</v>
      </c>
      <c r="M18" s="117">
        <f t="shared" si="5"/>
        <v>11161.435514002853</v>
      </c>
      <c r="R18" s="28" t="s">
        <v>81</v>
      </c>
      <c r="S18" s="27" t="str">
        <f>Trade!K13</f>
        <v>3M</v>
      </c>
    </row>
    <row r="19" spans="1:30">
      <c r="A19" s="41"/>
      <c r="B19" s="93">
        <f t="shared" si="0"/>
        <v>1000000</v>
      </c>
      <c r="C19" s="84"/>
      <c r="D19" s="87">
        <f t="shared" si="1"/>
        <v>0.03</v>
      </c>
      <c r="E19" s="98"/>
      <c r="F19" s="87">
        <f t="shared" si="2"/>
        <v>0.04</v>
      </c>
      <c r="G19" s="98"/>
      <c r="H19" s="90">
        <f t="shared" si="3"/>
        <v>41751</v>
      </c>
      <c r="I19" s="84"/>
      <c r="J19" s="90">
        <f t="shared" si="4"/>
        <v>41841</v>
      </c>
      <c r="K19" s="84"/>
      <c r="L19" s="114">
        <f t="shared" si="5"/>
        <v>13090.46365706028</v>
      </c>
      <c r="M19" s="117">
        <f t="shared" si="5"/>
        <v>10250.488324613494</v>
      </c>
      <c r="R19" s="28" t="s">
        <v>82</v>
      </c>
      <c r="S19" s="27">
        <f>Trade!M13</f>
        <v>0.03</v>
      </c>
    </row>
    <row r="20" spans="1:30">
      <c r="A20" s="41"/>
      <c r="B20" s="93">
        <f t="shared" si="0"/>
        <v>1000000</v>
      </c>
      <c r="C20" s="84"/>
      <c r="D20" s="87">
        <f t="shared" si="1"/>
        <v>0.03</v>
      </c>
      <c r="E20" s="98"/>
      <c r="F20" s="87">
        <f t="shared" si="2"/>
        <v>0.04</v>
      </c>
      <c r="G20" s="98"/>
      <c r="H20" s="90">
        <f t="shared" si="3"/>
        <v>41841</v>
      </c>
      <c r="I20" s="84"/>
      <c r="J20" s="90">
        <f t="shared" si="4"/>
        <v>41932</v>
      </c>
      <c r="K20" s="84"/>
      <c r="L20" s="114">
        <f t="shared" si="5"/>
        <v>13364.608014266816</v>
      </c>
      <c r="M20" s="117">
        <f t="shared" si="5"/>
        <v>10301.830269157226</v>
      </c>
      <c r="R20" s="28" t="s">
        <v>83</v>
      </c>
      <c r="S20" s="27" t="e">
        <f ca="1">'Market Vols'!E2</f>
        <v>#NAME?</v>
      </c>
    </row>
    <row r="21" spans="1:30">
      <c r="A21" s="41"/>
      <c r="B21" s="93">
        <f t="shared" si="0"/>
        <v>1000000</v>
      </c>
      <c r="C21" s="84"/>
      <c r="D21" s="87">
        <f t="shared" si="1"/>
        <v>0.03</v>
      </c>
      <c r="E21" s="98"/>
      <c r="F21" s="87">
        <f t="shared" si="2"/>
        <v>0.04</v>
      </c>
      <c r="G21" s="98"/>
      <c r="H21" s="90">
        <f t="shared" si="3"/>
        <v>41932</v>
      </c>
      <c r="I21" s="84"/>
      <c r="J21" s="90">
        <f t="shared" si="4"/>
        <v>42023</v>
      </c>
      <c r="K21" s="84"/>
      <c r="L21" s="114">
        <f t="shared" si="5"/>
        <v>13522.84193252874</v>
      </c>
      <c r="M21" s="117">
        <f t="shared" si="5"/>
        <v>10259.522166800327</v>
      </c>
      <c r="R21" s="25" t="s">
        <v>84</v>
      </c>
      <c r="S21" s="24">
        <f>Trade!G15</f>
        <v>0.04</v>
      </c>
    </row>
    <row r="22" spans="1:30">
      <c r="A22" s="41"/>
      <c r="B22" s="93">
        <f t="shared" si="0"/>
        <v>1000000</v>
      </c>
      <c r="C22" s="84"/>
      <c r="D22" s="87">
        <f t="shared" si="1"/>
        <v>0.03</v>
      </c>
      <c r="E22" s="98"/>
      <c r="F22" s="87">
        <f t="shared" si="2"/>
        <v>0.04</v>
      </c>
      <c r="G22" s="98"/>
      <c r="H22" s="90">
        <f t="shared" si="3"/>
        <v>42023</v>
      </c>
      <c r="I22" s="84"/>
      <c r="J22" s="90">
        <f t="shared" si="4"/>
        <v>42107</v>
      </c>
      <c r="K22" s="84"/>
      <c r="L22" s="114">
        <f t="shared" si="5"/>
        <v>12614.426607222522</v>
      </c>
      <c r="M22" s="117">
        <f t="shared" si="5"/>
        <v>9429.7100105397531</v>
      </c>
    </row>
    <row r="23" spans="1:30">
      <c r="A23" s="41"/>
      <c r="B23" s="94">
        <f t="shared" si="0"/>
        <v>0</v>
      </c>
      <c r="C23" s="85"/>
      <c r="D23" s="88">
        <f t="shared" si="1"/>
        <v>0</v>
      </c>
      <c r="E23" s="85"/>
      <c r="F23" s="88">
        <f t="shared" si="2"/>
        <v>0</v>
      </c>
      <c r="G23" s="85"/>
      <c r="H23" s="91">
        <f t="shared" si="3"/>
        <v>0</v>
      </c>
      <c r="I23" s="85"/>
      <c r="J23" s="91">
        <f t="shared" si="4"/>
        <v>0</v>
      </c>
      <c r="K23" s="85"/>
      <c r="L23" s="115">
        <f t="shared" si="5"/>
        <v>0</v>
      </c>
      <c r="M23" s="118">
        <f t="shared" si="5"/>
        <v>0</v>
      </c>
    </row>
    <row r="25" spans="1:30" ht="13.5" hidden="1" thickBot="1">
      <c r="B25" s="42" t="s">
        <v>102</v>
      </c>
      <c r="C25" s="38" t="s">
        <v>98</v>
      </c>
      <c r="D25" s="38" t="s">
        <v>82</v>
      </c>
      <c r="E25" s="40" t="s">
        <v>41</v>
      </c>
      <c r="F25" s="40" t="s">
        <v>110</v>
      </c>
      <c r="G25" s="40" t="s">
        <v>29</v>
      </c>
      <c r="H25" s="40" t="s">
        <v>109</v>
      </c>
      <c r="I25" s="40" t="s">
        <v>111</v>
      </c>
      <c r="J25" s="38" t="s">
        <v>112</v>
      </c>
      <c r="K25" s="38" t="s">
        <v>113</v>
      </c>
      <c r="L25" s="38" t="s">
        <v>114</v>
      </c>
      <c r="M25" s="39" t="s">
        <v>115</v>
      </c>
    </row>
    <row r="26" spans="1:30" hidden="1">
      <c r="B26" s="44">
        <v>1000000</v>
      </c>
      <c r="C26" s="56">
        <v>4.5004997069626164E-2</v>
      </c>
      <c r="D26" s="45">
        <v>0.03</v>
      </c>
      <c r="E26" s="46">
        <v>0.04</v>
      </c>
      <c r="F26" s="47">
        <v>40287</v>
      </c>
      <c r="G26" s="47">
        <v>40287</v>
      </c>
      <c r="H26" s="47">
        <v>40378</v>
      </c>
      <c r="I26" s="47">
        <v>40378</v>
      </c>
      <c r="J26" s="45">
        <v>0.16301760000000001</v>
      </c>
      <c r="K26" s="65">
        <v>0.24931506849315099</v>
      </c>
      <c r="L26" s="62">
        <v>8727.2732420164066</v>
      </c>
      <c r="M26" s="59">
        <v>8630.436090407602</v>
      </c>
    </row>
    <row r="27" spans="1:30" hidden="1">
      <c r="B27" s="48">
        <v>1000000</v>
      </c>
      <c r="C27" s="57">
        <v>4.774172912739439E-2</v>
      </c>
      <c r="D27" s="49">
        <v>0.03</v>
      </c>
      <c r="E27" s="50">
        <v>0.04</v>
      </c>
      <c r="F27" s="51">
        <v>40378</v>
      </c>
      <c r="G27" s="51">
        <v>40378</v>
      </c>
      <c r="H27" s="51">
        <v>40470</v>
      </c>
      <c r="I27" s="51">
        <v>40470</v>
      </c>
      <c r="J27" s="49">
        <v>0.175176853846154</v>
      </c>
      <c r="K27" s="66">
        <v>0.25205479452054802</v>
      </c>
      <c r="L27" s="63">
        <v>9512.9837800555761</v>
      </c>
      <c r="M27" s="60">
        <v>9295.5699094324827</v>
      </c>
    </row>
    <row r="28" spans="1:30" hidden="1">
      <c r="B28" s="48">
        <v>1000000</v>
      </c>
      <c r="C28" s="57">
        <v>5.0388755044497191E-2</v>
      </c>
      <c r="D28" s="49">
        <v>0.03</v>
      </c>
      <c r="E28" s="50">
        <v>0.04</v>
      </c>
      <c r="F28" s="51">
        <v>40470</v>
      </c>
      <c r="G28" s="51">
        <v>40470</v>
      </c>
      <c r="H28" s="51">
        <v>40562</v>
      </c>
      <c r="I28" s="51">
        <v>40562</v>
      </c>
      <c r="J28" s="49">
        <v>0.18918316086956499</v>
      </c>
      <c r="K28" s="66">
        <v>0.25205479452054802</v>
      </c>
      <c r="L28" s="63">
        <v>10180.179385766147</v>
      </c>
      <c r="M28" s="60">
        <v>9822.7609285822109</v>
      </c>
      <c r="O28" s="37"/>
      <c r="P28" s="37"/>
      <c r="Q28" s="37"/>
      <c r="R28" s="37"/>
      <c r="S28" s="37"/>
      <c r="AC28" s="37"/>
      <c r="AD28" s="37"/>
    </row>
    <row r="29" spans="1:30" hidden="1">
      <c r="B29" s="48">
        <v>1000000</v>
      </c>
      <c r="C29" s="57">
        <v>5.2684664042736647E-2</v>
      </c>
      <c r="D29" s="49">
        <v>0.03</v>
      </c>
      <c r="E29" s="50">
        <v>0.04</v>
      </c>
      <c r="F29" s="51">
        <v>40562</v>
      </c>
      <c r="G29" s="51">
        <v>40562</v>
      </c>
      <c r="H29" s="51">
        <v>40652</v>
      </c>
      <c r="I29" s="51">
        <v>40652</v>
      </c>
      <c r="J29" s="49">
        <v>0.17901793913043501</v>
      </c>
      <c r="K29" s="66">
        <v>0.24657534246575299</v>
      </c>
      <c r="L29" s="63">
        <v>10524.986295497933</v>
      </c>
      <c r="M29" s="60">
        <v>10025.226820683265</v>
      </c>
      <c r="O29" s="37"/>
      <c r="P29" s="37"/>
      <c r="Q29" s="37"/>
      <c r="R29" s="37"/>
      <c r="S29" s="37"/>
      <c r="AC29" s="37"/>
      <c r="AD29" s="37"/>
    </row>
    <row r="30" spans="1:30" hidden="1">
      <c r="B30" s="48">
        <v>1000000</v>
      </c>
      <c r="C30" s="57">
        <v>5.4777227293865971E-2</v>
      </c>
      <c r="D30" s="49">
        <v>0.03</v>
      </c>
      <c r="E30" s="50">
        <v>0.04</v>
      </c>
      <c r="F30" s="51">
        <v>40652</v>
      </c>
      <c r="G30" s="51">
        <v>40652</v>
      </c>
      <c r="H30" s="51">
        <v>40743</v>
      </c>
      <c r="I30" s="51">
        <v>40743</v>
      </c>
      <c r="J30" s="49">
        <v>0.16611466888888901</v>
      </c>
      <c r="K30" s="66">
        <v>0.24931506849315099</v>
      </c>
      <c r="L30" s="63">
        <v>11163.638982061982</v>
      </c>
      <c r="M30" s="60">
        <v>10490.290591150888</v>
      </c>
      <c r="O30" s="37"/>
      <c r="P30" s="37"/>
      <c r="Q30" s="37"/>
      <c r="R30" s="37"/>
      <c r="S30" s="37"/>
      <c r="AC30" s="37"/>
      <c r="AD30" s="37"/>
    </row>
    <row r="31" spans="1:30" hidden="1">
      <c r="B31" s="48">
        <v>1000000</v>
      </c>
      <c r="C31" s="57">
        <v>5.6650990514291531E-2</v>
      </c>
      <c r="D31" s="49">
        <v>0.03</v>
      </c>
      <c r="E31" s="50">
        <v>0.04</v>
      </c>
      <c r="F31" s="51">
        <v>40743</v>
      </c>
      <c r="G31" s="51">
        <v>40743</v>
      </c>
      <c r="H31" s="51">
        <v>40835</v>
      </c>
      <c r="I31" s="51">
        <v>40835</v>
      </c>
      <c r="J31" s="49">
        <v>0.152255172527472</v>
      </c>
      <c r="K31" s="66">
        <v>0.25205479452054802</v>
      </c>
      <c r="L31" s="63">
        <v>11758.6072409194</v>
      </c>
      <c r="M31" s="60">
        <v>10893.818115632766</v>
      </c>
      <c r="O31" s="37"/>
      <c r="P31" s="37"/>
      <c r="Q31" s="37"/>
      <c r="R31" s="37"/>
      <c r="S31" s="37"/>
      <c r="AC31" s="37"/>
      <c r="AD31" s="37"/>
    </row>
    <row r="32" spans="1:30" hidden="1">
      <c r="B32" s="48">
        <v>1000000</v>
      </c>
      <c r="C32" s="57">
        <v>5.814015992687438E-2</v>
      </c>
      <c r="D32" s="49">
        <v>0.03</v>
      </c>
      <c r="E32" s="50">
        <v>0.04</v>
      </c>
      <c r="F32" s="51">
        <v>40835</v>
      </c>
      <c r="G32" s="51">
        <v>40835</v>
      </c>
      <c r="H32" s="51">
        <v>40927</v>
      </c>
      <c r="I32" s="51">
        <v>40927</v>
      </c>
      <c r="J32" s="49">
        <v>0.14387897826087001</v>
      </c>
      <c r="K32" s="66">
        <v>0.25205479452054802</v>
      </c>
      <c r="L32" s="63">
        <v>12133.96010853287</v>
      </c>
      <c r="M32" s="60">
        <v>11079.205300145701</v>
      </c>
      <c r="O32" s="37"/>
      <c r="P32" s="37"/>
      <c r="Q32" s="37"/>
      <c r="R32" s="37"/>
      <c r="S32" s="37"/>
      <c r="AC32" s="37"/>
      <c r="AD32" s="37"/>
    </row>
    <row r="33" spans="2:30" hidden="1">
      <c r="B33" s="48">
        <v>1000000</v>
      </c>
      <c r="C33" s="57">
        <v>5.9221743698187869E-2</v>
      </c>
      <c r="D33" s="49">
        <v>0.03</v>
      </c>
      <c r="E33" s="50">
        <v>0.04</v>
      </c>
      <c r="F33" s="51">
        <v>40927</v>
      </c>
      <c r="G33" s="51">
        <v>40927</v>
      </c>
      <c r="H33" s="51">
        <v>41018</v>
      </c>
      <c r="I33" s="51">
        <v>41018</v>
      </c>
      <c r="J33" s="49">
        <v>0.146705669565217</v>
      </c>
      <c r="K33" s="66">
        <v>0.24931506849315099</v>
      </c>
      <c r="L33" s="63">
        <v>12271.73386163698</v>
      </c>
      <c r="M33" s="60">
        <v>11041.969671689954</v>
      </c>
      <c r="O33" s="37"/>
      <c r="P33" s="37"/>
      <c r="Q33" s="37"/>
      <c r="R33" s="37"/>
      <c r="S33" s="37"/>
      <c r="AC33" s="37"/>
      <c r="AD33" s="37"/>
    </row>
    <row r="34" spans="2:30" hidden="1">
      <c r="B34" s="48">
        <v>1000000</v>
      </c>
      <c r="C34" s="57">
        <v>5.933143334688213E-2</v>
      </c>
      <c r="D34" s="49">
        <v>0.03</v>
      </c>
      <c r="E34" s="50">
        <v>0.04</v>
      </c>
      <c r="F34" s="51">
        <v>41018</v>
      </c>
      <c r="G34" s="51">
        <v>41018</v>
      </c>
      <c r="H34" s="51">
        <v>41109</v>
      </c>
      <c r="I34" s="51">
        <v>41109</v>
      </c>
      <c r="J34" s="49">
        <v>0.160431951648352</v>
      </c>
      <c r="K34" s="66">
        <v>0.24931506849315099</v>
      </c>
      <c r="L34" s="63">
        <v>12299.23785398938</v>
      </c>
      <c r="M34" s="60">
        <v>10905.402343500591</v>
      </c>
      <c r="O34" s="37"/>
      <c r="P34" s="37"/>
      <c r="Q34" s="37"/>
      <c r="R34" s="37"/>
      <c r="S34" s="37"/>
      <c r="AC34" s="37"/>
      <c r="AD34" s="37"/>
    </row>
    <row r="35" spans="2:30" hidden="1">
      <c r="B35" s="48">
        <v>1000000</v>
      </c>
      <c r="C35" s="57">
        <v>5.9073978955557195E-2</v>
      </c>
      <c r="D35" s="49">
        <v>0.03</v>
      </c>
      <c r="E35" s="50">
        <v>0.04</v>
      </c>
      <c r="F35" s="51">
        <v>41109</v>
      </c>
      <c r="G35" s="51">
        <v>41109</v>
      </c>
      <c r="H35" s="51">
        <v>41201</v>
      </c>
      <c r="I35" s="51">
        <v>41201</v>
      </c>
      <c r="J35" s="49">
        <v>0.173930201098901</v>
      </c>
      <c r="K35" s="66">
        <v>0.25205479452054802</v>
      </c>
      <c r="L35" s="63">
        <v>12370.50341213616</v>
      </c>
      <c r="M35" s="60">
        <v>10807.666734277427</v>
      </c>
      <c r="O35" s="37"/>
      <c r="P35" s="37"/>
      <c r="Q35" s="37"/>
      <c r="R35" s="37"/>
      <c r="S35" s="37"/>
      <c r="AC35" s="37"/>
      <c r="AD35" s="37"/>
    </row>
    <row r="36" spans="2:30" hidden="1">
      <c r="B36" s="48">
        <v>1000000</v>
      </c>
      <c r="C36" s="57">
        <v>6.0163354537020416E-2</v>
      </c>
      <c r="D36" s="49">
        <v>0.03</v>
      </c>
      <c r="E36" s="50">
        <v>0.04</v>
      </c>
      <c r="F36" s="51">
        <v>41201</v>
      </c>
      <c r="G36" s="51">
        <v>41201</v>
      </c>
      <c r="H36" s="51">
        <v>41295</v>
      </c>
      <c r="I36" s="51">
        <v>41295</v>
      </c>
      <c r="J36" s="49">
        <v>0.181650769565217</v>
      </c>
      <c r="K36" s="66">
        <v>0.25753424657534202</v>
      </c>
      <c r="L36" s="63">
        <v>12921.838531193487</v>
      </c>
      <c r="M36" s="60">
        <v>11117.098814611123</v>
      </c>
      <c r="O36" s="37"/>
      <c r="P36" s="37"/>
      <c r="Q36" s="37"/>
      <c r="R36" s="37"/>
      <c r="S36" s="37"/>
      <c r="AC36" s="37"/>
      <c r="AD36" s="37"/>
    </row>
    <row r="37" spans="2:30" hidden="1">
      <c r="B37" s="48">
        <v>1000000</v>
      </c>
      <c r="C37" s="57">
        <v>6.1189437941636497E-2</v>
      </c>
      <c r="D37" s="49">
        <v>0.03</v>
      </c>
      <c r="E37" s="50">
        <v>0.04</v>
      </c>
      <c r="F37" s="51">
        <v>41295</v>
      </c>
      <c r="G37" s="51">
        <v>41295</v>
      </c>
      <c r="H37" s="51">
        <v>41383</v>
      </c>
      <c r="I37" s="51">
        <v>41383</v>
      </c>
      <c r="J37" s="49">
        <v>0.177863906382979</v>
      </c>
      <c r="K37" s="66">
        <v>0.241095890410959</v>
      </c>
      <c r="L37" s="63">
        <v>12344.940929269924</v>
      </c>
      <c r="M37" s="60">
        <v>10466.368777617461</v>
      </c>
      <c r="O37" s="37"/>
      <c r="P37" s="37"/>
      <c r="Q37" s="37"/>
      <c r="R37" s="37"/>
      <c r="S37" s="37"/>
      <c r="AC37" s="37"/>
      <c r="AD37" s="37"/>
    </row>
    <row r="38" spans="2:30" hidden="1">
      <c r="B38" s="48">
        <v>1000000</v>
      </c>
      <c r="C38" s="57">
        <v>6.2385260513499886E-2</v>
      </c>
      <c r="D38" s="49">
        <v>0.03</v>
      </c>
      <c r="E38" s="50">
        <v>0.04</v>
      </c>
      <c r="F38" s="51">
        <v>41383</v>
      </c>
      <c r="G38" s="51">
        <v>41383</v>
      </c>
      <c r="H38" s="51">
        <v>41474</v>
      </c>
      <c r="I38" s="51">
        <v>41474</v>
      </c>
      <c r="J38" s="49">
        <v>0.16885986363636399</v>
      </c>
      <c r="K38" s="66">
        <v>0.24931506849315099</v>
      </c>
      <c r="L38" s="63">
        <v>13063.156328789384</v>
      </c>
      <c r="M38" s="60">
        <v>10905.668618474523</v>
      </c>
      <c r="O38" s="37"/>
      <c r="P38" s="37"/>
      <c r="Q38" s="37"/>
      <c r="R38" s="37"/>
      <c r="S38" s="37"/>
      <c r="AC38" s="37"/>
      <c r="AD38" s="37"/>
    </row>
    <row r="39" spans="2:30" hidden="1">
      <c r="B39" s="48">
        <v>1000000</v>
      </c>
      <c r="C39" s="57">
        <v>6.350277360278625E-2</v>
      </c>
      <c r="D39" s="49">
        <v>0.03</v>
      </c>
      <c r="E39" s="50">
        <v>0.04</v>
      </c>
      <c r="F39" s="51">
        <v>41474</v>
      </c>
      <c r="G39" s="51">
        <v>41474</v>
      </c>
      <c r="H39" s="51">
        <v>41568</v>
      </c>
      <c r="I39" s="51">
        <v>41568</v>
      </c>
      <c r="J39" s="49">
        <v>0.16328299450549399</v>
      </c>
      <c r="K39" s="66">
        <v>0.25753424657534202</v>
      </c>
      <c r="L39" s="63">
        <v>13781.427935784182</v>
      </c>
      <c r="M39" s="60">
        <v>11320.179965733727</v>
      </c>
      <c r="O39" s="37"/>
      <c r="P39" s="37"/>
      <c r="Q39" s="37"/>
      <c r="R39" s="37"/>
      <c r="S39" s="37"/>
      <c r="AC39" s="37"/>
      <c r="AD39" s="37"/>
    </row>
    <row r="40" spans="2:30" hidden="1">
      <c r="B40" s="48">
        <v>1000000</v>
      </c>
      <c r="C40" s="57">
        <v>6.4582941450804274E-2</v>
      </c>
      <c r="D40" s="49">
        <v>0.03</v>
      </c>
      <c r="E40" s="50">
        <v>0.04</v>
      </c>
      <c r="F40" s="51">
        <v>41568</v>
      </c>
      <c r="G40" s="51">
        <v>41568</v>
      </c>
      <c r="H40" s="51">
        <v>41659</v>
      </c>
      <c r="I40" s="51">
        <v>41659</v>
      </c>
      <c r="J40" s="49">
        <v>0.15878717659574501</v>
      </c>
      <c r="K40" s="66">
        <v>0.24931506849315099</v>
      </c>
      <c r="L40" s="63">
        <v>13610.855503517943</v>
      </c>
      <c r="M40" s="60">
        <v>11002.907033006453</v>
      </c>
      <c r="O40" s="37"/>
      <c r="P40" s="37"/>
      <c r="Q40" s="37"/>
      <c r="R40" s="37"/>
      <c r="S40" s="37"/>
      <c r="AC40" s="37"/>
      <c r="AD40" s="37"/>
    </row>
    <row r="41" spans="2:30" hidden="1">
      <c r="B41" s="48">
        <v>1000000</v>
      </c>
      <c r="C41" s="57">
        <v>6.5673680160201406E-2</v>
      </c>
      <c r="D41" s="49">
        <v>0.03</v>
      </c>
      <c r="E41" s="50">
        <v>0.04</v>
      </c>
      <c r="F41" s="51">
        <v>41659</v>
      </c>
      <c r="G41" s="51">
        <v>41659</v>
      </c>
      <c r="H41" s="51">
        <v>41751</v>
      </c>
      <c r="I41" s="51">
        <v>41751</v>
      </c>
      <c r="J41" s="49">
        <v>0.15607958461538499</v>
      </c>
      <c r="K41" s="66">
        <v>0.25205479452054802</v>
      </c>
      <c r="L41" s="63">
        <v>14035.510618063023</v>
      </c>
      <c r="M41" s="60">
        <v>11161.435514002853</v>
      </c>
      <c r="O41" s="37"/>
      <c r="P41" s="37"/>
      <c r="Q41" s="37"/>
      <c r="R41" s="37"/>
      <c r="S41" s="37"/>
      <c r="AC41" s="37"/>
      <c r="AD41" s="37"/>
    </row>
    <row r="42" spans="2:30" hidden="1">
      <c r="B42" s="48">
        <v>1000000</v>
      </c>
      <c r="C42" s="57">
        <v>6.3073380352437522E-2</v>
      </c>
      <c r="D42" s="49">
        <v>0.03</v>
      </c>
      <c r="E42" s="50">
        <v>0.04</v>
      </c>
      <c r="F42" s="51">
        <v>41751</v>
      </c>
      <c r="G42" s="51">
        <v>41751</v>
      </c>
      <c r="H42" s="51">
        <v>41841</v>
      </c>
      <c r="I42" s="51">
        <v>41841</v>
      </c>
      <c r="J42" s="49">
        <v>0.15244921538461501</v>
      </c>
      <c r="K42" s="66">
        <v>0.24657534246575299</v>
      </c>
      <c r="L42" s="63">
        <v>13090.46365706028</v>
      </c>
      <c r="M42" s="60">
        <v>10250.488324613494</v>
      </c>
      <c r="O42" s="37"/>
      <c r="P42" s="37"/>
      <c r="Q42" s="37"/>
      <c r="R42" s="37"/>
      <c r="S42" s="37"/>
      <c r="AC42" s="37"/>
      <c r="AD42" s="37"/>
    </row>
    <row r="43" spans="2:30" hidden="1">
      <c r="B43" s="48">
        <v>1000000</v>
      </c>
      <c r="C43" s="57">
        <v>6.359084006987413E-2</v>
      </c>
      <c r="D43" s="49">
        <v>0.03</v>
      </c>
      <c r="E43" s="50">
        <v>0.04</v>
      </c>
      <c r="F43" s="51">
        <v>41841</v>
      </c>
      <c r="G43" s="51">
        <v>41841</v>
      </c>
      <c r="H43" s="51">
        <v>41932</v>
      </c>
      <c r="I43" s="51">
        <v>41932</v>
      </c>
      <c r="J43" s="49">
        <v>0.14759411428571401</v>
      </c>
      <c r="K43" s="66">
        <v>0.24931506849315099</v>
      </c>
      <c r="L43" s="63">
        <v>13364.608014266816</v>
      </c>
      <c r="M43" s="60">
        <v>10301.830269157226</v>
      </c>
      <c r="O43" s="37"/>
      <c r="P43" s="37"/>
      <c r="Q43" s="37"/>
      <c r="R43" s="37"/>
      <c r="S43" s="37"/>
      <c r="AC43" s="37"/>
      <c r="AD43" s="37"/>
    </row>
    <row r="44" spans="2:30" hidden="1">
      <c r="B44" s="48">
        <v>1000000</v>
      </c>
      <c r="C44" s="57">
        <v>6.4225504218957175E-2</v>
      </c>
      <c r="D44" s="49">
        <v>0.03</v>
      </c>
      <c r="E44" s="50">
        <v>0.04</v>
      </c>
      <c r="F44" s="51">
        <v>41932</v>
      </c>
      <c r="G44" s="51">
        <v>41932</v>
      </c>
      <c r="H44" s="51">
        <v>42023</v>
      </c>
      <c r="I44" s="51">
        <v>42023</v>
      </c>
      <c r="J44" s="49">
        <v>0.14444851538461501</v>
      </c>
      <c r="K44" s="66">
        <v>0.24931506849315099</v>
      </c>
      <c r="L44" s="63">
        <v>13522.84193252874</v>
      </c>
      <c r="M44" s="60">
        <v>10259.522166800327</v>
      </c>
      <c r="O44" s="37"/>
      <c r="P44" s="37"/>
      <c r="Q44" s="37"/>
      <c r="R44" s="37"/>
      <c r="S44" s="37"/>
      <c r="AC44" s="37"/>
      <c r="AD44" s="37"/>
    </row>
    <row r="45" spans="2:30" ht="13.5" hidden="1" thickBot="1">
      <c r="B45" s="52">
        <v>1000000</v>
      </c>
      <c r="C45" s="58">
        <v>6.4795704454752134E-2</v>
      </c>
      <c r="D45" s="53">
        <v>0.03</v>
      </c>
      <c r="E45" s="54">
        <v>0.04</v>
      </c>
      <c r="F45" s="55">
        <v>42023</v>
      </c>
      <c r="G45" s="55">
        <v>42023</v>
      </c>
      <c r="H45" s="55">
        <v>42107</v>
      </c>
      <c r="I45" s="55">
        <v>42107</v>
      </c>
      <c r="J45" s="53">
        <v>0.14369964175824201</v>
      </c>
      <c r="K45" s="67">
        <v>0.23013698630137</v>
      </c>
      <c r="L45" s="64">
        <v>12614.426607222522</v>
      </c>
      <c r="M45" s="61">
        <v>9429.7100105397531</v>
      </c>
      <c r="O45" s="37"/>
      <c r="P45" s="37"/>
      <c r="Q45" s="37"/>
      <c r="R45" s="37"/>
      <c r="S45" s="37"/>
      <c r="AC45" s="37"/>
      <c r="AD45" s="37"/>
    </row>
    <row r="46" spans="2:30" hidden="1">
      <c r="B46" s="41"/>
      <c r="C46" s="41"/>
      <c r="D46" s="41"/>
      <c r="E46" s="43"/>
      <c r="F46" s="43"/>
      <c r="G46" s="43"/>
      <c r="H46" s="43"/>
      <c r="I46" s="43"/>
      <c r="J46" s="41"/>
      <c r="K46" s="41"/>
      <c r="L46" s="41"/>
      <c r="M46" s="41"/>
      <c r="O46" s="37"/>
      <c r="P46" s="37"/>
      <c r="Q46" s="37"/>
      <c r="R46" s="37"/>
      <c r="S46" s="37"/>
      <c r="AC46" s="37"/>
      <c r="AD46" s="37"/>
    </row>
    <row r="47" spans="2:30" hidden="1">
      <c r="O47" s="37"/>
      <c r="P47" s="37"/>
      <c r="Q47" s="37"/>
      <c r="R47" s="37"/>
      <c r="S47" s="37"/>
      <c r="AC47" s="37"/>
      <c r="AD47" s="37"/>
    </row>
    <row r="48" spans="2:30" hidden="1">
      <c r="B48" s="71" t="s">
        <v>63</v>
      </c>
      <c r="C48" s="72" t="s">
        <v>118</v>
      </c>
      <c r="D48" s="72" t="s">
        <v>119</v>
      </c>
      <c r="E48" s="72" t="s">
        <v>82</v>
      </c>
      <c r="F48" s="73" t="s">
        <v>84</v>
      </c>
    </row>
    <row r="49" spans="2:6" hidden="1">
      <c r="B49" s="74">
        <f>IF(C3="", B3, C3)</f>
        <v>1000000</v>
      </c>
      <c r="C49" s="80">
        <f>IF(I3="", H3, I3)</f>
        <v>40287</v>
      </c>
      <c r="D49" s="80">
        <f>IF(K3="", J3, K3)</f>
        <v>40378</v>
      </c>
      <c r="E49" s="75">
        <f>IF(E3="", D3,E3)</f>
        <v>0.03</v>
      </c>
      <c r="F49" s="76">
        <f>IF(G3="", F3, G3)</f>
        <v>0.04</v>
      </c>
    </row>
    <row r="50" spans="2:6" hidden="1">
      <c r="B50" s="74">
        <f t="shared" ref="B50:B69" si="6">IF(C4="", B4, C4)</f>
        <v>1000000</v>
      </c>
      <c r="C50" s="80">
        <f t="shared" ref="C50:C69" si="7">IF(I4="", H4, I4)</f>
        <v>40378</v>
      </c>
      <c r="D50" s="80">
        <f t="shared" ref="D50:D69" si="8">IF(K4="", J4, K4)</f>
        <v>40470</v>
      </c>
      <c r="E50" s="75">
        <f t="shared" ref="E50:E69" si="9">IF(E4="", D4,E4)</f>
        <v>0.03</v>
      </c>
      <c r="F50" s="76">
        <f t="shared" ref="F50:F69" si="10">IF(G4="", F4, G4)</f>
        <v>0.04</v>
      </c>
    </row>
    <row r="51" spans="2:6" hidden="1">
      <c r="B51" s="74">
        <f t="shared" si="6"/>
        <v>1000000</v>
      </c>
      <c r="C51" s="80">
        <f t="shared" si="7"/>
        <v>40470</v>
      </c>
      <c r="D51" s="80">
        <f t="shared" si="8"/>
        <v>40562</v>
      </c>
      <c r="E51" s="75">
        <f t="shared" si="9"/>
        <v>0.03</v>
      </c>
      <c r="F51" s="76">
        <f t="shared" si="10"/>
        <v>0.04</v>
      </c>
    </row>
    <row r="52" spans="2:6" hidden="1">
      <c r="B52" s="74">
        <f t="shared" si="6"/>
        <v>1000000</v>
      </c>
      <c r="C52" s="80">
        <f t="shared" si="7"/>
        <v>40562</v>
      </c>
      <c r="D52" s="80">
        <f t="shared" si="8"/>
        <v>40652</v>
      </c>
      <c r="E52" s="75">
        <f t="shared" si="9"/>
        <v>0.03</v>
      </c>
      <c r="F52" s="76">
        <f t="shared" si="10"/>
        <v>0.04</v>
      </c>
    </row>
    <row r="53" spans="2:6" hidden="1">
      <c r="B53" s="74">
        <f t="shared" si="6"/>
        <v>1000000</v>
      </c>
      <c r="C53" s="80">
        <f t="shared" si="7"/>
        <v>40652</v>
      </c>
      <c r="D53" s="80">
        <f t="shared" si="8"/>
        <v>40743</v>
      </c>
      <c r="E53" s="75">
        <f t="shared" si="9"/>
        <v>0.03</v>
      </c>
      <c r="F53" s="76">
        <f t="shared" si="10"/>
        <v>0.04</v>
      </c>
    </row>
    <row r="54" spans="2:6" hidden="1">
      <c r="B54" s="74">
        <f t="shared" si="6"/>
        <v>1000000</v>
      </c>
      <c r="C54" s="80">
        <f t="shared" si="7"/>
        <v>40743</v>
      </c>
      <c r="D54" s="80">
        <f t="shared" si="8"/>
        <v>40835</v>
      </c>
      <c r="E54" s="75">
        <f t="shared" si="9"/>
        <v>0.03</v>
      </c>
      <c r="F54" s="76">
        <f t="shared" si="10"/>
        <v>0.04</v>
      </c>
    </row>
    <row r="55" spans="2:6" hidden="1">
      <c r="B55" s="74">
        <f t="shared" si="6"/>
        <v>1000000</v>
      </c>
      <c r="C55" s="80">
        <f t="shared" si="7"/>
        <v>40835</v>
      </c>
      <c r="D55" s="80">
        <f t="shared" si="8"/>
        <v>40927</v>
      </c>
      <c r="E55" s="75">
        <f t="shared" si="9"/>
        <v>0.03</v>
      </c>
      <c r="F55" s="76">
        <f t="shared" si="10"/>
        <v>0.04</v>
      </c>
    </row>
    <row r="56" spans="2:6" hidden="1">
      <c r="B56" s="74">
        <f t="shared" si="6"/>
        <v>1000000</v>
      </c>
      <c r="C56" s="80">
        <f t="shared" si="7"/>
        <v>40927</v>
      </c>
      <c r="D56" s="80">
        <f t="shared" si="8"/>
        <v>41018</v>
      </c>
      <c r="E56" s="75">
        <f t="shared" si="9"/>
        <v>0.03</v>
      </c>
      <c r="F56" s="76">
        <f t="shared" si="10"/>
        <v>0.04</v>
      </c>
    </row>
    <row r="57" spans="2:6" hidden="1">
      <c r="B57" s="74">
        <f t="shared" si="6"/>
        <v>1000000</v>
      </c>
      <c r="C57" s="80">
        <f t="shared" si="7"/>
        <v>41018</v>
      </c>
      <c r="D57" s="80">
        <f t="shared" si="8"/>
        <v>41109</v>
      </c>
      <c r="E57" s="75">
        <f t="shared" si="9"/>
        <v>0.03</v>
      </c>
      <c r="F57" s="76">
        <f t="shared" si="10"/>
        <v>0.04</v>
      </c>
    </row>
    <row r="58" spans="2:6" hidden="1">
      <c r="B58" s="74">
        <f t="shared" si="6"/>
        <v>1000000</v>
      </c>
      <c r="C58" s="80">
        <f t="shared" si="7"/>
        <v>41109</v>
      </c>
      <c r="D58" s="80">
        <f t="shared" si="8"/>
        <v>41201</v>
      </c>
      <c r="E58" s="75">
        <f t="shared" si="9"/>
        <v>0.03</v>
      </c>
      <c r="F58" s="76">
        <f t="shared" si="10"/>
        <v>0.04</v>
      </c>
    </row>
    <row r="59" spans="2:6" hidden="1">
      <c r="B59" s="74">
        <f t="shared" si="6"/>
        <v>1000000</v>
      </c>
      <c r="C59" s="80">
        <f t="shared" si="7"/>
        <v>41201</v>
      </c>
      <c r="D59" s="80">
        <f t="shared" si="8"/>
        <v>41295</v>
      </c>
      <c r="E59" s="75">
        <f t="shared" si="9"/>
        <v>0.03</v>
      </c>
      <c r="F59" s="76">
        <f t="shared" si="10"/>
        <v>0.04</v>
      </c>
    </row>
    <row r="60" spans="2:6" hidden="1">
      <c r="B60" s="74">
        <f t="shared" si="6"/>
        <v>1000000</v>
      </c>
      <c r="C60" s="80">
        <f t="shared" si="7"/>
        <v>41295</v>
      </c>
      <c r="D60" s="80">
        <f t="shared" si="8"/>
        <v>41383</v>
      </c>
      <c r="E60" s="75">
        <f t="shared" si="9"/>
        <v>0.03</v>
      </c>
      <c r="F60" s="76">
        <f t="shared" si="10"/>
        <v>0.04</v>
      </c>
    </row>
    <row r="61" spans="2:6" hidden="1">
      <c r="B61" s="74">
        <f t="shared" si="6"/>
        <v>1000000</v>
      </c>
      <c r="C61" s="80">
        <f t="shared" si="7"/>
        <v>41383</v>
      </c>
      <c r="D61" s="80">
        <f t="shared" si="8"/>
        <v>41474</v>
      </c>
      <c r="E61" s="75">
        <f t="shared" si="9"/>
        <v>0.03</v>
      </c>
      <c r="F61" s="76">
        <f t="shared" si="10"/>
        <v>0.04</v>
      </c>
    </row>
    <row r="62" spans="2:6" hidden="1">
      <c r="B62" s="74">
        <f t="shared" si="6"/>
        <v>1000000</v>
      </c>
      <c r="C62" s="80">
        <f t="shared" si="7"/>
        <v>41474</v>
      </c>
      <c r="D62" s="80">
        <f t="shared" si="8"/>
        <v>41568</v>
      </c>
      <c r="E62" s="75">
        <f t="shared" si="9"/>
        <v>0.03</v>
      </c>
      <c r="F62" s="76">
        <f t="shared" si="10"/>
        <v>0.04</v>
      </c>
    </row>
    <row r="63" spans="2:6" hidden="1">
      <c r="B63" s="74">
        <f t="shared" si="6"/>
        <v>1000000</v>
      </c>
      <c r="C63" s="80">
        <f t="shared" si="7"/>
        <v>41568</v>
      </c>
      <c r="D63" s="80">
        <f t="shared" si="8"/>
        <v>41659</v>
      </c>
      <c r="E63" s="75">
        <f t="shared" si="9"/>
        <v>0.03</v>
      </c>
      <c r="F63" s="76">
        <f t="shared" si="10"/>
        <v>0.04</v>
      </c>
    </row>
    <row r="64" spans="2:6" hidden="1">
      <c r="B64" s="74">
        <f t="shared" si="6"/>
        <v>1000000</v>
      </c>
      <c r="C64" s="80">
        <f t="shared" si="7"/>
        <v>41659</v>
      </c>
      <c r="D64" s="80">
        <f t="shared" si="8"/>
        <v>41751</v>
      </c>
      <c r="E64" s="75">
        <f t="shared" si="9"/>
        <v>0.03</v>
      </c>
      <c r="F64" s="76">
        <f t="shared" si="10"/>
        <v>0.04</v>
      </c>
    </row>
    <row r="65" spans="2:6" hidden="1">
      <c r="B65" s="74">
        <f t="shared" si="6"/>
        <v>1000000</v>
      </c>
      <c r="C65" s="80">
        <f t="shared" si="7"/>
        <v>41751</v>
      </c>
      <c r="D65" s="80">
        <f t="shared" si="8"/>
        <v>41841</v>
      </c>
      <c r="E65" s="75">
        <f t="shared" si="9"/>
        <v>0.03</v>
      </c>
      <c r="F65" s="76">
        <f t="shared" si="10"/>
        <v>0.04</v>
      </c>
    </row>
    <row r="66" spans="2:6" hidden="1">
      <c r="B66" s="74">
        <f t="shared" si="6"/>
        <v>1000000</v>
      </c>
      <c r="C66" s="80">
        <f t="shared" si="7"/>
        <v>41841</v>
      </c>
      <c r="D66" s="80">
        <f t="shared" si="8"/>
        <v>41932</v>
      </c>
      <c r="E66" s="75">
        <f t="shared" si="9"/>
        <v>0.03</v>
      </c>
      <c r="F66" s="76">
        <f t="shared" si="10"/>
        <v>0.04</v>
      </c>
    </row>
    <row r="67" spans="2:6" hidden="1">
      <c r="B67" s="74">
        <f t="shared" si="6"/>
        <v>1000000</v>
      </c>
      <c r="C67" s="80">
        <f t="shared" si="7"/>
        <v>41932</v>
      </c>
      <c r="D67" s="80">
        <f t="shared" si="8"/>
        <v>42023</v>
      </c>
      <c r="E67" s="75">
        <f t="shared" si="9"/>
        <v>0.03</v>
      </c>
      <c r="F67" s="76">
        <f t="shared" si="10"/>
        <v>0.04</v>
      </c>
    </row>
    <row r="68" spans="2:6" hidden="1">
      <c r="B68" s="74">
        <f t="shared" si="6"/>
        <v>1000000</v>
      </c>
      <c r="C68" s="80">
        <f t="shared" si="7"/>
        <v>42023</v>
      </c>
      <c r="D68" s="80">
        <f t="shared" si="8"/>
        <v>42107</v>
      </c>
      <c r="E68" s="75">
        <f t="shared" si="9"/>
        <v>0.03</v>
      </c>
      <c r="F68" s="76">
        <f t="shared" si="10"/>
        <v>0.04</v>
      </c>
    </row>
    <row r="69" spans="2:6" hidden="1">
      <c r="B69" s="77">
        <f t="shared" si="6"/>
        <v>0</v>
      </c>
      <c r="C69" s="81">
        <f t="shared" si="7"/>
        <v>0</v>
      </c>
      <c r="D69" s="81">
        <f t="shared" si="8"/>
        <v>0</v>
      </c>
      <c r="E69" s="78">
        <f t="shared" si="9"/>
        <v>0</v>
      </c>
      <c r="F69" s="79">
        <f t="shared" si="10"/>
        <v>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G66"/>
  <sheetViews>
    <sheetView workbookViewId="0">
      <selection activeCell="C18" sqref="C18"/>
    </sheetView>
  </sheetViews>
  <sheetFormatPr defaultRowHeight="11.25"/>
  <cols>
    <col min="1" max="1" width="3.5703125" style="34" customWidth="1"/>
    <col min="2" max="2" width="15.140625" style="34" bestFit="1" customWidth="1"/>
    <col min="3" max="3" width="20.42578125" style="34" bestFit="1" customWidth="1"/>
    <col min="4" max="4" width="2.85546875" style="34" customWidth="1"/>
    <col min="5" max="6" width="9.140625" style="34"/>
    <col min="7" max="7" width="15.140625" style="70" customWidth="1"/>
    <col min="8" max="16384" width="9.140625" style="34"/>
  </cols>
  <sheetData>
    <row r="2" spans="2:7" ht="15" customHeight="1">
      <c r="E2" s="387" t="e">
        <f ca="1">_xll.QR.ExcelAPI.QFN("QRLib.PricingStructures.CreateVolatilityCube",B4:C11, G6, E7:G66)</f>
        <v>#NAME?</v>
      </c>
      <c r="F2" s="388"/>
      <c r="G2" s="389"/>
    </row>
    <row r="3" spans="2:7">
      <c r="B3" s="68" t="s">
        <v>85</v>
      </c>
      <c r="C3" s="100"/>
    </row>
    <row r="4" spans="2:7">
      <c r="B4" s="106" t="s">
        <v>86</v>
      </c>
      <c r="C4" s="107" t="s">
        <v>87</v>
      </c>
      <c r="E4" s="19" t="s">
        <v>120</v>
      </c>
      <c r="F4" s="108"/>
      <c r="G4" s="105"/>
    </row>
    <row r="5" spans="2:7">
      <c r="B5" s="33" t="s">
        <v>31</v>
      </c>
      <c r="C5" s="31" t="s">
        <v>88</v>
      </c>
      <c r="E5" s="109"/>
      <c r="F5" s="110"/>
      <c r="G5" s="103" t="s">
        <v>41</v>
      </c>
    </row>
    <row r="6" spans="2:7">
      <c r="B6" s="33" t="s">
        <v>90</v>
      </c>
      <c r="C6" s="31">
        <v>40060</v>
      </c>
      <c r="E6" s="102" t="s">
        <v>121</v>
      </c>
      <c r="F6" s="101" t="s">
        <v>39</v>
      </c>
      <c r="G6" s="69">
        <v>0</v>
      </c>
    </row>
    <row r="7" spans="2:7">
      <c r="B7" s="33" t="s">
        <v>33</v>
      </c>
      <c r="C7" s="32" t="s">
        <v>37</v>
      </c>
      <c r="E7" s="17" t="s">
        <v>122</v>
      </c>
      <c r="F7" s="18" t="s">
        <v>35</v>
      </c>
      <c r="G7" s="99">
        <v>0.16301760000000001</v>
      </c>
    </row>
    <row r="8" spans="2:7">
      <c r="B8" s="33" t="s">
        <v>91</v>
      </c>
      <c r="C8" s="32" t="s">
        <v>9</v>
      </c>
      <c r="E8" s="17" t="s">
        <v>123</v>
      </c>
      <c r="F8" s="18" t="s">
        <v>35</v>
      </c>
      <c r="G8" s="99">
        <v>0.1757359</v>
      </c>
    </row>
    <row r="9" spans="2:7">
      <c r="B9" s="33" t="s">
        <v>92</v>
      </c>
      <c r="C9" s="32" t="s">
        <v>93</v>
      </c>
      <c r="E9" s="17" t="s">
        <v>124</v>
      </c>
      <c r="F9" s="18" t="s">
        <v>35</v>
      </c>
      <c r="G9" s="99">
        <v>0.1897944</v>
      </c>
    </row>
    <row r="10" spans="2:7">
      <c r="B10" s="33" t="s">
        <v>2</v>
      </c>
      <c r="C10" s="32" t="s">
        <v>9</v>
      </c>
      <c r="E10" s="17" t="s">
        <v>125</v>
      </c>
      <c r="F10" s="18" t="s">
        <v>35</v>
      </c>
      <c r="G10" s="99">
        <v>0.17852810000000002</v>
      </c>
    </row>
    <row r="11" spans="2:7">
      <c r="B11" s="30" t="s">
        <v>89</v>
      </c>
      <c r="C11" s="16" t="str">
        <f>C10&amp;"-"&amp;C5&amp;"-"&amp;C7</f>
        <v>AUD-RateVolatilityCube-EOD</v>
      </c>
      <c r="E11" s="17" t="s">
        <v>126</v>
      </c>
      <c r="F11" s="18" t="s">
        <v>35</v>
      </c>
      <c r="G11" s="99">
        <v>0.16553730000000003</v>
      </c>
    </row>
    <row r="12" spans="2:7">
      <c r="E12" s="17" t="s">
        <v>127</v>
      </c>
      <c r="F12" s="18" t="s">
        <v>35</v>
      </c>
      <c r="G12" s="99">
        <v>0.15164450000000002</v>
      </c>
    </row>
    <row r="13" spans="2:7">
      <c r="E13" s="17" t="s">
        <v>128</v>
      </c>
      <c r="F13" s="18" t="s">
        <v>35</v>
      </c>
      <c r="G13" s="99">
        <v>0.14352600000000001</v>
      </c>
    </row>
    <row r="14" spans="2:7">
      <c r="E14" s="17" t="s">
        <v>129</v>
      </c>
      <c r="F14" s="18" t="s">
        <v>35</v>
      </c>
      <c r="G14" s="99">
        <v>0.14685019999999999</v>
      </c>
    </row>
    <row r="15" spans="2:7">
      <c r="E15" s="17" t="s">
        <v>130</v>
      </c>
      <c r="F15" s="18" t="s">
        <v>35</v>
      </c>
      <c r="G15" s="99">
        <v>0.16105640000000002</v>
      </c>
    </row>
    <row r="16" spans="2:7">
      <c r="E16" s="17" t="s">
        <v>131</v>
      </c>
      <c r="F16" s="18" t="s">
        <v>35</v>
      </c>
      <c r="G16" s="99">
        <v>0.17452210000000001</v>
      </c>
    </row>
    <row r="17" spans="5:7">
      <c r="E17" s="17" t="s">
        <v>132</v>
      </c>
      <c r="F17" s="18" t="s">
        <v>35</v>
      </c>
      <c r="G17" s="99">
        <v>0.18197479999999999</v>
      </c>
    </row>
    <row r="18" spans="5:7">
      <c r="E18" s="17" t="s">
        <v>133</v>
      </c>
      <c r="F18" s="18" t="s">
        <v>35</v>
      </c>
      <c r="G18" s="99">
        <v>0.17768119999999998</v>
      </c>
    </row>
    <row r="19" spans="5:7">
      <c r="E19" s="17" t="s">
        <v>134</v>
      </c>
      <c r="F19" s="18" t="s">
        <v>35</v>
      </c>
      <c r="G19" s="99">
        <v>0.16843979999999997</v>
      </c>
    </row>
    <row r="20" spans="5:7">
      <c r="E20" s="17" t="s">
        <v>135</v>
      </c>
      <c r="F20" s="18" t="s">
        <v>35</v>
      </c>
      <c r="G20" s="99">
        <v>0.16304590000000002</v>
      </c>
    </row>
    <row r="21" spans="5:7">
      <c r="E21" s="17" t="s">
        <v>136</v>
      </c>
      <c r="F21" s="18" t="s">
        <v>35</v>
      </c>
      <c r="G21" s="99">
        <v>0.15859790000000001</v>
      </c>
    </row>
    <row r="22" spans="5:7">
      <c r="E22" s="17" t="s">
        <v>137</v>
      </c>
      <c r="F22" s="18" t="s">
        <v>35</v>
      </c>
      <c r="G22" s="99">
        <v>0.15596379999999999</v>
      </c>
    </row>
    <row r="23" spans="5:7">
      <c r="E23" s="17" t="s">
        <v>138</v>
      </c>
      <c r="F23" s="18" t="s">
        <v>35</v>
      </c>
      <c r="G23" s="99">
        <v>0.1523294</v>
      </c>
    </row>
    <row r="24" spans="5:7">
      <c r="E24" s="17" t="s">
        <v>139</v>
      </c>
      <c r="F24" s="18" t="s">
        <v>35</v>
      </c>
      <c r="G24" s="99">
        <v>0.14737640000000002</v>
      </c>
    </row>
    <row r="25" spans="5:7">
      <c r="E25" s="17" t="s">
        <v>140</v>
      </c>
      <c r="F25" s="18" t="s">
        <v>35</v>
      </c>
      <c r="G25" s="99">
        <v>0.14431389999999999</v>
      </c>
    </row>
    <row r="26" spans="5:7">
      <c r="E26" s="17" t="s">
        <v>141</v>
      </c>
      <c r="F26" s="18" t="s">
        <v>35</v>
      </c>
      <c r="G26" s="99">
        <v>0.1436714</v>
      </c>
    </row>
    <row r="27" spans="5:7">
      <c r="E27" s="17" t="s">
        <v>142</v>
      </c>
      <c r="F27" s="18" t="s">
        <v>35</v>
      </c>
      <c r="G27" s="99">
        <v>0.1435698</v>
      </c>
    </row>
    <row r="28" spans="5:7">
      <c r="E28" s="17" t="s">
        <v>143</v>
      </c>
      <c r="F28" s="18" t="s">
        <v>35</v>
      </c>
      <c r="G28" s="99">
        <v>0.142208</v>
      </c>
    </row>
    <row r="29" spans="5:7">
      <c r="E29" s="17" t="s">
        <v>144</v>
      </c>
      <c r="F29" s="18" t="s">
        <v>35</v>
      </c>
      <c r="G29" s="99">
        <v>0.14083899999999999</v>
      </c>
    </row>
    <row r="30" spans="5:7">
      <c r="E30" s="17" t="s">
        <v>145</v>
      </c>
      <c r="F30" s="18" t="s">
        <v>35</v>
      </c>
      <c r="G30" s="99">
        <v>0.139487</v>
      </c>
    </row>
    <row r="31" spans="5:7">
      <c r="E31" s="17" t="s">
        <v>146</v>
      </c>
      <c r="F31" s="18" t="s">
        <v>35</v>
      </c>
      <c r="G31" s="99">
        <v>0.13807249999999999</v>
      </c>
    </row>
    <row r="32" spans="5:7">
      <c r="E32" s="17" t="s">
        <v>147</v>
      </c>
      <c r="F32" s="18" t="s">
        <v>35</v>
      </c>
      <c r="G32" s="99">
        <v>0.1365943</v>
      </c>
    </row>
    <row r="33" spans="5:7">
      <c r="E33" s="17" t="s">
        <v>148</v>
      </c>
      <c r="F33" s="18" t="s">
        <v>35</v>
      </c>
      <c r="G33" s="99">
        <v>0.1350132</v>
      </c>
    </row>
    <row r="34" spans="5:7">
      <c r="E34" s="17" t="s">
        <v>149</v>
      </c>
      <c r="F34" s="18" t="s">
        <v>35</v>
      </c>
      <c r="G34" s="99">
        <v>0.13330410000000001</v>
      </c>
    </row>
    <row r="35" spans="5:7">
      <c r="E35" s="17" t="s">
        <v>150</v>
      </c>
      <c r="F35" s="18" t="s">
        <v>35</v>
      </c>
      <c r="G35" s="99">
        <v>0.13097590000000001</v>
      </c>
    </row>
    <row r="36" spans="5:7">
      <c r="E36" s="17" t="s">
        <v>151</v>
      </c>
      <c r="F36" s="18" t="s">
        <v>35</v>
      </c>
      <c r="G36" s="99">
        <v>0.1283318</v>
      </c>
    </row>
    <row r="37" spans="5:7">
      <c r="E37" s="17" t="s">
        <v>152</v>
      </c>
      <c r="F37" s="18" t="s">
        <v>35</v>
      </c>
      <c r="G37" s="99">
        <v>0.12589890000000001</v>
      </c>
    </row>
    <row r="38" spans="5:7">
      <c r="E38" s="17" t="s">
        <v>153</v>
      </c>
      <c r="F38" s="18" t="s">
        <v>35</v>
      </c>
      <c r="G38" s="99">
        <v>0.1238161</v>
      </c>
    </row>
    <row r="39" spans="5:7">
      <c r="E39" s="17" t="s">
        <v>154</v>
      </c>
      <c r="F39" s="18" t="s">
        <v>35</v>
      </c>
      <c r="G39" s="99">
        <v>0.12198650000000001</v>
      </c>
    </row>
    <row r="40" spans="5:7">
      <c r="E40" s="17" t="s">
        <v>155</v>
      </c>
      <c r="F40" s="18" t="s">
        <v>35</v>
      </c>
      <c r="G40" s="99">
        <v>0.12067230000000001</v>
      </c>
    </row>
    <row r="41" spans="5:7">
      <c r="E41" s="17" t="s">
        <v>156</v>
      </c>
      <c r="F41" s="18" t="s">
        <v>35</v>
      </c>
      <c r="G41" s="99">
        <v>0.11984640000000001</v>
      </c>
    </row>
    <row r="42" spans="5:7">
      <c r="E42" s="17" t="s">
        <v>157</v>
      </c>
      <c r="F42" s="18" t="s">
        <v>35</v>
      </c>
      <c r="G42" s="99">
        <v>0.1195787</v>
      </c>
    </row>
    <row r="43" spans="5:7">
      <c r="E43" s="17" t="s">
        <v>158</v>
      </c>
      <c r="F43" s="18" t="s">
        <v>35</v>
      </c>
      <c r="G43" s="99">
        <v>0.11972200000000001</v>
      </c>
    </row>
    <row r="44" spans="5:7">
      <c r="E44" s="17" t="s">
        <v>159</v>
      </c>
      <c r="F44" s="18" t="s">
        <v>35</v>
      </c>
      <c r="G44" s="99">
        <v>0.1207285</v>
      </c>
    </row>
    <row r="45" spans="5:7">
      <c r="E45" s="17" t="s">
        <v>160</v>
      </c>
      <c r="F45" s="18" t="s">
        <v>35</v>
      </c>
      <c r="G45" s="99">
        <v>0.12254939999999999</v>
      </c>
    </row>
    <row r="46" spans="5:7">
      <c r="E46" s="17" t="s">
        <v>161</v>
      </c>
      <c r="F46" s="18" t="s">
        <v>35</v>
      </c>
      <c r="G46" s="99">
        <v>0.12506040000000002</v>
      </c>
    </row>
    <row r="47" spans="5:7">
      <c r="E47" s="17" t="s">
        <v>162</v>
      </c>
      <c r="F47" s="18" t="s">
        <v>35</v>
      </c>
      <c r="G47" s="99">
        <v>0.12743099999999999</v>
      </c>
    </row>
    <row r="48" spans="5:7">
      <c r="E48" s="17" t="s">
        <v>163</v>
      </c>
      <c r="F48" s="18" t="s">
        <v>35</v>
      </c>
      <c r="G48" s="99">
        <v>0.12928909999999999</v>
      </c>
    </row>
    <row r="49" spans="5:7">
      <c r="E49" s="17" t="s">
        <v>164</v>
      </c>
      <c r="F49" s="18" t="s">
        <v>35</v>
      </c>
      <c r="G49" s="99">
        <v>0.13119500000000001</v>
      </c>
    </row>
    <row r="50" spans="5:7">
      <c r="E50" s="17" t="s">
        <v>165</v>
      </c>
      <c r="F50" s="18" t="s">
        <v>35</v>
      </c>
      <c r="G50" s="99">
        <v>0.133045</v>
      </c>
    </row>
    <row r="51" spans="5:7">
      <c r="E51" s="17" t="s">
        <v>166</v>
      </c>
      <c r="F51" s="18" t="s">
        <v>35</v>
      </c>
      <c r="G51" s="99">
        <v>0.1349117</v>
      </c>
    </row>
    <row r="52" spans="5:7">
      <c r="E52" s="17" t="s">
        <v>167</v>
      </c>
      <c r="F52" s="18" t="s">
        <v>35</v>
      </c>
      <c r="G52" s="99">
        <v>0.13674500000000001</v>
      </c>
    </row>
    <row r="53" spans="5:7">
      <c r="E53" s="17" t="s">
        <v>168</v>
      </c>
      <c r="F53" s="18" t="s">
        <v>35</v>
      </c>
      <c r="G53" s="99">
        <v>0.1384648</v>
      </c>
    </row>
    <row r="54" spans="5:7">
      <c r="E54" s="17" t="s">
        <v>169</v>
      </c>
      <c r="F54" s="18" t="s">
        <v>35</v>
      </c>
      <c r="G54" s="99">
        <v>0.1401039</v>
      </c>
    </row>
    <row r="55" spans="5:7">
      <c r="E55" s="17" t="s">
        <v>170</v>
      </c>
      <c r="F55" s="18" t="s">
        <v>35</v>
      </c>
      <c r="G55" s="99">
        <v>0.14150209999999999</v>
      </c>
    </row>
    <row r="56" spans="5:7">
      <c r="E56" s="17" t="s">
        <v>171</v>
      </c>
      <c r="F56" s="18" t="s">
        <v>35</v>
      </c>
      <c r="G56" s="99">
        <v>0.14284440000000001</v>
      </c>
    </row>
    <row r="57" spans="5:7">
      <c r="E57" s="17" t="s">
        <v>172</v>
      </c>
      <c r="F57" s="18" t="s">
        <v>35</v>
      </c>
      <c r="G57" s="99">
        <v>0.14401140000000001</v>
      </c>
    </row>
    <row r="58" spans="5:7">
      <c r="E58" s="17" t="s">
        <v>173</v>
      </c>
      <c r="F58" s="18" t="s">
        <v>35</v>
      </c>
      <c r="G58" s="99">
        <v>0.14496339999999999</v>
      </c>
    </row>
    <row r="59" spans="5:7">
      <c r="E59" s="17" t="s">
        <v>174</v>
      </c>
      <c r="F59" s="18" t="s">
        <v>35</v>
      </c>
      <c r="G59" s="99">
        <v>0.14564340000000001</v>
      </c>
    </row>
    <row r="60" spans="5:7">
      <c r="E60" s="17" t="s">
        <v>175</v>
      </c>
      <c r="F60" s="18" t="s">
        <v>35</v>
      </c>
      <c r="G60" s="99">
        <v>0.1460668</v>
      </c>
    </row>
    <row r="61" spans="5:7">
      <c r="E61" s="17" t="s">
        <v>176</v>
      </c>
      <c r="F61" s="18" t="s">
        <v>35</v>
      </c>
      <c r="G61" s="99">
        <v>0.14618159999999999</v>
      </c>
    </row>
    <row r="62" spans="5:7">
      <c r="E62" s="17" t="s">
        <v>177</v>
      </c>
      <c r="F62" s="18" t="s">
        <v>35</v>
      </c>
      <c r="G62" s="99">
        <v>0.14595340000000001</v>
      </c>
    </row>
    <row r="63" spans="5:7">
      <c r="E63" s="17" t="s">
        <v>178</v>
      </c>
      <c r="F63" s="18" t="s">
        <v>35</v>
      </c>
      <c r="G63" s="99">
        <v>0.14535780000000001</v>
      </c>
    </row>
    <row r="64" spans="5:7">
      <c r="E64" s="17" t="s">
        <v>179</v>
      </c>
      <c r="F64" s="18" t="s">
        <v>35</v>
      </c>
      <c r="G64" s="99">
        <v>0.14435600000000001</v>
      </c>
    </row>
    <row r="65" spans="5:7">
      <c r="E65" s="17" t="s">
        <v>180</v>
      </c>
      <c r="F65" s="18" t="s">
        <v>35</v>
      </c>
      <c r="G65" s="99">
        <v>0.14286589999999999</v>
      </c>
    </row>
    <row r="66" spans="5:7">
      <c r="E66" s="15" t="s">
        <v>181</v>
      </c>
      <c r="F66" s="16" t="s">
        <v>35</v>
      </c>
      <c r="G66" s="104">
        <v>0.14101910000000001</v>
      </c>
    </row>
  </sheetData>
  <mergeCells count="1">
    <mergeCell ref="E2:G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AE114"/>
  <sheetViews>
    <sheetView tabSelected="1" topLeftCell="D1" workbookViewId="0">
      <selection activeCell="U23" sqref="U23"/>
    </sheetView>
  </sheetViews>
  <sheetFormatPr defaultRowHeight="11.25"/>
  <cols>
    <col min="1" max="1" width="3.85546875" style="125" customWidth="1"/>
    <col min="2" max="2" width="18" style="125" bestFit="1" customWidth="1"/>
    <col min="3" max="3" width="12.7109375" style="125" customWidth="1"/>
    <col min="4" max="4" width="6.140625" style="125" customWidth="1"/>
    <col min="5" max="5" width="4.85546875" style="125" customWidth="1"/>
    <col min="6" max="6" width="18" style="125" bestFit="1" customWidth="1"/>
    <col min="7" max="7" width="12.7109375" style="125" customWidth="1"/>
    <col min="8" max="8" width="5.140625" style="125" customWidth="1"/>
    <col min="9" max="9" width="5.28515625" style="125" customWidth="1"/>
    <col min="10" max="10" width="18" style="125" bestFit="1" customWidth="1"/>
    <col min="11" max="11" width="12.7109375" style="125" customWidth="1"/>
    <col min="12" max="12" width="5.28515625" style="125" customWidth="1"/>
    <col min="13" max="13" width="4.7109375" style="125" customWidth="1"/>
    <col min="14" max="14" width="18" style="125" bestFit="1" customWidth="1"/>
    <col min="15" max="15" width="12.7109375" style="125" customWidth="1"/>
    <col min="16" max="16" width="4.7109375" style="125" customWidth="1"/>
    <col min="17" max="17" width="8" style="125" hidden="1" customWidth="1"/>
    <col min="18" max="18" width="15.5703125" style="125" hidden="1" customWidth="1"/>
    <col min="19" max="19" width="10.140625" style="125" hidden="1" customWidth="1"/>
    <col min="20" max="20" width="8.7109375" style="125" hidden="1" customWidth="1"/>
    <col min="21" max="21" width="19.140625" style="125" customWidth="1"/>
    <col min="22" max="22" width="11.28515625" style="125" bestFit="1" customWidth="1"/>
    <col min="23" max="23" width="3.7109375" style="125" customWidth="1"/>
    <col min="24" max="24" width="18" style="125" bestFit="1" customWidth="1"/>
    <col min="25" max="25" width="11.28515625" style="125" bestFit="1" customWidth="1"/>
    <col min="26" max="26" width="4" style="125" customWidth="1"/>
    <col min="27" max="27" width="18" style="125" bestFit="1" customWidth="1"/>
    <col min="28" max="28" width="11.28515625" style="125" bestFit="1" customWidth="1"/>
    <col min="29" max="29" width="4.7109375" style="125" customWidth="1"/>
    <col min="30" max="31" width="9.140625" style="125" hidden="1" customWidth="1"/>
    <col min="32" max="16384" width="9.140625" style="125"/>
  </cols>
  <sheetData>
    <row r="1" spans="2:28" ht="12" thickBot="1"/>
    <row r="2" spans="2:28" ht="15.75" customHeight="1" thickBot="1">
      <c r="B2" s="222" t="s">
        <v>322</v>
      </c>
      <c r="C2" s="328" t="s">
        <v>37</v>
      </c>
      <c r="F2" s="222" t="s">
        <v>322</v>
      </c>
      <c r="G2" s="224" t="s">
        <v>37</v>
      </c>
      <c r="J2" s="222" t="s">
        <v>322</v>
      </c>
      <c r="K2" s="224" t="s">
        <v>37</v>
      </c>
      <c r="N2" s="222" t="s">
        <v>322</v>
      </c>
      <c r="O2" s="224" t="s">
        <v>37</v>
      </c>
      <c r="U2" s="223" t="s">
        <v>120</v>
      </c>
      <c r="V2" s="224" t="s">
        <v>37</v>
      </c>
      <c r="X2" s="223" t="s">
        <v>120</v>
      </c>
      <c r="Y2" s="224" t="s">
        <v>37</v>
      </c>
      <c r="AA2" s="223" t="s">
        <v>120</v>
      </c>
      <c r="AB2" s="224" t="s">
        <v>37</v>
      </c>
    </row>
    <row r="4" spans="2:28" ht="15.75" customHeight="1">
      <c r="B4" s="392"/>
      <c r="C4" s="393"/>
      <c r="D4" s="122"/>
      <c r="E4" s="123"/>
      <c r="F4" s="392" t="s">
        <v>358</v>
      </c>
      <c r="G4" s="393"/>
      <c r="H4" s="122"/>
      <c r="I4" s="123"/>
      <c r="J4" s="390" t="s">
        <v>319</v>
      </c>
      <c r="K4" s="391"/>
      <c r="L4" s="124"/>
      <c r="N4" s="390" t="s">
        <v>320</v>
      </c>
      <c r="O4" s="391"/>
      <c r="U4" s="390" t="e">
        <f ca="1">_xll.QR.ExcelAPI.QFN("QRLib.PricingStructures.RequestPricingStructure",U6:V9)</f>
        <v>#NAME?</v>
      </c>
      <c r="V4" s="391"/>
      <c r="X4" s="390" t="e">
        <f ca="1">_xll.QR.ExcelAPI.QFN("QRLib.PricingStructures.RequestPricingStructure",X6:Y9)</f>
        <v>#NAME?</v>
      </c>
      <c r="Y4" s="391"/>
      <c r="AA4" s="390" t="e">
        <f ca="1">_xll.QR.ExcelAPI.QFN("QRLib.PricingStructures.RequestPricingStructure",AA6:AB9)</f>
        <v>#NAME?</v>
      </c>
      <c r="AB4" s="391"/>
    </row>
    <row r="5" spans="2:28" ht="9.75" customHeight="1">
      <c r="D5" s="126"/>
    </row>
    <row r="6" spans="2:28" ht="12" customHeight="1">
      <c r="B6" s="225" t="s">
        <v>31</v>
      </c>
      <c r="C6" s="226" t="s">
        <v>32</v>
      </c>
      <c r="D6" s="127"/>
      <c r="E6" s="123"/>
      <c r="F6" s="225" t="s">
        <v>31</v>
      </c>
      <c r="G6" s="226" t="s">
        <v>32</v>
      </c>
      <c r="H6" s="127"/>
      <c r="I6" s="123"/>
      <c r="J6" s="225" t="s">
        <v>31</v>
      </c>
      <c r="K6" s="226" t="s">
        <v>32</v>
      </c>
      <c r="L6" s="127"/>
      <c r="N6" s="225" t="s">
        <v>31</v>
      </c>
      <c r="O6" s="226" t="s">
        <v>32</v>
      </c>
      <c r="Q6" s="125" t="str">
        <f>C8</f>
        <v>AUD</v>
      </c>
      <c r="R6" s="125" t="str">
        <f>AUDMarket</f>
        <v>EOD</v>
      </c>
      <c r="S6" s="125" t="str">
        <f>AUDMarketRateIndex</f>
        <v>ZERO-BANK</v>
      </c>
      <c r="U6" s="225" t="s">
        <v>31</v>
      </c>
      <c r="V6" s="226" t="s">
        <v>294</v>
      </c>
      <c r="X6" s="225" t="s">
        <v>31</v>
      </c>
      <c r="Y6" s="226" t="s">
        <v>294</v>
      </c>
      <c r="AA6" s="225" t="s">
        <v>31</v>
      </c>
      <c r="AB6" s="226" t="s">
        <v>294</v>
      </c>
    </row>
    <row r="7" spans="2:28" ht="12" customHeight="1">
      <c r="B7" s="227" t="s">
        <v>33</v>
      </c>
      <c r="C7" s="228" t="str">
        <f>AUDMarket</f>
        <v>EOD</v>
      </c>
      <c r="D7" s="127"/>
      <c r="E7" s="123"/>
      <c r="F7" s="227" t="s">
        <v>33</v>
      </c>
      <c r="G7" s="228" t="str">
        <f>USDMarket</f>
        <v>EOD</v>
      </c>
      <c r="H7" s="127"/>
      <c r="I7" s="123"/>
      <c r="J7" s="227" t="s">
        <v>33</v>
      </c>
      <c r="K7" s="228" t="str">
        <f>GBPMarket</f>
        <v>EOD</v>
      </c>
      <c r="L7" s="127"/>
      <c r="N7" s="227" t="s">
        <v>33</v>
      </c>
      <c r="O7" s="228" t="str">
        <f>EURMarket</f>
        <v>EOD</v>
      </c>
      <c r="Q7" s="125" t="str">
        <f>G8</f>
        <v>USD</v>
      </c>
      <c r="R7" s="125" t="str">
        <f>USDMarket</f>
        <v>EOD</v>
      </c>
      <c r="S7" s="125" t="str">
        <f>USDMarketRateIndex</f>
        <v>ZERO-BANK</v>
      </c>
      <c r="U7" s="227" t="s">
        <v>33</v>
      </c>
      <c r="V7" s="228" t="str">
        <f>AUDMarketFX</f>
        <v>EOD</v>
      </c>
      <c r="X7" s="227" t="s">
        <v>33</v>
      </c>
      <c r="Y7" s="228" t="str">
        <f>GBPMarketFX</f>
        <v>EOD</v>
      </c>
      <c r="AA7" s="227" t="s">
        <v>33</v>
      </c>
      <c r="AB7" s="228" t="str">
        <f>EURMarketFX</f>
        <v>EOD</v>
      </c>
    </row>
    <row r="8" spans="2:28" ht="12" customHeight="1">
      <c r="B8" s="227" t="s">
        <v>2</v>
      </c>
      <c r="C8" s="228" t="s">
        <v>9</v>
      </c>
      <c r="D8" s="127"/>
      <c r="E8" s="123"/>
      <c r="F8" s="227" t="s">
        <v>2</v>
      </c>
      <c r="G8" s="228" t="s">
        <v>15</v>
      </c>
      <c r="H8" s="127"/>
      <c r="I8" s="123"/>
      <c r="J8" s="227" t="s">
        <v>2</v>
      </c>
      <c r="K8" s="228" t="s">
        <v>21</v>
      </c>
      <c r="L8" s="127"/>
      <c r="N8" s="227" t="s">
        <v>2</v>
      </c>
      <c r="O8" s="228" t="s">
        <v>19</v>
      </c>
      <c r="Q8" s="125" t="str">
        <f>K8</f>
        <v>GBP</v>
      </c>
      <c r="R8" s="125" t="str">
        <f>GBPMarket</f>
        <v>EOD</v>
      </c>
      <c r="S8" s="125" t="str">
        <f>GBPMarketRateIndex</f>
        <v>ZERO-BANK</v>
      </c>
      <c r="U8" s="227" t="s">
        <v>2</v>
      </c>
      <c r="V8" s="228" t="s">
        <v>9</v>
      </c>
      <c r="X8" s="227" t="s">
        <v>2</v>
      </c>
      <c r="Y8" s="228" t="s">
        <v>21</v>
      </c>
      <c r="AA8" s="227" t="s">
        <v>2</v>
      </c>
      <c r="AB8" s="228" t="s">
        <v>19</v>
      </c>
    </row>
    <row r="9" spans="2:28" ht="12" customHeight="1">
      <c r="B9" s="227" t="s">
        <v>34</v>
      </c>
      <c r="C9" s="228" t="str">
        <f>IF(LEFT(AUDMarket,3)="EOD",EODMarketIndexTenor,TradeRateIndexTenor)</f>
        <v>3M</v>
      </c>
      <c r="D9" s="127"/>
      <c r="E9" s="123"/>
      <c r="F9" s="227" t="s">
        <v>34</v>
      </c>
      <c r="G9" s="228" t="str">
        <f>IF(LEFT(USDMarket,3)="EOD",EODMarketIndexTenor, TradeRateIndexTenor)</f>
        <v>3M</v>
      </c>
      <c r="H9" s="127"/>
      <c r="I9" s="123"/>
      <c r="J9" s="227" t="s">
        <v>34</v>
      </c>
      <c r="K9" s="228" t="str">
        <f>IF(LEFT(GBPMarket,3)="EOD",EODMarketIndexTenor, TradeRateIndexTenor)</f>
        <v>3M</v>
      </c>
      <c r="L9" s="127"/>
      <c r="N9" s="227" t="s">
        <v>34</v>
      </c>
      <c r="O9" s="228" t="str">
        <f>IF(LEFT(EURMarket,3)="EOD",EODMarketIndexTenor, TradeRateIndexTenor)</f>
        <v>3M</v>
      </c>
      <c r="Q9" s="125" t="str">
        <f>O8</f>
        <v>EUR</v>
      </c>
      <c r="R9" s="125" t="str">
        <f>EURMarket</f>
        <v>EOD</v>
      </c>
      <c r="S9" s="125" t="str">
        <f>EURMarketRateIndex</f>
        <v>ZERO-BANK</v>
      </c>
      <c r="U9" s="227" t="s">
        <v>348</v>
      </c>
      <c r="V9" s="228" t="s">
        <v>15</v>
      </c>
      <c r="X9" s="227" t="s">
        <v>348</v>
      </c>
      <c r="Y9" s="228" t="s">
        <v>15</v>
      </c>
      <c r="AA9" s="227" t="s">
        <v>348</v>
      </c>
      <c r="AB9" s="228" t="s">
        <v>15</v>
      </c>
    </row>
    <row r="10" spans="2:28" ht="12" customHeight="1">
      <c r="B10" s="229" t="s">
        <v>5</v>
      </c>
      <c r="C10" s="230" t="str">
        <f>IF(LEFT(AUDMarket,3)="EOD","ZERO-BANK", "LIBOR-BBA")</f>
        <v>ZERO-BANK</v>
      </c>
      <c r="D10" s="127"/>
      <c r="E10" s="123"/>
      <c r="F10" s="229" t="s">
        <v>5</v>
      </c>
      <c r="G10" s="230" t="str">
        <f>IF(LEFT(USDMarket,3)="EOD","ZERO-BANK", "LIBOR-BBA")</f>
        <v>ZERO-BANK</v>
      </c>
      <c r="H10" s="127"/>
      <c r="I10" s="123"/>
      <c r="J10" s="229" t="s">
        <v>5</v>
      </c>
      <c r="K10" s="230" t="str">
        <f>IF(LEFT(GBPMarket,3)="EOD","ZERO-BANK", "LIBOR-BBA")</f>
        <v>ZERO-BANK</v>
      </c>
      <c r="L10" s="127"/>
      <c r="N10" s="229" t="s">
        <v>5</v>
      </c>
      <c r="O10" s="230" t="str">
        <f>IF(LEFT(O7,3)="EOD","ZERO-BANK", "LIBOR-BBA")</f>
        <v>ZERO-BANK</v>
      </c>
      <c r="U10" s="229" t="s">
        <v>5</v>
      </c>
      <c r="V10" s="230"/>
      <c r="X10" s="229" t="s">
        <v>5</v>
      </c>
      <c r="Y10" s="230"/>
      <c r="AA10" s="229" t="s">
        <v>5</v>
      </c>
      <c r="AB10" s="230"/>
    </row>
    <row r="11" spans="2:28" ht="12" customHeight="1">
      <c r="B11" s="231" t="s">
        <v>92</v>
      </c>
      <c r="C11" s="228"/>
      <c r="D11" s="127"/>
      <c r="E11" s="123"/>
      <c r="F11" s="231" t="s">
        <v>92</v>
      </c>
      <c r="G11" s="228"/>
      <c r="H11" s="127"/>
      <c r="I11" s="123"/>
      <c r="J11" s="231" t="s">
        <v>92</v>
      </c>
      <c r="K11" s="228"/>
      <c r="L11" s="127"/>
      <c r="N11" s="231" t="s">
        <v>92</v>
      </c>
      <c r="O11" s="228"/>
      <c r="U11" s="231" t="s">
        <v>92</v>
      </c>
      <c r="V11" s="228"/>
      <c r="X11" s="231" t="s">
        <v>92</v>
      </c>
      <c r="Y11" s="228"/>
      <c r="AA11" s="231" t="s">
        <v>92</v>
      </c>
      <c r="AB11" s="228"/>
    </row>
    <row r="12" spans="2:28" ht="12" customHeight="1">
      <c r="B12" s="232" t="s">
        <v>90</v>
      </c>
      <c r="C12" s="233"/>
      <c r="D12" s="128"/>
      <c r="E12" s="123"/>
      <c r="F12" s="232" t="s">
        <v>90</v>
      </c>
      <c r="G12" s="233"/>
      <c r="H12" s="128"/>
      <c r="I12" s="123"/>
      <c r="J12" s="232" t="s">
        <v>90</v>
      </c>
      <c r="K12" s="233"/>
      <c r="L12" s="128"/>
      <c r="N12" s="232" t="s">
        <v>90</v>
      </c>
      <c r="O12" s="233"/>
      <c r="U12" s="232" t="s">
        <v>90</v>
      </c>
      <c r="V12" s="233"/>
      <c r="X12" s="232" t="s">
        <v>90</v>
      </c>
      <c r="Y12" s="233"/>
      <c r="AA12" s="232" t="s">
        <v>90</v>
      </c>
      <c r="AB12" s="233"/>
    </row>
    <row r="13" spans="2:28" ht="12" customHeight="1">
      <c r="B13" s="128"/>
      <c r="C13" s="128"/>
      <c r="D13" s="128"/>
      <c r="E13" s="123"/>
      <c r="F13" s="128"/>
      <c r="G13" s="128"/>
      <c r="H13" s="128"/>
      <c r="I13" s="123"/>
      <c r="J13" s="128"/>
      <c r="K13" s="128"/>
      <c r="L13" s="128"/>
      <c r="N13" s="128"/>
      <c r="O13" s="128"/>
      <c r="U13" s="128"/>
      <c r="V13" s="128"/>
      <c r="X13" s="128"/>
      <c r="Y13" s="128"/>
      <c r="AA13" s="128"/>
      <c r="AB13" s="128"/>
    </row>
    <row r="14" spans="2:28" ht="12" customHeight="1">
      <c r="B14" s="234"/>
      <c r="C14" s="235"/>
      <c r="D14" s="128"/>
      <c r="E14" s="123"/>
      <c r="F14" s="234" t="s">
        <v>31</v>
      </c>
      <c r="G14" s="235" t="s">
        <v>32</v>
      </c>
      <c r="H14" s="128"/>
      <c r="I14" s="123"/>
      <c r="J14" s="234" t="s">
        <v>31</v>
      </c>
      <c r="K14" s="235" t="s">
        <v>32</v>
      </c>
      <c r="L14" s="128"/>
      <c r="N14" s="234" t="s">
        <v>31</v>
      </c>
      <c r="O14" s="235" t="s">
        <v>32</v>
      </c>
      <c r="U14" s="234" t="e">
        <f t="array" aca="1" ref="U14:V20" ca="1">DisplayCurveProperties(V7, U4, U6:U12)</f>
        <v>#NAME?</v>
      </c>
      <c r="V14" s="235" t="e">
        <f ca="1"/>
        <v>#NAME?</v>
      </c>
      <c r="X14" s="234" t="e">
        <f t="array" aca="1" ref="X14:Y20" ca="1">_xll.QR.ExcelAPI.QFN("QRLib.PricingStructures.DisplayCurveProperties",GBPMarketFX, GBPFxCurve, X6:X12)</f>
        <v>#NAME?</v>
      </c>
      <c r="Y14" s="235" t="e">
        <f ca="1"/>
        <v>#NAME?</v>
      </c>
      <c r="AA14" s="234" t="e">
        <f t="array" aca="1" ref="AA14:AB20" ca="1">_xll.QR.ExcelAPI.QFN("QRLib.PricingStructures.DisplayCurveProperties",AB7, AA4, AA6:AA12)</f>
        <v>#NAME?</v>
      </c>
      <c r="AB14" s="235" t="e">
        <f ca="1"/>
        <v>#NAME?</v>
      </c>
    </row>
    <row r="15" spans="2:28" ht="12" customHeight="1">
      <c r="B15" s="236"/>
      <c r="C15" s="237"/>
      <c r="D15" s="128"/>
      <c r="E15" s="123"/>
      <c r="F15" s="236" t="s">
        <v>2</v>
      </c>
      <c r="G15" s="237" t="s">
        <v>15</v>
      </c>
      <c r="H15" s="128"/>
      <c r="I15" s="123"/>
      <c r="J15" s="236" t="s">
        <v>2</v>
      </c>
      <c r="K15" s="237" t="s">
        <v>21</v>
      </c>
      <c r="L15" s="128"/>
      <c r="N15" s="236" t="s">
        <v>2</v>
      </c>
      <c r="O15" s="237" t="s">
        <v>19</v>
      </c>
      <c r="U15" s="236" t="e">
        <f ca="1"/>
        <v>#NAME?</v>
      </c>
      <c r="V15" s="237" t="e">
        <f ca="1"/>
        <v>#NAME?</v>
      </c>
      <c r="X15" s="236" t="e">
        <f ca="1"/>
        <v>#NAME?</v>
      </c>
      <c r="Y15" s="237" t="e">
        <f ca="1"/>
        <v>#NAME?</v>
      </c>
      <c r="AA15" s="236" t="e">
        <f ca="1"/>
        <v>#NAME?</v>
      </c>
      <c r="AB15" s="237" t="e">
        <f ca="1"/>
        <v>#NAME?</v>
      </c>
    </row>
    <row r="16" spans="2:28" ht="12" customHeight="1">
      <c r="B16" s="236"/>
      <c r="C16" s="238"/>
      <c r="D16" s="128"/>
      <c r="E16" s="123"/>
      <c r="F16" s="236" t="s">
        <v>90</v>
      </c>
      <c r="G16" s="238">
        <v>40414</v>
      </c>
      <c r="H16" s="128"/>
      <c r="I16" s="123"/>
      <c r="J16" s="236" t="s">
        <v>90</v>
      </c>
      <c r="K16" s="238">
        <v>40414</v>
      </c>
      <c r="L16" s="128"/>
      <c r="N16" s="236" t="s">
        <v>90</v>
      </c>
      <c r="O16" s="238">
        <v>40414</v>
      </c>
      <c r="U16" s="236" t="e">
        <f ca="1"/>
        <v>#NAME?</v>
      </c>
      <c r="V16" s="238" t="e">
        <f ca="1"/>
        <v>#NAME?</v>
      </c>
      <c r="X16" s="236" t="e">
        <f ca="1"/>
        <v>#NAME?</v>
      </c>
      <c r="Y16" s="238" t="e">
        <f ca="1"/>
        <v>#NAME?</v>
      </c>
      <c r="AA16" s="236" t="e">
        <f ca="1"/>
        <v>#NAME?</v>
      </c>
      <c r="AB16" s="238" t="e">
        <f ca="1"/>
        <v>#NAME?</v>
      </c>
    </row>
    <row r="17" spans="2:31" ht="12" customHeight="1">
      <c r="B17" s="236"/>
      <c r="C17" s="237"/>
      <c r="D17" s="128"/>
      <c r="E17" s="123"/>
      <c r="F17" s="236" t="s">
        <v>92</v>
      </c>
      <c r="G17" s="237" t="s">
        <v>321</v>
      </c>
      <c r="H17" s="128"/>
      <c r="I17" s="123"/>
      <c r="J17" s="236" t="s">
        <v>92</v>
      </c>
      <c r="K17" s="237" t="s">
        <v>321</v>
      </c>
      <c r="L17" s="128"/>
      <c r="N17" s="236" t="s">
        <v>92</v>
      </c>
      <c r="O17" s="237" t="s">
        <v>321</v>
      </c>
      <c r="U17" s="236" t="e">
        <f ca="1"/>
        <v>#NAME?</v>
      </c>
      <c r="V17" s="237" t="e">
        <f ca="1"/>
        <v>#NAME?</v>
      </c>
      <c r="X17" s="236" t="e">
        <f ca="1"/>
        <v>#NAME?</v>
      </c>
      <c r="Y17" s="237" t="e">
        <f ca="1"/>
        <v>#NAME?</v>
      </c>
      <c r="AA17" s="236" t="e">
        <f ca="1"/>
        <v>#NAME?</v>
      </c>
      <c r="AB17" s="237" t="e">
        <f ca="1"/>
        <v>#NAME?</v>
      </c>
    </row>
    <row r="18" spans="2:31" ht="12" customHeight="1">
      <c r="B18" s="236"/>
      <c r="C18" s="238"/>
      <c r="D18" s="128"/>
      <c r="E18" s="123"/>
      <c r="F18" s="236" t="s">
        <v>5</v>
      </c>
      <c r="G18" s="238" t="s">
        <v>12</v>
      </c>
      <c r="H18" s="128"/>
      <c r="I18" s="123"/>
      <c r="J18" s="236" t="s">
        <v>5</v>
      </c>
      <c r="K18" s="238" t="s">
        <v>12</v>
      </c>
      <c r="L18" s="128"/>
      <c r="N18" s="236" t="s">
        <v>5</v>
      </c>
      <c r="O18" s="238" t="s">
        <v>12</v>
      </c>
      <c r="U18" s="236" t="e">
        <f ca="1"/>
        <v>#NAME?</v>
      </c>
      <c r="V18" s="238" t="e">
        <f ca="1"/>
        <v>#NAME?</v>
      </c>
      <c r="X18" s="236" t="e">
        <f ca="1"/>
        <v>#NAME?</v>
      </c>
      <c r="Y18" s="238" t="e">
        <f ca="1"/>
        <v>#NAME?</v>
      </c>
      <c r="AA18" s="236" t="e">
        <f ca="1"/>
        <v>#NAME?</v>
      </c>
      <c r="AB18" s="238" t="e">
        <f ca="1"/>
        <v>#NAME?</v>
      </c>
    </row>
    <row r="19" spans="2:31" ht="10.5" customHeight="1">
      <c r="B19" s="236"/>
      <c r="C19" s="237"/>
      <c r="D19" s="128"/>
      <c r="E19" s="123"/>
      <c r="F19" s="236" t="s">
        <v>34</v>
      </c>
      <c r="G19" s="237" t="s">
        <v>35</v>
      </c>
      <c r="H19" s="128"/>
      <c r="I19" s="123"/>
      <c r="J19" s="236" t="s">
        <v>34</v>
      </c>
      <c r="K19" s="237" t="s">
        <v>35</v>
      </c>
      <c r="L19" s="128"/>
      <c r="N19" s="236" t="s">
        <v>34</v>
      </c>
      <c r="O19" s="237" t="s">
        <v>35</v>
      </c>
      <c r="U19" s="236" t="e">
        <f ca="1"/>
        <v>#NAME?</v>
      </c>
      <c r="V19" s="237" t="e">
        <f ca="1"/>
        <v>#NAME?</v>
      </c>
      <c r="X19" s="236" t="e">
        <f ca="1"/>
        <v>#NAME?</v>
      </c>
      <c r="Y19" s="237" t="e">
        <f ca="1"/>
        <v>#NAME?</v>
      </c>
      <c r="AA19" s="236" t="e">
        <f ca="1"/>
        <v>#NAME?</v>
      </c>
      <c r="AB19" s="237" t="e">
        <f ca="1"/>
        <v>#NAME?</v>
      </c>
    </row>
    <row r="20" spans="2:31" ht="13.5" customHeight="1">
      <c r="B20" s="239"/>
      <c r="C20" s="240"/>
      <c r="D20" s="128"/>
      <c r="E20" s="123"/>
      <c r="F20" s="239" t="s">
        <v>33</v>
      </c>
      <c r="G20" s="240" t="s">
        <v>37</v>
      </c>
      <c r="H20" s="128"/>
      <c r="I20" s="123"/>
      <c r="J20" s="239" t="s">
        <v>33</v>
      </c>
      <c r="K20" s="240" t="s">
        <v>37</v>
      </c>
      <c r="L20" s="128"/>
      <c r="N20" s="239" t="s">
        <v>33</v>
      </c>
      <c r="O20" s="240" t="s">
        <v>37</v>
      </c>
      <c r="U20" s="239" t="e">
        <f ca="1"/>
        <v>#NAME?</v>
      </c>
      <c r="V20" s="240" t="e">
        <f ca="1"/>
        <v>#NAME?</v>
      </c>
      <c r="X20" s="239" t="e">
        <f ca="1"/>
        <v>#NAME?</v>
      </c>
      <c r="Y20" s="240" t="e">
        <f ca="1"/>
        <v>#NAME?</v>
      </c>
      <c r="AA20" s="239" t="e">
        <f ca="1"/>
        <v>#NAME?</v>
      </c>
      <c r="AB20" s="240" t="e">
        <f ca="1"/>
        <v>#NAME?</v>
      </c>
    </row>
    <row r="21" spans="2:31" ht="10.5" customHeight="1">
      <c r="B21" s="128"/>
      <c r="C21" s="128"/>
      <c r="D21" s="128"/>
      <c r="E21" s="123"/>
      <c r="F21" s="128"/>
      <c r="G21" s="128"/>
      <c r="H21" s="128"/>
      <c r="I21" s="123"/>
      <c r="J21" s="128"/>
      <c r="K21" s="128"/>
      <c r="L21" s="128"/>
      <c r="N21" s="128"/>
      <c r="O21" s="128"/>
    </row>
    <row r="23" spans="2:31" ht="22.5" customHeight="1">
      <c r="B23" s="222" t="s">
        <v>116</v>
      </c>
      <c r="C23" s="222" t="s">
        <v>95</v>
      </c>
      <c r="F23" s="222" t="s">
        <v>116</v>
      </c>
      <c r="G23" s="222" t="s">
        <v>95</v>
      </c>
      <c r="J23" s="222" t="s">
        <v>116</v>
      </c>
      <c r="K23" s="222" t="s">
        <v>95</v>
      </c>
      <c r="N23" s="222" t="s">
        <v>116</v>
      </c>
      <c r="O23" s="222" t="s">
        <v>95</v>
      </c>
    </row>
    <row r="24" spans="2:31">
      <c r="B24" s="241" t="s">
        <v>349</v>
      </c>
      <c r="C24" s="245">
        <v>4.4999999999999998E-2</v>
      </c>
      <c r="D24" s="126"/>
      <c r="F24" s="248" t="s">
        <v>359</v>
      </c>
      <c r="G24" s="249">
        <v>2.2537999999999998E-3</v>
      </c>
      <c r="H24" s="126"/>
      <c r="J24" s="254" t="s">
        <v>394</v>
      </c>
      <c r="K24" s="249">
        <v>5.4999999999999997E-3</v>
      </c>
      <c r="N24" s="254" t="s">
        <v>403</v>
      </c>
      <c r="O24" s="249">
        <v>4.2300000000000003E-3</v>
      </c>
      <c r="U24" s="254" t="e">
        <f t="array" aca="1" ref="U24:V65" ca="1">_xll.HLV5r3.Financial.Cache.GetQuotedAssetSet($U$4)</f>
        <v>#VALUE!</v>
      </c>
      <c r="V24" s="257" t="e">
        <f ca="1"/>
        <v>#VALUE!</v>
      </c>
      <c r="X24" s="254" t="e">
        <f t="array" aca="1" ref="X24:Y65" ca="1">_xll.QR.ExcelAPI.QFN("QRLib.PricingStructures.DisplayCurveInputs", Y2,GBPFxCurve)</f>
        <v>#NAME?</v>
      </c>
      <c r="Y24" s="257" t="e">
        <f ca="1"/>
        <v>#NAME?</v>
      </c>
      <c r="AA24" s="254" t="e">
        <f t="array" aca="1" ref="AA24:AB65" ca="1">_xll.QR.ExcelAPI.QFN("QRLib.PricingStructures.DisplayCurveInputs", AB2,EURFxCurve)</f>
        <v>#NAME?</v>
      </c>
      <c r="AB24" s="257" t="e">
        <f ca="1"/>
        <v>#NAME?</v>
      </c>
      <c r="AD24" s="129" t="str">
        <f>V8</f>
        <v>AUD</v>
      </c>
      <c r="AE24" s="173" t="e">
        <f ca="1">IF(AUDMarketFX &lt;&gt;"",V24, 0)</f>
        <v>#NAME?</v>
      </c>
    </row>
    <row r="25" spans="2:31">
      <c r="B25" s="242" t="s">
        <v>331</v>
      </c>
      <c r="C25" s="246">
        <v>4.6100000000000002E-2</v>
      </c>
      <c r="D25" s="126"/>
      <c r="F25" s="250" t="s">
        <v>360</v>
      </c>
      <c r="G25" s="251">
        <v>2.2537999999999998E-3</v>
      </c>
      <c r="H25" s="126"/>
      <c r="J25" s="255" t="s">
        <v>257</v>
      </c>
      <c r="K25" s="251">
        <v>5.6625E-3</v>
      </c>
      <c r="N25" s="255" t="s">
        <v>310</v>
      </c>
      <c r="O25" s="251">
        <v>6.3499999999999997E-3</v>
      </c>
      <c r="U25" s="255" t="e">
        <f ca="1"/>
        <v>#VALUE!</v>
      </c>
      <c r="V25" s="258" t="e">
        <f ca="1"/>
        <v>#VALUE!</v>
      </c>
      <c r="X25" s="255" t="e">
        <f ca="1"/>
        <v>#NAME?</v>
      </c>
      <c r="Y25" s="258" t="e">
        <f ca="1"/>
        <v>#NAME?</v>
      </c>
      <c r="AA25" s="255" t="e">
        <f ca="1"/>
        <v>#NAME?</v>
      </c>
      <c r="AB25" s="258" t="e">
        <f ca="1"/>
        <v>#NAME?</v>
      </c>
      <c r="AD25" s="130" t="str">
        <f>Y8</f>
        <v>GBP</v>
      </c>
      <c r="AE25" s="174" t="e">
        <f ca="1">IF(GBPMarketFX &lt;&gt;"",Y24, 0)</f>
        <v>#NAME?</v>
      </c>
    </row>
    <row r="26" spans="2:31">
      <c r="B26" s="242" t="s">
        <v>332</v>
      </c>
      <c r="C26" s="246">
        <v>4.6899999999999997E-2</v>
      </c>
      <c r="D26" s="126"/>
      <c r="F26" s="250" t="s">
        <v>361</v>
      </c>
      <c r="G26" s="251">
        <v>2.6375000000000001E-3</v>
      </c>
      <c r="H26" s="126"/>
      <c r="J26" s="255" t="s">
        <v>258</v>
      </c>
      <c r="K26" s="251">
        <v>6.1938000000000002E-3</v>
      </c>
      <c r="N26" s="255" t="s">
        <v>311</v>
      </c>
      <c r="O26" s="251">
        <v>7.2399999999999999E-3</v>
      </c>
      <c r="U26" s="255" t="e">
        <f ca="1"/>
        <v>#VALUE!</v>
      </c>
      <c r="V26" s="258" t="e">
        <f ca="1"/>
        <v>#VALUE!</v>
      </c>
      <c r="X26" s="255" t="e">
        <f ca="1"/>
        <v>#NAME?</v>
      </c>
      <c r="Y26" s="258" t="e">
        <f ca="1"/>
        <v>#NAME?</v>
      </c>
      <c r="AA26" s="255" t="e">
        <f ca="1"/>
        <v>#NAME?</v>
      </c>
      <c r="AB26" s="258" t="e">
        <f ca="1"/>
        <v>#NAME?</v>
      </c>
      <c r="AD26" s="131" t="str">
        <f>AB8</f>
        <v>EUR</v>
      </c>
      <c r="AE26" s="175" t="e">
        <f ca="1">IF(EURMarketFX &lt;&gt;"",AB24, 0)</f>
        <v>#NAME?</v>
      </c>
    </row>
    <row r="27" spans="2:31">
      <c r="B27" s="242" t="s">
        <v>333</v>
      </c>
      <c r="C27" s="246">
        <v>4.7300000000000002E-2</v>
      </c>
      <c r="D27" s="126"/>
      <c r="F27" s="250" t="s">
        <v>362</v>
      </c>
      <c r="G27" s="251">
        <v>2.8906000000000001E-3</v>
      </c>
      <c r="H27" s="126"/>
      <c r="J27" s="255" t="s">
        <v>259</v>
      </c>
      <c r="K27" s="251">
        <v>7.2147000000000001E-3</v>
      </c>
      <c r="N27" s="255" t="s">
        <v>312</v>
      </c>
      <c r="O27" s="251">
        <v>8.9099999999999995E-3</v>
      </c>
      <c r="U27" s="255" t="e">
        <f ca="1"/>
        <v>#VALUE!</v>
      </c>
      <c r="V27" s="258" t="e">
        <f ca="1"/>
        <v>#VALUE!</v>
      </c>
      <c r="X27" s="255" t="e">
        <f ca="1"/>
        <v>#NAME?</v>
      </c>
      <c r="Y27" s="258" t="e">
        <f ca="1"/>
        <v>#NAME?</v>
      </c>
      <c r="AA27" s="255" t="e">
        <f ca="1"/>
        <v>#NAME?</v>
      </c>
      <c r="AB27" s="258" t="e">
        <f ca="1"/>
        <v>#NAME?</v>
      </c>
      <c r="AD27" s="177" t="s">
        <v>15</v>
      </c>
      <c r="AE27" s="178">
        <v>1</v>
      </c>
    </row>
    <row r="28" spans="2:31">
      <c r="B28" s="242" t="s">
        <v>350</v>
      </c>
      <c r="C28" s="246">
        <v>4.7399139999999999E-2</v>
      </c>
      <c r="D28" s="126"/>
      <c r="F28" s="250" t="s">
        <v>363</v>
      </c>
      <c r="G28" s="251">
        <v>3.1749999999999999E-3</v>
      </c>
      <c r="H28" s="126"/>
      <c r="J28" s="255" t="s">
        <v>395</v>
      </c>
      <c r="K28" s="251">
        <v>7.1995379999999498E-3</v>
      </c>
      <c r="N28" s="255" t="s">
        <v>404</v>
      </c>
      <c r="O28" s="251">
        <v>8.7493840000000302E-3</v>
      </c>
      <c r="U28" s="255" t="e">
        <f ca="1"/>
        <v>#VALUE!</v>
      </c>
      <c r="V28" s="258" t="e">
        <f ca="1"/>
        <v>#VALUE!</v>
      </c>
      <c r="X28" s="255" t="e">
        <f ca="1"/>
        <v>#NAME?</v>
      </c>
      <c r="Y28" s="258" t="e">
        <f ca="1"/>
        <v>#NAME?</v>
      </c>
      <c r="AA28" s="255" t="e">
        <f ca="1"/>
        <v>#NAME?</v>
      </c>
      <c r="AB28" s="258" t="e">
        <f ca="1"/>
        <v>#NAME?</v>
      </c>
    </row>
    <row r="29" spans="2:31">
      <c r="B29" s="242" t="s">
        <v>351</v>
      </c>
      <c r="C29" s="246">
        <v>4.6992091999999999E-2</v>
      </c>
      <c r="D29" s="126"/>
      <c r="F29" s="250" t="s">
        <v>364</v>
      </c>
      <c r="G29" s="251">
        <v>3.1122999999999598E-3</v>
      </c>
      <c r="H29" s="126"/>
      <c r="J29" s="255" t="s">
        <v>396</v>
      </c>
      <c r="K29" s="251">
        <v>7.6467159999999996E-3</v>
      </c>
      <c r="N29" s="255" t="s">
        <v>405</v>
      </c>
      <c r="O29" s="251">
        <v>8.9952550000000908E-3</v>
      </c>
      <c r="U29" s="255" t="e">
        <f ca="1"/>
        <v>#VALUE!</v>
      </c>
      <c r="V29" s="258" t="e">
        <f ca="1"/>
        <v>#VALUE!</v>
      </c>
      <c r="X29" s="255" t="e">
        <f ca="1"/>
        <v>#NAME?</v>
      </c>
      <c r="Y29" s="258" t="e">
        <f ca="1"/>
        <v>#NAME?</v>
      </c>
      <c r="AA29" s="255" t="e">
        <f ca="1"/>
        <v>#NAME?</v>
      </c>
      <c r="AB29" s="258" t="e">
        <f ca="1"/>
        <v>#NAME?</v>
      </c>
    </row>
    <row r="30" spans="2:31">
      <c r="B30" s="242" t="s">
        <v>352</v>
      </c>
      <c r="C30" s="246">
        <v>4.7080995999999903E-2</v>
      </c>
      <c r="D30" s="126"/>
      <c r="F30" s="250" t="s">
        <v>365</v>
      </c>
      <c r="G30" s="251">
        <v>3.6234609999999902E-3</v>
      </c>
      <c r="H30" s="126"/>
      <c r="J30" s="255" t="s">
        <v>397</v>
      </c>
      <c r="K30" s="251">
        <v>8.4423329999999703E-3</v>
      </c>
      <c r="N30" s="255" t="s">
        <v>406</v>
      </c>
      <c r="O30" s="251">
        <v>9.6387970000000305E-3</v>
      </c>
      <c r="U30" s="255" t="e">
        <f ca="1"/>
        <v>#VALUE!</v>
      </c>
      <c r="V30" s="258" t="e">
        <f ca="1"/>
        <v>#VALUE!</v>
      </c>
      <c r="X30" s="255" t="e">
        <f ca="1"/>
        <v>#NAME?</v>
      </c>
      <c r="Y30" s="258" t="e">
        <f ca="1"/>
        <v>#NAME?</v>
      </c>
      <c r="AA30" s="255" t="e">
        <f ca="1"/>
        <v>#NAME?</v>
      </c>
      <c r="AB30" s="258" t="e">
        <f ca="1"/>
        <v>#NAME?</v>
      </c>
    </row>
    <row r="31" spans="2:31">
      <c r="B31" s="242" t="s">
        <v>353</v>
      </c>
      <c r="C31" s="246">
        <v>4.7265940999999999E-2</v>
      </c>
      <c r="D31" s="126"/>
      <c r="F31" s="250" t="s">
        <v>366</v>
      </c>
      <c r="G31" s="251">
        <v>4.2213649999999197E-3</v>
      </c>
      <c r="H31" s="126"/>
      <c r="J31" s="255" t="s">
        <v>398</v>
      </c>
      <c r="K31" s="251">
        <v>9.0364239999999301E-3</v>
      </c>
      <c r="N31" s="255" t="s">
        <v>407</v>
      </c>
      <c r="O31" s="251">
        <v>1.02300620000001E-2</v>
      </c>
      <c r="U31" s="255" t="e">
        <f ca="1"/>
        <v>#VALUE!</v>
      </c>
      <c r="V31" s="258" t="e">
        <f ca="1"/>
        <v>#VALUE!</v>
      </c>
      <c r="X31" s="255" t="e">
        <f ca="1"/>
        <v>#NAME?</v>
      </c>
      <c r="Y31" s="258" t="e">
        <f ca="1"/>
        <v>#NAME?</v>
      </c>
      <c r="AA31" s="255" t="e">
        <f ca="1"/>
        <v>#NAME?</v>
      </c>
      <c r="AB31" s="258" t="e">
        <f ca="1"/>
        <v>#NAME?</v>
      </c>
    </row>
    <row r="32" spans="2:31">
      <c r="B32" s="242" t="s">
        <v>354</v>
      </c>
      <c r="C32" s="246">
        <v>4.7746577000000102E-2</v>
      </c>
      <c r="D32" s="126"/>
      <c r="F32" s="250" t="s">
        <v>367</v>
      </c>
      <c r="G32" s="251">
        <v>5.2435299999999997E-3</v>
      </c>
      <c r="H32" s="126"/>
      <c r="J32" s="255" t="s">
        <v>399</v>
      </c>
      <c r="K32" s="251">
        <v>1.02265490000001E-2</v>
      </c>
      <c r="N32" s="255" t="s">
        <v>408</v>
      </c>
      <c r="O32" s="251">
        <v>1.0767114E-2</v>
      </c>
      <c r="U32" s="255" t="e">
        <f ca="1"/>
        <v>#VALUE!</v>
      </c>
      <c r="V32" s="258" t="e">
        <f ca="1"/>
        <v>#VALUE!</v>
      </c>
      <c r="X32" s="255" t="e">
        <f ca="1"/>
        <v>#NAME?</v>
      </c>
      <c r="Y32" s="258" t="e">
        <f ca="1"/>
        <v>#NAME?</v>
      </c>
      <c r="AA32" s="255" t="e">
        <f ca="1"/>
        <v>#NAME?</v>
      </c>
      <c r="AB32" s="258" t="e">
        <f ca="1"/>
        <v>#NAME?</v>
      </c>
    </row>
    <row r="33" spans="2:28">
      <c r="B33" s="242" t="s">
        <v>355</v>
      </c>
      <c r="C33" s="246">
        <v>4.8320084000000103E-2</v>
      </c>
      <c r="D33" s="126"/>
      <c r="F33" s="250" t="s">
        <v>368</v>
      </c>
      <c r="G33" s="251">
        <v>6.6139299999998799E-3</v>
      </c>
      <c r="H33" s="126"/>
      <c r="J33" s="255" t="s">
        <v>400</v>
      </c>
      <c r="K33" s="251">
        <v>1.1807933E-2</v>
      </c>
      <c r="N33" s="255" t="s">
        <v>409</v>
      </c>
      <c r="O33" s="251">
        <v>1.1748154E-2</v>
      </c>
      <c r="U33" s="255" t="e">
        <f ca="1"/>
        <v>#VALUE!</v>
      </c>
      <c r="V33" s="258" t="e">
        <f ca="1"/>
        <v>#VALUE!</v>
      </c>
      <c r="X33" s="255" t="e">
        <f ca="1"/>
        <v>#NAME?</v>
      </c>
      <c r="Y33" s="258" t="e">
        <f ca="1"/>
        <v>#NAME?</v>
      </c>
      <c r="AA33" s="255" t="e">
        <f ca="1"/>
        <v>#NAME?</v>
      </c>
      <c r="AB33" s="258" t="e">
        <f ca="1"/>
        <v>#NAME?</v>
      </c>
    </row>
    <row r="34" spans="2:28">
      <c r="B34" s="242" t="s">
        <v>356</v>
      </c>
      <c r="C34" s="246">
        <v>4.8787245999999999E-2</v>
      </c>
      <c r="D34" s="126"/>
      <c r="F34" s="250" t="s">
        <v>369</v>
      </c>
      <c r="G34" s="251">
        <v>8.3055029999999901E-3</v>
      </c>
      <c r="H34" s="126"/>
      <c r="J34" s="255" t="s">
        <v>401</v>
      </c>
      <c r="K34" s="251">
        <v>1.3330323E-2</v>
      </c>
      <c r="N34" s="255" t="s">
        <v>410</v>
      </c>
      <c r="O34" s="251">
        <v>1.24730679999999E-2</v>
      </c>
      <c r="U34" s="255" t="e">
        <f ca="1"/>
        <v>#VALUE!</v>
      </c>
      <c r="V34" s="258" t="e">
        <f ca="1"/>
        <v>#VALUE!</v>
      </c>
      <c r="X34" s="255" t="e">
        <f ca="1"/>
        <v>#NAME?</v>
      </c>
      <c r="Y34" s="258" t="e">
        <f ca="1"/>
        <v>#NAME?</v>
      </c>
      <c r="AA34" s="255" t="e">
        <f ca="1"/>
        <v>#NAME?</v>
      </c>
      <c r="AB34" s="258" t="e">
        <f ca="1"/>
        <v>#NAME?</v>
      </c>
    </row>
    <row r="35" spans="2:28">
      <c r="B35" s="242" t="s">
        <v>357</v>
      </c>
      <c r="C35" s="246">
        <v>4.8947544000000003E-2</v>
      </c>
      <c r="D35" s="126"/>
      <c r="F35" s="250" t="s">
        <v>370</v>
      </c>
      <c r="G35" s="251">
        <v>1.0093187000000101E-2</v>
      </c>
      <c r="H35" s="126"/>
      <c r="J35" s="255" t="s">
        <v>402</v>
      </c>
      <c r="K35" s="251">
        <v>1.5441313000000101E-2</v>
      </c>
      <c r="N35" s="255" t="s">
        <v>411</v>
      </c>
      <c r="O35" s="251">
        <v>1.3440858000000101E-2</v>
      </c>
      <c r="U35" s="255" t="e">
        <f ca="1"/>
        <v>#VALUE!</v>
      </c>
      <c r="V35" s="258" t="e">
        <f ca="1"/>
        <v>#VALUE!</v>
      </c>
      <c r="X35" s="255" t="e">
        <f ca="1"/>
        <v>#NAME?</v>
      </c>
      <c r="Y35" s="258" t="e">
        <f ca="1"/>
        <v>#NAME?</v>
      </c>
      <c r="AA35" s="255" t="e">
        <f ca="1"/>
        <v>#NAME?</v>
      </c>
      <c r="AB35" s="258" t="e">
        <f ca="1"/>
        <v>#NAME?</v>
      </c>
    </row>
    <row r="36" spans="2:28">
      <c r="B36" s="242" t="s">
        <v>334</v>
      </c>
      <c r="C36" s="246">
        <v>4.8300000000000003E-2</v>
      </c>
      <c r="D36" s="126"/>
      <c r="F36" s="250" t="s">
        <v>371</v>
      </c>
      <c r="G36" s="251">
        <v>1.19759899999999E-2</v>
      </c>
      <c r="H36" s="126"/>
      <c r="J36" s="255" t="s">
        <v>260</v>
      </c>
      <c r="K36" s="251">
        <v>1.3125E-2</v>
      </c>
      <c r="N36" s="255" t="s">
        <v>412</v>
      </c>
      <c r="O36" s="251">
        <v>1.44552549999999E-2</v>
      </c>
      <c r="U36" s="255" t="e">
        <f ca="1"/>
        <v>#VALUE!</v>
      </c>
      <c r="V36" s="258" t="e">
        <f ca="1"/>
        <v>#VALUE!</v>
      </c>
      <c r="X36" s="255" t="e">
        <f ca="1"/>
        <v>#NAME?</v>
      </c>
      <c r="Y36" s="258" t="e">
        <f ca="1"/>
        <v>#NAME?</v>
      </c>
      <c r="AA36" s="255" t="e">
        <f ca="1"/>
        <v>#NAME?</v>
      </c>
      <c r="AB36" s="258" t="e">
        <f ca="1"/>
        <v>#NAME?</v>
      </c>
    </row>
    <row r="37" spans="2:28">
      <c r="B37" s="242" t="s">
        <v>335</v>
      </c>
      <c r="C37" s="246">
        <v>4.9224999999999998E-2</v>
      </c>
      <c r="D37" s="126"/>
      <c r="F37" s="250" t="s">
        <v>372</v>
      </c>
      <c r="G37" s="251">
        <v>1.3829106000000001E-2</v>
      </c>
      <c r="H37" s="126"/>
      <c r="J37" s="255" t="s">
        <v>261</v>
      </c>
      <c r="K37" s="251">
        <v>1.6205000000000001E-2</v>
      </c>
      <c r="N37" s="255" t="s">
        <v>413</v>
      </c>
      <c r="O37" s="251">
        <v>1.5777492000000001E-2</v>
      </c>
      <c r="U37" s="255" t="e">
        <f ca="1"/>
        <v>#VALUE!</v>
      </c>
      <c r="V37" s="258" t="e">
        <f ca="1"/>
        <v>#VALUE!</v>
      </c>
      <c r="X37" s="255" t="e">
        <f ca="1"/>
        <v>#NAME?</v>
      </c>
      <c r="Y37" s="258" t="e">
        <f ca="1"/>
        <v>#NAME?</v>
      </c>
      <c r="AA37" s="255" t="e">
        <f ca="1"/>
        <v>#NAME?</v>
      </c>
      <c r="AB37" s="258" t="e">
        <f ca="1"/>
        <v>#NAME?</v>
      </c>
    </row>
    <row r="38" spans="2:28">
      <c r="B38" s="242" t="s">
        <v>336</v>
      </c>
      <c r="C38" s="246">
        <v>5.0116500000000001E-2</v>
      </c>
      <c r="D38" s="126"/>
      <c r="F38" s="250" t="s">
        <v>373</v>
      </c>
      <c r="G38" s="251">
        <v>1.5829968999999999E-2</v>
      </c>
      <c r="H38" s="126"/>
      <c r="J38" s="255" t="s">
        <v>262</v>
      </c>
      <c r="K38" s="251">
        <v>1.8974999999999999E-2</v>
      </c>
      <c r="N38" s="255" t="s">
        <v>414</v>
      </c>
      <c r="O38" s="251">
        <v>1.6848443000000001E-2</v>
      </c>
      <c r="U38" s="255" t="e">
        <f ca="1"/>
        <v>#VALUE!</v>
      </c>
      <c r="V38" s="258" t="e">
        <f ca="1"/>
        <v>#VALUE!</v>
      </c>
      <c r="X38" s="255" t="e">
        <f ca="1"/>
        <v>#NAME?</v>
      </c>
      <c r="Y38" s="258" t="e">
        <f ca="1"/>
        <v>#NAME?</v>
      </c>
      <c r="AA38" s="255" t="e">
        <f ca="1"/>
        <v>#NAME?</v>
      </c>
      <c r="AB38" s="258" t="e">
        <f ca="1"/>
        <v>#NAME?</v>
      </c>
    </row>
    <row r="39" spans="2:28">
      <c r="B39" s="242" t="s">
        <v>337</v>
      </c>
      <c r="C39" s="246">
        <v>5.0895999999999997E-2</v>
      </c>
      <c r="D39" s="126"/>
      <c r="F39" s="250" t="s">
        <v>374</v>
      </c>
      <c r="G39" s="251">
        <v>1.75006050000001E-2</v>
      </c>
      <c r="H39" s="126"/>
      <c r="J39" s="255" t="s">
        <v>263</v>
      </c>
      <c r="K39" s="251">
        <v>2.1425E-2</v>
      </c>
      <c r="N39" s="255" t="s">
        <v>415</v>
      </c>
      <c r="O39" s="251">
        <v>1.8068324E-2</v>
      </c>
      <c r="U39" s="255" t="e">
        <f ca="1"/>
        <v>#VALUE!</v>
      </c>
      <c r="V39" s="258" t="e">
        <f ca="1"/>
        <v>#VALUE!</v>
      </c>
      <c r="X39" s="255" t="e">
        <f ca="1"/>
        <v>#NAME?</v>
      </c>
      <c r="Y39" s="258" t="e">
        <f ca="1"/>
        <v>#NAME?</v>
      </c>
      <c r="AA39" s="255" t="e">
        <f ca="1"/>
        <v>#NAME?</v>
      </c>
      <c r="AB39" s="258" t="e">
        <f ca="1"/>
        <v>#NAME?</v>
      </c>
    </row>
    <row r="40" spans="2:28">
      <c r="B40" s="242" t="s">
        <v>338</v>
      </c>
      <c r="C40" s="246">
        <v>5.1491500000000003E-2</v>
      </c>
      <c r="D40" s="126"/>
      <c r="F40" s="250" t="s">
        <v>375</v>
      </c>
      <c r="G40" s="251">
        <v>1.9365374000000001E-2</v>
      </c>
      <c r="H40" s="126"/>
      <c r="J40" s="255" t="s">
        <v>264</v>
      </c>
      <c r="K40" s="251">
        <v>2.368E-2</v>
      </c>
      <c r="N40" s="255" t="s">
        <v>274</v>
      </c>
      <c r="O40" s="251">
        <v>1.452E-2</v>
      </c>
      <c r="U40" s="255" t="e">
        <f ca="1"/>
        <v>#VALUE!</v>
      </c>
      <c r="V40" s="258" t="e">
        <f ca="1"/>
        <v>#VALUE!</v>
      </c>
      <c r="X40" s="255" t="e">
        <f ca="1"/>
        <v>#NAME?</v>
      </c>
      <c r="Y40" s="258" t="e">
        <f ca="1"/>
        <v>#NAME?</v>
      </c>
      <c r="AA40" s="255" t="e">
        <f ca="1"/>
        <v>#NAME?</v>
      </c>
      <c r="AB40" s="258" t="e">
        <f ca="1"/>
        <v>#NAME?</v>
      </c>
    </row>
    <row r="41" spans="2:28">
      <c r="B41" s="242" t="s">
        <v>339</v>
      </c>
      <c r="C41" s="246">
        <v>5.18915E-2</v>
      </c>
      <c r="D41" s="126"/>
      <c r="F41" s="250" t="s">
        <v>376</v>
      </c>
      <c r="G41" s="251">
        <v>1.303E-2</v>
      </c>
      <c r="H41" s="126"/>
      <c r="J41" s="255" t="s">
        <v>265</v>
      </c>
      <c r="K41" s="251">
        <v>2.5675E-2</v>
      </c>
      <c r="N41" s="255" t="s">
        <v>275</v>
      </c>
      <c r="O41" s="251">
        <v>1.6535000000000001E-2</v>
      </c>
      <c r="U41" s="255" t="e">
        <f ca="1"/>
        <v>#VALUE!</v>
      </c>
      <c r="V41" s="258" t="e">
        <f ca="1"/>
        <v>#VALUE!</v>
      </c>
      <c r="X41" s="255" t="e">
        <f ca="1"/>
        <v>#NAME?</v>
      </c>
      <c r="Y41" s="258" t="e">
        <f ca="1"/>
        <v>#NAME?</v>
      </c>
      <c r="AA41" s="255" t="e">
        <f ca="1"/>
        <v>#NAME?</v>
      </c>
      <c r="AB41" s="258" t="e">
        <f ca="1"/>
        <v>#NAME?</v>
      </c>
    </row>
    <row r="42" spans="2:28">
      <c r="B42" s="242" t="s">
        <v>340</v>
      </c>
      <c r="C42" s="246">
        <v>5.2183500000000001E-2</v>
      </c>
      <c r="D42" s="126"/>
      <c r="F42" s="250" t="s">
        <v>377</v>
      </c>
      <c r="G42" s="251">
        <v>1.6240000000000001E-2</v>
      </c>
      <c r="H42" s="126"/>
      <c r="J42" s="255" t="s">
        <v>266</v>
      </c>
      <c r="K42" s="251">
        <v>2.7365E-2</v>
      </c>
      <c r="N42" s="255" t="s">
        <v>276</v>
      </c>
      <c r="O42" s="251">
        <v>1.8319999999999999E-2</v>
      </c>
      <c r="U42" s="255" t="e">
        <f ca="1"/>
        <v>#VALUE!</v>
      </c>
      <c r="V42" s="258" t="e">
        <f ca="1"/>
        <v>#VALUE!</v>
      </c>
      <c r="X42" s="255" t="e">
        <f ca="1"/>
        <v>#NAME?</v>
      </c>
      <c r="Y42" s="258" t="e">
        <f ca="1"/>
        <v>#NAME?</v>
      </c>
      <c r="AA42" s="255" t="e">
        <f ca="1"/>
        <v>#NAME?</v>
      </c>
      <c r="AB42" s="258" t="e">
        <f ca="1"/>
        <v>#NAME?</v>
      </c>
    </row>
    <row r="43" spans="2:28">
      <c r="B43" s="242" t="s">
        <v>341</v>
      </c>
      <c r="C43" s="246">
        <v>5.23835E-2</v>
      </c>
      <c r="D43" s="126"/>
      <c r="F43" s="250" t="s">
        <v>378</v>
      </c>
      <c r="G43" s="251">
        <v>1.9019999999999999E-2</v>
      </c>
      <c r="H43" s="126"/>
      <c r="J43" s="255" t="s">
        <v>267</v>
      </c>
      <c r="K43" s="251">
        <v>2.8830000000000001E-2</v>
      </c>
      <c r="N43" s="255" t="s">
        <v>277</v>
      </c>
      <c r="O43" s="251">
        <v>2.0029999999999999E-2</v>
      </c>
      <c r="U43" s="255" t="e">
        <f ca="1"/>
        <v>#VALUE!</v>
      </c>
      <c r="V43" s="258" t="e">
        <f ca="1"/>
        <v>#VALUE!</v>
      </c>
      <c r="X43" s="255" t="e">
        <f ca="1"/>
        <v>#NAME?</v>
      </c>
      <c r="Y43" s="258" t="e">
        <f ca="1"/>
        <v>#NAME?</v>
      </c>
      <c r="AA43" s="255" t="e">
        <f ca="1"/>
        <v>#NAME?</v>
      </c>
      <c r="AB43" s="258" t="e">
        <f ca="1"/>
        <v>#NAME?</v>
      </c>
    </row>
    <row r="44" spans="2:28">
      <c r="B44" s="242" t="s">
        <v>342</v>
      </c>
      <c r="C44" s="246">
        <v>5.28835E-2</v>
      </c>
      <c r="D44" s="126"/>
      <c r="F44" s="250" t="s">
        <v>379</v>
      </c>
      <c r="G44" s="251">
        <v>2.1309999999999999E-2</v>
      </c>
      <c r="H44" s="126"/>
      <c r="J44" s="255" t="s">
        <v>268</v>
      </c>
      <c r="K44" s="251">
        <v>3.1130000000000001E-2</v>
      </c>
      <c r="N44" s="255" t="s">
        <v>278</v>
      </c>
      <c r="O44" s="251">
        <v>2.138E-2</v>
      </c>
      <c r="U44" s="255" t="e">
        <f ca="1"/>
        <v>#VALUE!</v>
      </c>
      <c r="V44" s="258" t="e">
        <f ca="1"/>
        <v>#VALUE!</v>
      </c>
      <c r="X44" s="255" t="e">
        <f ca="1"/>
        <v>#NAME?</v>
      </c>
      <c r="Y44" s="258" t="e">
        <f ca="1"/>
        <v>#NAME?</v>
      </c>
      <c r="AA44" s="255" t="e">
        <f ca="1"/>
        <v>#NAME?</v>
      </c>
      <c r="AB44" s="258" t="e">
        <f ca="1"/>
        <v>#NAME?</v>
      </c>
    </row>
    <row r="45" spans="2:28">
      <c r="B45" s="242" t="s">
        <v>343</v>
      </c>
      <c r="C45" s="246">
        <v>5.3437499999999999E-2</v>
      </c>
      <c r="D45" s="126"/>
      <c r="F45" s="250" t="s">
        <v>380</v>
      </c>
      <c r="G45" s="251">
        <v>2.3130000000000001E-2</v>
      </c>
      <c r="H45" s="126"/>
      <c r="J45" s="255" t="s">
        <v>269</v>
      </c>
      <c r="K45" s="251">
        <v>3.3325E-2</v>
      </c>
      <c r="N45" s="255" t="s">
        <v>279</v>
      </c>
      <c r="O45" s="251">
        <v>2.2589999999999999E-2</v>
      </c>
      <c r="U45" s="255" t="e">
        <f ca="1"/>
        <v>#VALUE!</v>
      </c>
      <c r="V45" s="258" t="e">
        <f ca="1"/>
        <v>#VALUE!</v>
      </c>
      <c r="X45" s="255" t="e">
        <f ca="1"/>
        <v>#NAME?</v>
      </c>
      <c r="Y45" s="258" t="e">
        <f ca="1"/>
        <v>#NAME?</v>
      </c>
      <c r="AA45" s="255" t="e">
        <f ca="1"/>
        <v>#NAME?</v>
      </c>
      <c r="AB45" s="258" t="e">
        <f ca="1"/>
        <v>#NAME?</v>
      </c>
    </row>
    <row r="46" spans="2:28">
      <c r="B46" s="242" t="s">
        <v>344</v>
      </c>
      <c r="C46" s="246">
        <v>5.3199999999999997E-2</v>
      </c>
      <c r="D46" s="126"/>
      <c r="F46" s="250" t="s">
        <v>381</v>
      </c>
      <c r="G46" s="251">
        <v>2.469E-2</v>
      </c>
      <c r="H46" s="126"/>
      <c r="J46" s="255" t="s">
        <v>270</v>
      </c>
      <c r="K46" s="251">
        <v>3.5049999999999998E-2</v>
      </c>
      <c r="N46" s="255" t="s">
        <v>280</v>
      </c>
      <c r="O46" s="251">
        <v>2.3650000000000001E-2</v>
      </c>
      <c r="U46" s="255" t="e">
        <f ca="1"/>
        <v>#VALUE!</v>
      </c>
      <c r="V46" s="258" t="e">
        <f ca="1"/>
        <v>#VALUE!</v>
      </c>
      <c r="X46" s="255" t="e">
        <f ca="1"/>
        <v>#NAME?</v>
      </c>
      <c r="Y46" s="258" t="e">
        <f ca="1"/>
        <v>#NAME?</v>
      </c>
      <c r="AA46" s="255" t="e">
        <f ca="1"/>
        <v>#NAME?</v>
      </c>
      <c r="AB46" s="258" t="e">
        <f ca="1"/>
        <v>#NAME?</v>
      </c>
    </row>
    <row r="47" spans="2:28">
      <c r="B47" s="242" t="s">
        <v>345</v>
      </c>
      <c r="C47" s="246">
        <v>5.194E-2</v>
      </c>
      <c r="D47" s="126"/>
      <c r="F47" s="250" t="s">
        <v>382</v>
      </c>
      <c r="G47" s="251">
        <v>2.596E-2</v>
      </c>
      <c r="H47" s="126"/>
      <c r="J47" s="255" t="s">
        <v>271</v>
      </c>
      <c r="K47" s="251">
        <v>3.5755000000000002E-2</v>
      </c>
      <c r="N47" s="255" t="s">
        <v>281</v>
      </c>
      <c r="O47" s="251">
        <v>2.4660000000000001E-2</v>
      </c>
      <c r="U47" s="255" t="e">
        <f ca="1"/>
        <v>#VALUE!</v>
      </c>
      <c r="V47" s="258" t="e">
        <f ca="1"/>
        <v>#VALUE!</v>
      </c>
      <c r="X47" s="255" t="e">
        <f ca="1"/>
        <v>#NAME?</v>
      </c>
      <c r="Y47" s="258" t="e">
        <f ca="1"/>
        <v>#NAME?</v>
      </c>
      <c r="AA47" s="255" t="e">
        <f ca="1"/>
        <v>#NAME?</v>
      </c>
      <c r="AB47" s="258" t="e">
        <f ca="1"/>
        <v>#NAME?</v>
      </c>
    </row>
    <row r="48" spans="2:28">
      <c r="B48" s="242" t="s">
        <v>346</v>
      </c>
      <c r="C48" s="246">
        <v>5.0450000000000002E-2</v>
      </c>
      <c r="D48" s="126"/>
      <c r="F48" s="250" t="s">
        <v>383</v>
      </c>
      <c r="G48" s="251">
        <v>2.6960000000000001E-2</v>
      </c>
      <c r="H48" s="126"/>
      <c r="J48" s="255" t="s">
        <v>272</v>
      </c>
      <c r="K48" s="251">
        <v>3.603E-2</v>
      </c>
      <c r="N48" s="255" t="s">
        <v>282</v>
      </c>
      <c r="O48" s="251">
        <v>2.5489999999999999E-2</v>
      </c>
      <c r="U48" s="255" t="e">
        <f ca="1"/>
        <v>#VALUE!</v>
      </c>
      <c r="V48" s="258" t="e">
        <f ca="1"/>
        <v>#VALUE!</v>
      </c>
      <c r="X48" s="255" t="e">
        <f ca="1"/>
        <v>#NAME?</v>
      </c>
      <c r="Y48" s="258" t="e">
        <f ca="1"/>
        <v>#NAME?</v>
      </c>
      <c r="AA48" s="255" t="e">
        <f ca="1"/>
        <v>#NAME?</v>
      </c>
      <c r="AB48" s="258" t="e">
        <f ca="1"/>
        <v>#NAME?</v>
      </c>
    </row>
    <row r="49" spans="2:28">
      <c r="B49" s="242" t="s">
        <v>347</v>
      </c>
      <c r="C49" s="246">
        <v>4.8292000000000002E-2</v>
      </c>
      <c r="D49" s="126"/>
      <c r="F49" s="250" t="s">
        <v>384</v>
      </c>
      <c r="G49" s="251">
        <v>2.7959999999999999E-2</v>
      </c>
      <c r="H49" s="126"/>
      <c r="J49" s="255" t="s">
        <v>273</v>
      </c>
      <c r="K49" s="251">
        <v>3.6084999999999999E-2</v>
      </c>
      <c r="N49" s="255" t="s">
        <v>283</v>
      </c>
      <c r="O49" s="251">
        <v>2.6218000000000002E-2</v>
      </c>
      <c r="U49" s="255" t="e">
        <f ca="1"/>
        <v>#VALUE!</v>
      </c>
      <c r="V49" s="258" t="e">
        <f ca="1"/>
        <v>#VALUE!</v>
      </c>
      <c r="X49" s="255" t="e">
        <f ca="1"/>
        <v>#NAME?</v>
      </c>
      <c r="Y49" s="258" t="e">
        <f ca="1"/>
        <v>#NAME?</v>
      </c>
      <c r="AA49" s="255" t="e">
        <f ca="1"/>
        <v>#NAME?</v>
      </c>
      <c r="AB49" s="258" t="e">
        <f ca="1"/>
        <v>#NAME?</v>
      </c>
    </row>
    <row r="50" spans="2:28">
      <c r="B50" s="242"/>
      <c r="C50" s="246"/>
      <c r="D50" s="126"/>
      <c r="F50" s="250" t="s">
        <v>385</v>
      </c>
      <c r="G50" s="251">
        <v>2.8629999999999999E-2</v>
      </c>
      <c r="H50" s="126"/>
      <c r="J50" s="255" t="s">
        <v>317</v>
      </c>
      <c r="K50" s="251">
        <v>3.6139999999999999E-2</v>
      </c>
      <c r="N50" s="255" t="s">
        <v>284</v>
      </c>
      <c r="O50" s="251">
        <v>2.6801999999999999E-2</v>
      </c>
      <c r="U50" s="255" t="e">
        <f ca="1"/>
        <v>#VALUE!</v>
      </c>
      <c r="V50" s="258" t="e">
        <f ca="1"/>
        <v>#VALUE!</v>
      </c>
      <c r="X50" s="255" t="e">
        <f ca="1"/>
        <v>#NAME?</v>
      </c>
      <c r="Y50" s="258" t="e">
        <f ca="1"/>
        <v>#NAME?</v>
      </c>
      <c r="AA50" s="255" t="e">
        <f ca="1"/>
        <v>#NAME?</v>
      </c>
      <c r="AB50" s="258" t="e">
        <f ca="1"/>
        <v>#NAME?</v>
      </c>
    </row>
    <row r="51" spans="2:28">
      <c r="B51" s="243"/>
      <c r="C51" s="246"/>
      <c r="D51" s="126"/>
      <c r="F51" s="250" t="s">
        <v>386</v>
      </c>
      <c r="G51" s="251">
        <v>2.9319999999999999E-2</v>
      </c>
      <c r="H51" s="126"/>
      <c r="J51" s="255"/>
      <c r="K51" s="251"/>
      <c r="N51" s="255" t="s">
        <v>285</v>
      </c>
      <c r="O51" s="251">
        <v>2.726E-2</v>
      </c>
      <c r="U51" s="255" t="e">
        <f ca="1"/>
        <v>#VALUE!</v>
      </c>
      <c r="V51" s="258" t="e">
        <f ca="1"/>
        <v>#VALUE!</v>
      </c>
      <c r="X51" s="255" t="e">
        <f ca="1"/>
        <v>#NAME?</v>
      </c>
      <c r="Y51" s="258" t="e">
        <f ca="1"/>
        <v>#NAME?</v>
      </c>
      <c r="AA51" s="255" t="e">
        <f ca="1"/>
        <v>#NAME?</v>
      </c>
      <c r="AB51" s="258" t="e">
        <f ca="1"/>
        <v>#NAME?</v>
      </c>
    </row>
    <row r="52" spans="2:28">
      <c r="B52" s="243"/>
      <c r="C52" s="246"/>
      <c r="D52" s="126"/>
      <c r="F52" s="250" t="s">
        <v>387</v>
      </c>
      <c r="G52" s="251">
        <v>2.9989999999999999E-2</v>
      </c>
      <c r="H52" s="126"/>
      <c r="J52" s="255"/>
      <c r="K52" s="251"/>
      <c r="N52" s="255" t="s">
        <v>286</v>
      </c>
      <c r="O52" s="251">
        <v>2.8660000000000001E-2</v>
      </c>
      <c r="U52" s="255" t="e">
        <f ca="1"/>
        <v>#VALUE!</v>
      </c>
      <c r="V52" s="258" t="e">
        <f ca="1"/>
        <v>#VALUE!</v>
      </c>
      <c r="X52" s="255" t="e">
        <f ca="1"/>
        <v>#NAME?</v>
      </c>
      <c r="Y52" s="258" t="e">
        <f ca="1"/>
        <v>#NAME?</v>
      </c>
      <c r="AA52" s="255" t="e">
        <f ca="1"/>
        <v>#NAME?</v>
      </c>
      <c r="AB52" s="258" t="e">
        <f ca="1"/>
        <v>#NAME?</v>
      </c>
    </row>
    <row r="53" spans="2:28">
      <c r="B53" s="243"/>
      <c r="C53" s="246"/>
      <c r="D53" s="126"/>
      <c r="F53" s="250" t="s">
        <v>388</v>
      </c>
      <c r="G53" s="251">
        <v>3.1649999999999998E-2</v>
      </c>
      <c r="H53" s="126"/>
      <c r="J53" s="255"/>
      <c r="K53" s="251"/>
      <c r="N53" s="255" t="s">
        <v>287</v>
      </c>
      <c r="O53" s="251">
        <v>2.8510000000000001E-2</v>
      </c>
      <c r="U53" s="255" t="e">
        <f ca="1"/>
        <v>#VALUE!</v>
      </c>
      <c r="V53" s="258" t="e">
        <f ca="1"/>
        <v>#VALUE!</v>
      </c>
      <c r="X53" s="255" t="e">
        <f ca="1"/>
        <v>#NAME?</v>
      </c>
      <c r="Y53" s="258" t="e">
        <f ca="1"/>
        <v>#NAME?</v>
      </c>
      <c r="AA53" s="255" t="e">
        <f ca="1"/>
        <v>#NAME?</v>
      </c>
      <c r="AB53" s="258" t="e">
        <f ca="1"/>
        <v>#NAME?</v>
      </c>
    </row>
    <row r="54" spans="2:28">
      <c r="B54" s="243"/>
      <c r="C54" s="246"/>
      <c r="D54" s="126"/>
      <c r="F54" s="250" t="s">
        <v>389</v>
      </c>
      <c r="G54" s="251">
        <v>3.2410000000000001E-2</v>
      </c>
      <c r="H54" s="126"/>
      <c r="J54" s="255"/>
      <c r="K54" s="251"/>
      <c r="N54" s="255" t="s">
        <v>288</v>
      </c>
      <c r="O54" s="251">
        <v>2.7740000000000001E-2</v>
      </c>
      <c r="U54" s="255" t="e">
        <f ca="1"/>
        <v>#VALUE!</v>
      </c>
      <c r="V54" s="258" t="e">
        <f ca="1"/>
        <v>#VALUE!</v>
      </c>
      <c r="X54" s="255" t="e">
        <f ca="1"/>
        <v>#NAME?</v>
      </c>
      <c r="Y54" s="258" t="e">
        <f ca="1"/>
        <v>#NAME?</v>
      </c>
      <c r="AA54" s="255" t="e">
        <f ca="1"/>
        <v>#NAME?</v>
      </c>
      <c r="AB54" s="258" t="e">
        <f ca="1"/>
        <v>#NAME?</v>
      </c>
    </row>
    <row r="55" spans="2:28">
      <c r="B55" s="243"/>
      <c r="C55" s="246"/>
      <c r="D55" s="126"/>
      <c r="F55" s="250" t="s">
        <v>390</v>
      </c>
      <c r="G55" s="251">
        <v>3.2840000000000001E-2</v>
      </c>
      <c r="H55" s="126"/>
      <c r="J55" s="255"/>
      <c r="K55" s="251"/>
      <c r="N55" s="255" t="s">
        <v>318</v>
      </c>
      <c r="O55" s="251">
        <v>2.6665999999999999E-2</v>
      </c>
      <c r="U55" s="255" t="e">
        <f ca="1"/>
        <v>#VALUE!</v>
      </c>
      <c r="V55" s="258" t="e">
        <f ca="1"/>
        <v>#VALUE!</v>
      </c>
      <c r="X55" s="255" t="e">
        <f ca="1"/>
        <v>#NAME?</v>
      </c>
      <c r="Y55" s="258" t="e">
        <f ca="1"/>
        <v>#NAME?</v>
      </c>
      <c r="AA55" s="255" t="e">
        <f ca="1"/>
        <v>#NAME?</v>
      </c>
      <c r="AB55" s="258" t="e">
        <f ca="1"/>
        <v>#NAME?</v>
      </c>
    </row>
    <row r="56" spans="2:28">
      <c r="B56" s="243"/>
      <c r="C56" s="246"/>
      <c r="D56" s="126"/>
      <c r="F56" s="250" t="s">
        <v>391</v>
      </c>
      <c r="G56" s="251">
        <v>3.2829999999999998E-2</v>
      </c>
      <c r="H56" s="126"/>
      <c r="J56" s="255"/>
      <c r="K56" s="251"/>
      <c r="N56" s="255"/>
      <c r="O56" s="251"/>
      <c r="U56" s="255" t="e">
        <f ca="1"/>
        <v>#VALUE!</v>
      </c>
      <c r="V56" s="258" t="e">
        <f ca="1"/>
        <v>#VALUE!</v>
      </c>
      <c r="X56" s="255" t="e">
        <f ca="1"/>
        <v>#NAME?</v>
      </c>
      <c r="Y56" s="258" t="e">
        <f ca="1"/>
        <v>#NAME?</v>
      </c>
      <c r="AA56" s="255" t="e">
        <f ca="1"/>
        <v>#NAME?</v>
      </c>
      <c r="AB56" s="258" t="e">
        <f ca="1"/>
        <v>#NAME?</v>
      </c>
    </row>
    <row r="57" spans="2:28">
      <c r="B57" s="243"/>
      <c r="C57" s="246"/>
      <c r="D57" s="126"/>
      <c r="F57" s="250" t="s">
        <v>392</v>
      </c>
      <c r="G57" s="251">
        <v>3.2820000000000002E-2</v>
      </c>
      <c r="H57" s="126"/>
      <c r="J57" s="255"/>
      <c r="K57" s="251"/>
      <c r="N57" s="255"/>
      <c r="O57" s="251"/>
      <c r="U57" s="255" t="e">
        <f ca="1"/>
        <v>#VALUE!</v>
      </c>
      <c r="V57" s="258" t="e">
        <f ca="1"/>
        <v>#VALUE!</v>
      </c>
      <c r="X57" s="255" t="e">
        <f ca="1"/>
        <v>#NAME?</v>
      </c>
      <c r="Y57" s="258" t="e">
        <f ca="1"/>
        <v>#NAME?</v>
      </c>
      <c r="AA57" s="255" t="e">
        <f ca="1"/>
        <v>#NAME?</v>
      </c>
      <c r="AB57" s="258" t="e">
        <f ca="1"/>
        <v>#NAME?</v>
      </c>
    </row>
    <row r="58" spans="2:28">
      <c r="B58" s="243"/>
      <c r="C58" s="246"/>
      <c r="D58" s="126"/>
      <c r="F58" s="250" t="s">
        <v>393</v>
      </c>
      <c r="G58" s="251">
        <v>3.2410000000000001E-2</v>
      </c>
      <c r="H58" s="126"/>
      <c r="J58" s="255"/>
      <c r="K58" s="251"/>
      <c r="N58" s="255"/>
      <c r="O58" s="251"/>
      <c r="U58" s="255" t="e">
        <f ca="1"/>
        <v>#VALUE!</v>
      </c>
      <c r="V58" s="258" t="e">
        <f ca="1"/>
        <v>#VALUE!</v>
      </c>
      <c r="X58" s="255" t="e">
        <f ca="1"/>
        <v>#NAME?</v>
      </c>
      <c r="Y58" s="258" t="e">
        <f ca="1"/>
        <v>#NAME?</v>
      </c>
      <c r="AA58" s="255" t="e">
        <f ca="1"/>
        <v>#NAME?</v>
      </c>
      <c r="AB58" s="258" t="e">
        <f ca="1"/>
        <v>#NAME?</v>
      </c>
    </row>
    <row r="59" spans="2:28">
      <c r="B59" s="243"/>
      <c r="C59" s="246"/>
      <c r="D59" s="126"/>
      <c r="F59" s="250"/>
      <c r="G59" s="251"/>
      <c r="H59" s="126"/>
      <c r="J59" s="255"/>
      <c r="K59" s="251"/>
      <c r="N59" s="255"/>
      <c r="O59" s="251"/>
      <c r="U59" s="255" t="e">
        <f ca="1"/>
        <v>#VALUE!</v>
      </c>
      <c r="V59" s="258" t="e">
        <f ca="1"/>
        <v>#VALUE!</v>
      </c>
      <c r="X59" s="255" t="e">
        <f ca="1"/>
        <v>#NAME?</v>
      </c>
      <c r="Y59" s="258" t="e">
        <f ca="1"/>
        <v>#NAME?</v>
      </c>
      <c r="AA59" s="255" t="e">
        <f ca="1"/>
        <v>#NAME?</v>
      </c>
      <c r="AB59" s="258" t="e">
        <f ca="1"/>
        <v>#NAME?</v>
      </c>
    </row>
    <row r="60" spans="2:28">
      <c r="B60" s="243"/>
      <c r="C60" s="246"/>
      <c r="D60" s="126"/>
      <c r="F60" s="250"/>
      <c r="G60" s="251"/>
      <c r="H60" s="126"/>
      <c r="J60" s="255"/>
      <c r="K60" s="251"/>
      <c r="N60" s="255"/>
      <c r="O60" s="251"/>
      <c r="U60" s="255" t="e">
        <f ca="1"/>
        <v>#VALUE!</v>
      </c>
      <c r="V60" s="258" t="e">
        <f ca="1"/>
        <v>#VALUE!</v>
      </c>
      <c r="X60" s="255" t="e">
        <f ca="1"/>
        <v>#NAME?</v>
      </c>
      <c r="Y60" s="258" t="e">
        <f ca="1"/>
        <v>#NAME?</v>
      </c>
      <c r="AA60" s="255" t="e">
        <f ca="1"/>
        <v>#NAME?</v>
      </c>
      <c r="AB60" s="258" t="e">
        <f ca="1"/>
        <v>#NAME?</v>
      </c>
    </row>
    <row r="61" spans="2:28">
      <c r="B61" s="243"/>
      <c r="C61" s="246"/>
      <c r="D61" s="126"/>
      <c r="F61" s="250"/>
      <c r="G61" s="251"/>
      <c r="H61" s="126"/>
      <c r="J61" s="255"/>
      <c r="K61" s="251"/>
      <c r="N61" s="255"/>
      <c r="O61" s="251"/>
      <c r="U61" s="255" t="e">
        <f ca="1"/>
        <v>#VALUE!</v>
      </c>
      <c r="V61" s="258" t="e">
        <f ca="1"/>
        <v>#VALUE!</v>
      </c>
      <c r="X61" s="255" t="e">
        <f ca="1"/>
        <v>#NAME?</v>
      </c>
      <c r="Y61" s="258" t="e">
        <f ca="1"/>
        <v>#NAME?</v>
      </c>
      <c r="AA61" s="255" t="e">
        <f ca="1"/>
        <v>#NAME?</v>
      </c>
      <c r="AB61" s="258" t="e">
        <f ca="1"/>
        <v>#NAME?</v>
      </c>
    </row>
    <row r="62" spans="2:28">
      <c r="B62" s="243"/>
      <c r="C62" s="246"/>
      <c r="D62" s="126"/>
      <c r="F62" s="250"/>
      <c r="G62" s="251"/>
      <c r="H62" s="126"/>
      <c r="J62" s="255"/>
      <c r="K62" s="251"/>
      <c r="N62" s="255"/>
      <c r="O62" s="251"/>
      <c r="U62" s="255" t="e">
        <f ca="1"/>
        <v>#VALUE!</v>
      </c>
      <c r="V62" s="258" t="e">
        <f ca="1"/>
        <v>#VALUE!</v>
      </c>
      <c r="X62" s="255" t="e">
        <f ca="1"/>
        <v>#NAME?</v>
      </c>
      <c r="Y62" s="258" t="e">
        <f ca="1"/>
        <v>#NAME?</v>
      </c>
      <c r="AA62" s="255" t="e">
        <f ca="1"/>
        <v>#NAME?</v>
      </c>
      <c r="AB62" s="258" t="e">
        <f ca="1"/>
        <v>#NAME?</v>
      </c>
    </row>
    <row r="63" spans="2:28">
      <c r="B63" s="243"/>
      <c r="C63" s="246"/>
      <c r="D63" s="126"/>
      <c r="F63" s="250"/>
      <c r="G63" s="251"/>
      <c r="H63" s="126"/>
      <c r="J63" s="255"/>
      <c r="K63" s="251"/>
      <c r="N63" s="255"/>
      <c r="O63" s="251"/>
      <c r="U63" s="255" t="e">
        <f ca="1"/>
        <v>#VALUE!</v>
      </c>
      <c r="V63" s="258" t="e">
        <f ca="1"/>
        <v>#VALUE!</v>
      </c>
      <c r="X63" s="255" t="e">
        <f ca="1"/>
        <v>#NAME?</v>
      </c>
      <c r="Y63" s="258" t="e">
        <f ca="1"/>
        <v>#NAME?</v>
      </c>
      <c r="AA63" s="255" t="e">
        <f ca="1"/>
        <v>#NAME?</v>
      </c>
      <c r="AB63" s="258" t="e">
        <f ca="1"/>
        <v>#NAME?</v>
      </c>
    </row>
    <row r="64" spans="2:28">
      <c r="B64" s="243"/>
      <c r="C64" s="246"/>
      <c r="D64" s="126"/>
      <c r="F64" s="250"/>
      <c r="G64" s="251"/>
      <c r="H64" s="126"/>
      <c r="J64" s="255"/>
      <c r="K64" s="251"/>
      <c r="N64" s="255"/>
      <c r="O64" s="251"/>
      <c r="U64" s="255" t="e">
        <f ca="1"/>
        <v>#VALUE!</v>
      </c>
      <c r="V64" s="258" t="e">
        <f ca="1"/>
        <v>#VALUE!</v>
      </c>
      <c r="X64" s="255" t="e">
        <f ca="1"/>
        <v>#NAME?</v>
      </c>
      <c r="Y64" s="258" t="e">
        <f ca="1"/>
        <v>#NAME?</v>
      </c>
      <c r="AA64" s="255" t="e">
        <f ca="1"/>
        <v>#NAME?</v>
      </c>
      <c r="AB64" s="258" t="e">
        <f ca="1"/>
        <v>#NAME?</v>
      </c>
    </row>
    <row r="65" spans="2:28">
      <c r="B65" s="244"/>
      <c r="C65" s="247"/>
      <c r="D65" s="126"/>
      <c r="F65" s="252"/>
      <c r="G65" s="253"/>
      <c r="H65" s="126"/>
      <c r="J65" s="256"/>
      <c r="K65" s="253"/>
      <c r="N65" s="256"/>
      <c r="O65" s="253"/>
      <c r="U65" s="256" t="e">
        <f ca="1"/>
        <v>#VALUE!</v>
      </c>
      <c r="V65" s="259" t="e">
        <f ca="1"/>
        <v>#VALUE!</v>
      </c>
      <c r="X65" s="256" t="e">
        <f ca="1"/>
        <v>#NAME?</v>
      </c>
      <c r="Y65" s="259" t="e">
        <f ca="1"/>
        <v>#NAME?</v>
      </c>
      <c r="AA65" s="256" t="e">
        <f ca="1"/>
        <v>#NAME?</v>
      </c>
      <c r="AB65" s="259" t="e">
        <f ca="1"/>
        <v>#NAME?</v>
      </c>
    </row>
    <row r="66" spans="2:28">
      <c r="B66" s="126"/>
      <c r="C66" s="126"/>
    </row>
    <row r="67" spans="2:28">
      <c r="B67" s="126"/>
      <c r="C67" s="126"/>
    </row>
    <row r="68" spans="2:28">
      <c r="B68" s="126"/>
      <c r="C68" s="126"/>
    </row>
    <row r="69" spans="2:28">
      <c r="B69" s="126"/>
      <c r="C69" s="126"/>
    </row>
    <row r="70" spans="2:28">
      <c r="B70" s="126"/>
      <c r="C70" s="126"/>
    </row>
    <row r="71" spans="2:28">
      <c r="B71" s="126"/>
      <c r="C71" s="126"/>
    </row>
    <row r="72" spans="2:28">
      <c r="B72" s="126"/>
      <c r="C72" s="126"/>
    </row>
    <row r="73" spans="2:28">
      <c r="B73" s="126"/>
      <c r="C73" s="126"/>
    </row>
    <row r="74" spans="2:28">
      <c r="B74" s="126"/>
      <c r="C74" s="126"/>
    </row>
    <row r="75" spans="2:28">
      <c r="B75" s="126"/>
      <c r="C75" s="126"/>
    </row>
    <row r="76" spans="2:28">
      <c r="B76" s="126"/>
      <c r="C76" s="126"/>
    </row>
    <row r="77" spans="2:28">
      <c r="B77" s="126"/>
      <c r="C77" s="126"/>
    </row>
    <row r="78" spans="2:28">
      <c r="B78" s="126"/>
      <c r="C78" s="126"/>
    </row>
    <row r="79" spans="2:28">
      <c r="B79" s="126"/>
      <c r="C79" s="126"/>
    </row>
    <row r="80" spans="2:28">
      <c r="B80" s="126"/>
      <c r="C80" s="126"/>
    </row>
    <row r="81" spans="2:3">
      <c r="B81" s="126"/>
      <c r="C81" s="126"/>
    </row>
    <row r="82" spans="2:3">
      <c r="B82" s="126"/>
      <c r="C82" s="126"/>
    </row>
    <row r="83" spans="2:3">
      <c r="B83" s="126"/>
      <c r="C83" s="126"/>
    </row>
    <row r="84" spans="2:3">
      <c r="B84" s="126"/>
      <c r="C84" s="126"/>
    </row>
    <row r="85" spans="2:3">
      <c r="B85" s="126"/>
      <c r="C85" s="126"/>
    </row>
    <row r="86" spans="2:3">
      <c r="B86" s="126"/>
      <c r="C86" s="126"/>
    </row>
    <row r="87" spans="2:3">
      <c r="B87" s="126"/>
      <c r="C87" s="126"/>
    </row>
    <row r="88" spans="2:3">
      <c r="B88" s="126"/>
      <c r="C88" s="126"/>
    </row>
    <row r="89" spans="2:3">
      <c r="B89" s="126"/>
      <c r="C89" s="126"/>
    </row>
    <row r="90" spans="2:3">
      <c r="B90" s="126"/>
      <c r="C90" s="126"/>
    </row>
    <row r="91" spans="2:3">
      <c r="B91" s="126"/>
      <c r="C91" s="126"/>
    </row>
    <row r="92" spans="2:3">
      <c r="B92" s="126"/>
      <c r="C92" s="126"/>
    </row>
    <row r="93" spans="2:3">
      <c r="B93" s="126"/>
      <c r="C93" s="126"/>
    </row>
    <row r="94" spans="2:3">
      <c r="B94" s="126"/>
      <c r="C94" s="126"/>
    </row>
    <row r="95" spans="2:3">
      <c r="B95" s="126"/>
      <c r="C95" s="126"/>
    </row>
    <row r="96" spans="2:3">
      <c r="B96" s="126"/>
      <c r="C96" s="126"/>
    </row>
    <row r="97" spans="2:3">
      <c r="B97" s="126"/>
      <c r="C97" s="126"/>
    </row>
    <row r="98" spans="2:3">
      <c r="B98" s="126"/>
      <c r="C98" s="126"/>
    </row>
    <row r="99" spans="2:3">
      <c r="B99" s="126"/>
      <c r="C99" s="126"/>
    </row>
    <row r="100" spans="2:3">
      <c r="B100" s="126"/>
      <c r="C100" s="126"/>
    </row>
    <row r="101" spans="2:3">
      <c r="B101" s="126"/>
      <c r="C101" s="126"/>
    </row>
    <row r="102" spans="2:3">
      <c r="B102" s="126"/>
      <c r="C102" s="126"/>
    </row>
    <row r="103" spans="2:3">
      <c r="B103" s="126"/>
      <c r="C103" s="126"/>
    </row>
    <row r="104" spans="2:3">
      <c r="B104" s="126"/>
      <c r="C104" s="126"/>
    </row>
    <row r="105" spans="2:3">
      <c r="B105" s="126"/>
      <c r="C105" s="126"/>
    </row>
    <row r="106" spans="2:3">
      <c r="B106" s="126"/>
      <c r="C106" s="126"/>
    </row>
    <row r="107" spans="2:3">
      <c r="B107" s="126"/>
      <c r="C107" s="126"/>
    </row>
    <row r="108" spans="2:3">
      <c r="B108" s="126"/>
      <c r="C108" s="126"/>
    </row>
    <row r="109" spans="2:3">
      <c r="B109" s="126"/>
      <c r="C109" s="126"/>
    </row>
    <row r="110" spans="2:3">
      <c r="B110" s="126"/>
      <c r="C110" s="126"/>
    </row>
    <row r="111" spans="2:3">
      <c r="B111" s="126"/>
      <c r="C111" s="126"/>
    </row>
    <row r="112" spans="2:3">
      <c r="B112" s="126"/>
      <c r="C112" s="126"/>
    </row>
    <row r="113" spans="2:3">
      <c r="B113" s="126"/>
      <c r="C113" s="126"/>
    </row>
    <row r="114" spans="2:3">
      <c r="B114" s="126"/>
      <c r="C114" s="126"/>
    </row>
  </sheetData>
  <mergeCells count="7">
    <mergeCell ref="X4:Y4"/>
    <mergeCell ref="AA4:AB4"/>
    <mergeCell ref="B4:C4"/>
    <mergeCell ref="F4:G4"/>
    <mergeCell ref="J4:K4"/>
    <mergeCell ref="N4:O4"/>
    <mergeCell ref="U4:V4"/>
  </mergeCells>
  <dataValidations count="2">
    <dataValidation type="list" allowBlank="1" showInputMessage="1" showErrorMessage="1" sqref="F28" xr:uid="{00000000-0002-0000-0400-000000000000}">
      <formula1>x</formula1>
    </dataValidation>
    <dataValidation type="list" allowBlank="1" showInputMessage="1" showErrorMessage="1" sqref="C2 G2 K2 O2 V2 Y2 AB2" xr:uid="{00000000-0002-0000-0400-000001000000}">
      <formula1>Markets</formula1>
    </dataValidation>
  </dataValidations>
  <hyperlinks>
    <hyperlink ref="C23" location="'Market Rates'!A1" display="Update" xr:uid="{00000000-0004-0000-0400-000000000000}"/>
    <hyperlink ref="G23" location="'Market Rates'!A1" display="Update" xr:uid="{00000000-0004-0000-0400-000001000000}"/>
    <hyperlink ref="K23" location="'Market Rates'!A1" display="Update" xr:uid="{00000000-0004-0000-0400-000002000000}"/>
    <hyperlink ref="O23" location="'Market Rates'!A1" display="Update" xr:uid="{00000000-0004-0000-0400-000003000000}"/>
    <hyperlink ref="B23" location="'Market Rates'!A1" display="Get Rates" xr:uid="{00000000-0004-0000-0400-000004000000}"/>
    <hyperlink ref="F23" location="'Market Rates'!A1" display="Get Rates" xr:uid="{00000000-0004-0000-0400-000005000000}"/>
    <hyperlink ref="J23" location="'Market Rates'!A1" display="Get Rates" xr:uid="{00000000-0004-0000-0400-000006000000}"/>
    <hyperlink ref="N23" location="'Market Rates'!A1" display="Get Rates" xr:uid="{00000000-0004-0000-0400-000007000000}"/>
    <hyperlink ref="B2" location="'Market Rates'!A1" display="Reload Market" xr:uid="{00000000-0004-0000-0400-000008000000}"/>
    <hyperlink ref="F2" location="'Market Rates'!A1" display="Reload Market" xr:uid="{00000000-0004-0000-0400-000009000000}"/>
    <hyperlink ref="J2" location="'Market Rates'!A1" display="Reload Market" xr:uid="{00000000-0004-0000-0400-00000A000000}"/>
    <hyperlink ref="N2" location="'Market Rates'!A1" display="Reload Market" xr:uid="{00000000-0004-0000-0400-00000B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2:AC29"/>
  <sheetViews>
    <sheetView topLeftCell="R1" workbookViewId="0">
      <selection activeCell="X13" sqref="X13"/>
    </sheetView>
  </sheetViews>
  <sheetFormatPr defaultRowHeight="11.25"/>
  <cols>
    <col min="1" max="1" width="3.28515625" style="34" customWidth="1"/>
    <col min="2" max="3" width="9.140625" style="34"/>
    <col min="4" max="4" width="7.42578125" style="34" bestFit="1" customWidth="1"/>
    <col min="5" max="5" width="12" style="34" bestFit="1" customWidth="1"/>
    <col min="6" max="6" width="9.28515625" style="34" bestFit="1" customWidth="1"/>
    <col min="7" max="7" width="9.7109375" style="34" bestFit="1" customWidth="1"/>
    <col min="8" max="8" width="10.42578125" style="34" bestFit="1" customWidth="1"/>
    <col min="9" max="9" width="11.42578125" style="34" bestFit="1" customWidth="1"/>
    <col min="10" max="10" width="13.140625" style="34" bestFit="1" customWidth="1"/>
    <col min="11" max="11" width="6.7109375" style="34" customWidth="1"/>
    <col min="12" max="12" width="12.42578125" style="34" customWidth="1"/>
    <col min="13" max="13" width="12" style="34" hidden="1" customWidth="1"/>
    <col min="14" max="14" width="7.85546875" style="34" hidden="1" customWidth="1"/>
    <col min="15" max="15" width="13.140625" style="34" bestFit="1" customWidth="1"/>
    <col min="16" max="16" width="11.42578125" style="34" bestFit="1" customWidth="1"/>
    <col min="17" max="17" width="16.28515625" style="34" bestFit="1" customWidth="1"/>
    <col min="18" max="18" width="14.42578125" style="34" bestFit="1" customWidth="1"/>
    <col min="19" max="19" width="11.7109375" style="34" bestFit="1" customWidth="1"/>
    <col min="20" max="20" width="10.140625" style="34" bestFit="1" customWidth="1"/>
    <col min="21" max="21" width="12.28515625" style="34" bestFit="1" customWidth="1"/>
    <col min="22" max="22" width="10.85546875" style="34" bestFit="1" customWidth="1"/>
    <col min="23" max="23" width="15.42578125" style="34" customWidth="1"/>
    <col min="24" max="24" width="15.42578125" style="34" bestFit="1" customWidth="1"/>
    <col min="25" max="25" width="12" style="34" bestFit="1" customWidth="1"/>
    <col min="26" max="16384" width="9.140625" style="34"/>
  </cols>
  <sheetData>
    <row r="2" spans="2:29">
      <c r="B2" s="297" t="s">
        <v>0</v>
      </c>
      <c r="C2" s="297" t="s">
        <v>30</v>
      </c>
      <c r="D2" s="394" t="s">
        <v>1</v>
      </c>
      <c r="E2" s="395"/>
      <c r="F2" s="395"/>
      <c r="G2" s="395"/>
      <c r="H2" s="396"/>
      <c r="I2" s="282"/>
      <c r="J2" s="283"/>
      <c r="K2" s="279"/>
      <c r="M2" s="34" t="s">
        <v>38</v>
      </c>
      <c r="N2" s="34" t="s">
        <v>39</v>
      </c>
      <c r="O2" s="19" t="s">
        <v>42</v>
      </c>
      <c r="P2" s="150" t="s">
        <v>43</v>
      </c>
      <c r="Q2" s="152" t="s">
        <v>50</v>
      </c>
      <c r="R2" s="19" t="s">
        <v>111</v>
      </c>
      <c r="S2" s="150" t="s">
        <v>107</v>
      </c>
      <c r="T2" s="19" t="s">
        <v>108</v>
      </c>
      <c r="U2" s="150" t="s">
        <v>188</v>
      </c>
      <c r="V2" s="150" t="s">
        <v>290</v>
      </c>
      <c r="W2" s="108" t="s">
        <v>291</v>
      </c>
      <c r="X2" s="150" t="s">
        <v>231</v>
      </c>
      <c r="Y2" s="150" t="s">
        <v>237</v>
      </c>
      <c r="Z2" s="155" t="s">
        <v>240</v>
      </c>
      <c r="AA2" s="150" t="s">
        <v>223</v>
      </c>
      <c r="AB2" s="150" t="s">
        <v>301</v>
      </c>
    </row>
    <row r="3" spans="2:29">
      <c r="B3" s="298"/>
      <c r="C3" s="298"/>
      <c r="D3" s="284" t="s">
        <v>2</v>
      </c>
      <c r="E3" s="285" t="s">
        <v>3</v>
      </c>
      <c r="F3" s="286" t="s">
        <v>4</v>
      </c>
      <c r="G3" s="287" t="s">
        <v>5</v>
      </c>
      <c r="H3" s="287" t="s">
        <v>6</v>
      </c>
      <c r="I3" s="287" t="s">
        <v>7</v>
      </c>
      <c r="J3" s="288" t="s">
        <v>228</v>
      </c>
      <c r="K3" s="281" t="s">
        <v>308</v>
      </c>
      <c r="O3" s="15"/>
      <c r="P3" s="30"/>
      <c r="Q3" s="30"/>
      <c r="R3" s="15"/>
      <c r="S3" s="30"/>
      <c r="T3" s="15"/>
      <c r="U3" s="30"/>
      <c r="V3" s="30"/>
      <c r="W3" s="156"/>
      <c r="X3" s="30"/>
      <c r="Y3" s="30"/>
      <c r="Z3" s="16"/>
      <c r="AA3" s="30"/>
      <c r="AB3" s="15"/>
      <c r="AC3" s="331" t="s">
        <v>330</v>
      </c>
    </row>
    <row r="4" spans="2:29">
      <c r="B4" s="298" t="s">
        <v>182</v>
      </c>
      <c r="C4" s="298" t="s">
        <v>184</v>
      </c>
      <c r="D4" s="289" t="s">
        <v>8</v>
      </c>
      <c r="E4" s="290"/>
      <c r="F4" s="291"/>
      <c r="G4" s="292"/>
      <c r="H4" s="291"/>
      <c r="I4" s="291"/>
      <c r="J4" s="293"/>
      <c r="K4" s="280"/>
      <c r="M4" s="34" t="s">
        <v>12</v>
      </c>
      <c r="N4" s="34" t="s">
        <v>35</v>
      </c>
      <c r="O4" s="17" t="s">
        <v>35</v>
      </c>
      <c r="P4" s="148" t="s">
        <v>44</v>
      </c>
      <c r="Q4" s="153" t="s">
        <v>14</v>
      </c>
      <c r="R4" s="17" t="s">
        <v>229</v>
      </c>
      <c r="S4" s="157" t="s">
        <v>102</v>
      </c>
      <c r="T4" s="17" t="s">
        <v>105</v>
      </c>
      <c r="U4" s="160"/>
      <c r="V4" s="162" t="s">
        <v>187</v>
      </c>
      <c r="W4" s="68" t="s">
        <v>189</v>
      </c>
      <c r="X4" s="33" t="s">
        <v>232</v>
      </c>
      <c r="Y4" s="17" t="s">
        <v>238</v>
      </c>
      <c r="Z4" s="150"/>
      <c r="AA4" s="15" t="s">
        <v>224</v>
      </c>
      <c r="AB4" s="19" t="s">
        <v>213</v>
      </c>
      <c r="AC4" s="329" t="s">
        <v>97</v>
      </c>
    </row>
    <row r="5" spans="2:29">
      <c r="B5" s="299" t="s">
        <v>183</v>
      </c>
      <c r="C5" s="299" t="s">
        <v>185</v>
      </c>
      <c r="D5" s="294" t="s">
        <v>9</v>
      </c>
      <c r="E5" s="146" t="s">
        <v>10</v>
      </c>
      <c r="F5" s="1" t="s">
        <v>11</v>
      </c>
      <c r="G5" s="147" t="s">
        <v>12</v>
      </c>
      <c r="H5" s="1" t="s">
        <v>13</v>
      </c>
      <c r="I5" s="1" t="s">
        <v>14</v>
      </c>
      <c r="J5" s="295" t="s">
        <v>45</v>
      </c>
      <c r="K5" s="280">
        <v>2</v>
      </c>
      <c r="O5" s="15" t="s">
        <v>36</v>
      </c>
      <c r="P5" s="148" t="s">
        <v>45</v>
      </c>
      <c r="Q5" s="153" t="s">
        <v>18</v>
      </c>
      <c r="R5" s="15" t="s">
        <v>230</v>
      </c>
      <c r="S5" s="157" t="s">
        <v>103</v>
      </c>
      <c r="T5" s="17" t="s">
        <v>106</v>
      </c>
      <c r="U5" s="160">
        <v>1</v>
      </c>
      <c r="V5" s="159"/>
      <c r="X5" s="33" t="s">
        <v>233</v>
      </c>
      <c r="Y5" s="17" t="s">
        <v>35</v>
      </c>
      <c r="Z5" s="33" t="s">
        <v>325</v>
      </c>
      <c r="AB5" s="15" t="s">
        <v>302</v>
      </c>
      <c r="AC5" s="330" t="s">
        <v>329</v>
      </c>
    </row>
    <row r="6" spans="2:29">
      <c r="D6" s="294" t="s">
        <v>15</v>
      </c>
      <c r="E6" s="146" t="s">
        <v>16</v>
      </c>
      <c r="F6" s="1" t="s">
        <v>17</v>
      </c>
      <c r="G6" s="147" t="s">
        <v>12</v>
      </c>
      <c r="H6" s="1" t="s">
        <v>13</v>
      </c>
      <c r="I6" s="1" t="s">
        <v>18</v>
      </c>
      <c r="J6" s="295" t="s">
        <v>44</v>
      </c>
      <c r="K6" s="280">
        <v>2</v>
      </c>
      <c r="P6" s="148" t="s">
        <v>46</v>
      </c>
      <c r="Q6" s="153" t="s">
        <v>51</v>
      </c>
      <c r="S6" s="157" t="s">
        <v>97</v>
      </c>
      <c r="T6" s="15" t="s">
        <v>239</v>
      </c>
      <c r="U6" s="160">
        <v>2</v>
      </c>
      <c r="V6" s="159"/>
      <c r="X6" s="33" t="s">
        <v>37</v>
      </c>
      <c r="Y6" s="15" t="s">
        <v>36</v>
      </c>
      <c r="Z6" s="33" t="s">
        <v>36</v>
      </c>
    </row>
    <row r="7" spans="2:29">
      <c r="D7" s="294" t="s">
        <v>19</v>
      </c>
      <c r="E7" s="146" t="s">
        <v>20</v>
      </c>
      <c r="F7" s="1" t="s">
        <v>11</v>
      </c>
      <c r="G7" s="147" t="s">
        <v>12</v>
      </c>
      <c r="H7" s="1" t="s">
        <v>13</v>
      </c>
      <c r="I7" s="1" t="s">
        <v>18</v>
      </c>
      <c r="J7" s="295" t="s">
        <v>45</v>
      </c>
      <c r="K7" s="280">
        <v>2</v>
      </c>
      <c r="P7" s="148" t="s">
        <v>47</v>
      </c>
      <c r="Q7" s="153" t="s">
        <v>52</v>
      </c>
      <c r="S7" s="157" t="s">
        <v>84</v>
      </c>
      <c r="U7" s="160">
        <v>3</v>
      </c>
      <c r="V7" s="159"/>
      <c r="X7" s="33" t="s">
        <v>234</v>
      </c>
      <c r="Z7" s="33" t="s">
        <v>326</v>
      </c>
    </row>
    <row r="8" spans="2:29">
      <c r="D8" s="294" t="s">
        <v>21</v>
      </c>
      <c r="E8" s="146" t="s">
        <v>22</v>
      </c>
      <c r="F8" s="1" t="s">
        <v>11</v>
      </c>
      <c r="G8" s="147" t="s">
        <v>12</v>
      </c>
      <c r="H8" s="1" t="s">
        <v>13</v>
      </c>
      <c r="I8" s="1" t="s">
        <v>14</v>
      </c>
      <c r="J8" s="295" t="s">
        <v>45</v>
      </c>
      <c r="K8" s="280">
        <v>0</v>
      </c>
      <c r="P8" s="148" t="s">
        <v>48</v>
      </c>
      <c r="Q8" s="153" t="s">
        <v>53</v>
      </c>
      <c r="S8" s="157" t="s">
        <v>96</v>
      </c>
      <c r="U8" s="160">
        <v>4</v>
      </c>
      <c r="V8" s="159"/>
      <c r="X8" s="33" t="s">
        <v>235</v>
      </c>
      <c r="Z8" s="33" t="s">
        <v>327</v>
      </c>
    </row>
    <row r="9" spans="2:29">
      <c r="D9" s="294" t="s">
        <v>23</v>
      </c>
      <c r="E9" s="146" t="s">
        <v>24</v>
      </c>
      <c r="F9" s="1" t="s">
        <v>11</v>
      </c>
      <c r="G9" s="147" t="s">
        <v>12</v>
      </c>
      <c r="H9" s="1" t="s">
        <v>13</v>
      </c>
      <c r="I9" s="1" t="s">
        <v>14</v>
      </c>
      <c r="J9" s="295" t="s">
        <v>44</v>
      </c>
      <c r="K9" s="280">
        <v>2</v>
      </c>
      <c r="P9" s="149" t="s">
        <v>49</v>
      </c>
      <c r="Q9" s="154" t="s">
        <v>54</v>
      </c>
      <c r="S9" s="157" t="s">
        <v>99</v>
      </c>
      <c r="U9" s="160">
        <v>5</v>
      </c>
      <c r="V9" s="159"/>
      <c r="X9" s="30" t="s">
        <v>236</v>
      </c>
      <c r="Z9" s="33" t="s">
        <v>328</v>
      </c>
    </row>
    <row r="10" spans="2:29">
      <c r="D10" s="294" t="s">
        <v>25</v>
      </c>
      <c r="E10" s="146" t="s">
        <v>26</v>
      </c>
      <c r="F10" s="1" t="s">
        <v>11</v>
      </c>
      <c r="G10" s="147" t="s">
        <v>12</v>
      </c>
      <c r="H10" s="1" t="s">
        <v>13</v>
      </c>
      <c r="I10" s="1" t="s">
        <v>14</v>
      </c>
      <c r="J10" s="295" t="s">
        <v>45</v>
      </c>
      <c r="K10" s="280">
        <v>2</v>
      </c>
      <c r="S10" s="157" t="s">
        <v>100</v>
      </c>
      <c r="U10" s="160">
        <v>6</v>
      </c>
      <c r="V10" s="159"/>
      <c r="Z10" s="33" t="s">
        <v>324</v>
      </c>
    </row>
    <row r="11" spans="2:29">
      <c r="D11" s="284" t="s">
        <v>27</v>
      </c>
      <c r="E11" s="285" t="s">
        <v>28</v>
      </c>
      <c r="F11" s="287" t="s">
        <v>11</v>
      </c>
      <c r="G11" s="296" t="s">
        <v>12</v>
      </c>
      <c r="H11" s="287" t="s">
        <v>13</v>
      </c>
      <c r="I11" s="287" t="s">
        <v>18</v>
      </c>
      <c r="J11" s="288" t="s">
        <v>45</v>
      </c>
      <c r="K11" s="281">
        <v>2</v>
      </c>
      <c r="S11" s="157" t="s">
        <v>101</v>
      </c>
      <c r="U11" s="160">
        <v>7</v>
      </c>
      <c r="V11" s="159"/>
      <c r="Z11" s="33" t="s">
        <v>323</v>
      </c>
    </row>
    <row r="12" spans="2:29">
      <c r="S12" s="157" t="s">
        <v>94</v>
      </c>
      <c r="U12" s="160">
        <v>8</v>
      </c>
      <c r="V12" s="159"/>
      <c r="Z12" s="33" t="s">
        <v>241</v>
      </c>
    </row>
    <row r="13" spans="2:29">
      <c r="S13" s="157" t="s">
        <v>104</v>
      </c>
      <c r="U13" s="160">
        <v>9</v>
      </c>
      <c r="V13" s="159"/>
      <c r="Z13" s="33" t="s">
        <v>242</v>
      </c>
    </row>
    <row r="14" spans="2:29">
      <c r="S14" s="157" t="s">
        <v>105</v>
      </c>
      <c r="U14" s="160">
        <v>10</v>
      </c>
      <c r="V14" s="159"/>
      <c r="Z14" s="33" t="s">
        <v>243</v>
      </c>
    </row>
    <row r="15" spans="2:29">
      <c r="S15" s="158" t="s">
        <v>106</v>
      </c>
      <c r="U15" s="160">
        <v>11</v>
      </c>
      <c r="V15" s="159"/>
      <c r="Z15" s="33" t="s">
        <v>244</v>
      </c>
    </row>
    <row r="16" spans="2:29">
      <c r="S16" s="151"/>
      <c r="U16" s="160">
        <v>12</v>
      </c>
      <c r="V16" s="159"/>
      <c r="Z16" s="33" t="s">
        <v>245</v>
      </c>
    </row>
    <row r="17" spans="7:26">
      <c r="U17" s="160">
        <v>13</v>
      </c>
      <c r="V17" s="159"/>
      <c r="Z17" s="33" t="s">
        <v>246</v>
      </c>
    </row>
    <row r="18" spans="7:26">
      <c r="U18" s="160">
        <v>14</v>
      </c>
      <c r="V18" s="159"/>
      <c r="Z18" s="33" t="s">
        <v>247</v>
      </c>
    </row>
    <row r="19" spans="7:26">
      <c r="U19" s="160">
        <v>15</v>
      </c>
      <c r="V19" s="159"/>
      <c r="Z19" s="33" t="s">
        <v>248</v>
      </c>
    </row>
    <row r="20" spans="7:26">
      <c r="U20" s="160">
        <v>16</v>
      </c>
      <c r="V20" s="159"/>
      <c r="Z20" s="33" t="s">
        <v>249</v>
      </c>
    </row>
    <row r="21" spans="7:26">
      <c r="U21" s="160">
        <v>17</v>
      </c>
      <c r="V21" s="159"/>
      <c r="Z21" s="33" t="s">
        <v>250</v>
      </c>
    </row>
    <row r="22" spans="7:26">
      <c r="U22" s="160">
        <v>18</v>
      </c>
      <c r="V22" s="159"/>
      <c r="Z22" s="33" t="s">
        <v>251</v>
      </c>
    </row>
    <row r="23" spans="7:26">
      <c r="G23" s="274"/>
      <c r="H23" s="275"/>
      <c r="I23" s="275"/>
      <c r="J23" s="276"/>
      <c r="K23" s="276"/>
      <c r="L23" s="276"/>
      <c r="M23" s="276"/>
      <c r="N23" s="276"/>
      <c r="O23" s="274"/>
      <c r="U23" s="160">
        <v>19</v>
      </c>
      <c r="V23" s="159"/>
      <c r="Z23" s="33" t="s">
        <v>252</v>
      </c>
    </row>
    <row r="24" spans="7:26">
      <c r="G24" s="274"/>
      <c r="H24" s="275"/>
      <c r="I24" s="275"/>
      <c r="J24" s="276"/>
      <c r="K24" s="276"/>
      <c r="L24" s="276"/>
      <c r="M24" s="277"/>
      <c r="N24" s="277"/>
      <c r="O24" s="274"/>
      <c r="U24" s="160">
        <v>20</v>
      </c>
      <c r="V24" s="159"/>
      <c r="Z24" s="33" t="s">
        <v>253</v>
      </c>
    </row>
    <row r="25" spans="7:26">
      <c r="G25" s="274"/>
      <c r="H25" s="278"/>
      <c r="I25" s="275"/>
      <c r="J25" s="276"/>
      <c r="K25" s="276"/>
      <c r="L25" s="276"/>
      <c r="M25" s="277"/>
      <c r="N25" s="277"/>
      <c r="O25" s="274"/>
      <c r="U25" s="160">
        <v>21</v>
      </c>
      <c r="V25" s="159"/>
      <c r="Z25" s="33" t="s">
        <v>254</v>
      </c>
    </row>
    <row r="26" spans="7:26">
      <c r="G26" s="274"/>
      <c r="H26" s="275"/>
      <c r="I26" s="275"/>
      <c r="J26" s="276"/>
      <c r="K26" s="276"/>
      <c r="L26" s="276"/>
      <c r="M26" s="276"/>
      <c r="N26" s="276"/>
      <c r="O26" s="274"/>
      <c r="U26" s="160">
        <v>22</v>
      </c>
      <c r="V26" s="159"/>
      <c r="Z26" s="33" t="s">
        <v>255</v>
      </c>
    </row>
    <row r="27" spans="7:26">
      <c r="G27" s="274"/>
      <c r="H27" s="278"/>
      <c r="I27" s="278"/>
      <c r="J27" s="276"/>
      <c r="K27" s="276"/>
      <c r="L27" s="276"/>
      <c r="M27" s="276"/>
      <c r="N27" s="276"/>
      <c r="O27" s="274"/>
      <c r="U27" s="160">
        <v>23</v>
      </c>
      <c r="V27" s="159"/>
      <c r="Z27" s="30" t="s">
        <v>256</v>
      </c>
    </row>
    <row r="28" spans="7:26">
      <c r="G28" s="274"/>
      <c r="H28" s="275"/>
      <c r="I28" s="275"/>
      <c r="J28" s="276"/>
      <c r="K28" s="276"/>
      <c r="L28" s="276"/>
      <c r="M28" s="276"/>
      <c r="N28" s="276"/>
      <c r="O28" s="274"/>
      <c r="U28" s="160">
        <v>98</v>
      </c>
      <c r="V28" s="159"/>
    </row>
    <row r="29" spans="7:26">
      <c r="G29" s="274"/>
      <c r="H29" s="278"/>
      <c r="I29" s="278"/>
      <c r="J29" s="276"/>
      <c r="K29" s="276"/>
      <c r="L29" s="276"/>
      <c r="M29" s="277"/>
      <c r="N29" s="277"/>
      <c r="O29" s="274"/>
      <c r="U29" s="161">
        <v>99</v>
      </c>
    </row>
  </sheetData>
  <mergeCells count="1">
    <mergeCell ref="D2:H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118</vt:i4>
      </vt:variant>
    </vt:vector>
  </HeadingPairs>
  <TitlesOfParts>
    <vt:vector size="124" baseType="lpstr">
      <vt:lpstr>Trade</vt:lpstr>
      <vt:lpstr>Spreads</vt:lpstr>
      <vt:lpstr>Cashflows</vt:lpstr>
      <vt:lpstr>Market Vols</vt:lpstr>
      <vt:lpstr>Market Rates</vt:lpstr>
      <vt:lpstr>Reference</vt:lpstr>
      <vt:lpstr>Adjustment</vt:lpstr>
      <vt:lpstr>AllMarketIndexTenors</vt:lpstr>
      <vt:lpstr>AmortBasis</vt:lpstr>
      <vt:lpstr>AUDCurve</vt:lpstr>
      <vt:lpstr>AUDCurveFilter</vt:lpstr>
      <vt:lpstr>AUDCurveIndexTenor</vt:lpstr>
      <vt:lpstr>AUDCurveInputs</vt:lpstr>
      <vt:lpstr>AUDCurveProperties</vt:lpstr>
      <vt:lpstr>AUDFxCurve</vt:lpstr>
      <vt:lpstr>AUDFXRates</vt:lpstr>
      <vt:lpstr>AUDGetRates</vt:lpstr>
      <vt:lpstr>AUDMarket</vt:lpstr>
      <vt:lpstr>AUDMarketFX</vt:lpstr>
      <vt:lpstr>AUDMarketRateIndex</vt:lpstr>
      <vt:lpstr>AUDPropertyNames</vt:lpstr>
      <vt:lpstr>BasisNotional</vt:lpstr>
      <vt:lpstr>Bob</vt:lpstr>
      <vt:lpstr>CapFloorType</vt:lpstr>
      <vt:lpstr>CcyUSDSpotRates</vt:lpstr>
      <vt:lpstr>CreditLendingCategory</vt:lpstr>
      <vt:lpstr>CreditLgdCounterparty</vt:lpstr>
      <vt:lpstr>CreditRatings</vt:lpstr>
      <vt:lpstr>CreditRegion</vt:lpstr>
      <vt:lpstr>CreditSettings</vt:lpstr>
      <vt:lpstr>CreditTargetRoe</vt:lpstr>
      <vt:lpstr>CurrencyList</vt:lpstr>
      <vt:lpstr>CurrencyRateIndex</vt:lpstr>
      <vt:lpstr>CurrencyTable</vt:lpstr>
      <vt:lpstr>curve1</vt:lpstr>
      <vt:lpstr>DayCount</vt:lpstr>
      <vt:lpstr>DefaultTradeHeader</vt:lpstr>
      <vt:lpstr>DefaultTradeTerms</vt:lpstr>
      <vt:lpstr>EcrsMatrix</vt:lpstr>
      <vt:lpstr>EODMarketIndexTenor</vt:lpstr>
      <vt:lpstr>EURCurve</vt:lpstr>
      <vt:lpstr>EURCurveFilter</vt:lpstr>
      <vt:lpstr>EURCurveIndexTenor</vt:lpstr>
      <vt:lpstr>EURCurveInputs</vt:lpstr>
      <vt:lpstr>EURCurveProperties</vt:lpstr>
      <vt:lpstr>EURFxCurve</vt:lpstr>
      <vt:lpstr>EURFXRates</vt:lpstr>
      <vt:lpstr>EURMarket</vt:lpstr>
      <vt:lpstr>EURMarketFX</vt:lpstr>
      <vt:lpstr>EURMarketRateIndex</vt:lpstr>
      <vt:lpstr>EURPropertyNames</vt:lpstr>
      <vt:lpstr>Fields</vt:lpstr>
      <vt:lpstr>GBPCurve</vt:lpstr>
      <vt:lpstr>GBPCurveFilter</vt:lpstr>
      <vt:lpstr>GBPCurveIndexTenor</vt:lpstr>
      <vt:lpstr>GBPCurveInputs</vt:lpstr>
      <vt:lpstr>GBPCurveProperties</vt:lpstr>
      <vt:lpstr>GBPFxCurve</vt:lpstr>
      <vt:lpstr>GBPFXRates</vt:lpstr>
      <vt:lpstr>GBPMarket</vt:lpstr>
      <vt:lpstr>GBPMarketFX</vt:lpstr>
      <vt:lpstr>GBPMarketRateIndex</vt:lpstr>
      <vt:lpstr>GBPPropertyNames</vt:lpstr>
      <vt:lpstr>LendingCategoryTypes</vt:lpstr>
      <vt:lpstr>LGDCounterParty</vt:lpstr>
      <vt:lpstr>LocalAUDCurveProperties</vt:lpstr>
      <vt:lpstr>LocalEURCurveProperties</vt:lpstr>
      <vt:lpstr>LocalGBPCurveProperties</vt:lpstr>
      <vt:lpstr>LocalUSDCurveProperties</vt:lpstr>
      <vt:lpstr>Markets</vt:lpstr>
      <vt:lpstr>MaturityMatrix</vt:lpstr>
      <vt:lpstr>Metrics</vt:lpstr>
      <vt:lpstr>PayAdjustment</vt:lpstr>
      <vt:lpstr>PayCurrency</vt:lpstr>
      <vt:lpstr>PayDayCount</vt:lpstr>
      <vt:lpstr>PayDiscountCurve</vt:lpstr>
      <vt:lpstr>PayFixedRate</vt:lpstr>
      <vt:lpstr>PayInterval</vt:lpstr>
      <vt:lpstr>PaymentTenor</vt:lpstr>
      <vt:lpstr>PaymentType</vt:lpstr>
      <vt:lpstr>PayPaymentIn</vt:lpstr>
      <vt:lpstr>PayRateIndex</vt:lpstr>
      <vt:lpstr>PayRateIndexTenor</vt:lpstr>
      <vt:lpstr>PayRollDay</vt:lpstr>
      <vt:lpstr>PaySpread</vt:lpstr>
      <vt:lpstr>PayStreamType</vt:lpstr>
      <vt:lpstr>PayTerms</vt:lpstr>
      <vt:lpstr>PricingData</vt:lpstr>
      <vt:lpstr>RateIndex</vt:lpstr>
      <vt:lpstr>ReceiveAdjustment</vt:lpstr>
      <vt:lpstr>ReceiveCurrency</vt:lpstr>
      <vt:lpstr>ReceiveDayCount</vt:lpstr>
      <vt:lpstr>ReceiveFixedRate</vt:lpstr>
      <vt:lpstr>ReceiveInterval</vt:lpstr>
      <vt:lpstr>ReceivePaymentIn</vt:lpstr>
      <vt:lpstr>ReceiveRateIndex</vt:lpstr>
      <vt:lpstr>ReceiveRateIndexTenor</vt:lpstr>
      <vt:lpstr>ReceiveRollDay</vt:lpstr>
      <vt:lpstr>ReceiveSpread</vt:lpstr>
      <vt:lpstr>ReceiveStreamType</vt:lpstr>
      <vt:lpstr>ReceiveTerms</vt:lpstr>
      <vt:lpstr>ReportBy</vt:lpstr>
      <vt:lpstr>ReportByType</vt:lpstr>
      <vt:lpstr>SpreadMatrix</vt:lpstr>
      <vt:lpstr>StartDate</vt:lpstr>
      <vt:lpstr>StructuredTradeData</vt:lpstr>
      <vt:lpstr>StructuredTradeHeader</vt:lpstr>
      <vt:lpstr>StructuredTradeTerms</vt:lpstr>
      <vt:lpstr>SwapMaturities</vt:lpstr>
      <vt:lpstr>TargetRoeMtm</vt:lpstr>
      <vt:lpstr>Tenor</vt:lpstr>
      <vt:lpstr>TradeId</vt:lpstr>
      <vt:lpstr>TradeMarket</vt:lpstr>
      <vt:lpstr>TradeRateIndexTenor</vt:lpstr>
      <vt:lpstr>TradeTerms</vt:lpstr>
      <vt:lpstr>USDCurve</vt:lpstr>
      <vt:lpstr>USDCurveFilter</vt:lpstr>
      <vt:lpstr>USDCurveIndexTenor</vt:lpstr>
      <vt:lpstr>USDCurveInputs</vt:lpstr>
      <vt:lpstr>USDCurveProperties</vt:lpstr>
      <vt:lpstr>USDMarket</vt:lpstr>
      <vt:lpstr>USDMarketRateIndex</vt:lpstr>
      <vt:lpstr>USDPropertyNames</vt:lpstr>
      <vt:lpstr>ValueDate</vt:lpstr>
    </vt:vector>
  </TitlesOfParts>
  <Company>nabCapital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Anil Mistry</dc:creator>
  <cp:lastModifiedBy>Alex</cp:lastModifiedBy>
  <dcterms:created xsi:type="dcterms:W3CDTF">2010-04-12T06:53:44Z</dcterms:created>
  <dcterms:modified xsi:type="dcterms:W3CDTF">2018-02-02T21:33:30Z</dcterms:modified>
</cp:coreProperties>
</file>